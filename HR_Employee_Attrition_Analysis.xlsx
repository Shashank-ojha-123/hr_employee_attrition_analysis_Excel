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mypc\Desktop\Data Analytics Projects\IBM HR\"/>
    </mc:Choice>
  </mc:AlternateContent>
  <xr:revisionPtr revIDLastSave="0" documentId="13_ncr:1_{015232AD-7DCA-4ED9-8F9C-61DE8B58E35E}" xr6:coauthVersionLast="47" xr6:coauthVersionMax="47" xr10:uidLastSave="{00000000-0000-0000-0000-000000000000}"/>
  <bookViews>
    <workbookView xWindow="-120" yWindow="-120" windowWidth="20730" windowHeight="11160" tabRatio="841" firstSheet="3" activeTab="6" xr2:uid="{79684EA6-5723-46F3-9504-A3D667E5F95F}"/>
  </bookViews>
  <sheets>
    <sheet name="Q1_Age_Attrition" sheetId="2" r:id="rId1"/>
    <sheet name="Q2_Commute_Attrition" sheetId="3" r:id="rId2"/>
    <sheet name="Q3_Performance_Tenure_Attrition" sheetId="4" r:id="rId3"/>
    <sheet name="Q4_Performance_Salary_Attrition" sheetId="5" r:id="rId4"/>
    <sheet name="Q5_Satisfaction_Attrition" sheetId="7" r:id="rId5"/>
    <sheet name="WA_Fn-UseC_-HR-Employee-Attriti" sheetId="1" r:id="rId6"/>
    <sheet name="DashBoard" sheetId="13" r:id="rId7"/>
  </sheets>
  <definedNames>
    <definedName name="Slicer_BusinessTravel">#N/A</definedName>
    <definedName name="Slicer_BusinessTravel1">#N/A</definedName>
    <definedName name="Slicer_Department">#N/A</definedName>
    <definedName name="Slicer_Department1">#N/A</definedName>
    <definedName name="Slicer_Gender">#N/A</definedName>
    <definedName name="Slicer_Gende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3" l="1"/>
  <c r="J3" i="13" s="1"/>
  <c r="AP4" i="1" a="1"/>
  <c r="AP4" i="1" s="1"/>
  <c r="AP2" i="1" a="1"/>
  <c r="AP2" i="1" s="1"/>
  <c r="AP3" i="1" a="1"/>
  <c r="AP3" i="1" s="1"/>
  <c r="AP5" i="1" a="1"/>
  <c r="AP5" i="1" s="1"/>
  <c r="AP6" i="1" a="1"/>
  <c r="AP6" i="1" s="1"/>
  <c r="AP7" i="1" a="1"/>
  <c r="AP7" i="1" s="1"/>
  <c r="AP8" i="1" a="1"/>
  <c r="AP8" i="1" s="1"/>
  <c r="AP9" i="1" a="1"/>
  <c r="AP9" i="1" s="1"/>
  <c r="AP10" i="1" a="1"/>
  <c r="AP10" i="1" s="1"/>
  <c r="AP11" i="1" a="1"/>
  <c r="AP11" i="1" s="1"/>
  <c r="AP12" i="1" a="1"/>
  <c r="AP12" i="1" s="1"/>
  <c r="AP13" i="1" a="1"/>
  <c r="AP13" i="1" s="1"/>
  <c r="AP14" i="1" a="1"/>
  <c r="AP14" i="1" s="1"/>
  <c r="AP15" i="1" a="1"/>
  <c r="AP15" i="1" s="1"/>
  <c r="AP16" i="1" a="1"/>
  <c r="AP16" i="1" s="1"/>
  <c r="AP17" i="1" a="1"/>
  <c r="AP17" i="1" s="1"/>
  <c r="AP18" i="1" a="1"/>
  <c r="AP18" i="1" s="1"/>
  <c r="AP19" i="1" a="1"/>
  <c r="AP19" i="1" s="1"/>
  <c r="AP20" i="1" a="1"/>
  <c r="AP20" i="1" s="1"/>
  <c r="AP21" i="1" a="1"/>
  <c r="AP21" i="1" s="1"/>
  <c r="AP22" i="1" a="1"/>
  <c r="AP22" i="1" s="1"/>
  <c r="AP23" i="1" a="1"/>
  <c r="AP23" i="1" s="1"/>
  <c r="AP24" i="1" a="1"/>
  <c r="AP24" i="1" s="1"/>
  <c r="AP25" i="1" a="1"/>
  <c r="AP25" i="1" s="1"/>
  <c r="AP26" i="1" a="1"/>
  <c r="AP26" i="1" s="1"/>
  <c r="AP27" i="1" a="1"/>
  <c r="AP27" i="1" s="1"/>
  <c r="AP28" i="1" a="1"/>
  <c r="AP28" i="1" s="1"/>
  <c r="AP29" i="1" a="1"/>
  <c r="AP29" i="1" s="1"/>
  <c r="AP30" i="1" a="1"/>
  <c r="AP30" i="1" s="1"/>
  <c r="AP31" i="1" a="1"/>
  <c r="AP31" i="1" s="1"/>
  <c r="AP32" i="1" a="1"/>
  <c r="AP32" i="1" s="1"/>
  <c r="AP33" i="1" a="1"/>
  <c r="AP33" i="1" s="1"/>
  <c r="AP34" i="1" a="1"/>
  <c r="AP34" i="1" s="1"/>
  <c r="AP35" i="1" a="1"/>
  <c r="AP35" i="1" s="1"/>
  <c r="AP36" i="1" a="1"/>
  <c r="AP36" i="1" s="1"/>
  <c r="AP37" i="1" a="1"/>
  <c r="AP37" i="1" s="1"/>
  <c r="AP38" i="1" a="1"/>
  <c r="AP38" i="1" s="1"/>
  <c r="AP39" i="1" a="1"/>
  <c r="AP39" i="1" s="1"/>
  <c r="AP40" i="1" a="1"/>
  <c r="AP40" i="1" s="1"/>
  <c r="AP41" i="1" a="1"/>
  <c r="AP41" i="1" s="1"/>
  <c r="AP42" i="1" a="1"/>
  <c r="AP42" i="1" s="1"/>
  <c r="AP43" i="1" a="1"/>
  <c r="AP43" i="1" s="1"/>
  <c r="AP44" i="1" a="1"/>
  <c r="AP44" i="1" s="1"/>
  <c r="AP45" i="1" a="1"/>
  <c r="AP45" i="1" s="1"/>
  <c r="AP46" i="1" a="1"/>
  <c r="AP46" i="1" s="1"/>
  <c r="AP47" i="1" a="1"/>
  <c r="AP47" i="1" s="1"/>
  <c r="AP48" i="1" a="1"/>
  <c r="AP48" i="1" s="1"/>
  <c r="AP49" i="1" a="1"/>
  <c r="AP49" i="1" s="1"/>
  <c r="AP50" i="1" a="1"/>
  <c r="AP50" i="1" s="1"/>
  <c r="AP51" i="1" a="1"/>
  <c r="AP51" i="1" s="1"/>
  <c r="AP52" i="1" a="1"/>
  <c r="AP52" i="1" s="1"/>
  <c r="AP53" i="1" a="1"/>
  <c r="AP53" i="1" s="1"/>
  <c r="AP54" i="1" a="1"/>
  <c r="AP54" i="1" s="1"/>
  <c r="AP55" i="1" a="1"/>
  <c r="AP55" i="1" s="1"/>
  <c r="AP56" i="1" a="1"/>
  <c r="AP56" i="1" s="1"/>
  <c r="AP57" i="1" a="1"/>
  <c r="AP57" i="1" s="1"/>
  <c r="AP58" i="1" a="1"/>
  <c r="AP58" i="1" s="1"/>
  <c r="AP59" i="1" a="1"/>
  <c r="AP59" i="1" s="1"/>
  <c r="AP60" i="1" a="1"/>
  <c r="AP60" i="1" s="1"/>
  <c r="AP61" i="1" a="1"/>
  <c r="AP61" i="1" s="1"/>
  <c r="AP62" i="1" a="1"/>
  <c r="AP62" i="1" s="1"/>
  <c r="AP63" i="1" a="1"/>
  <c r="AP63" i="1" s="1"/>
  <c r="AP64" i="1" a="1"/>
  <c r="AP64" i="1" s="1"/>
  <c r="AP65" i="1" a="1"/>
  <c r="AP65" i="1" s="1"/>
  <c r="AP66" i="1" a="1"/>
  <c r="AP66" i="1" s="1"/>
  <c r="AP67" i="1" a="1"/>
  <c r="AP67" i="1" s="1"/>
  <c r="AP68" i="1" a="1"/>
  <c r="AP68" i="1" s="1"/>
  <c r="AP69" i="1" a="1"/>
  <c r="AP69" i="1" s="1"/>
  <c r="AP70" i="1" a="1"/>
  <c r="AP70" i="1" s="1"/>
  <c r="AP71" i="1" a="1"/>
  <c r="AP71" i="1" s="1"/>
  <c r="AP72" i="1" a="1"/>
  <c r="AP72" i="1" s="1"/>
  <c r="AP73" i="1" a="1"/>
  <c r="AP73" i="1" s="1"/>
  <c r="AP74" i="1" a="1"/>
  <c r="AP74" i="1" s="1"/>
  <c r="AP75" i="1" a="1"/>
  <c r="AP75" i="1" s="1"/>
  <c r="AP76" i="1" a="1"/>
  <c r="AP76" i="1" s="1"/>
  <c r="AP77" i="1" a="1"/>
  <c r="AP77" i="1" s="1"/>
  <c r="AP78" i="1" a="1"/>
  <c r="AP78" i="1" s="1"/>
  <c r="AP79" i="1" a="1"/>
  <c r="AP79" i="1" s="1"/>
  <c r="AP80" i="1" a="1"/>
  <c r="AP80" i="1" s="1"/>
  <c r="AP81" i="1" a="1"/>
  <c r="AP81" i="1" s="1"/>
  <c r="AP82" i="1" a="1"/>
  <c r="AP82" i="1" s="1"/>
  <c r="AP83" i="1" a="1"/>
  <c r="AP83" i="1" s="1"/>
  <c r="AP84" i="1" a="1"/>
  <c r="AP84" i="1" s="1"/>
  <c r="AP85" i="1" a="1"/>
  <c r="AP85" i="1" s="1"/>
  <c r="AP86" i="1" a="1"/>
  <c r="AP86" i="1" s="1"/>
  <c r="AP87" i="1" a="1"/>
  <c r="AP87" i="1" s="1"/>
  <c r="AP88" i="1" a="1"/>
  <c r="AP88" i="1" s="1"/>
  <c r="AP89" i="1" a="1"/>
  <c r="AP89" i="1" s="1"/>
  <c r="AP90" i="1" a="1"/>
  <c r="AP90" i="1" s="1"/>
  <c r="AP91" i="1" a="1"/>
  <c r="AP91" i="1" s="1"/>
  <c r="AP92" i="1" a="1"/>
  <c r="AP92" i="1" s="1"/>
  <c r="AP93" i="1" a="1"/>
  <c r="AP93" i="1" s="1"/>
  <c r="AP94" i="1" a="1"/>
  <c r="AP94" i="1" s="1"/>
  <c r="AP95" i="1" a="1"/>
  <c r="AP95" i="1" s="1"/>
  <c r="AP96" i="1" a="1"/>
  <c r="AP96" i="1" s="1"/>
  <c r="AP97" i="1" a="1"/>
  <c r="AP97" i="1" s="1"/>
  <c r="AP98" i="1" a="1"/>
  <c r="AP98" i="1" s="1"/>
  <c r="AP99" i="1" a="1"/>
  <c r="AP99" i="1" s="1"/>
  <c r="AP100" i="1" a="1"/>
  <c r="AP100" i="1" s="1"/>
  <c r="AP101" i="1" a="1"/>
  <c r="AP101" i="1" s="1"/>
  <c r="AP102" i="1" a="1"/>
  <c r="AP102" i="1" s="1"/>
  <c r="AP103" i="1" a="1"/>
  <c r="AP103" i="1" s="1"/>
  <c r="AP104" i="1" a="1"/>
  <c r="AP104" i="1" s="1"/>
  <c r="AP105" i="1" a="1"/>
  <c r="AP105" i="1" s="1"/>
  <c r="AP106" i="1" a="1"/>
  <c r="AP106" i="1" s="1"/>
  <c r="AP107" i="1" a="1"/>
  <c r="AP107" i="1" s="1"/>
  <c r="AP108" i="1" a="1"/>
  <c r="AP108" i="1" s="1"/>
  <c r="AP109" i="1" a="1"/>
  <c r="AP109" i="1" s="1"/>
  <c r="AP110" i="1" a="1"/>
  <c r="AP110" i="1" s="1"/>
  <c r="AP111" i="1" a="1"/>
  <c r="AP111" i="1" s="1"/>
  <c r="AP112" i="1" a="1"/>
  <c r="AP112" i="1" s="1"/>
  <c r="AP113" i="1" a="1"/>
  <c r="AP113" i="1" s="1"/>
  <c r="AP114" i="1" a="1"/>
  <c r="AP114" i="1" s="1"/>
  <c r="AP115" i="1" a="1"/>
  <c r="AP115" i="1" s="1"/>
  <c r="AP116" i="1" a="1"/>
  <c r="AP116" i="1" s="1"/>
  <c r="AP117" i="1" a="1"/>
  <c r="AP117" i="1" s="1"/>
  <c r="AP118" i="1" a="1"/>
  <c r="AP118" i="1" s="1"/>
  <c r="AP119" i="1" a="1"/>
  <c r="AP119" i="1" s="1"/>
  <c r="AP120" i="1" a="1"/>
  <c r="AP120" i="1" s="1"/>
  <c r="AP121" i="1" a="1"/>
  <c r="AP121" i="1" s="1"/>
  <c r="AP122" i="1" a="1"/>
  <c r="AP122" i="1" s="1"/>
  <c r="AP123" i="1" a="1"/>
  <c r="AP123" i="1" s="1"/>
  <c r="AP124" i="1" a="1"/>
  <c r="AP124" i="1" s="1"/>
  <c r="AP125" i="1" a="1"/>
  <c r="AP125" i="1" s="1"/>
  <c r="AP126" i="1" a="1"/>
  <c r="AP126" i="1" s="1"/>
  <c r="AP127" i="1" a="1"/>
  <c r="AP127" i="1" s="1"/>
  <c r="AP128" i="1" a="1"/>
  <c r="AP128" i="1" s="1"/>
  <c r="AP129" i="1" a="1"/>
  <c r="AP129" i="1" s="1"/>
  <c r="AP130" i="1" a="1"/>
  <c r="AP130" i="1" s="1"/>
  <c r="AP131" i="1" a="1"/>
  <c r="AP131" i="1" s="1"/>
  <c r="AP132" i="1" a="1"/>
  <c r="AP132" i="1" s="1"/>
  <c r="AP133" i="1" a="1"/>
  <c r="AP133" i="1" s="1"/>
  <c r="AP134" i="1" a="1"/>
  <c r="AP134" i="1" s="1"/>
  <c r="AP135" i="1" a="1"/>
  <c r="AP135" i="1" s="1"/>
  <c r="AP136" i="1" a="1"/>
  <c r="AP136" i="1" s="1"/>
  <c r="AP137" i="1" a="1"/>
  <c r="AP137" i="1" s="1"/>
  <c r="AP138" i="1" a="1"/>
  <c r="AP138" i="1" s="1"/>
  <c r="AP139" i="1" a="1"/>
  <c r="AP139" i="1" s="1"/>
  <c r="AP140" i="1" a="1"/>
  <c r="AP140" i="1" s="1"/>
  <c r="AP141" i="1" a="1"/>
  <c r="AP141" i="1" s="1"/>
  <c r="AP142" i="1" a="1"/>
  <c r="AP142" i="1" s="1"/>
  <c r="AP143" i="1" a="1"/>
  <c r="AP143" i="1" s="1"/>
  <c r="AP144" i="1" a="1"/>
  <c r="AP144" i="1" s="1"/>
  <c r="AP145" i="1" a="1"/>
  <c r="AP145" i="1" s="1"/>
  <c r="AP146" i="1" a="1"/>
  <c r="AP146" i="1" s="1"/>
  <c r="AP147" i="1" a="1"/>
  <c r="AP147" i="1" s="1"/>
  <c r="AP148" i="1" a="1"/>
  <c r="AP148" i="1" s="1"/>
  <c r="AP149" i="1" a="1"/>
  <c r="AP149" i="1" s="1"/>
  <c r="AP150" i="1" a="1"/>
  <c r="AP150" i="1" s="1"/>
  <c r="AP151" i="1" a="1"/>
  <c r="AP151" i="1" s="1"/>
  <c r="AP152" i="1" a="1"/>
  <c r="AP152" i="1" s="1"/>
  <c r="AP153" i="1" a="1"/>
  <c r="AP153" i="1" s="1"/>
  <c r="AP154" i="1" a="1"/>
  <c r="AP154" i="1" s="1"/>
  <c r="AP155" i="1" a="1"/>
  <c r="AP155" i="1" s="1"/>
  <c r="AP156" i="1" a="1"/>
  <c r="AP156" i="1" s="1"/>
  <c r="AP157" i="1" a="1"/>
  <c r="AP157" i="1" s="1"/>
  <c r="AP158" i="1" a="1"/>
  <c r="AP158" i="1" s="1"/>
  <c r="AP159" i="1" a="1"/>
  <c r="AP159" i="1" s="1"/>
  <c r="AP160" i="1" a="1"/>
  <c r="AP160" i="1" s="1"/>
  <c r="AP161" i="1" a="1"/>
  <c r="AP161" i="1" s="1"/>
  <c r="AP162" i="1" a="1"/>
  <c r="AP162" i="1" s="1"/>
  <c r="AP163" i="1" a="1"/>
  <c r="AP163" i="1" s="1"/>
  <c r="AP164" i="1" a="1"/>
  <c r="AP164" i="1" s="1"/>
  <c r="AP165" i="1" a="1"/>
  <c r="AP165" i="1" s="1"/>
  <c r="AP166" i="1" a="1"/>
  <c r="AP166" i="1" s="1"/>
  <c r="AP167" i="1" a="1"/>
  <c r="AP167" i="1" s="1"/>
  <c r="AP168" i="1" a="1"/>
  <c r="AP168" i="1" s="1"/>
  <c r="AP169" i="1" a="1"/>
  <c r="AP169" i="1" s="1"/>
  <c r="AP170" i="1" a="1"/>
  <c r="AP170" i="1" s="1"/>
  <c r="AP171" i="1" a="1"/>
  <c r="AP171" i="1" s="1"/>
  <c r="AP172" i="1" a="1"/>
  <c r="AP172" i="1" s="1"/>
  <c r="AP173" i="1" a="1"/>
  <c r="AP173" i="1" s="1"/>
  <c r="AP174" i="1" a="1"/>
  <c r="AP174" i="1" s="1"/>
  <c r="AP175" i="1" a="1"/>
  <c r="AP175" i="1" s="1"/>
  <c r="AP176" i="1" a="1"/>
  <c r="AP176" i="1" s="1"/>
  <c r="AP177" i="1" a="1"/>
  <c r="AP177" i="1" s="1"/>
  <c r="AP178" i="1" a="1"/>
  <c r="AP178" i="1" s="1"/>
  <c r="AP179" i="1" a="1"/>
  <c r="AP179" i="1" s="1"/>
  <c r="AP180" i="1" a="1"/>
  <c r="AP180" i="1" s="1"/>
  <c r="AP181" i="1" a="1"/>
  <c r="AP181" i="1" s="1"/>
  <c r="AP182" i="1" a="1"/>
  <c r="AP182" i="1" s="1"/>
  <c r="AP183" i="1" a="1"/>
  <c r="AP183" i="1" s="1"/>
  <c r="AP184" i="1" a="1"/>
  <c r="AP184" i="1" s="1"/>
  <c r="AP185" i="1" a="1"/>
  <c r="AP185" i="1" s="1"/>
  <c r="AP186" i="1" a="1"/>
  <c r="AP186" i="1" s="1"/>
  <c r="AP187" i="1" a="1"/>
  <c r="AP187" i="1" s="1"/>
  <c r="AP188" i="1" a="1"/>
  <c r="AP188" i="1" s="1"/>
  <c r="AP189" i="1" a="1"/>
  <c r="AP189" i="1" s="1"/>
  <c r="AP190" i="1" a="1"/>
  <c r="AP190" i="1" s="1"/>
  <c r="AP191" i="1" a="1"/>
  <c r="AP191" i="1" s="1"/>
  <c r="AP192" i="1" a="1"/>
  <c r="AP192" i="1" s="1"/>
  <c r="AP193" i="1" a="1"/>
  <c r="AP193" i="1" s="1"/>
  <c r="AP194" i="1" a="1"/>
  <c r="AP194" i="1" s="1"/>
  <c r="AP195" i="1" a="1"/>
  <c r="AP195" i="1" s="1"/>
  <c r="AP196" i="1" a="1"/>
  <c r="AP196" i="1" s="1"/>
  <c r="AP197" i="1" a="1"/>
  <c r="AP197" i="1" s="1"/>
  <c r="AP198" i="1" a="1"/>
  <c r="AP198" i="1" s="1"/>
  <c r="AP199" i="1" a="1"/>
  <c r="AP199" i="1" s="1"/>
  <c r="AP200" i="1" a="1"/>
  <c r="AP200" i="1" s="1"/>
  <c r="AP201" i="1" a="1"/>
  <c r="AP201" i="1" s="1"/>
  <c r="AP202" i="1" a="1"/>
  <c r="AP202" i="1" s="1"/>
  <c r="AP203" i="1" a="1"/>
  <c r="AP203" i="1" s="1"/>
  <c r="AP204" i="1" a="1"/>
  <c r="AP204" i="1" s="1"/>
  <c r="AP205" i="1" a="1"/>
  <c r="AP205" i="1" s="1"/>
  <c r="AP206" i="1" a="1"/>
  <c r="AP206" i="1" s="1"/>
  <c r="AP207" i="1" a="1"/>
  <c r="AP207" i="1" s="1"/>
  <c r="AP208" i="1" a="1"/>
  <c r="AP208" i="1" s="1"/>
  <c r="AP209" i="1" a="1"/>
  <c r="AP209" i="1" s="1"/>
  <c r="AP210" i="1" a="1"/>
  <c r="AP210" i="1" s="1"/>
  <c r="AP211" i="1" a="1"/>
  <c r="AP211" i="1" s="1"/>
  <c r="AP212" i="1" a="1"/>
  <c r="AP212" i="1" s="1"/>
  <c r="AP213" i="1" a="1"/>
  <c r="AP213" i="1" s="1"/>
  <c r="AP214" i="1" a="1"/>
  <c r="AP214" i="1" s="1"/>
  <c r="AP215" i="1" a="1"/>
  <c r="AP215" i="1" s="1"/>
  <c r="AP216" i="1" a="1"/>
  <c r="AP216" i="1" s="1"/>
  <c r="AP217" i="1" a="1"/>
  <c r="AP217" i="1" s="1"/>
  <c r="AP218" i="1" a="1"/>
  <c r="AP218" i="1" s="1"/>
  <c r="AP219" i="1" a="1"/>
  <c r="AP219" i="1" s="1"/>
  <c r="AP220" i="1" a="1"/>
  <c r="AP220" i="1" s="1"/>
  <c r="AP221" i="1" a="1"/>
  <c r="AP221" i="1" s="1"/>
  <c r="AP222" i="1" a="1"/>
  <c r="AP222" i="1" s="1"/>
  <c r="AP223" i="1" a="1"/>
  <c r="AP223" i="1" s="1"/>
  <c r="AP224" i="1" a="1"/>
  <c r="AP224" i="1" s="1"/>
  <c r="AP225" i="1" a="1"/>
  <c r="AP225" i="1" s="1"/>
  <c r="AP226" i="1" a="1"/>
  <c r="AP226" i="1" s="1"/>
  <c r="AP227" i="1" a="1"/>
  <c r="AP227" i="1" s="1"/>
  <c r="AP228" i="1" a="1"/>
  <c r="AP228" i="1" s="1"/>
  <c r="AP229" i="1" a="1"/>
  <c r="AP229" i="1" s="1"/>
  <c r="AP230" i="1" a="1"/>
  <c r="AP230" i="1" s="1"/>
  <c r="AP231" i="1" a="1"/>
  <c r="AP231" i="1" s="1"/>
  <c r="AP232" i="1" a="1"/>
  <c r="AP232" i="1" s="1"/>
  <c r="AP233" i="1" a="1"/>
  <c r="AP233" i="1" s="1"/>
  <c r="AP234" i="1" a="1"/>
  <c r="AP234" i="1" s="1"/>
  <c r="AP235" i="1" a="1"/>
  <c r="AP235" i="1" s="1"/>
  <c r="AP236" i="1" a="1"/>
  <c r="AP236" i="1" s="1"/>
  <c r="AP237" i="1" a="1"/>
  <c r="AP237" i="1" s="1"/>
  <c r="AP238" i="1" a="1"/>
  <c r="AP238" i="1" s="1"/>
  <c r="AP239" i="1" a="1"/>
  <c r="AP239" i="1" s="1"/>
  <c r="AP240" i="1" a="1"/>
  <c r="AP240" i="1" s="1"/>
  <c r="AP241" i="1" a="1"/>
  <c r="AP241" i="1" s="1"/>
  <c r="AP242" i="1" a="1"/>
  <c r="AP242" i="1" s="1"/>
  <c r="AP243" i="1" a="1"/>
  <c r="AP243" i="1" s="1"/>
  <c r="AP244" i="1" a="1"/>
  <c r="AP244" i="1" s="1"/>
  <c r="AP245" i="1" a="1"/>
  <c r="AP245" i="1" s="1"/>
  <c r="AP246" i="1" a="1"/>
  <c r="AP246" i="1" s="1"/>
  <c r="AP247" i="1" a="1"/>
  <c r="AP247" i="1" s="1"/>
  <c r="AP248" i="1" a="1"/>
  <c r="AP248" i="1" s="1"/>
  <c r="AP249" i="1" a="1"/>
  <c r="AP249" i="1" s="1"/>
  <c r="AP250" i="1" a="1"/>
  <c r="AP250" i="1" s="1"/>
  <c r="AP251" i="1" a="1"/>
  <c r="AP251" i="1" s="1"/>
  <c r="AP252" i="1" a="1"/>
  <c r="AP252" i="1" s="1"/>
  <c r="AP253" i="1" a="1"/>
  <c r="AP253" i="1" s="1"/>
  <c r="AP254" i="1" a="1"/>
  <c r="AP254" i="1" s="1"/>
  <c r="AP255" i="1" a="1"/>
  <c r="AP255" i="1" s="1"/>
  <c r="AP256" i="1" a="1"/>
  <c r="AP256" i="1" s="1"/>
  <c r="AP257" i="1" a="1"/>
  <c r="AP257" i="1" s="1"/>
  <c r="AP258" i="1" a="1"/>
  <c r="AP258" i="1" s="1"/>
  <c r="AP259" i="1" a="1"/>
  <c r="AP259" i="1" s="1"/>
  <c r="AP260" i="1" a="1"/>
  <c r="AP260" i="1" s="1"/>
  <c r="AP261" i="1" a="1"/>
  <c r="AP261" i="1" s="1"/>
  <c r="AP262" i="1" a="1"/>
  <c r="AP262" i="1" s="1"/>
  <c r="AP263" i="1" a="1"/>
  <c r="AP263" i="1" s="1"/>
  <c r="AP264" i="1" a="1"/>
  <c r="AP264" i="1" s="1"/>
  <c r="AP265" i="1" a="1"/>
  <c r="AP265" i="1" s="1"/>
  <c r="AP266" i="1" a="1"/>
  <c r="AP266" i="1" s="1"/>
  <c r="AP267" i="1" a="1"/>
  <c r="AP267" i="1" s="1"/>
  <c r="AP268" i="1" a="1"/>
  <c r="AP268" i="1" s="1"/>
  <c r="AP269" i="1" a="1"/>
  <c r="AP269" i="1" s="1"/>
  <c r="AP270" i="1" a="1"/>
  <c r="AP270" i="1" s="1"/>
  <c r="AP271" i="1" a="1"/>
  <c r="AP271" i="1" s="1"/>
  <c r="AP272" i="1" a="1"/>
  <c r="AP272" i="1" s="1"/>
  <c r="AP273" i="1" a="1"/>
  <c r="AP273" i="1" s="1"/>
  <c r="AP274" i="1" a="1"/>
  <c r="AP274" i="1" s="1"/>
  <c r="AP275" i="1" a="1"/>
  <c r="AP275" i="1" s="1"/>
  <c r="AP276" i="1" a="1"/>
  <c r="AP276" i="1" s="1"/>
  <c r="AP277" i="1" a="1"/>
  <c r="AP277" i="1" s="1"/>
  <c r="AP278" i="1" a="1"/>
  <c r="AP278" i="1" s="1"/>
  <c r="AP279" i="1" a="1"/>
  <c r="AP279" i="1" s="1"/>
  <c r="AP280" i="1" a="1"/>
  <c r="AP280" i="1" s="1"/>
  <c r="AP281" i="1" a="1"/>
  <c r="AP281" i="1" s="1"/>
  <c r="AP282" i="1" a="1"/>
  <c r="AP282" i="1" s="1"/>
  <c r="AP283" i="1" a="1"/>
  <c r="AP283" i="1" s="1"/>
  <c r="AP284" i="1" a="1"/>
  <c r="AP284" i="1" s="1"/>
  <c r="AP285" i="1" a="1"/>
  <c r="AP285" i="1" s="1"/>
  <c r="AP286" i="1" a="1"/>
  <c r="AP286" i="1" s="1"/>
  <c r="AP287" i="1" a="1"/>
  <c r="AP287" i="1" s="1"/>
  <c r="AP288" i="1" a="1"/>
  <c r="AP288" i="1" s="1"/>
  <c r="AP289" i="1" a="1"/>
  <c r="AP289" i="1" s="1"/>
  <c r="AP290" i="1" a="1"/>
  <c r="AP290" i="1" s="1"/>
  <c r="AP291" i="1" a="1"/>
  <c r="AP291" i="1" s="1"/>
  <c r="AP292" i="1" a="1"/>
  <c r="AP292" i="1" s="1"/>
  <c r="AP293" i="1" a="1"/>
  <c r="AP293" i="1" s="1"/>
  <c r="AP294" i="1" a="1"/>
  <c r="AP294" i="1" s="1"/>
  <c r="AP295" i="1" a="1"/>
  <c r="AP295" i="1" s="1"/>
  <c r="AP296" i="1" a="1"/>
  <c r="AP296" i="1" s="1"/>
  <c r="AP297" i="1" a="1"/>
  <c r="AP297" i="1" s="1"/>
  <c r="AP298" i="1" a="1"/>
  <c r="AP298" i="1" s="1"/>
  <c r="AP299" i="1" a="1"/>
  <c r="AP299" i="1" s="1"/>
  <c r="AP300" i="1" a="1"/>
  <c r="AP300" i="1" s="1"/>
  <c r="AP301" i="1" a="1"/>
  <c r="AP301" i="1" s="1"/>
  <c r="AP302" i="1" a="1"/>
  <c r="AP302" i="1" s="1"/>
  <c r="AP303" i="1" a="1"/>
  <c r="AP303" i="1" s="1"/>
  <c r="AP304" i="1" a="1"/>
  <c r="AP304" i="1" s="1"/>
  <c r="AP305" i="1" a="1"/>
  <c r="AP305" i="1" s="1"/>
  <c r="AP306" i="1" a="1"/>
  <c r="AP306" i="1" s="1"/>
  <c r="AP307" i="1" a="1"/>
  <c r="AP307" i="1" s="1"/>
  <c r="AP308" i="1" a="1"/>
  <c r="AP308" i="1" s="1"/>
  <c r="AP309" i="1" a="1"/>
  <c r="AP309" i="1" s="1"/>
  <c r="AP310" i="1" a="1"/>
  <c r="AP310" i="1" s="1"/>
  <c r="AP311" i="1" a="1"/>
  <c r="AP311" i="1" s="1"/>
  <c r="AP312" i="1" a="1"/>
  <c r="AP312" i="1" s="1"/>
  <c r="AP313" i="1" a="1"/>
  <c r="AP313" i="1" s="1"/>
  <c r="AP314" i="1" a="1"/>
  <c r="AP314" i="1" s="1"/>
  <c r="AP315" i="1" a="1"/>
  <c r="AP315" i="1" s="1"/>
  <c r="AP316" i="1" a="1"/>
  <c r="AP316" i="1" s="1"/>
  <c r="AP317" i="1" a="1"/>
  <c r="AP317" i="1" s="1"/>
  <c r="AP318" i="1" a="1"/>
  <c r="AP318" i="1" s="1"/>
  <c r="AP319" i="1" a="1"/>
  <c r="AP319" i="1" s="1"/>
  <c r="AP320" i="1" a="1"/>
  <c r="AP320" i="1" s="1"/>
  <c r="AP321" i="1" a="1"/>
  <c r="AP321" i="1" s="1"/>
  <c r="AP322" i="1" a="1"/>
  <c r="AP322" i="1" s="1"/>
  <c r="AP323" i="1" a="1"/>
  <c r="AP323" i="1" s="1"/>
  <c r="AP324" i="1" a="1"/>
  <c r="AP324" i="1" s="1"/>
  <c r="AP325" i="1" a="1"/>
  <c r="AP325" i="1" s="1"/>
  <c r="AP326" i="1" a="1"/>
  <c r="AP326" i="1" s="1"/>
  <c r="AP327" i="1" a="1"/>
  <c r="AP327" i="1" s="1"/>
  <c r="AP328" i="1" a="1"/>
  <c r="AP328" i="1" s="1"/>
  <c r="AP329" i="1" a="1"/>
  <c r="AP329" i="1" s="1"/>
  <c r="AP330" i="1" a="1"/>
  <c r="AP330" i="1" s="1"/>
  <c r="AP331" i="1" a="1"/>
  <c r="AP331" i="1" s="1"/>
  <c r="AP332" i="1" a="1"/>
  <c r="AP332" i="1" s="1"/>
  <c r="AP333" i="1" a="1"/>
  <c r="AP333" i="1" s="1"/>
  <c r="AP334" i="1" a="1"/>
  <c r="AP334" i="1" s="1"/>
  <c r="AP335" i="1" a="1"/>
  <c r="AP335" i="1" s="1"/>
  <c r="AP336" i="1" a="1"/>
  <c r="AP336" i="1" s="1"/>
  <c r="AP337" i="1" a="1"/>
  <c r="AP337" i="1" s="1"/>
  <c r="AP338" i="1" a="1"/>
  <c r="AP338" i="1" s="1"/>
  <c r="AP339" i="1" a="1"/>
  <c r="AP339" i="1" s="1"/>
  <c r="AP340" i="1" a="1"/>
  <c r="AP340" i="1" s="1"/>
  <c r="AP341" i="1" a="1"/>
  <c r="AP341" i="1" s="1"/>
  <c r="AP342" i="1" a="1"/>
  <c r="AP342" i="1" s="1"/>
  <c r="AP343" i="1" a="1"/>
  <c r="AP343" i="1" s="1"/>
  <c r="AP344" i="1" a="1"/>
  <c r="AP344" i="1" s="1"/>
  <c r="AP345" i="1" a="1"/>
  <c r="AP345" i="1" s="1"/>
  <c r="AP346" i="1" a="1"/>
  <c r="AP346" i="1" s="1"/>
  <c r="AP347" i="1" a="1"/>
  <c r="AP347" i="1" s="1"/>
  <c r="AP348" i="1" a="1"/>
  <c r="AP348" i="1" s="1"/>
  <c r="AP349" i="1" a="1"/>
  <c r="AP349" i="1" s="1"/>
  <c r="AP350" i="1" a="1"/>
  <c r="AP350" i="1" s="1"/>
  <c r="AP351" i="1" a="1"/>
  <c r="AP351" i="1" s="1"/>
  <c r="AP352" i="1" a="1"/>
  <c r="AP352" i="1" s="1"/>
  <c r="AP353" i="1" a="1"/>
  <c r="AP353" i="1" s="1"/>
  <c r="AP354" i="1" a="1"/>
  <c r="AP354" i="1" s="1"/>
  <c r="AP355" i="1" a="1"/>
  <c r="AP355" i="1" s="1"/>
  <c r="AP356" i="1" a="1"/>
  <c r="AP356" i="1" s="1"/>
  <c r="AP357" i="1" a="1"/>
  <c r="AP357" i="1" s="1"/>
  <c r="AP358" i="1" a="1"/>
  <c r="AP358" i="1" s="1"/>
  <c r="AP359" i="1" a="1"/>
  <c r="AP359" i="1" s="1"/>
  <c r="AP360" i="1" a="1"/>
  <c r="AP360" i="1" s="1"/>
  <c r="AP361" i="1" a="1"/>
  <c r="AP361" i="1" s="1"/>
  <c r="AP362" i="1" a="1"/>
  <c r="AP362" i="1" s="1"/>
  <c r="AP363" i="1" a="1"/>
  <c r="AP363" i="1" s="1"/>
  <c r="AP364" i="1" a="1"/>
  <c r="AP364" i="1" s="1"/>
  <c r="AP365" i="1" a="1"/>
  <c r="AP365" i="1" s="1"/>
  <c r="AP366" i="1" a="1"/>
  <c r="AP366" i="1" s="1"/>
  <c r="AP367" i="1" a="1"/>
  <c r="AP367" i="1" s="1"/>
  <c r="AP368" i="1" a="1"/>
  <c r="AP368" i="1" s="1"/>
  <c r="AP369" i="1" a="1"/>
  <c r="AP369" i="1" s="1"/>
  <c r="AP370" i="1" a="1"/>
  <c r="AP370" i="1" s="1"/>
  <c r="AP371" i="1" a="1"/>
  <c r="AP371" i="1" s="1"/>
  <c r="AP372" i="1" a="1"/>
  <c r="AP372" i="1" s="1"/>
  <c r="AP373" i="1" a="1"/>
  <c r="AP373" i="1" s="1"/>
  <c r="AP374" i="1" a="1"/>
  <c r="AP374" i="1" s="1"/>
  <c r="AP375" i="1" a="1"/>
  <c r="AP375" i="1" s="1"/>
  <c r="AP376" i="1" a="1"/>
  <c r="AP376" i="1" s="1"/>
  <c r="AP377" i="1" a="1"/>
  <c r="AP377" i="1" s="1"/>
  <c r="AP378" i="1" a="1"/>
  <c r="AP378" i="1" s="1"/>
  <c r="AP379" i="1" a="1"/>
  <c r="AP379" i="1" s="1"/>
  <c r="AP380" i="1" a="1"/>
  <c r="AP380" i="1" s="1"/>
  <c r="AP381" i="1" a="1"/>
  <c r="AP381" i="1" s="1"/>
  <c r="AP382" i="1" a="1"/>
  <c r="AP382" i="1" s="1"/>
  <c r="AP383" i="1" a="1"/>
  <c r="AP383" i="1" s="1"/>
  <c r="AP384" i="1" a="1"/>
  <c r="AP384" i="1" s="1"/>
  <c r="AP385" i="1" a="1"/>
  <c r="AP385" i="1" s="1"/>
  <c r="AP386" i="1" a="1"/>
  <c r="AP386" i="1" s="1"/>
  <c r="AP387" i="1" a="1"/>
  <c r="AP387" i="1" s="1"/>
  <c r="AP388" i="1" a="1"/>
  <c r="AP388" i="1" s="1"/>
  <c r="AP389" i="1" a="1"/>
  <c r="AP389" i="1" s="1"/>
  <c r="AP390" i="1" a="1"/>
  <c r="AP390" i="1" s="1"/>
  <c r="AP391" i="1" a="1"/>
  <c r="AP391" i="1" s="1"/>
  <c r="AP392" i="1" a="1"/>
  <c r="AP392" i="1" s="1"/>
  <c r="AP393" i="1" a="1"/>
  <c r="AP393" i="1" s="1"/>
  <c r="AP394" i="1" a="1"/>
  <c r="AP394" i="1" s="1"/>
  <c r="AP395" i="1" a="1"/>
  <c r="AP395" i="1" s="1"/>
  <c r="AP396" i="1" a="1"/>
  <c r="AP396" i="1" s="1"/>
  <c r="AP397" i="1" a="1"/>
  <c r="AP397" i="1" s="1"/>
  <c r="AP398" i="1" a="1"/>
  <c r="AP398" i="1" s="1"/>
  <c r="AP399" i="1" a="1"/>
  <c r="AP399" i="1" s="1"/>
  <c r="AP400" i="1" a="1"/>
  <c r="AP400" i="1" s="1"/>
  <c r="AP401" i="1" a="1"/>
  <c r="AP401" i="1" s="1"/>
  <c r="AP402" i="1" a="1"/>
  <c r="AP402" i="1" s="1"/>
  <c r="AP403" i="1" a="1"/>
  <c r="AP403" i="1" s="1"/>
  <c r="AP404" i="1" a="1"/>
  <c r="AP404" i="1" s="1"/>
  <c r="AP405" i="1" a="1"/>
  <c r="AP405" i="1" s="1"/>
  <c r="AP406" i="1" a="1"/>
  <c r="AP406" i="1" s="1"/>
  <c r="AP407" i="1" a="1"/>
  <c r="AP407" i="1" s="1"/>
  <c r="AP408" i="1" a="1"/>
  <c r="AP408" i="1" s="1"/>
  <c r="AP409" i="1" a="1"/>
  <c r="AP409" i="1" s="1"/>
  <c r="AP410" i="1" a="1"/>
  <c r="AP410" i="1" s="1"/>
  <c r="AP411" i="1" a="1"/>
  <c r="AP411" i="1" s="1"/>
  <c r="AP412" i="1" a="1"/>
  <c r="AP412" i="1" s="1"/>
  <c r="AP413" i="1" a="1"/>
  <c r="AP413" i="1" s="1"/>
  <c r="AP414" i="1" a="1"/>
  <c r="AP414" i="1" s="1"/>
  <c r="AP415" i="1" a="1"/>
  <c r="AP415" i="1" s="1"/>
  <c r="AP416" i="1" a="1"/>
  <c r="AP416" i="1" s="1"/>
  <c r="AP417" i="1" a="1"/>
  <c r="AP417" i="1" s="1"/>
  <c r="AP418" i="1" a="1"/>
  <c r="AP418" i="1" s="1"/>
  <c r="AP419" i="1" a="1"/>
  <c r="AP419" i="1" s="1"/>
  <c r="AP420" i="1" a="1"/>
  <c r="AP420" i="1" s="1"/>
  <c r="AP421" i="1" a="1"/>
  <c r="AP421" i="1" s="1"/>
  <c r="AP422" i="1" a="1"/>
  <c r="AP422" i="1" s="1"/>
  <c r="AP423" i="1" a="1"/>
  <c r="AP423" i="1" s="1"/>
  <c r="AP424" i="1" a="1"/>
  <c r="AP424" i="1" s="1"/>
  <c r="AP425" i="1" a="1"/>
  <c r="AP425" i="1" s="1"/>
  <c r="AP426" i="1" a="1"/>
  <c r="AP426" i="1" s="1"/>
  <c r="AP427" i="1" a="1"/>
  <c r="AP427" i="1" s="1"/>
  <c r="AP428" i="1" a="1"/>
  <c r="AP428" i="1" s="1"/>
  <c r="AP429" i="1" a="1"/>
  <c r="AP429" i="1" s="1"/>
  <c r="AP430" i="1" a="1"/>
  <c r="AP430" i="1" s="1"/>
  <c r="AP431" i="1" a="1"/>
  <c r="AP431" i="1" s="1"/>
  <c r="AP432" i="1" a="1"/>
  <c r="AP432" i="1" s="1"/>
  <c r="AP433" i="1" a="1"/>
  <c r="AP433" i="1" s="1"/>
  <c r="AP434" i="1" a="1"/>
  <c r="AP434" i="1" s="1"/>
  <c r="AP435" i="1" a="1"/>
  <c r="AP435" i="1" s="1"/>
  <c r="AP436" i="1" a="1"/>
  <c r="AP436" i="1" s="1"/>
  <c r="AP437" i="1" a="1"/>
  <c r="AP437" i="1" s="1"/>
  <c r="AP438" i="1" a="1"/>
  <c r="AP438" i="1" s="1"/>
  <c r="AP439" i="1" a="1"/>
  <c r="AP439" i="1" s="1"/>
  <c r="AP440" i="1" a="1"/>
  <c r="AP440" i="1" s="1"/>
  <c r="AP441" i="1" a="1"/>
  <c r="AP441" i="1" s="1"/>
  <c r="AP442" i="1" a="1"/>
  <c r="AP442" i="1" s="1"/>
  <c r="AP443" i="1" a="1"/>
  <c r="AP443" i="1" s="1"/>
  <c r="AP444" i="1" a="1"/>
  <c r="AP444" i="1" s="1"/>
  <c r="AP445" i="1" a="1"/>
  <c r="AP445" i="1" s="1"/>
  <c r="AP446" i="1" a="1"/>
  <c r="AP446" i="1" s="1"/>
  <c r="AP447" i="1" a="1"/>
  <c r="AP447" i="1" s="1"/>
  <c r="AP448" i="1" a="1"/>
  <c r="AP448" i="1" s="1"/>
  <c r="AP449" i="1" a="1"/>
  <c r="AP449" i="1" s="1"/>
  <c r="AP450" i="1" a="1"/>
  <c r="AP450" i="1" s="1"/>
  <c r="AP451" i="1" a="1"/>
  <c r="AP451" i="1" s="1"/>
  <c r="AP452" i="1" a="1"/>
  <c r="AP452" i="1" s="1"/>
  <c r="AP453" i="1" a="1"/>
  <c r="AP453" i="1" s="1"/>
  <c r="AP454" i="1" a="1"/>
  <c r="AP454" i="1" s="1"/>
  <c r="AP455" i="1" a="1"/>
  <c r="AP455" i="1" s="1"/>
  <c r="AP456" i="1" a="1"/>
  <c r="AP456" i="1" s="1"/>
  <c r="AP457" i="1" a="1"/>
  <c r="AP457" i="1" s="1"/>
  <c r="AP458" i="1" a="1"/>
  <c r="AP458" i="1" s="1"/>
  <c r="AP459" i="1" a="1"/>
  <c r="AP459" i="1" s="1"/>
  <c r="AP460" i="1" a="1"/>
  <c r="AP460" i="1" s="1"/>
  <c r="AP461" i="1" a="1"/>
  <c r="AP461" i="1" s="1"/>
  <c r="AP462" i="1" a="1"/>
  <c r="AP462" i="1" s="1"/>
  <c r="AP463" i="1" a="1"/>
  <c r="AP463" i="1" s="1"/>
  <c r="AP464" i="1" a="1"/>
  <c r="AP464" i="1" s="1"/>
  <c r="AP465" i="1" a="1"/>
  <c r="AP465" i="1" s="1"/>
  <c r="AP466" i="1" a="1"/>
  <c r="AP466" i="1" s="1"/>
  <c r="AP467" i="1" a="1"/>
  <c r="AP467" i="1" s="1"/>
  <c r="AP468" i="1" a="1"/>
  <c r="AP468" i="1" s="1"/>
  <c r="AP469" i="1" a="1"/>
  <c r="AP469" i="1" s="1"/>
  <c r="AP470" i="1" a="1"/>
  <c r="AP470" i="1" s="1"/>
  <c r="AP471" i="1" a="1"/>
  <c r="AP471" i="1" s="1"/>
  <c r="AP472" i="1" a="1"/>
  <c r="AP472" i="1" s="1"/>
  <c r="AP473" i="1" a="1"/>
  <c r="AP473" i="1" s="1"/>
  <c r="AP474" i="1" a="1"/>
  <c r="AP474" i="1" s="1"/>
  <c r="AP475" i="1" a="1"/>
  <c r="AP475" i="1" s="1"/>
  <c r="AP476" i="1" a="1"/>
  <c r="AP476" i="1" s="1"/>
  <c r="AP477" i="1" a="1"/>
  <c r="AP477" i="1" s="1"/>
  <c r="AP478" i="1" a="1"/>
  <c r="AP478" i="1" s="1"/>
  <c r="AP479" i="1" a="1"/>
  <c r="AP479" i="1" s="1"/>
  <c r="AP480" i="1" a="1"/>
  <c r="AP480" i="1" s="1"/>
  <c r="AP481" i="1" a="1"/>
  <c r="AP481" i="1" s="1"/>
  <c r="AP482" i="1" a="1"/>
  <c r="AP482" i="1" s="1"/>
  <c r="AP483" i="1" a="1"/>
  <c r="AP483" i="1" s="1"/>
  <c r="AP484" i="1" a="1"/>
  <c r="AP484" i="1" s="1"/>
  <c r="AP485" i="1" a="1"/>
  <c r="AP485" i="1" s="1"/>
  <c r="AP486" i="1" a="1"/>
  <c r="AP486" i="1" s="1"/>
  <c r="AP487" i="1" a="1"/>
  <c r="AP487" i="1" s="1"/>
  <c r="AP488" i="1" a="1"/>
  <c r="AP488" i="1" s="1"/>
  <c r="AP489" i="1" a="1"/>
  <c r="AP489" i="1" s="1"/>
  <c r="AP490" i="1" a="1"/>
  <c r="AP490" i="1" s="1"/>
  <c r="AP491" i="1" a="1"/>
  <c r="AP491" i="1" s="1"/>
  <c r="AP492" i="1" a="1"/>
  <c r="AP492" i="1" s="1"/>
  <c r="AP493" i="1" a="1"/>
  <c r="AP493" i="1" s="1"/>
  <c r="AP494" i="1" a="1"/>
  <c r="AP494" i="1" s="1"/>
  <c r="AP495" i="1" a="1"/>
  <c r="AP495" i="1" s="1"/>
  <c r="AP496" i="1" a="1"/>
  <c r="AP496" i="1" s="1"/>
  <c r="AP497" i="1" a="1"/>
  <c r="AP497" i="1" s="1"/>
  <c r="AP498" i="1" a="1"/>
  <c r="AP498" i="1" s="1"/>
  <c r="AP499" i="1" a="1"/>
  <c r="AP499" i="1" s="1"/>
  <c r="AP500" i="1" a="1"/>
  <c r="AP500" i="1" s="1"/>
  <c r="AP501" i="1" a="1"/>
  <c r="AP501" i="1" s="1"/>
  <c r="AP502" i="1" a="1"/>
  <c r="AP502" i="1" s="1"/>
  <c r="AP503" i="1" a="1"/>
  <c r="AP503" i="1" s="1"/>
  <c r="AP504" i="1" a="1"/>
  <c r="AP504" i="1" s="1"/>
  <c r="AP505" i="1" a="1"/>
  <c r="AP505" i="1" s="1"/>
  <c r="AP506" i="1" a="1"/>
  <c r="AP506" i="1" s="1"/>
  <c r="AP507" i="1" a="1"/>
  <c r="AP507" i="1" s="1"/>
  <c r="AP508" i="1" a="1"/>
  <c r="AP508" i="1" s="1"/>
  <c r="AP509" i="1" a="1"/>
  <c r="AP509" i="1" s="1"/>
  <c r="AP510" i="1" a="1"/>
  <c r="AP510" i="1" s="1"/>
  <c r="AP511" i="1" a="1"/>
  <c r="AP511" i="1" s="1"/>
  <c r="AP512" i="1" a="1"/>
  <c r="AP512" i="1" s="1"/>
  <c r="AP513" i="1" a="1"/>
  <c r="AP513" i="1" s="1"/>
  <c r="AP514" i="1" a="1"/>
  <c r="AP514" i="1" s="1"/>
  <c r="AP515" i="1" a="1"/>
  <c r="AP515" i="1" s="1"/>
  <c r="AP516" i="1" a="1"/>
  <c r="AP516" i="1" s="1"/>
  <c r="AP517" i="1" a="1"/>
  <c r="AP517" i="1" s="1"/>
  <c r="AP518" i="1" a="1"/>
  <c r="AP518" i="1" s="1"/>
  <c r="AP519" i="1" a="1"/>
  <c r="AP519" i="1" s="1"/>
  <c r="AP520" i="1" a="1"/>
  <c r="AP520" i="1" s="1"/>
  <c r="AP521" i="1" a="1"/>
  <c r="AP521" i="1" s="1"/>
  <c r="AP522" i="1" a="1"/>
  <c r="AP522" i="1" s="1"/>
  <c r="AP523" i="1" a="1"/>
  <c r="AP523" i="1" s="1"/>
  <c r="AP524" i="1" a="1"/>
  <c r="AP524" i="1" s="1"/>
  <c r="AP525" i="1" a="1"/>
  <c r="AP525" i="1" s="1"/>
  <c r="AP526" i="1" a="1"/>
  <c r="AP526" i="1" s="1"/>
  <c r="AP527" i="1" a="1"/>
  <c r="AP527" i="1" s="1"/>
  <c r="AP528" i="1" a="1"/>
  <c r="AP528" i="1" s="1"/>
  <c r="AP529" i="1" a="1"/>
  <c r="AP529" i="1" s="1"/>
  <c r="AP530" i="1" a="1"/>
  <c r="AP530" i="1" s="1"/>
  <c r="AP531" i="1" a="1"/>
  <c r="AP531" i="1" s="1"/>
  <c r="AP532" i="1" a="1"/>
  <c r="AP532" i="1" s="1"/>
  <c r="AP533" i="1" a="1"/>
  <c r="AP533" i="1" s="1"/>
  <c r="AP534" i="1" a="1"/>
  <c r="AP534" i="1" s="1"/>
  <c r="AP535" i="1" a="1"/>
  <c r="AP535" i="1" s="1"/>
  <c r="AP536" i="1" a="1"/>
  <c r="AP536" i="1" s="1"/>
  <c r="AP537" i="1" a="1"/>
  <c r="AP537" i="1" s="1"/>
  <c r="AP538" i="1" a="1"/>
  <c r="AP538" i="1" s="1"/>
  <c r="AP539" i="1" a="1"/>
  <c r="AP539" i="1" s="1"/>
  <c r="AP540" i="1" a="1"/>
  <c r="AP540" i="1" s="1"/>
  <c r="AP541" i="1" a="1"/>
  <c r="AP541" i="1" s="1"/>
  <c r="AP542" i="1" a="1"/>
  <c r="AP542" i="1" s="1"/>
  <c r="AP543" i="1" a="1"/>
  <c r="AP543" i="1" s="1"/>
  <c r="AP544" i="1" a="1"/>
  <c r="AP544" i="1" s="1"/>
  <c r="AP545" i="1" a="1"/>
  <c r="AP545" i="1" s="1"/>
  <c r="AP546" i="1" a="1"/>
  <c r="AP546" i="1" s="1"/>
  <c r="AP547" i="1" a="1"/>
  <c r="AP547" i="1" s="1"/>
  <c r="AP548" i="1" a="1"/>
  <c r="AP548" i="1" s="1"/>
  <c r="AP549" i="1" a="1"/>
  <c r="AP549" i="1" s="1"/>
  <c r="AP550" i="1" a="1"/>
  <c r="AP550" i="1" s="1"/>
  <c r="AP551" i="1" a="1"/>
  <c r="AP551" i="1" s="1"/>
  <c r="AP552" i="1" a="1"/>
  <c r="AP552" i="1" s="1"/>
  <c r="AP553" i="1" a="1"/>
  <c r="AP553" i="1" s="1"/>
  <c r="AP554" i="1" a="1"/>
  <c r="AP554" i="1" s="1"/>
  <c r="AP555" i="1" a="1"/>
  <c r="AP555" i="1" s="1"/>
  <c r="AP556" i="1" a="1"/>
  <c r="AP556" i="1" s="1"/>
  <c r="AP557" i="1" a="1"/>
  <c r="AP557" i="1" s="1"/>
  <c r="AP558" i="1" a="1"/>
  <c r="AP558" i="1" s="1"/>
  <c r="AP559" i="1" a="1"/>
  <c r="AP559" i="1" s="1"/>
  <c r="AP560" i="1" a="1"/>
  <c r="AP560" i="1" s="1"/>
  <c r="AP561" i="1" a="1"/>
  <c r="AP561" i="1" s="1"/>
  <c r="AP562" i="1" a="1"/>
  <c r="AP562" i="1" s="1"/>
  <c r="AP563" i="1" a="1"/>
  <c r="AP563" i="1" s="1"/>
  <c r="AP564" i="1" a="1"/>
  <c r="AP564" i="1" s="1"/>
  <c r="AP565" i="1" a="1"/>
  <c r="AP565" i="1" s="1"/>
  <c r="AP566" i="1" a="1"/>
  <c r="AP566" i="1" s="1"/>
  <c r="AP567" i="1" a="1"/>
  <c r="AP567" i="1" s="1"/>
  <c r="AP568" i="1" a="1"/>
  <c r="AP568" i="1" s="1"/>
  <c r="AP569" i="1" a="1"/>
  <c r="AP569" i="1" s="1"/>
  <c r="AP570" i="1" a="1"/>
  <c r="AP570" i="1" s="1"/>
  <c r="AP571" i="1" a="1"/>
  <c r="AP571" i="1" s="1"/>
  <c r="AP572" i="1" a="1"/>
  <c r="AP572" i="1" s="1"/>
  <c r="AP573" i="1" a="1"/>
  <c r="AP573" i="1" s="1"/>
  <c r="AP574" i="1" a="1"/>
  <c r="AP574" i="1" s="1"/>
  <c r="AP575" i="1" a="1"/>
  <c r="AP575" i="1" s="1"/>
  <c r="AP576" i="1" a="1"/>
  <c r="AP576" i="1" s="1"/>
  <c r="AP577" i="1" a="1"/>
  <c r="AP577" i="1" s="1"/>
  <c r="AP578" i="1" a="1"/>
  <c r="AP578" i="1" s="1"/>
  <c r="AP579" i="1" a="1"/>
  <c r="AP579" i="1" s="1"/>
  <c r="AP580" i="1" a="1"/>
  <c r="AP580" i="1" s="1"/>
  <c r="AP581" i="1" a="1"/>
  <c r="AP581" i="1" s="1"/>
  <c r="AP582" i="1" a="1"/>
  <c r="AP582" i="1" s="1"/>
  <c r="AP583" i="1" a="1"/>
  <c r="AP583" i="1" s="1"/>
  <c r="AP584" i="1" a="1"/>
  <c r="AP584" i="1" s="1"/>
  <c r="AP585" i="1" a="1"/>
  <c r="AP585" i="1" s="1"/>
  <c r="AP586" i="1" a="1"/>
  <c r="AP586" i="1" s="1"/>
  <c r="AP587" i="1" a="1"/>
  <c r="AP587" i="1" s="1"/>
  <c r="AP588" i="1" a="1"/>
  <c r="AP588" i="1" s="1"/>
  <c r="AP589" i="1" a="1"/>
  <c r="AP589" i="1" s="1"/>
  <c r="AP590" i="1" a="1"/>
  <c r="AP590" i="1" s="1"/>
  <c r="AP591" i="1" a="1"/>
  <c r="AP591" i="1" s="1"/>
  <c r="AP592" i="1" a="1"/>
  <c r="AP592" i="1" s="1"/>
  <c r="AP593" i="1" a="1"/>
  <c r="AP593" i="1" s="1"/>
  <c r="AP594" i="1" a="1"/>
  <c r="AP594" i="1" s="1"/>
  <c r="AP595" i="1" a="1"/>
  <c r="AP595" i="1" s="1"/>
  <c r="AP596" i="1" a="1"/>
  <c r="AP596" i="1" s="1"/>
  <c r="AP597" i="1" a="1"/>
  <c r="AP597" i="1" s="1"/>
  <c r="AP598" i="1" a="1"/>
  <c r="AP598" i="1" s="1"/>
  <c r="AP599" i="1" a="1"/>
  <c r="AP599" i="1" s="1"/>
  <c r="AP600" i="1" a="1"/>
  <c r="AP600" i="1" s="1"/>
  <c r="AP601" i="1" a="1"/>
  <c r="AP601" i="1" s="1"/>
  <c r="AP602" i="1" a="1"/>
  <c r="AP602" i="1" s="1"/>
  <c r="AP603" i="1" a="1"/>
  <c r="AP603" i="1" s="1"/>
  <c r="AP604" i="1" a="1"/>
  <c r="AP604" i="1" s="1"/>
  <c r="AP605" i="1" a="1"/>
  <c r="AP605" i="1" s="1"/>
  <c r="AP606" i="1" a="1"/>
  <c r="AP606" i="1" s="1"/>
  <c r="AP607" i="1" a="1"/>
  <c r="AP607" i="1" s="1"/>
  <c r="AP608" i="1" a="1"/>
  <c r="AP608" i="1" s="1"/>
  <c r="AP609" i="1" a="1"/>
  <c r="AP609" i="1" s="1"/>
  <c r="AP610" i="1" a="1"/>
  <c r="AP610" i="1" s="1"/>
  <c r="AP611" i="1" a="1"/>
  <c r="AP611" i="1" s="1"/>
  <c r="AP612" i="1" a="1"/>
  <c r="AP612" i="1" s="1"/>
  <c r="AP613" i="1" a="1"/>
  <c r="AP613" i="1" s="1"/>
  <c r="AP614" i="1" a="1"/>
  <c r="AP614" i="1" s="1"/>
  <c r="AP615" i="1" a="1"/>
  <c r="AP615" i="1" s="1"/>
  <c r="AP616" i="1" a="1"/>
  <c r="AP616" i="1" s="1"/>
  <c r="AP617" i="1" a="1"/>
  <c r="AP617" i="1" s="1"/>
  <c r="AP618" i="1" a="1"/>
  <c r="AP618" i="1" s="1"/>
  <c r="AP619" i="1" a="1"/>
  <c r="AP619" i="1" s="1"/>
  <c r="AP620" i="1" a="1"/>
  <c r="AP620" i="1" s="1"/>
  <c r="AP621" i="1" a="1"/>
  <c r="AP621" i="1" s="1"/>
  <c r="AP622" i="1" a="1"/>
  <c r="AP622" i="1" s="1"/>
  <c r="AP623" i="1" a="1"/>
  <c r="AP623" i="1" s="1"/>
  <c r="AP624" i="1" a="1"/>
  <c r="AP624" i="1" s="1"/>
  <c r="AP625" i="1" a="1"/>
  <c r="AP625" i="1" s="1"/>
  <c r="AP626" i="1" a="1"/>
  <c r="AP626" i="1" s="1"/>
  <c r="AP627" i="1" a="1"/>
  <c r="AP627" i="1" s="1"/>
  <c r="AP628" i="1" a="1"/>
  <c r="AP628" i="1" s="1"/>
  <c r="AP629" i="1" a="1"/>
  <c r="AP629" i="1" s="1"/>
  <c r="AP630" i="1" a="1"/>
  <c r="AP630" i="1" s="1"/>
  <c r="AP631" i="1" a="1"/>
  <c r="AP631" i="1" s="1"/>
  <c r="AP632" i="1" a="1"/>
  <c r="AP632" i="1" s="1"/>
  <c r="AP633" i="1" a="1"/>
  <c r="AP633" i="1" s="1"/>
  <c r="AP634" i="1" a="1"/>
  <c r="AP634" i="1" s="1"/>
  <c r="AP635" i="1" a="1"/>
  <c r="AP635" i="1" s="1"/>
  <c r="AP636" i="1" a="1"/>
  <c r="AP636" i="1" s="1"/>
  <c r="AP637" i="1" a="1"/>
  <c r="AP637" i="1" s="1"/>
  <c r="AP638" i="1" a="1"/>
  <c r="AP638" i="1" s="1"/>
  <c r="AP639" i="1" a="1"/>
  <c r="AP639" i="1" s="1"/>
  <c r="AP640" i="1" a="1"/>
  <c r="AP640" i="1" s="1"/>
  <c r="AP641" i="1" a="1"/>
  <c r="AP641" i="1" s="1"/>
  <c r="AP642" i="1" a="1"/>
  <c r="AP642" i="1" s="1"/>
  <c r="AP643" i="1" a="1"/>
  <c r="AP643" i="1" s="1"/>
  <c r="AP644" i="1" a="1"/>
  <c r="AP644" i="1" s="1"/>
  <c r="AP645" i="1" a="1"/>
  <c r="AP645" i="1" s="1"/>
  <c r="AP646" i="1" a="1"/>
  <c r="AP646" i="1" s="1"/>
  <c r="AP647" i="1" a="1"/>
  <c r="AP647" i="1" s="1"/>
  <c r="AP648" i="1" a="1"/>
  <c r="AP648" i="1" s="1"/>
  <c r="AP649" i="1" a="1"/>
  <c r="AP649" i="1" s="1"/>
  <c r="AP650" i="1" a="1"/>
  <c r="AP650" i="1" s="1"/>
  <c r="AP651" i="1" a="1"/>
  <c r="AP651" i="1" s="1"/>
  <c r="AP652" i="1" a="1"/>
  <c r="AP652" i="1" s="1"/>
  <c r="AP653" i="1" a="1"/>
  <c r="AP653" i="1" s="1"/>
  <c r="AP654" i="1" a="1"/>
  <c r="AP654" i="1" s="1"/>
  <c r="AP655" i="1" a="1"/>
  <c r="AP655" i="1" s="1"/>
  <c r="AP656" i="1" a="1"/>
  <c r="AP656" i="1" s="1"/>
  <c r="AP657" i="1" a="1"/>
  <c r="AP657" i="1" s="1"/>
  <c r="AP658" i="1" a="1"/>
  <c r="AP658" i="1" s="1"/>
  <c r="AP659" i="1" a="1"/>
  <c r="AP659" i="1" s="1"/>
  <c r="AP660" i="1" a="1"/>
  <c r="AP660" i="1" s="1"/>
  <c r="AP661" i="1" a="1"/>
  <c r="AP661" i="1" s="1"/>
  <c r="AP662" i="1" a="1"/>
  <c r="AP662" i="1" s="1"/>
  <c r="AP663" i="1" a="1"/>
  <c r="AP663" i="1" s="1"/>
  <c r="AP664" i="1" a="1"/>
  <c r="AP664" i="1" s="1"/>
  <c r="AP665" i="1" a="1"/>
  <c r="AP665" i="1" s="1"/>
  <c r="AP666" i="1" a="1"/>
  <c r="AP666" i="1" s="1"/>
  <c r="AP667" i="1" a="1"/>
  <c r="AP667" i="1" s="1"/>
  <c r="AP668" i="1" a="1"/>
  <c r="AP668" i="1" s="1"/>
  <c r="AP669" i="1" a="1"/>
  <c r="AP669" i="1" s="1"/>
  <c r="AP670" i="1" a="1"/>
  <c r="AP670" i="1" s="1"/>
  <c r="AP671" i="1" a="1"/>
  <c r="AP671" i="1" s="1"/>
  <c r="AP672" i="1" a="1"/>
  <c r="AP672" i="1" s="1"/>
  <c r="AP673" i="1" a="1"/>
  <c r="AP673" i="1" s="1"/>
  <c r="AP674" i="1" a="1"/>
  <c r="AP674" i="1" s="1"/>
  <c r="AP675" i="1" a="1"/>
  <c r="AP675" i="1" s="1"/>
  <c r="AP676" i="1" a="1"/>
  <c r="AP676" i="1" s="1"/>
  <c r="AP677" i="1" a="1"/>
  <c r="AP677" i="1" s="1"/>
  <c r="AP678" i="1" a="1"/>
  <c r="AP678" i="1" s="1"/>
  <c r="AP679" i="1" a="1"/>
  <c r="AP679" i="1" s="1"/>
  <c r="AP680" i="1" a="1"/>
  <c r="AP680" i="1" s="1"/>
  <c r="AP681" i="1" a="1"/>
  <c r="AP681" i="1" s="1"/>
  <c r="AP682" i="1" a="1"/>
  <c r="AP682" i="1" s="1"/>
  <c r="AP683" i="1" a="1"/>
  <c r="AP683" i="1" s="1"/>
  <c r="AP684" i="1" a="1"/>
  <c r="AP684" i="1" s="1"/>
  <c r="AP685" i="1" a="1"/>
  <c r="AP685" i="1" s="1"/>
  <c r="AP686" i="1" a="1"/>
  <c r="AP686" i="1" s="1"/>
  <c r="AP687" i="1" a="1"/>
  <c r="AP687" i="1" s="1"/>
  <c r="AP688" i="1" a="1"/>
  <c r="AP688" i="1" s="1"/>
  <c r="AP689" i="1" a="1"/>
  <c r="AP689" i="1" s="1"/>
  <c r="AP690" i="1" a="1"/>
  <c r="AP690" i="1" s="1"/>
  <c r="AP691" i="1" a="1"/>
  <c r="AP691" i="1" s="1"/>
  <c r="AP692" i="1" a="1"/>
  <c r="AP692" i="1" s="1"/>
  <c r="AP693" i="1" a="1"/>
  <c r="AP693" i="1" s="1"/>
  <c r="AP694" i="1" a="1"/>
  <c r="AP694" i="1" s="1"/>
  <c r="AP695" i="1" a="1"/>
  <c r="AP695" i="1" s="1"/>
  <c r="AP696" i="1" a="1"/>
  <c r="AP696" i="1" s="1"/>
  <c r="AP697" i="1" a="1"/>
  <c r="AP697" i="1" s="1"/>
  <c r="AP698" i="1" a="1"/>
  <c r="AP698" i="1" s="1"/>
  <c r="AP699" i="1" a="1"/>
  <c r="AP699" i="1" s="1"/>
  <c r="AP700" i="1" a="1"/>
  <c r="AP700" i="1" s="1"/>
  <c r="AP701" i="1" a="1"/>
  <c r="AP701" i="1" s="1"/>
  <c r="AP702" i="1" a="1"/>
  <c r="AP702" i="1" s="1"/>
  <c r="AP703" i="1" a="1"/>
  <c r="AP703" i="1" s="1"/>
  <c r="AP704" i="1" a="1"/>
  <c r="AP704" i="1" s="1"/>
  <c r="AP705" i="1" a="1"/>
  <c r="AP705" i="1" s="1"/>
  <c r="AP706" i="1" a="1"/>
  <c r="AP706" i="1" s="1"/>
  <c r="AP707" i="1" a="1"/>
  <c r="AP707" i="1" s="1"/>
  <c r="AP708" i="1" a="1"/>
  <c r="AP708" i="1" s="1"/>
  <c r="AP709" i="1" a="1"/>
  <c r="AP709" i="1" s="1"/>
  <c r="AP710" i="1" a="1"/>
  <c r="AP710" i="1" s="1"/>
  <c r="AP711" i="1" a="1"/>
  <c r="AP711" i="1" s="1"/>
  <c r="AP712" i="1" a="1"/>
  <c r="AP712" i="1" s="1"/>
  <c r="AP713" i="1" a="1"/>
  <c r="AP713" i="1" s="1"/>
  <c r="AP714" i="1" a="1"/>
  <c r="AP714" i="1" s="1"/>
  <c r="AP715" i="1" a="1"/>
  <c r="AP715" i="1" s="1"/>
  <c r="AP716" i="1" a="1"/>
  <c r="AP716" i="1" s="1"/>
  <c r="AP717" i="1" a="1"/>
  <c r="AP717" i="1" s="1"/>
  <c r="AP718" i="1" a="1"/>
  <c r="AP718" i="1" s="1"/>
  <c r="AP719" i="1" a="1"/>
  <c r="AP719" i="1" s="1"/>
  <c r="AP720" i="1" a="1"/>
  <c r="AP720" i="1" s="1"/>
  <c r="AP721" i="1" a="1"/>
  <c r="AP721" i="1" s="1"/>
  <c r="AP722" i="1" a="1"/>
  <c r="AP722" i="1" s="1"/>
  <c r="AP723" i="1" a="1"/>
  <c r="AP723" i="1" s="1"/>
  <c r="AP724" i="1" a="1"/>
  <c r="AP724" i="1" s="1"/>
  <c r="AP725" i="1" a="1"/>
  <c r="AP725" i="1" s="1"/>
  <c r="AP726" i="1" a="1"/>
  <c r="AP726" i="1" s="1"/>
  <c r="AP727" i="1" a="1"/>
  <c r="AP727" i="1" s="1"/>
  <c r="AP728" i="1" a="1"/>
  <c r="AP728" i="1" s="1"/>
  <c r="AP729" i="1" a="1"/>
  <c r="AP729" i="1" s="1"/>
  <c r="AP730" i="1" a="1"/>
  <c r="AP730" i="1" s="1"/>
  <c r="AP731" i="1" a="1"/>
  <c r="AP731" i="1" s="1"/>
  <c r="AP732" i="1" a="1"/>
  <c r="AP732" i="1" s="1"/>
  <c r="AP733" i="1" a="1"/>
  <c r="AP733" i="1" s="1"/>
  <c r="AP734" i="1" a="1"/>
  <c r="AP734" i="1" s="1"/>
  <c r="AP735" i="1" a="1"/>
  <c r="AP735" i="1" s="1"/>
  <c r="AP736" i="1" a="1"/>
  <c r="AP736" i="1" s="1"/>
  <c r="AP737" i="1" a="1"/>
  <c r="AP737" i="1" s="1"/>
  <c r="AP738" i="1" a="1"/>
  <c r="AP738" i="1" s="1"/>
  <c r="AP739" i="1" a="1"/>
  <c r="AP739" i="1" s="1"/>
  <c r="AP740" i="1" a="1"/>
  <c r="AP740" i="1" s="1"/>
  <c r="AP741" i="1" a="1"/>
  <c r="AP741" i="1" s="1"/>
  <c r="AP742" i="1" a="1"/>
  <c r="AP742" i="1" s="1"/>
  <c r="AP743" i="1" a="1"/>
  <c r="AP743" i="1" s="1"/>
  <c r="AP744" i="1" a="1"/>
  <c r="AP744" i="1" s="1"/>
  <c r="AP745" i="1" a="1"/>
  <c r="AP745" i="1" s="1"/>
  <c r="AP746" i="1" a="1"/>
  <c r="AP746" i="1" s="1"/>
  <c r="AP747" i="1" a="1"/>
  <c r="AP747" i="1" s="1"/>
  <c r="AP748" i="1" a="1"/>
  <c r="AP748" i="1" s="1"/>
  <c r="AP749" i="1" a="1"/>
  <c r="AP749" i="1" s="1"/>
  <c r="AP750" i="1" a="1"/>
  <c r="AP750" i="1" s="1"/>
  <c r="AP751" i="1" a="1"/>
  <c r="AP751" i="1" s="1"/>
  <c r="AP752" i="1" a="1"/>
  <c r="AP752" i="1" s="1"/>
  <c r="AP753" i="1" a="1"/>
  <c r="AP753" i="1" s="1"/>
  <c r="AP754" i="1" a="1"/>
  <c r="AP754" i="1" s="1"/>
  <c r="AP755" i="1" a="1"/>
  <c r="AP755" i="1" s="1"/>
  <c r="AP756" i="1" a="1"/>
  <c r="AP756" i="1" s="1"/>
  <c r="AP757" i="1" a="1"/>
  <c r="AP757" i="1" s="1"/>
  <c r="AP758" i="1" a="1"/>
  <c r="AP758" i="1" s="1"/>
  <c r="AP759" i="1" a="1"/>
  <c r="AP759" i="1" s="1"/>
  <c r="AP760" i="1" a="1"/>
  <c r="AP760" i="1" s="1"/>
  <c r="AP761" i="1" a="1"/>
  <c r="AP761" i="1" s="1"/>
  <c r="AP762" i="1" a="1"/>
  <c r="AP762" i="1" s="1"/>
  <c r="AP763" i="1" a="1"/>
  <c r="AP763" i="1" s="1"/>
  <c r="AP764" i="1" a="1"/>
  <c r="AP764" i="1" s="1"/>
  <c r="AP765" i="1" a="1"/>
  <c r="AP765" i="1" s="1"/>
  <c r="AP766" i="1" a="1"/>
  <c r="AP766" i="1" s="1"/>
  <c r="AP767" i="1" a="1"/>
  <c r="AP767" i="1" s="1"/>
  <c r="AP768" i="1" a="1"/>
  <c r="AP768" i="1" s="1"/>
  <c r="AP769" i="1" a="1"/>
  <c r="AP769" i="1" s="1"/>
  <c r="AP770" i="1" a="1"/>
  <c r="AP770" i="1" s="1"/>
  <c r="AP771" i="1" a="1"/>
  <c r="AP771" i="1" s="1"/>
  <c r="AP772" i="1" a="1"/>
  <c r="AP772" i="1" s="1"/>
  <c r="AP773" i="1" a="1"/>
  <c r="AP773" i="1" s="1"/>
  <c r="AP774" i="1" a="1"/>
  <c r="AP774" i="1" s="1"/>
  <c r="AP775" i="1" a="1"/>
  <c r="AP775" i="1" s="1"/>
  <c r="AP776" i="1" a="1"/>
  <c r="AP776" i="1" s="1"/>
  <c r="AP777" i="1" a="1"/>
  <c r="AP777" i="1" s="1"/>
  <c r="AP778" i="1" a="1"/>
  <c r="AP778" i="1" s="1"/>
  <c r="AP779" i="1" a="1"/>
  <c r="AP779" i="1" s="1"/>
  <c r="AP780" i="1" a="1"/>
  <c r="AP780" i="1" s="1"/>
  <c r="AP781" i="1" a="1"/>
  <c r="AP781" i="1" s="1"/>
  <c r="AP782" i="1" a="1"/>
  <c r="AP782" i="1" s="1"/>
  <c r="AP783" i="1" a="1"/>
  <c r="AP783" i="1" s="1"/>
  <c r="AP784" i="1" a="1"/>
  <c r="AP784" i="1" s="1"/>
  <c r="AP785" i="1" a="1"/>
  <c r="AP785" i="1" s="1"/>
  <c r="AP786" i="1" a="1"/>
  <c r="AP786" i="1" s="1"/>
  <c r="AP787" i="1" a="1"/>
  <c r="AP787" i="1" s="1"/>
  <c r="AP788" i="1" a="1"/>
  <c r="AP788" i="1" s="1"/>
  <c r="AP789" i="1" a="1"/>
  <c r="AP789" i="1" s="1"/>
  <c r="AP790" i="1" a="1"/>
  <c r="AP790" i="1" s="1"/>
  <c r="AP791" i="1" a="1"/>
  <c r="AP791" i="1" s="1"/>
  <c r="AP792" i="1" a="1"/>
  <c r="AP792" i="1" s="1"/>
  <c r="AP793" i="1" a="1"/>
  <c r="AP793" i="1" s="1"/>
  <c r="AP794" i="1" a="1"/>
  <c r="AP794" i="1" s="1"/>
  <c r="AP795" i="1" a="1"/>
  <c r="AP795" i="1" s="1"/>
  <c r="AP796" i="1" a="1"/>
  <c r="AP796" i="1" s="1"/>
  <c r="AP797" i="1" a="1"/>
  <c r="AP797" i="1" s="1"/>
  <c r="AP798" i="1" a="1"/>
  <c r="AP798" i="1" s="1"/>
  <c r="AP799" i="1" a="1"/>
  <c r="AP799" i="1" s="1"/>
  <c r="AP800" i="1" a="1"/>
  <c r="AP800" i="1" s="1"/>
  <c r="AP801" i="1" a="1"/>
  <c r="AP801" i="1" s="1"/>
  <c r="AP802" i="1" a="1"/>
  <c r="AP802" i="1" s="1"/>
  <c r="AP803" i="1" a="1"/>
  <c r="AP803" i="1" s="1"/>
  <c r="AP804" i="1" a="1"/>
  <c r="AP804" i="1" s="1"/>
  <c r="AP805" i="1" a="1"/>
  <c r="AP805" i="1" s="1"/>
  <c r="AP806" i="1" a="1"/>
  <c r="AP806" i="1" s="1"/>
  <c r="AP807" i="1" a="1"/>
  <c r="AP807" i="1" s="1"/>
  <c r="AP808" i="1" a="1"/>
  <c r="AP808" i="1" s="1"/>
  <c r="AP809" i="1" a="1"/>
  <c r="AP809" i="1" s="1"/>
  <c r="AP810" i="1" a="1"/>
  <c r="AP810" i="1" s="1"/>
  <c r="AP811" i="1" a="1"/>
  <c r="AP811" i="1" s="1"/>
  <c r="AP812" i="1" a="1"/>
  <c r="AP812" i="1" s="1"/>
  <c r="AP813" i="1" a="1"/>
  <c r="AP813" i="1" s="1"/>
  <c r="AP814" i="1" a="1"/>
  <c r="AP814" i="1" s="1"/>
  <c r="AP815" i="1" a="1"/>
  <c r="AP815" i="1" s="1"/>
  <c r="AP816" i="1" a="1"/>
  <c r="AP816" i="1" s="1"/>
  <c r="AP817" i="1" a="1"/>
  <c r="AP817" i="1" s="1"/>
  <c r="AP818" i="1" a="1"/>
  <c r="AP818" i="1" s="1"/>
  <c r="AP819" i="1" a="1"/>
  <c r="AP819" i="1" s="1"/>
  <c r="AP820" i="1" a="1"/>
  <c r="AP820" i="1" s="1"/>
  <c r="AP821" i="1" a="1"/>
  <c r="AP821" i="1" s="1"/>
  <c r="AP822" i="1" a="1"/>
  <c r="AP822" i="1" s="1"/>
  <c r="AP823" i="1" a="1"/>
  <c r="AP823" i="1" s="1"/>
  <c r="AP824" i="1" a="1"/>
  <c r="AP824" i="1" s="1"/>
  <c r="AP825" i="1" a="1"/>
  <c r="AP825" i="1" s="1"/>
  <c r="AP826" i="1" a="1"/>
  <c r="AP826" i="1" s="1"/>
  <c r="AP827" i="1" a="1"/>
  <c r="AP827" i="1" s="1"/>
  <c r="AP828" i="1" a="1"/>
  <c r="AP828" i="1" s="1"/>
  <c r="AP829" i="1" a="1"/>
  <c r="AP829" i="1" s="1"/>
  <c r="AP830" i="1" a="1"/>
  <c r="AP830" i="1" s="1"/>
  <c r="AP831" i="1" a="1"/>
  <c r="AP831" i="1" s="1"/>
  <c r="AP832" i="1" a="1"/>
  <c r="AP832" i="1" s="1"/>
  <c r="AP833" i="1" a="1"/>
  <c r="AP833" i="1" s="1"/>
  <c r="AP834" i="1" a="1"/>
  <c r="AP834" i="1" s="1"/>
  <c r="AP835" i="1" a="1"/>
  <c r="AP835" i="1" s="1"/>
  <c r="AP836" i="1" a="1"/>
  <c r="AP836" i="1" s="1"/>
  <c r="AP837" i="1" a="1"/>
  <c r="AP837" i="1" s="1"/>
  <c r="AP838" i="1" a="1"/>
  <c r="AP838" i="1" s="1"/>
  <c r="AP839" i="1" a="1"/>
  <c r="AP839" i="1" s="1"/>
  <c r="AP840" i="1" a="1"/>
  <c r="AP840" i="1" s="1"/>
  <c r="AP841" i="1" a="1"/>
  <c r="AP841" i="1" s="1"/>
  <c r="AP842" i="1" a="1"/>
  <c r="AP842" i="1" s="1"/>
  <c r="AP843" i="1" a="1"/>
  <c r="AP843" i="1" s="1"/>
  <c r="AP844" i="1" a="1"/>
  <c r="AP844" i="1" s="1"/>
  <c r="AP845" i="1" a="1"/>
  <c r="AP845" i="1" s="1"/>
  <c r="AP846" i="1" a="1"/>
  <c r="AP846" i="1" s="1"/>
  <c r="AP847" i="1" a="1"/>
  <c r="AP847" i="1" s="1"/>
  <c r="AP848" i="1" a="1"/>
  <c r="AP848" i="1" s="1"/>
  <c r="AP849" i="1" a="1"/>
  <c r="AP849" i="1" s="1"/>
  <c r="AP850" i="1" a="1"/>
  <c r="AP850" i="1" s="1"/>
  <c r="AP851" i="1" a="1"/>
  <c r="AP851" i="1" s="1"/>
  <c r="AP852" i="1" a="1"/>
  <c r="AP852" i="1" s="1"/>
  <c r="AP853" i="1" a="1"/>
  <c r="AP853" i="1" s="1"/>
  <c r="AP854" i="1" a="1"/>
  <c r="AP854" i="1" s="1"/>
  <c r="AP855" i="1" a="1"/>
  <c r="AP855" i="1" s="1"/>
  <c r="AP856" i="1" a="1"/>
  <c r="AP856" i="1" s="1"/>
  <c r="AP857" i="1" a="1"/>
  <c r="AP857" i="1" s="1"/>
  <c r="AP858" i="1" a="1"/>
  <c r="AP858" i="1" s="1"/>
  <c r="AP859" i="1" a="1"/>
  <c r="AP859" i="1" s="1"/>
  <c r="AP860" i="1" a="1"/>
  <c r="AP860" i="1" s="1"/>
  <c r="AP861" i="1" a="1"/>
  <c r="AP861" i="1" s="1"/>
  <c r="AP862" i="1" a="1"/>
  <c r="AP862" i="1" s="1"/>
  <c r="AP863" i="1" a="1"/>
  <c r="AP863" i="1" s="1"/>
  <c r="AP864" i="1" a="1"/>
  <c r="AP864" i="1" s="1"/>
  <c r="AP865" i="1" a="1"/>
  <c r="AP865" i="1" s="1"/>
  <c r="AP866" i="1" a="1"/>
  <c r="AP866" i="1" s="1"/>
  <c r="AP867" i="1" a="1"/>
  <c r="AP867" i="1" s="1"/>
  <c r="AP868" i="1" a="1"/>
  <c r="AP868" i="1" s="1"/>
  <c r="AP869" i="1" a="1"/>
  <c r="AP869" i="1" s="1"/>
  <c r="AP870" i="1" a="1"/>
  <c r="AP870" i="1" s="1"/>
  <c r="AP871" i="1" a="1"/>
  <c r="AP871" i="1" s="1"/>
  <c r="AP872" i="1" a="1"/>
  <c r="AP872" i="1" s="1"/>
  <c r="AP873" i="1" a="1"/>
  <c r="AP873" i="1" s="1"/>
  <c r="AP874" i="1" a="1"/>
  <c r="AP874" i="1" s="1"/>
  <c r="AP875" i="1" a="1"/>
  <c r="AP875" i="1" s="1"/>
  <c r="AP876" i="1" a="1"/>
  <c r="AP876" i="1" s="1"/>
  <c r="AP877" i="1" a="1"/>
  <c r="AP877" i="1" s="1"/>
  <c r="AP878" i="1" a="1"/>
  <c r="AP878" i="1" s="1"/>
  <c r="AP879" i="1" a="1"/>
  <c r="AP879" i="1" s="1"/>
  <c r="AP880" i="1" a="1"/>
  <c r="AP880" i="1" s="1"/>
  <c r="AP881" i="1" a="1"/>
  <c r="AP881" i="1" s="1"/>
  <c r="AP882" i="1" a="1"/>
  <c r="AP882" i="1" s="1"/>
  <c r="AP883" i="1" a="1"/>
  <c r="AP883" i="1" s="1"/>
  <c r="AP884" i="1" a="1"/>
  <c r="AP884" i="1" s="1"/>
  <c r="AP885" i="1" a="1"/>
  <c r="AP885" i="1" s="1"/>
  <c r="AP886" i="1" a="1"/>
  <c r="AP886" i="1" s="1"/>
  <c r="AP887" i="1" a="1"/>
  <c r="AP887" i="1" s="1"/>
  <c r="AP888" i="1" a="1"/>
  <c r="AP888" i="1" s="1"/>
  <c r="AP889" i="1" a="1"/>
  <c r="AP889" i="1" s="1"/>
  <c r="AP890" i="1" a="1"/>
  <c r="AP890" i="1" s="1"/>
  <c r="AP891" i="1" a="1"/>
  <c r="AP891" i="1" s="1"/>
  <c r="AP892" i="1" a="1"/>
  <c r="AP892" i="1" s="1"/>
  <c r="AP893" i="1" a="1"/>
  <c r="AP893" i="1" s="1"/>
  <c r="AP894" i="1" a="1"/>
  <c r="AP894" i="1" s="1"/>
  <c r="AP895" i="1" a="1"/>
  <c r="AP895" i="1" s="1"/>
  <c r="AP896" i="1" a="1"/>
  <c r="AP896" i="1" s="1"/>
  <c r="AP897" i="1" a="1"/>
  <c r="AP897" i="1" s="1"/>
  <c r="AP898" i="1" a="1"/>
  <c r="AP898" i="1" s="1"/>
  <c r="AP899" i="1" a="1"/>
  <c r="AP899" i="1" s="1"/>
  <c r="AP900" i="1" a="1"/>
  <c r="AP900" i="1" s="1"/>
  <c r="AP901" i="1" a="1"/>
  <c r="AP901" i="1" s="1"/>
  <c r="AP902" i="1" a="1"/>
  <c r="AP902" i="1" s="1"/>
  <c r="AP903" i="1" a="1"/>
  <c r="AP903" i="1" s="1"/>
  <c r="AP904" i="1" a="1"/>
  <c r="AP904" i="1" s="1"/>
  <c r="AP905" i="1" a="1"/>
  <c r="AP905" i="1" s="1"/>
  <c r="AP906" i="1" a="1"/>
  <c r="AP906" i="1" s="1"/>
  <c r="AP907" i="1" a="1"/>
  <c r="AP907" i="1" s="1"/>
  <c r="AP908" i="1" a="1"/>
  <c r="AP908" i="1" s="1"/>
  <c r="AP909" i="1" a="1"/>
  <c r="AP909" i="1" s="1"/>
  <c r="AP910" i="1" a="1"/>
  <c r="AP910" i="1" s="1"/>
  <c r="AP911" i="1" a="1"/>
  <c r="AP911" i="1" s="1"/>
  <c r="AP912" i="1" a="1"/>
  <c r="AP912" i="1" s="1"/>
  <c r="AP913" i="1" a="1"/>
  <c r="AP913" i="1" s="1"/>
  <c r="AP914" i="1" a="1"/>
  <c r="AP914" i="1" s="1"/>
  <c r="AP915" i="1" a="1"/>
  <c r="AP915" i="1" s="1"/>
  <c r="AP916" i="1" a="1"/>
  <c r="AP916" i="1" s="1"/>
  <c r="AP917" i="1" a="1"/>
  <c r="AP917" i="1" s="1"/>
  <c r="AP918" i="1" a="1"/>
  <c r="AP918" i="1" s="1"/>
  <c r="AP919" i="1" a="1"/>
  <c r="AP919" i="1" s="1"/>
  <c r="AP920" i="1" a="1"/>
  <c r="AP920" i="1" s="1"/>
  <c r="AP921" i="1" a="1"/>
  <c r="AP921" i="1" s="1"/>
  <c r="AP922" i="1" a="1"/>
  <c r="AP922" i="1" s="1"/>
  <c r="AP923" i="1" a="1"/>
  <c r="AP923" i="1" s="1"/>
  <c r="AP924" i="1" a="1"/>
  <c r="AP924" i="1" s="1"/>
  <c r="AP925" i="1" a="1"/>
  <c r="AP925" i="1" s="1"/>
  <c r="AP926" i="1" a="1"/>
  <c r="AP926" i="1" s="1"/>
  <c r="AP927" i="1" a="1"/>
  <c r="AP927" i="1" s="1"/>
  <c r="AP928" i="1" a="1"/>
  <c r="AP928" i="1" s="1"/>
  <c r="AP929" i="1" a="1"/>
  <c r="AP929" i="1" s="1"/>
  <c r="AP930" i="1" a="1"/>
  <c r="AP930" i="1" s="1"/>
  <c r="AP931" i="1" a="1"/>
  <c r="AP931" i="1" s="1"/>
  <c r="AP932" i="1" a="1"/>
  <c r="AP932" i="1" s="1"/>
  <c r="AP933" i="1" a="1"/>
  <c r="AP933" i="1" s="1"/>
  <c r="AP934" i="1" a="1"/>
  <c r="AP934" i="1" s="1"/>
  <c r="AP935" i="1" a="1"/>
  <c r="AP935" i="1" s="1"/>
  <c r="AP936" i="1" a="1"/>
  <c r="AP936" i="1" s="1"/>
  <c r="AP937" i="1" a="1"/>
  <c r="AP937" i="1" s="1"/>
  <c r="AP938" i="1" a="1"/>
  <c r="AP938" i="1" s="1"/>
  <c r="AP939" i="1" a="1"/>
  <c r="AP939" i="1" s="1"/>
  <c r="AP940" i="1" a="1"/>
  <c r="AP940" i="1" s="1"/>
  <c r="AP941" i="1" a="1"/>
  <c r="AP941" i="1" s="1"/>
  <c r="AP942" i="1" a="1"/>
  <c r="AP942" i="1" s="1"/>
  <c r="AP943" i="1" a="1"/>
  <c r="AP943" i="1" s="1"/>
  <c r="AP944" i="1" a="1"/>
  <c r="AP944" i="1" s="1"/>
  <c r="AP945" i="1" a="1"/>
  <c r="AP945" i="1" s="1"/>
  <c r="AP946" i="1" a="1"/>
  <c r="AP946" i="1" s="1"/>
  <c r="AP947" i="1" a="1"/>
  <c r="AP947" i="1" s="1"/>
  <c r="AP948" i="1" a="1"/>
  <c r="AP948" i="1" s="1"/>
  <c r="AP949" i="1" a="1"/>
  <c r="AP949" i="1" s="1"/>
  <c r="AP950" i="1" a="1"/>
  <c r="AP950" i="1" s="1"/>
  <c r="AP951" i="1" a="1"/>
  <c r="AP951" i="1" s="1"/>
  <c r="AP952" i="1" a="1"/>
  <c r="AP952" i="1" s="1"/>
  <c r="AP953" i="1" a="1"/>
  <c r="AP953" i="1" s="1"/>
  <c r="AP954" i="1" a="1"/>
  <c r="AP954" i="1" s="1"/>
  <c r="AP955" i="1" a="1"/>
  <c r="AP955" i="1" s="1"/>
  <c r="AP956" i="1" a="1"/>
  <c r="AP956" i="1" s="1"/>
  <c r="AP957" i="1" a="1"/>
  <c r="AP957" i="1" s="1"/>
  <c r="AP958" i="1" a="1"/>
  <c r="AP958" i="1" s="1"/>
  <c r="AP959" i="1" a="1"/>
  <c r="AP959" i="1" s="1"/>
  <c r="AP960" i="1" a="1"/>
  <c r="AP960" i="1" s="1"/>
  <c r="AP961" i="1" a="1"/>
  <c r="AP961" i="1" s="1"/>
  <c r="AP962" i="1" a="1"/>
  <c r="AP962" i="1" s="1"/>
  <c r="AP963" i="1" a="1"/>
  <c r="AP963" i="1" s="1"/>
  <c r="AP964" i="1" a="1"/>
  <c r="AP964" i="1" s="1"/>
  <c r="AP965" i="1" a="1"/>
  <c r="AP965" i="1" s="1"/>
  <c r="AP966" i="1" a="1"/>
  <c r="AP966" i="1" s="1"/>
  <c r="AP967" i="1" a="1"/>
  <c r="AP967" i="1" s="1"/>
  <c r="AP968" i="1" a="1"/>
  <c r="AP968" i="1" s="1"/>
  <c r="AP969" i="1" a="1"/>
  <c r="AP969" i="1" s="1"/>
  <c r="AP970" i="1" a="1"/>
  <c r="AP970" i="1" s="1"/>
  <c r="AP971" i="1" a="1"/>
  <c r="AP971" i="1" s="1"/>
  <c r="AP972" i="1" a="1"/>
  <c r="AP972" i="1" s="1"/>
  <c r="AP973" i="1" a="1"/>
  <c r="AP973" i="1" s="1"/>
  <c r="AP974" i="1" a="1"/>
  <c r="AP974" i="1" s="1"/>
  <c r="AP975" i="1" a="1"/>
  <c r="AP975" i="1" s="1"/>
  <c r="AP976" i="1" a="1"/>
  <c r="AP976" i="1" s="1"/>
  <c r="AP977" i="1" a="1"/>
  <c r="AP977" i="1" s="1"/>
  <c r="AP978" i="1" a="1"/>
  <c r="AP978" i="1" s="1"/>
  <c r="AP979" i="1" a="1"/>
  <c r="AP979" i="1" s="1"/>
  <c r="AP980" i="1" a="1"/>
  <c r="AP980" i="1" s="1"/>
  <c r="AP981" i="1" a="1"/>
  <c r="AP981" i="1" s="1"/>
  <c r="AP982" i="1" a="1"/>
  <c r="AP982" i="1" s="1"/>
  <c r="AP983" i="1" a="1"/>
  <c r="AP983" i="1" s="1"/>
  <c r="AP984" i="1" a="1"/>
  <c r="AP984" i="1" s="1"/>
  <c r="AP985" i="1" a="1"/>
  <c r="AP985" i="1" s="1"/>
  <c r="AP986" i="1" a="1"/>
  <c r="AP986" i="1" s="1"/>
  <c r="AP987" i="1" a="1"/>
  <c r="AP987" i="1" s="1"/>
  <c r="AP988" i="1" a="1"/>
  <c r="AP988" i="1" s="1"/>
  <c r="AP989" i="1" a="1"/>
  <c r="AP989" i="1" s="1"/>
  <c r="AP990" i="1" a="1"/>
  <c r="AP990" i="1" s="1"/>
  <c r="AP991" i="1" a="1"/>
  <c r="AP991" i="1" s="1"/>
  <c r="AP992" i="1" a="1"/>
  <c r="AP992" i="1" s="1"/>
  <c r="AP993" i="1" a="1"/>
  <c r="AP993" i="1" s="1"/>
  <c r="AP994" i="1" a="1"/>
  <c r="AP994" i="1" s="1"/>
  <c r="AP995" i="1" a="1"/>
  <c r="AP995" i="1" s="1"/>
  <c r="AP996" i="1" a="1"/>
  <c r="AP996" i="1" s="1"/>
  <c r="AP997" i="1" a="1"/>
  <c r="AP997" i="1" s="1"/>
  <c r="AP998" i="1" a="1"/>
  <c r="AP998" i="1" s="1"/>
  <c r="AP999" i="1" a="1"/>
  <c r="AP999" i="1" s="1"/>
  <c r="AP1000" i="1" a="1"/>
  <c r="AP1000" i="1" s="1"/>
  <c r="AP1001" i="1" a="1"/>
  <c r="AP1001" i="1" s="1"/>
  <c r="AP1002" i="1" a="1"/>
  <c r="AP1002" i="1" s="1"/>
  <c r="AP1003" i="1" a="1"/>
  <c r="AP1003" i="1" s="1"/>
  <c r="AP1004" i="1" a="1"/>
  <c r="AP1004" i="1" s="1"/>
  <c r="AP1005" i="1" a="1"/>
  <c r="AP1005" i="1" s="1"/>
  <c r="AP1006" i="1" a="1"/>
  <c r="AP1006" i="1" s="1"/>
  <c r="AP1007" i="1" a="1"/>
  <c r="AP1007" i="1" s="1"/>
  <c r="AP1008" i="1" a="1"/>
  <c r="AP1008" i="1" s="1"/>
  <c r="AP1009" i="1" a="1"/>
  <c r="AP1009" i="1" s="1"/>
  <c r="AP1010" i="1" a="1"/>
  <c r="AP1010" i="1" s="1"/>
  <c r="AP1011" i="1" a="1"/>
  <c r="AP1011" i="1" s="1"/>
  <c r="AP1012" i="1" a="1"/>
  <c r="AP1012" i="1" s="1"/>
  <c r="AP1013" i="1" a="1"/>
  <c r="AP1013" i="1" s="1"/>
  <c r="AP1014" i="1" a="1"/>
  <c r="AP1014" i="1" s="1"/>
  <c r="AP1015" i="1" a="1"/>
  <c r="AP1015" i="1" s="1"/>
  <c r="AP1016" i="1" a="1"/>
  <c r="AP1016" i="1" s="1"/>
  <c r="AP1017" i="1" a="1"/>
  <c r="AP1017" i="1" s="1"/>
  <c r="AP1018" i="1" a="1"/>
  <c r="AP1018" i="1" s="1"/>
  <c r="AP1019" i="1" a="1"/>
  <c r="AP1019" i="1" s="1"/>
  <c r="AP1020" i="1" a="1"/>
  <c r="AP1020" i="1" s="1"/>
  <c r="AP1021" i="1" a="1"/>
  <c r="AP1021" i="1" s="1"/>
  <c r="AP1022" i="1" a="1"/>
  <c r="AP1022" i="1" s="1"/>
  <c r="AP1023" i="1" a="1"/>
  <c r="AP1023" i="1" s="1"/>
  <c r="AP1024" i="1" a="1"/>
  <c r="AP1024" i="1" s="1"/>
  <c r="AP1025" i="1" a="1"/>
  <c r="AP1025" i="1" s="1"/>
  <c r="AP1026" i="1" a="1"/>
  <c r="AP1026" i="1" s="1"/>
  <c r="AP1027" i="1" a="1"/>
  <c r="AP1027" i="1" s="1"/>
  <c r="AP1028" i="1" a="1"/>
  <c r="AP1028" i="1" s="1"/>
  <c r="AP1029" i="1" a="1"/>
  <c r="AP1029" i="1" s="1"/>
  <c r="AP1030" i="1" a="1"/>
  <c r="AP1030" i="1" s="1"/>
  <c r="AP1031" i="1" a="1"/>
  <c r="AP1031" i="1" s="1"/>
  <c r="AP1032" i="1" a="1"/>
  <c r="AP1032" i="1" s="1"/>
  <c r="AP1033" i="1" a="1"/>
  <c r="AP1033" i="1" s="1"/>
  <c r="AP1034" i="1" a="1"/>
  <c r="AP1034" i="1" s="1"/>
  <c r="AP1035" i="1" a="1"/>
  <c r="AP1035" i="1" s="1"/>
  <c r="AP1036" i="1" a="1"/>
  <c r="AP1036" i="1" s="1"/>
  <c r="AP1037" i="1" a="1"/>
  <c r="AP1037" i="1" s="1"/>
  <c r="AP1038" i="1" a="1"/>
  <c r="AP1038" i="1" s="1"/>
  <c r="AP1039" i="1" a="1"/>
  <c r="AP1039" i="1" s="1"/>
  <c r="AP1040" i="1" a="1"/>
  <c r="AP1040" i="1" s="1"/>
  <c r="AP1041" i="1" a="1"/>
  <c r="AP1041" i="1" s="1"/>
  <c r="AP1042" i="1" a="1"/>
  <c r="AP1042" i="1" s="1"/>
  <c r="AP1043" i="1" a="1"/>
  <c r="AP1043" i="1" s="1"/>
  <c r="AP1044" i="1" a="1"/>
  <c r="AP1044" i="1" s="1"/>
  <c r="AP1045" i="1" a="1"/>
  <c r="AP1045" i="1" s="1"/>
  <c r="AP1046" i="1" a="1"/>
  <c r="AP1046" i="1" s="1"/>
  <c r="AP1047" i="1" a="1"/>
  <c r="AP1047" i="1" s="1"/>
  <c r="AP1048" i="1" a="1"/>
  <c r="AP1048" i="1" s="1"/>
  <c r="AP1049" i="1" a="1"/>
  <c r="AP1049" i="1" s="1"/>
  <c r="AP1050" i="1" a="1"/>
  <c r="AP1050" i="1" s="1"/>
  <c r="AP1051" i="1" a="1"/>
  <c r="AP1051" i="1" s="1"/>
  <c r="AP1052" i="1" a="1"/>
  <c r="AP1052" i="1" s="1"/>
  <c r="AP1053" i="1" a="1"/>
  <c r="AP1053" i="1" s="1"/>
  <c r="AP1054" i="1" a="1"/>
  <c r="AP1054" i="1" s="1"/>
  <c r="AP1055" i="1" a="1"/>
  <c r="AP1055" i="1" s="1"/>
  <c r="AP1056" i="1" a="1"/>
  <c r="AP1056" i="1" s="1"/>
  <c r="AP1057" i="1" a="1"/>
  <c r="AP1057" i="1" s="1"/>
  <c r="AP1058" i="1" a="1"/>
  <c r="AP1058" i="1" s="1"/>
  <c r="AP1059" i="1" a="1"/>
  <c r="AP1059" i="1" s="1"/>
  <c r="AP1060" i="1" a="1"/>
  <c r="AP1060" i="1" s="1"/>
  <c r="AP1061" i="1" a="1"/>
  <c r="AP1061" i="1" s="1"/>
  <c r="AP1062" i="1" a="1"/>
  <c r="AP1062" i="1" s="1"/>
  <c r="AP1063" i="1" a="1"/>
  <c r="AP1063" i="1" s="1"/>
  <c r="AP1064" i="1" a="1"/>
  <c r="AP1064" i="1" s="1"/>
  <c r="AP1065" i="1" a="1"/>
  <c r="AP1065" i="1" s="1"/>
  <c r="AP1066" i="1" a="1"/>
  <c r="AP1066" i="1" s="1"/>
  <c r="AP1067" i="1" a="1"/>
  <c r="AP1067" i="1" s="1"/>
  <c r="AP1068" i="1" a="1"/>
  <c r="AP1068" i="1" s="1"/>
  <c r="AP1069" i="1" a="1"/>
  <c r="AP1069" i="1" s="1"/>
  <c r="AP1070" i="1" a="1"/>
  <c r="AP1070" i="1" s="1"/>
  <c r="AP1071" i="1" a="1"/>
  <c r="AP1071" i="1" s="1"/>
  <c r="AP1072" i="1" a="1"/>
  <c r="AP1072" i="1" s="1"/>
  <c r="AP1073" i="1" a="1"/>
  <c r="AP1073" i="1" s="1"/>
  <c r="AP1074" i="1" a="1"/>
  <c r="AP1074" i="1" s="1"/>
  <c r="AP1075" i="1" a="1"/>
  <c r="AP1075" i="1" s="1"/>
  <c r="AP1076" i="1" a="1"/>
  <c r="AP1076" i="1" s="1"/>
  <c r="AP1077" i="1" a="1"/>
  <c r="AP1077" i="1" s="1"/>
  <c r="AP1078" i="1" a="1"/>
  <c r="AP1078" i="1" s="1"/>
  <c r="AP1079" i="1" a="1"/>
  <c r="AP1079" i="1" s="1"/>
  <c r="AP1080" i="1" a="1"/>
  <c r="AP1080" i="1" s="1"/>
  <c r="AP1081" i="1" a="1"/>
  <c r="AP1081" i="1" s="1"/>
  <c r="AP1082" i="1" a="1"/>
  <c r="AP1082" i="1" s="1"/>
  <c r="AP1083" i="1" a="1"/>
  <c r="AP1083" i="1" s="1"/>
  <c r="AP1084" i="1" a="1"/>
  <c r="AP1084" i="1" s="1"/>
  <c r="AP1085" i="1" a="1"/>
  <c r="AP1085" i="1" s="1"/>
  <c r="AP1086" i="1" a="1"/>
  <c r="AP1086" i="1" s="1"/>
  <c r="AP1087" i="1" a="1"/>
  <c r="AP1087" i="1" s="1"/>
  <c r="AP1088" i="1" a="1"/>
  <c r="AP1088" i="1" s="1"/>
  <c r="AP1089" i="1" a="1"/>
  <c r="AP1089" i="1" s="1"/>
  <c r="AP1090" i="1" a="1"/>
  <c r="AP1090" i="1" s="1"/>
  <c r="AP1091" i="1" a="1"/>
  <c r="AP1091" i="1" s="1"/>
  <c r="AP1092" i="1" a="1"/>
  <c r="AP1092" i="1" s="1"/>
  <c r="AP1093" i="1" a="1"/>
  <c r="AP1093" i="1" s="1"/>
  <c r="AP1094" i="1" a="1"/>
  <c r="AP1094" i="1" s="1"/>
  <c r="AP1095" i="1" a="1"/>
  <c r="AP1095" i="1" s="1"/>
  <c r="AP1096" i="1" a="1"/>
  <c r="AP1096" i="1" s="1"/>
  <c r="AP1097" i="1" a="1"/>
  <c r="AP1097" i="1" s="1"/>
  <c r="AP1098" i="1" a="1"/>
  <c r="AP1098" i="1" s="1"/>
  <c r="AP1099" i="1" a="1"/>
  <c r="AP1099" i="1" s="1"/>
  <c r="AP1100" i="1" a="1"/>
  <c r="AP1100" i="1" s="1"/>
  <c r="AP1101" i="1" a="1"/>
  <c r="AP1101" i="1" s="1"/>
  <c r="AP1102" i="1" a="1"/>
  <c r="AP1102" i="1" s="1"/>
  <c r="AP1103" i="1" a="1"/>
  <c r="AP1103" i="1" s="1"/>
  <c r="AP1104" i="1" a="1"/>
  <c r="AP1104" i="1" s="1"/>
  <c r="AP1105" i="1" a="1"/>
  <c r="AP1105" i="1" s="1"/>
  <c r="AP1106" i="1" a="1"/>
  <c r="AP1106" i="1" s="1"/>
  <c r="AP1107" i="1" a="1"/>
  <c r="AP1107" i="1" s="1"/>
  <c r="AP1108" i="1" a="1"/>
  <c r="AP1108" i="1" s="1"/>
  <c r="AP1109" i="1" a="1"/>
  <c r="AP1109" i="1" s="1"/>
  <c r="AP1110" i="1" a="1"/>
  <c r="AP1110" i="1" s="1"/>
  <c r="AP1111" i="1" a="1"/>
  <c r="AP1111" i="1" s="1"/>
  <c r="AP1112" i="1" a="1"/>
  <c r="AP1112" i="1" s="1"/>
  <c r="AP1113" i="1" a="1"/>
  <c r="AP1113" i="1" s="1"/>
  <c r="AP1114" i="1" a="1"/>
  <c r="AP1114" i="1" s="1"/>
  <c r="AP1115" i="1" a="1"/>
  <c r="AP1115" i="1" s="1"/>
  <c r="AP1116" i="1" a="1"/>
  <c r="AP1116" i="1" s="1"/>
  <c r="AP1117" i="1" a="1"/>
  <c r="AP1117" i="1" s="1"/>
  <c r="AP1118" i="1" a="1"/>
  <c r="AP1118" i="1" s="1"/>
  <c r="AP1119" i="1" a="1"/>
  <c r="AP1119" i="1" s="1"/>
  <c r="AP1120" i="1" a="1"/>
  <c r="AP1120" i="1" s="1"/>
  <c r="AP1121" i="1" a="1"/>
  <c r="AP1121" i="1" s="1"/>
  <c r="AP1122" i="1" a="1"/>
  <c r="AP1122" i="1" s="1"/>
  <c r="AP1123" i="1" a="1"/>
  <c r="AP1123" i="1" s="1"/>
  <c r="AP1124" i="1" a="1"/>
  <c r="AP1124" i="1" s="1"/>
  <c r="AP1125" i="1" a="1"/>
  <c r="AP1125" i="1" s="1"/>
  <c r="AP1126" i="1" a="1"/>
  <c r="AP1126" i="1" s="1"/>
  <c r="AP1127" i="1" a="1"/>
  <c r="AP1127" i="1" s="1"/>
  <c r="AP1128" i="1" a="1"/>
  <c r="AP1128" i="1" s="1"/>
  <c r="AP1129" i="1" a="1"/>
  <c r="AP1129" i="1" s="1"/>
  <c r="AP1130" i="1" a="1"/>
  <c r="AP1130" i="1" s="1"/>
  <c r="AP1131" i="1" a="1"/>
  <c r="AP1131" i="1" s="1"/>
  <c r="AP1132" i="1" a="1"/>
  <c r="AP1132" i="1" s="1"/>
  <c r="AP1133" i="1" a="1"/>
  <c r="AP1133" i="1" s="1"/>
  <c r="AP1134" i="1" a="1"/>
  <c r="AP1134" i="1" s="1"/>
  <c r="AP1135" i="1" a="1"/>
  <c r="AP1135" i="1" s="1"/>
  <c r="AP1136" i="1" a="1"/>
  <c r="AP1136" i="1" s="1"/>
  <c r="AP1137" i="1" a="1"/>
  <c r="AP1137" i="1" s="1"/>
  <c r="AP1138" i="1" a="1"/>
  <c r="AP1138" i="1" s="1"/>
  <c r="AP1139" i="1" a="1"/>
  <c r="AP1139" i="1" s="1"/>
  <c r="AP1140" i="1" a="1"/>
  <c r="AP1140" i="1" s="1"/>
  <c r="AP1141" i="1" a="1"/>
  <c r="AP1141" i="1" s="1"/>
  <c r="AP1142" i="1" a="1"/>
  <c r="AP1142" i="1" s="1"/>
  <c r="AP1143" i="1" a="1"/>
  <c r="AP1143" i="1" s="1"/>
  <c r="AP1144" i="1" a="1"/>
  <c r="AP1144" i="1" s="1"/>
  <c r="AP1145" i="1" a="1"/>
  <c r="AP1145" i="1" s="1"/>
  <c r="AP1146" i="1" a="1"/>
  <c r="AP1146" i="1" s="1"/>
  <c r="AP1147" i="1" a="1"/>
  <c r="AP1147" i="1" s="1"/>
  <c r="AP1148" i="1" a="1"/>
  <c r="AP1148" i="1" s="1"/>
  <c r="AP1149" i="1" a="1"/>
  <c r="AP1149" i="1" s="1"/>
  <c r="AP1150" i="1" a="1"/>
  <c r="AP1150" i="1" s="1"/>
  <c r="AP1151" i="1" a="1"/>
  <c r="AP1151" i="1" s="1"/>
  <c r="AP1152" i="1" a="1"/>
  <c r="AP1152" i="1" s="1"/>
  <c r="AP1153" i="1" a="1"/>
  <c r="AP1153" i="1" s="1"/>
  <c r="AP1154" i="1" a="1"/>
  <c r="AP1154" i="1" s="1"/>
  <c r="AP1155" i="1" a="1"/>
  <c r="AP1155" i="1" s="1"/>
  <c r="AP1156" i="1" a="1"/>
  <c r="AP1156" i="1" s="1"/>
  <c r="AP1157" i="1" a="1"/>
  <c r="AP1157" i="1" s="1"/>
  <c r="AP1158" i="1" a="1"/>
  <c r="AP1158" i="1" s="1"/>
  <c r="AP1159" i="1" a="1"/>
  <c r="AP1159" i="1" s="1"/>
  <c r="AP1160" i="1" a="1"/>
  <c r="AP1160" i="1" s="1"/>
  <c r="AP1161" i="1" a="1"/>
  <c r="AP1161" i="1" s="1"/>
  <c r="AP1162" i="1" a="1"/>
  <c r="AP1162" i="1" s="1"/>
  <c r="AP1163" i="1" a="1"/>
  <c r="AP1163" i="1" s="1"/>
  <c r="AP1164" i="1" a="1"/>
  <c r="AP1164" i="1" s="1"/>
  <c r="AP1165" i="1" a="1"/>
  <c r="AP1165" i="1" s="1"/>
  <c r="AP1166" i="1" a="1"/>
  <c r="AP1166" i="1" s="1"/>
  <c r="AP1167" i="1" a="1"/>
  <c r="AP1167" i="1" s="1"/>
  <c r="AP1168" i="1" a="1"/>
  <c r="AP1168" i="1" s="1"/>
  <c r="AP1169" i="1" a="1"/>
  <c r="AP1169" i="1" s="1"/>
  <c r="AP1170" i="1" a="1"/>
  <c r="AP1170" i="1" s="1"/>
  <c r="AP1171" i="1" a="1"/>
  <c r="AP1171" i="1" s="1"/>
  <c r="AP1172" i="1" a="1"/>
  <c r="AP1172" i="1" s="1"/>
  <c r="AP1173" i="1" a="1"/>
  <c r="AP1173" i="1" s="1"/>
  <c r="AP1174" i="1" a="1"/>
  <c r="AP1174" i="1" s="1"/>
  <c r="AP1175" i="1" a="1"/>
  <c r="AP1175" i="1" s="1"/>
  <c r="AP1176" i="1" a="1"/>
  <c r="AP1176" i="1" s="1"/>
  <c r="AP1177" i="1" a="1"/>
  <c r="AP1177" i="1" s="1"/>
  <c r="AP1178" i="1" a="1"/>
  <c r="AP1178" i="1" s="1"/>
  <c r="AP1179" i="1" a="1"/>
  <c r="AP1179" i="1" s="1"/>
  <c r="AP1180" i="1" a="1"/>
  <c r="AP1180" i="1" s="1"/>
  <c r="AP1181" i="1" a="1"/>
  <c r="AP1181" i="1" s="1"/>
  <c r="AP1182" i="1" a="1"/>
  <c r="AP1182" i="1" s="1"/>
  <c r="AP1183" i="1" a="1"/>
  <c r="AP1183" i="1" s="1"/>
  <c r="AP1184" i="1" a="1"/>
  <c r="AP1184" i="1" s="1"/>
  <c r="AP1185" i="1" a="1"/>
  <c r="AP1185" i="1" s="1"/>
  <c r="AP1186" i="1" a="1"/>
  <c r="AP1186" i="1" s="1"/>
  <c r="AP1187" i="1" a="1"/>
  <c r="AP1187" i="1" s="1"/>
  <c r="AP1188" i="1" a="1"/>
  <c r="AP1188" i="1" s="1"/>
  <c r="AP1189" i="1" a="1"/>
  <c r="AP1189" i="1" s="1"/>
  <c r="AP1190" i="1" a="1"/>
  <c r="AP1190" i="1" s="1"/>
  <c r="AP1191" i="1" a="1"/>
  <c r="AP1191" i="1" s="1"/>
  <c r="AP1192" i="1" a="1"/>
  <c r="AP1192" i="1" s="1"/>
  <c r="AP1193" i="1" a="1"/>
  <c r="AP1193" i="1" s="1"/>
  <c r="AP1194" i="1" a="1"/>
  <c r="AP1194" i="1" s="1"/>
  <c r="AP1195" i="1" a="1"/>
  <c r="AP1195" i="1" s="1"/>
  <c r="AP1196" i="1" a="1"/>
  <c r="AP1196" i="1" s="1"/>
  <c r="AP1197" i="1" a="1"/>
  <c r="AP1197" i="1" s="1"/>
  <c r="AP1198" i="1" a="1"/>
  <c r="AP1198" i="1" s="1"/>
  <c r="AP1199" i="1" a="1"/>
  <c r="AP1199" i="1" s="1"/>
  <c r="AP1200" i="1" a="1"/>
  <c r="AP1200" i="1" s="1"/>
  <c r="AP1201" i="1" a="1"/>
  <c r="AP1201" i="1" s="1"/>
  <c r="AP1202" i="1" a="1"/>
  <c r="AP1202" i="1" s="1"/>
  <c r="AP1203" i="1" a="1"/>
  <c r="AP1203" i="1" s="1"/>
  <c r="AP1204" i="1" a="1"/>
  <c r="AP1204" i="1" s="1"/>
  <c r="AP1205" i="1" a="1"/>
  <c r="AP1205" i="1" s="1"/>
  <c r="AP1206" i="1" a="1"/>
  <c r="AP1206" i="1" s="1"/>
  <c r="AP1207" i="1" a="1"/>
  <c r="AP1207" i="1" s="1"/>
  <c r="AP1208" i="1" a="1"/>
  <c r="AP1208" i="1" s="1"/>
  <c r="AP1209" i="1" a="1"/>
  <c r="AP1209" i="1" s="1"/>
  <c r="AP1210" i="1" a="1"/>
  <c r="AP1210" i="1" s="1"/>
  <c r="AP1211" i="1" a="1"/>
  <c r="AP1211" i="1" s="1"/>
  <c r="AP1212" i="1" a="1"/>
  <c r="AP1212" i="1" s="1"/>
  <c r="AP1213" i="1" a="1"/>
  <c r="AP1213" i="1" s="1"/>
  <c r="AP1214" i="1" a="1"/>
  <c r="AP1214" i="1" s="1"/>
  <c r="AP1215" i="1" a="1"/>
  <c r="AP1215" i="1" s="1"/>
  <c r="AP1216" i="1" a="1"/>
  <c r="AP1216" i="1" s="1"/>
  <c r="AP1217" i="1" a="1"/>
  <c r="AP1217" i="1" s="1"/>
  <c r="AP1218" i="1" a="1"/>
  <c r="AP1218" i="1" s="1"/>
  <c r="AP1219" i="1" a="1"/>
  <c r="AP1219" i="1" s="1"/>
  <c r="AP1220" i="1" a="1"/>
  <c r="AP1220" i="1" s="1"/>
  <c r="AP1221" i="1" a="1"/>
  <c r="AP1221" i="1" s="1"/>
  <c r="AP1222" i="1" a="1"/>
  <c r="AP1222" i="1" s="1"/>
  <c r="AP1223" i="1" a="1"/>
  <c r="AP1223" i="1" s="1"/>
  <c r="AP1224" i="1" a="1"/>
  <c r="AP1224" i="1" s="1"/>
  <c r="AP1225" i="1" a="1"/>
  <c r="AP1225" i="1" s="1"/>
  <c r="AP1226" i="1" a="1"/>
  <c r="AP1226" i="1" s="1"/>
  <c r="AP1227" i="1" a="1"/>
  <c r="AP1227" i="1" s="1"/>
  <c r="AP1228" i="1" a="1"/>
  <c r="AP1228" i="1" s="1"/>
  <c r="AP1229" i="1" a="1"/>
  <c r="AP1229" i="1" s="1"/>
  <c r="AP1230" i="1" a="1"/>
  <c r="AP1230" i="1" s="1"/>
  <c r="AP1231" i="1" a="1"/>
  <c r="AP1231" i="1" s="1"/>
  <c r="AP1232" i="1" a="1"/>
  <c r="AP1232" i="1" s="1"/>
  <c r="AP1233" i="1" a="1"/>
  <c r="AP1233" i="1" s="1"/>
  <c r="AP1234" i="1" a="1"/>
  <c r="AP1234" i="1" s="1"/>
  <c r="AP1235" i="1" a="1"/>
  <c r="AP1235" i="1" s="1"/>
  <c r="AP1236" i="1" a="1"/>
  <c r="AP1236" i="1" s="1"/>
  <c r="AP1237" i="1" a="1"/>
  <c r="AP1237" i="1" s="1"/>
  <c r="AP1238" i="1" a="1"/>
  <c r="AP1238" i="1" s="1"/>
  <c r="AP1239" i="1" a="1"/>
  <c r="AP1239" i="1" s="1"/>
  <c r="AP1240" i="1" a="1"/>
  <c r="AP1240" i="1" s="1"/>
  <c r="AP1241" i="1" a="1"/>
  <c r="AP1241" i="1" s="1"/>
  <c r="AP1242" i="1" a="1"/>
  <c r="AP1242" i="1" s="1"/>
  <c r="AP1243" i="1" a="1"/>
  <c r="AP1243" i="1" s="1"/>
  <c r="AP1244" i="1" a="1"/>
  <c r="AP1244" i="1" s="1"/>
  <c r="AP1245" i="1" a="1"/>
  <c r="AP1245" i="1" s="1"/>
  <c r="AP1246" i="1" a="1"/>
  <c r="AP1246" i="1" s="1"/>
  <c r="AP1247" i="1" a="1"/>
  <c r="AP1247" i="1" s="1"/>
  <c r="AP1248" i="1" a="1"/>
  <c r="AP1248" i="1" s="1"/>
  <c r="AP1249" i="1" a="1"/>
  <c r="AP1249" i="1" s="1"/>
  <c r="AP1250" i="1" a="1"/>
  <c r="AP1250" i="1" s="1"/>
  <c r="AP1251" i="1" a="1"/>
  <c r="AP1251" i="1" s="1"/>
  <c r="AP1252" i="1" a="1"/>
  <c r="AP1252" i="1" s="1"/>
  <c r="AP1253" i="1" a="1"/>
  <c r="AP1253" i="1" s="1"/>
  <c r="AP1254" i="1" a="1"/>
  <c r="AP1254" i="1" s="1"/>
  <c r="AP1255" i="1" a="1"/>
  <c r="AP1255" i="1" s="1"/>
  <c r="AP1256" i="1" a="1"/>
  <c r="AP1256" i="1" s="1"/>
  <c r="AP1257" i="1" a="1"/>
  <c r="AP1257" i="1" s="1"/>
  <c r="AP1258" i="1" a="1"/>
  <c r="AP1258" i="1" s="1"/>
  <c r="AP1259" i="1" a="1"/>
  <c r="AP1259" i="1" s="1"/>
  <c r="AP1260" i="1" a="1"/>
  <c r="AP1260" i="1" s="1"/>
  <c r="AP1261" i="1" a="1"/>
  <c r="AP1261" i="1" s="1"/>
  <c r="AP1262" i="1" a="1"/>
  <c r="AP1262" i="1" s="1"/>
  <c r="AP1263" i="1" a="1"/>
  <c r="AP1263" i="1" s="1"/>
  <c r="AP1264" i="1" a="1"/>
  <c r="AP1264" i="1" s="1"/>
  <c r="AP1265" i="1" a="1"/>
  <c r="AP1265" i="1" s="1"/>
  <c r="AP1266" i="1" a="1"/>
  <c r="AP1266" i="1" s="1"/>
  <c r="AP1267" i="1" a="1"/>
  <c r="AP1267" i="1" s="1"/>
  <c r="AP1268" i="1" a="1"/>
  <c r="AP1268" i="1" s="1"/>
  <c r="AP1269" i="1" a="1"/>
  <c r="AP1269" i="1" s="1"/>
  <c r="AP1270" i="1" a="1"/>
  <c r="AP1270" i="1" s="1"/>
  <c r="AP1271" i="1" a="1"/>
  <c r="AP1271" i="1" s="1"/>
  <c r="AP1272" i="1" a="1"/>
  <c r="AP1272" i="1" s="1"/>
  <c r="AP1273" i="1" a="1"/>
  <c r="AP1273" i="1" s="1"/>
  <c r="AP1274" i="1" a="1"/>
  <c r="AP1274" i="1" s="1"/>
  <c r="AP1275" i="1" a="1"/>
  <c r="AP1275" i="1" s="1"/>
  <c r="AP1276" i="1" a="1"/>
  <c r="AP1276" i="1" s="1"/>
  <c r="AP1277" i="1" a="1"/>
  <c r="AP1277" i="1" s="1"/>
  <c r="AP1278" i="1" a="1"/>
  <c r="AP1278" i="1" s="1"/>
  <c r="AP1279" i="1" a="1"/>
  <c r="AP1279" i="1" s="1"/>
  <c r="AP1280" i="1" a="1"/>
  <c r="AP1280" i="1" s="1"/>
  <c r="AP1281" i="1" a="1"/>
  <c r="AP1281" i="1" s="1"/>
  <c r="AP1282" i="1" a="1"/>
  <c r="AP1282" i="1" s="1"/>
  <c r="AP1283" i="1" a="1"/>
  <c r="AP1283" i="1" s="1"/>
  <c r="AP1284" i="1" a="1"/>
  <c r="AP1284" i="1" s="1"/>
  <c r="AP1285" i="1" a="1"/>
  <c r="AP1285" i="1" s="1"/>
  <c r="AP1286" i="1" a="1"/>
  <c r="AP1286" i="1" s="1"/>
  <c r="AP1287" i="1" a="1"/>
  <c r="AP1287" i="1" s="1"/>
  <c r="AP1288" i="1" a="1"/>
  <c r="AP1288" i="1" s="1"/>
  <c r="AP1289" i="1" a="1"/>
  <c r="AP1289" i="1" s="1"/>
  <c r="AP1290" i="1" a="1"/>
  <c r="AP1290" i="1" s="1"/>
  <c r="AP1291" i="1" a="1"/>
  <c r="AP1291" i="1" s="1"/>
  <c r="AP1292" i="1" a="1"/>
  <c r="AP1292" i="1" s="1"/>
  <c r="AP1293" i="1" a="1"/>
  <c r="AP1293" i="1" s="1"/>
  <c r="AP1294" i="1" a="1"/>
  <c r="AP1294" i="1" s="1"/>
  <c r="AP1295" i="1" a="1"/>
  <c r="AP1295" i="1" s="1"/>
  <c r="AP1296" i="1" a="1"/>
  <c r="AP1296" i="1" s="1"/>
  <c r="AP1297" i="1" a="1"/>
  <c r="AP1297" i="1" s="1"/>
  <c r="AP1298" i="1" a="1"/>
  <c r="AP1298" i="1" s="1"/>
  <c r="AP1299" i="1" a="1"/>
  <c r="AP1299" i="1" s="1"/>
  <c r="AP1300" i="1" a="1"/>
  <c r="AP1300" i="1" s="1"/>
  <c r="AP1301" i="1" a="1"/>
  <c r="AP1301" i="1" s="1"/>
  <c r="AP1302" i="1" a="1"/>
  <c r="AP1302" i="1" s="1"/>
  <c r="AP1303" i="1" a="1"/>
  <c r="AP1303" i="1" s="1"/>
  <c r="AP1304" i="1" a="1"/>
  <c r="AP1304" i="1" s="1"/>
  <c r="AP1305" i="1" a="1"/>
  <c r="AP1305" i="1" s="1"/>
  <c r="AP1306" i="1" a="1"/>
  <c r="AP1306" i="1" s="1"/>
  <c r="AP1307" i="1" a="1"/>
  <c r="AP1307" i="1" s="1"/>
  <c r="AP1308" i="1" a="1"/>
  <c r="AP1308" i="1" s="1"/>
  <c r="AP1309" i="1" a="1"/>
  <c r="AP1309" i="1" s="1"/>
  <c r="AP1310" i="1" a="1"/>
  <c r="AP1310" i="1" s="1"/>
  <c r="AP1311" i="1" a="1"/>
  <c r="AP1311" i="1" s="1"/>
  <c r="AP1312" i="1" a="1"/>
  <c r="AP1312" i="1" s="1"/>
  <c r="AP1313" i="1" a="1"/>
  <c r="AP1313" i="1" s="1"/>
  <c r="AP1314" i="1" a="1"/>
  <c r="AP1314" i="1" s="1"/>
  <c r="AP1315" i="1" a="1"/>
  <c r="AP1315" i="1" s="1"/>
  <c r="AP1316" i="1" a="1"/>
  <c r="AP1316" i="1" s="1"/>
  <c r="AP1317" i="1" a="1"/>
  <c r="AP1317" i="1" s="1"/>
  <c r="AP1318" i="1" a="1"/>
  <c r="AP1318" i="1" s="1"/>
  <c r="AP1319" i="1" a="1"/>
  <c r="AP1319" i="1" s="1"/>
  <c r="AP1320" i="1" a="1"/>
  <c r="AP1320" i="1" s="1"/>
  <c r="AP1321" i="1" a="1"/>
  <c r="AP1321" i="1" s="1"/>
  <c r="AP1322" i="1" a="1"/>
  <c r="AP1322" i="1" s="1"/>
  <c r="AP1323" i="1" a="1"/>
  <c r="AP1323" i="1" s="1"/>
  <c r="AP1324" i="1" a="1"/>
  <c r="AP1324" i="1" s="1"/>
  <c r="AP1325" i="1" a="1"/>
  <c r="AP1325" i="1" s="1"/>
  <c r="AP1326" i="1" a="1"/>
  <c r="AP1326" i="1" s="1"/>
  <c r="AP1327" i="1" a="1"/>
  <c r="AP1327" i="1" s="1"/>
  <c r="AP1328" i="1" a="1"/>
  <c r="AP1328" i="1" s="1"/>
  <c r="AP1329" i="1" a="1"/>
  <c r="AP1329" i="1" s="1"/>
  <c r="AP1330" i="1" a="1"/>
  <c r="AP1330" i="1" s="1"/>
  <c r="AP1331" i="1" a="1"/>
  <c r="AP1331" i="1" s="1"/>
  <c r="AP1332" i="1" a="1"/>
  <c r="AP1332" i="1" s="1"/>
  <c r="AP1333" i="1" a="1"/>
  <c r="AP1333" i="1" s="1"/>
  <c r="AP1334" i="1" a="1"/>
  <c r="AP1334" i="1" s="1"/>
  <c r="AP1335" i="1" a="1"/>
  <c r="AP1335" i="1" s="1"/>
  <c r="AP1336" i="1" a="1"/>
  <c r="AP1336" i="1" s="1"/>
  <c r="AP1337" i="1" a="1"/>
  <c r="AP1337" i="1" s="1"/>
  <c r="AP1338" i="1" a="1"/>
  <c r="AP1338" i="1" s="1"/>
  <c r="AP1339" i="1" a="1"/>
  <c r="AP1339" i="1" s="1"/>
  <c r="AP1340" i="1" a="1"/>
  <c r="AP1340" i="1" s="1"/>
  <c r="AP1341" i="1" a="1"/>
  <c r="AP1341" i="1" s="1"/>
  <c r="AP1342" i="1" a="1"/>
  <c r="AP1342" i="1" s="1"/>
  <c r="AP1343" i="1" a="1"/>
  <c r="AP1343" i="1" s="1"/>
  <c r="AP1344" i="1" a="1"/>
  <c r="AP1344" i="1" s="1"/>
  <c r="AP1345" i="1" a="1"/>
  <c r="AP1345" i="1" s="1"/>
  <c r="AP1346" i="1" a="1"/>
  <c r="AP1346" i="1" s="1"/>
  <c r="AP1347" i="1" a="1"/>
  <c r="AP1347" i="1" s="1"/>
  <c r="AP1348" i="1" a="1"/>
  <c r="AP1348" i="1" s="1"/>
  <c r="AP1349" i="1" a="1"/>
  <c r="AP1349" i="1" s="1"/>
  <c r="AP1350" i="1" a="1"/>
  <c r="AP1350" i="1" s="1"/>
  <c r="AP1351" i="1" a="1"/>
  <c r="AP1351" i="1" s="1"/>
  <c r="AP1352" i="1" a="1"/>
  <c r="AP1352" i="1" s="1"/>
  <c r="AP1353" i="1" a="1"/>
  <c r="AP1353" i="1" s="1"/>
  <c r="AP1354" i="1" a="1"/>
  <c r="AP1354" i="1" s="1"/>
  <c r="AP1355" i="1" a="1"/>
  <c r="AP1355" i="1" s="1"/>
  <c r="AP1356" i="1" a="1"/>
  <c r="AP1356" i="1" s="1"/>
  <c r="AP1357" i="1" a="1"/>
  <c r="AP1357" i="1" s="1"/>
  <c r="AP1358" i="1" a="1"/>
  <c r="AP1358" i="1" s="1"/>
  <c r="AP1359" i="1" a="1"/>
  <c r="AP1359" i="1" s="1"/>
  <c r="AP1360" i="1" a="1"/>
  <c r="AP1360" i="1" s="1"/>
  <c r="AP1361" i="1" a="1"/>
  <c r="AP1361" i="1" s="1"/>
  <c r="AP1362" i="1" a="1"/>
  <c r="AP1362" i="1" s="1"/>
  <c r="AP1363" i="1" a="1"/>
  <c r="AP1363" i="1" s="1"/>
  <c r="AP1364" i="1" a="1"/>
  <c r="AP1364" i="1" s="1"/>
  <c r="AP1365" i="1" a="1"/>
  <c r="AP1365" i="1" s="1"/>
  <c r="AP1366" i="1" a="1"/>
  <c r="AP1366" i="1" s="1"/>
  <c r="AP1367" i="1" a="1"/>
  <c r="AP1367" i="1" s="1"/>
  <c r="AP1368" i="1" a="1"/>
  <c r="AP1368" i="1" s="1"/>
  <c r="AP1369" i="1" a="1"/>
  <c r="AP1369" i="1" s="1"/>
  <c r="AP1370" i="1" a="1"/>
  <c r="AP1370" i="1" s="1"/>
  <c r="AP1371" i="1" a="1"/>
  <c r="AP1371" i="1" s="1"/>
  <c r="AP1372" i="1" a="1"/>
  <c r="AP1372" i="1" s="1"/>
  <c r="AP1373" i="1" a="1"/>
  <c r="AP1373" i="1" s="1"/>
  <c r="AP1374" i="1" a="1"/>
  <c r="AP1374" i="1" s="1"/>
  <c r="AP1375" i="1" a="1"/>
  <c r="AP1375" i="1" s="1"/>
  <c r="AP1376" i="1" a="1"/>
  <c r="AP1376" i="1" s="1"/>
  <c r="AP1377" i="1" a="1"/>
  <c r="AP1377" i="1" s="1"/>
  <c r="AP1378" i="1" a="1"/>
  <c r="AP1378" i="1" s="1"/>
  <c r="AP1379" i="1" a="1"/>
  <c r="AP1379" i="1" s="1"/>
  <c r="AP1380" i="1" a="1"/>
  <c r="AP1380" i="1" s="1"/>
  <c r="AP1381" i="1" a="1"/>
  <c r="AP1381" i="1" s="1"/>
  <c r="AP1382" i="1" a="1"/>
  <c r="AP1382" i="1" s="1"/>
  <c r="AP1383" i="1" a="1"/>
  <c r="AP1383" i="1" s="1"/>
  <c r="AP1384" i="1" a="1"/>
  <c r="AP1384" i="1" s="1"/>
  <c r="AP1385" i="1" a="1"/>
  <c r="AP1385" i="1" s="1"/>
  <c r="AP1386" i="1" a="1"/>
  <c r="AP1386" i="1" s="1"/>
  <c r="AP1387" i="1" a="1"/>
  <c r="AP1387" i="1" s="1"/>
  <c r="AP1388" i="1" a="1"/>
  <c r="AP1388" i="1" s="1"/>
  <c r="AP1389" i="1" a="1"/>
  <c r="AP1389" i="1" s="1"/>
  <c r="AP1390" i="1" a="1"/>
  <c r="AP1390" i="1" s="1"/>
  <c r="AP1391" i="1" a="1"/>
  <c r="AP1391" i="1" s="1"/>
  <c r="AP1392" i="1" a="1"/>
  <c r="AP1392" i="1" s="1"/>
  <c r="AP1393" i="1" a="1"/>
  <c r="AP1393" i="1" s="1"/>
  <c r="AP1394" i="1" a="1"/>
  <c r="AP1394" i="1" s="1"/>
  <c r="AP1395" i="1" a="1"/>
  <c r="AP1395" i="1" s="1"/>
  <c r="AP1396" i="1" a="1"/>
  <c r="AP1396" i="1" s="1"/>
  <c r="AP1397" i="1" a="1"/>
  <c r="AP1397" i="1" s="1"/>
  <c r="AP1398" i="1" a="1"/>
  <c r="AP1398" i="1" s="1"/>
  <c r="AP1399" i="1" a="1"/>
  <c r="AP1399" i="1" s="1"/>
  <c r="AP1400" i="1" a="1"/>
  <c r="AP1400" i="1" s="1"/>
  <c r="AP1401" i="1" a="1"/>
  <c r="AP1401" i="1" s="1"/>
  <c r="AP1402" i="1" a="1"/>
  <c r="AP1402" i="1" s="1"/>
  <c r="AP1403" i="1" a="1"/>
  <c r="AP1403" i="1" s="1"/>
  <c r="AP1404" i="1" a="1"/>
  <c r="AP1404" i="1" s="1"/>
  <c r="AP1405" i="1" a="1"/>
  <c r="AP1405" i="1" s="1"/>
  <c r="AP1406" i="1" a="1"/>
  <c r="AP1406" i="1" s="1"/>
  <c r="AP1407" i="1" a="1"/>
  <c r="AP1407" i="1" s="1"/>
  <c r="AP1408" i="1" a="1"/>
  <c r="AP1408" i="1" s="1"/>
  <c r="AP1409" i="1" a="1"/>
  <c r="AP1409" i="1" s="1"/>
  <c r="AP1410" i="1" a="1"/>
  <c r="AP1410" i="1" s="1"/>
  <c r="AP1411" i="1" a="1"/>
  <c r="AP1411" i="1" s="1"/>
  <c r="AP1412" i="1" a="1"/>
  <c r="AP1412" i="1" s="1"/>
  <c r="AP1413" i="1" a="1"/>
  <c r="AP1413" i="1" s="1"/>
  <c r="AP1414" i="1" a="1"/>
  <c r="AP1414" i="1" s="1"/>
  <c r="AP1415" i="1" a="1"/>
  <c r="AP1415" i="1" s="1"/>
  <c r="AP1416" i="1" a="1"/>
  <c r="AP1416" i="1" s="1"/>
  <c r="AP1417" i="1" a="1"/>
  <c r="AP1417" i="1" s="1"/>
  <c r="AP1418" i="1" a="1"/>
  <c r="AP1418" i="1" s="1"/>
  <c r="AP1419" i="1" a="1"/>
  <c r="AP1419" i="1" s="1"/>
  <c r="AP1420" i="1" a="1"/>
  <c r="AP1420" i="1" s="1"/>
  <c r="AP1421" i="1" a="1"/>
  <c r="AP1421" i="1" s="1"/>
  <c r="AP1422" i="1" a="1"/>
  <c r="AP1422" i="1" s="1"/>
  <c r="AP1423" i="1" a="1"/>
  <c r="AP1423" i="1" s="1"/>
  <c r="AP1424" i="1" a="1"/>
  <c r="AP1424" i="1" s="1"/>
  <c r="AP1425" i="1" a="1"/>
  <c r="AP1425" i="1" s="1"/>
  <c r="AP1426" i="1" a="1"/>
  <c r="AP1426" i="1" s="1"/>
  <c r="AP1427" i="1" a="1"/>
  <c r="AP1427" i="1" s="1"/>
  <c r="AP1428" i="1" a="1"/>
  <c r="AP1428" i="1" s="1"/>
  <c r="AP1429" i="1" a="1"/>
  <c r="AP1429" i="1" s="1"/>
  <c r="AP1430" i="1" a="1"/>
  <c r="AP1430" i="1" s="1"/>
  <c r="AP1431" i="1" a="1"/>
  <c r="AP1431" i="1" s="1"/>
  <c r="AP1432" i="1" a="1"/>
  <c r="AP1432" i="1" s="1"/>
  <c r="AP1433" i="1" a="1"/>
  <c r="AP1433" i="1" s="1"/>
  <c r="AP1434" i="1" a="1"/>
  <c r="AP1434" i="1" s="1"/>
  <c r="AP1435" i="1" a="1"/>
  <c r="AP1435" i="1" s="1"/>
  <c r="AP1436" i="1" a="1"/>
  <c r="AP1436" i="1" s="1"/>
  <c r="AP1437" i="1" a="1"/>
  <c r="AP1437" i="1" s="1"/>
  <c r="AP1438" i="1" a="1"/>
  <c r="AP1438" i="1" s="1"/>
  <c r="AP1439" i="1" a="1"/>
  <c r="AP1439" i="1" s="1"/>
  <c r="AP1440" i="1" a="1"/>
  <c r="AP1440" i="1" s="1"/>
  <c r="AP1441" i="1" a="1"/>
  <c r="AP1441" i="1" s="1"/>
  <c r="AP1442" i="1" a="1"/>
  <c r="AP1442" i="1" s="1"/>
  <c r="AP1443" i="1" a="1"/>
  <c r="AP1443" i="1" s="1"/>
  <c r="AP1444" i="1" a="1"/>
  <c r="AP1444" i="1" s="1"/>
  <c r="AP1445" i="1" a="1"/>
  <c r="AP1445" i="1" s="1"/>
  <c r="AP1446" i="1" a="1"/>
  <c r="AP1446" i="1" s="1"/>
  <c r="AP1447" i="1" a="1"/>
  <c r="AP1447" i="1" s="1"/>
  <c r="AP1448" i="1" a="1"/>
  <c r="AP1448" i="1" s="1"/>
  <c r="AP1449" i="1" a="1"/>
  <c r="AP1449" i="1" s="1"/>
  <c r="AP1450" i="1" a="1"/>
  <c r="AP1450" i="1" s="1"/>
  <c r="AP1451" i="1" a="1"/>
  <c r="AP1451" i="1" s="1"/>
  <c r="AP1452" i="1" a="1"/>
  <c r="AP1452" i="1" s="1"/>
  <c r="AP1453" i="1" a="1"/>
  <c r="AP1453" i="1" s="1"/>
  <c r="AP1454" i="1" a="1"/>
  <c r="AP1454" i="1" s="1"/>
  <c r="AP1455" i="1" a="1"/>
  <c r="AP1455" i="1" s="1"/>
  <c r="AP1456" i="1" a="1"/>
  <c r="AP1456" i="1" s="1"/>
  <c r="AP1457" i="1" a="1"/>
  <c r="AP1457" i="1" s="1"/>
  <c r="AP1458" i="1" a="1"/>
  <c r="AP1458" i="1" s="1"/>
  <c r="AP1459" i="1" a="1"/>
  <c r="AP1459" i="1" s="1"/>
  <c r="AP1460" i="1" a="1"/>
  <c r="AP1460" i="1" s="1"/>
  <c r="AP1461" i="1" a="1"/>
  <c r="AP1461" i="1" s="1"/>
  <c r="AP1462" i="1" a="1"/>
  <c r="AP1462" i="1" s="1"/>
  <c r="AP1463" i="1" a="1"/>
  <c r="AP1463" i="1" s="1"/>
  <c r="AP1464" i="1" a="1"/>
  <c r="AP1464" i="1" s="1"/>
  <c r="AP1465" i="1" a="1"/>
  <c r="AP1465" i="1" s="1"/>
  <c r="AP1466" i="1" a="1"/>
  <c r="AP1466" i="1" s="1"/>
  <c r="AP1467" i="1" a="1"/>
  <c r="AP1467" i="1" s="1"/>
  <c r="AP1468" i="1" a="1"/>
  <c r="AP1468" i="1" s="1"/>
  <c r="AP1469" i="1" a="1"/>
  <c r="AP1469" i="1" s="1"/>
  <c r="AP1470" i="1" a="1"/>
  <c r="AP1470" i="1" s="1"/>
  <c r="AP1471" i="1" a="1"/>
  <c r="AP1471" i="1" s="1"/>
  <c r="AO2" i="1" a="1"/>
  <c r="AO2" i="1" s="1"/>
  <c r="AO3" i="1" a="1"/>
  <c r="AO3" i="1" s="1"/>
  <c r="AO4" i="1" a="1"/>
  <c r="AO4" i="1" s="1"/>
  <c r="AO5" i="1" a="1"/>
  <c r="AO5" i="1" s="1"/>
  <c r="AO6" i="1" a="1"/>
  <c r="AO6" i="1" s="1"/>
  <c r="AO7" i="1" a="1"/>
  <c r="AO7" i="1" s="1"/>
  <c r="AO8" i="1" a="1"/>
  <c r="AO8" i="1" s="1"/>
  <c r="AO9" i="1" a="1"/>
  <c r="AO9" i="1" s="1"/>
  <c r="AO10" i="1" a="1"/>
  <c r="AO10" i="1" s="1"/>
  <c r="AO11" i="1" a="1"/>
  <c r="AO11" i="1" s="1"/>
  <c r="AO12" i="1" a="1"/>
  <c r="AO12" i="1" s="1"/>
  <c r="AO13" i="1" a="1"/>
  <c r="AO13" i="1" s="1"/>
  <c r="AO14" i="1" a="1"/>
  <c r="AO14" i="1" s="1"/>
  <c r="AO15" i="1" a="1"/>
  <c r="AO15" i="1" s="1"/>
  <c r="AO16" i="1" a="1"/>
  <c r="AO16" i="1" s="1"/>
  <c r="AO17" i="1" a="1"/>
  <c r="AO17" i="1" s="1"/>
  <c r="AO18" i="1" a="1"/>
  <c r="AO18" i="1" s="1"/>
  <c r="AO19" i="1" a="1"/>
  <c r="AO19" i="1" s="1"/>
  <c r="AO20" i="1" a="1"/>
  <c r="AO20" i="1" s="1"/>
  <c r="AO21" i="1" a="1"/>
  <c r="AO21" i="1" s="1"/>
  <c r="AO22" i="1" a="1"/>
  <c r="AO22" i="1" s="1"/>
  <c r="AO23" i="1" a="1"/>
  <c r="AO23" i="1" s="1"/>
  <c r="AO24" i="1" a="1"/>
  <c r="AO24" i="1" s="1"/>
  <c r="AO25" i="1" a="1"/>
  <c r="AO25" i="1" s="1"/>
  <c r="AO26" i="1" a="1"/>
  <c r="AO26" i="1" s="1"/>
  <c r="AO27" i="1" a="1"/>
  <c r="AO27" i="1" s="1"/>
  <c r="AO28" i="1" a="1"/>
  <c r="AO28" i="1" s="1"/>
  <c r="AO29" i="1" a="1"/>
  <c r="AO29" i="1" s="1"/>
  <c r="AO30" i="1" a="1"/>
  <c r="AO30" i="1" s="1"/>
  <c r="AO31" i="1" a="1"/>
  <c r="AO31" i="1" s="1"/>
  <c r="AO32" i="1" a="1"/>
  <c r="AO32" i="1" s="1"/>
  <c r="AO33" i="1" a="1"/>
  <c r="AO33" i="1" s="1"/>
  <c r="AO34" i="1" a="1"/>
  <c r="AO34" i="1" s="1"/>
  <c r="AO35" i="1" a="1"/>
  <c r="AO35" i="1" s="1"/>
  <c r="AO36" i="1" a="1"/>
  <c r="AO36" i="1" s="1"/>
  <c r="AO37" i="1" a="1"/>
  <c r="AO37" i="1" s="1"/>
  <c r="AO38" i="1" a="1"/>
  <c r="AO38" i="1" s="1"/>
  <c r="AO39" i="1" a="1"/>
  <c r="AO39" i="1" s="1"/>
  <c r="AO40" i="1" a="1"/>
  <c r="AO40" i="1" s="1"/>
  <c r="AO41" i="1" a="1"/>
  <c r="AO41" i="1" s="1"/>
  <c r="AO42" i="1" a="1"/>
  <c r="AO42" i="1" s="1"/>
  <c r="AO43" i="1" a="1"/>
  <c r="AO43" i="1" s="1"/>
  <c r="AO44" i="1" a="1"/>
  <c r="AO44" i="1" s="1"/>
  <c r="AO45" i="1" a="1"/>
  <c r="AO45" i="1" s="1"/>
  <c r="AO46" i="1" a="1"/>
  <c r="AO46" i="1" s="1"/>
  <c r="AO47" i="1" a="1"/>
  <c r="AO47" i="1" s="1"/>
  <c r="AO48" i="1" a="1"/>
  <c r="AO48" i="1" s="1"/>
  <c r="AO49" i="1" a="1"/>
  <c r="AO49" i="1" s="1"/>
  <c r="AO50" i="1" a="1"/>
  <c r="AO50" i="1" s="1"/>
  <c r="AO51" i="1" a="1"/>
  <c r="AO51" i="1" s="1"/>
  <c r="AO52" i="1" a="1"/>
  <c r="AO52" i="1" s="1"/>
  <c r="AO53" i="1" a="1"/>
  <c r="AO53" i="1" s="1"/>
  <c r="AO54" i="1" a="1"/>
  <c r="AO54" i="1" s="1"/>
  <c r="AO55" i="1" a="1"/>
  <c r="AO55" i="1" s="1"/>
  <c r="AO56" i="1" a="1"/>
  <c r="AO56" i="1" s="1"/>
  <c r="AO57" i="1" a="1"/>
  <c r="AO57" i="1" s="1"/>
  <c r="AO58" i="1" a="1"/>
  <c r="AO58" i="1" s="1"/>
  <c r="AO59" i="1" a="1"/>
  <c r="AO59" i="1" s="1"/>
  <c r="AO60" i="1" a="1"/>
  <c r="AO60" i="1" s="1"/>
  <c r="AO61" i="1" a="1"/>
  <c r="AO61" i="1" s="1"/>
  <c r="AO62" i="1" a="1"/>
  <c r="AO62" i="1" s="1"/>
  <c r="AO63" i="1" a="1"/>
  <c r="AO63" i="1" s="1"/>
  <c r="AO64" i="1" a="1"/>
  <c r="AO64" i="1" s="1"/>
  <c r="AO65" i="1" a="1"/>
  <c r="AO65" i="1" s="1"/>
  <c r="AO66" i="1" a="1"/>
  <c r="AO66" i="1" s="1"/>
  <c r="AO67" i="1" a="1"/>
  <c r="AO67" i="1" s="1"/>
  <c r="AO68" i="1" a="1"/>
  <c r="AO68" i="1" s="1"/>
  <c r="AO69" i="1" a="1"/>
  <c r="AO69" i="1" s="1"/>
  <c r="AO70" i="1" a="1"/>
  <c r="AO70" i="1" s="1"/>
  <c r="AO71" i="1" a="1"/>
  <c r="AO71" i="1" s="1"/>
  <c r="AO72" i="1" a="1"/>
  <c r="AO72" i="1" s="1"/>
  <c r="AO73" i="1" a="1"/>
  <c r="AO73" i="1" s="1"/>
  <c r="AO74" i="1" a="1"/>
  <c r="AO74" i="1" s="1"/>
  <c r="AO75" i="1" a="1"/>
  <c r="AO75" i="1" s="1"/>
  <c r="AO76" i="1" a="1"/>
  <c r="AO76" i="1" s="1"/>
  <c r="AO77" i="1" a="1"/>
  <c r="AO77" i="1" s="1"/>
  <c r="AO78" i="1" a="1"/>
  <c r="AO78" i="1" s="1"/>
  <c r="AO79" i="1" a="1"/>
  <c r="AO79" i="1" s="1"/>
  <c r="AO80" i="1" a="1"/>
  <c r="AO80" i="1" s="1"/>
  <c r="AO81" i="1" a="1"/>
  <c r="AO81" i="1" s="1"/>
  <c r="AO82" i="1" a="1"/>
  <c r="AO82" i="1" s="1"/>
  <c r="AO83" i="1" a="1"/>
  <c r="AO83" i="1" s="1"/>
  <c r="AO84" i="1" a="1"/>
  <c r="AO84" i="1" s="1"/>
  <c r="AO85" i="1" a="1"/>
  <c r="AO85" i="1" s="1"/>
  <c r="AO86" i="1" a="1"/>
  <c r="AO86" i="1" s="1"/>
  <c r="AO87" i="1" a="1"/>
  <c r="AO87" i="1" s="1"/>
  <c r="AO88" i="1" a="1"/>
  <c r="AO88" i="1" s="1"/>
  <c r="AO89" i="1" a="1"/>
  <c r="AO89" i="1" s="1"/>
  <c r="AO90" i="1" a="1"/>
  <c r="AO90" i="1" s="1"/>
  <c r="AO91" i="1" a="1"/>
  <c r="AO91" i="1" s="1"/>
  <c r="AO92" i="1" a="1"/>
  <c r="AO92" i="1" s="1"/>
  <c r="AO93" i="1" a="1"/>
  <c r="AO93" i="1" s="1"/>
  <c r="AO94" i="1" a="1"/>
  <c r="AO94" i="1" s="1"/>
  <c r="AO95" i="1" a="1"/>
  <c r="AO95" i="1" s="1"/>
  <c r="AO96" i="1" a="1"/>
  <c r="AO96" i="1" s="1"/>
  <c r="AO97" i="1" a="1"/>
  <c r="AO97" i="1" s="1"/>
  <c r="AO98" i="1" a="1"/>
  <c r="AO98" i="1" s="1"/>
  <c r="AO99" i="1" a="1"/>
  <c r="AO99" i="1" s="1"/>
  <c r="AO100" i="1" a="1"/>
  <c r="AO100" i="1" s="1"/>
  <c r="AO101" i="1" a="1"/>
  <c r="AO101" i="1" s="1"/>
  <c r="AO102" i="1" a="1"/>
  <c r="AO102" i="1" s="1"/>
  <c r="AO103" i="1" a="1"/>
  <c r="AO103" i="1" s="1"/>
  <c r="AO104" i="1" a="1"/>
  <c r="AO104" i="1" s="1"/>
  <c r="AO105" i="1" a="1"/>
  <c r="AO105" i="1" s="1"/>
  <c r="AO106" i="1" a="1"/>
  <c r="AO106" i="1" s="1"/>
  <c r="AO107" i="1" a="1"/>
  <c r="AO107" i="1" s="1"/>
  <c r="AO108" i="1" a="1"/>
  <c r="AO108" i="1" s="1"/>
  <c r="AO109" i="1" a="1"/>
  <c r="AO109" i="1" s="1"/>
  <c r="AO110" i="1" a="1"/>
  <c r="AO110" i="1" s="1"/>
  <c r="AO111" i="1" a="1"/>
  <c r="AO111" i="1" s="1"/>
  <c r="AO112" i="1" a="1"/>
  <c r="AO112" i="1" s="1"/>
  <c r="AO113" i="1" a="1"/>
  <c r="AO113" i="1" s="1"/>
  <c r="AO114" i="1" a="1"/>
  <c r="AO114" i="1" s="1"/>
  <c r="AO115" i="1" a="1"/>
  <c r="AO115" i="1" s="1"/>
  <c r="AO116" i="1" a="1"/>
  <c r="AO116" i="1" s="1"/>
  <c r="AO117" i="1" a="1"/>
  <c r="AO117" i="1" s="1"/>
  <c r="AO118" i="1" a="1"/>
  <c r="AO118" i="1" s="1"/>
  <c r="AO119" i="1" a="1"/>
  <c r="AO119" i="1" s="1"/>
  <c r="AO120" i="1" a="1"/>
  <c r="AO120" i="1" s="1"/>
  <c r="AO121" i="1" a="1"/>
  <c r="AO121" i="1" s="1"/>
  <c r="AO122" i="1" a="1"/>
  <c r="AO122" i="1" s="1"/>
  <c r="AO123" i="1" a="1"/>
  <c r="AO123" i="1" s="1"/>
  <c r="AO124" i="1" a="1"/>
  <c r="AO124" i="1" s="1"/>
  <c r="AO125" i="1" a="1"/>
  <c r="AO125" i="1" s="1"/>
  <c r="AO126" i="1" a="1"/>
  <c r="AO126" i="1" s="1"/>
  <c r="AO127" i="1" a="1"/>
  <c r="AO127" i="1" s="1"/>
  <c r="AO128" i="1" a="1"/>
  <c r="AO128" i="1" s="1"/>
  <c r="AO129" i="1" a="1"/>
  <c r="AO129" i="1" s="1"/>
  <c r="AO130" i="1" a="1"/>
  <c r="AO130" i="1" s="1"/>
  <c r="AO131" i="1" a="1"/>
  <c r="AO131" i="1" s="1"/>
  <c r="AO132" i="1" a="1"/>
  <c r="AO132" i="1" s="1"/>
  <c r="AO133" i="1" a="1"/>
  <c r="AO133" i="1" s="1"/>
  <c r="AO134" i="1" a="1"/>
  <c r="AO134" i="1" s="1"/>
  <c r="AO135" i="1" a="1"/>
  <c r="AO135" i="1" s="1"/>
  <c r="AO136" i="1" a="1"/>
  <c r="AO136" i="1" s="1"/>
  <c r="AO137" i="1" a="1"/>
  <c r="AO137" i="1" s="1"/>
  <c r="AO138" i="1" a="1"/>
  <c r="AO138" i="1" s="1"/>
  <c r="AO139" i="1" a="1"/>
  <c r="AO139" i="1" s="1"/>
  <c r="AO140" i="1" a="1"/>
  <c r="AO140" i="1" s="1"/>
  <c r="AO141" i="1" a="1"/>
  <c r="AO141" i="1" s="1"/>
  <c r="AO142" i="1" a="1"/>
  <c r="AO142" i="1" s="1"/>
  <c r="AO143" i="1" a="1"/>
  <c r="AO143" i="1" s="1"/>
  <c r="AO144" i="1" a="1"/>
  <c r="AO144" i="1" s="1"/>
  <c r="AO145" i="1" a="1"/>
  <c r="AO145" i="1" s="1"/>
  <c r="AO146" i="1" a="1"/>
  <c r="AO146" i="1" s="1"/>
  <c r="AO147" i="1" a="1"/>
  <c r="AO147" i="1" s="1"/>
  <c r="AO148" i="1" a="1"/>
  <c r="AO148" i="1" s="1"/>
  <c r="AO149" i="1" a="1"/>
  <c r="AO149" i="1" s="1"/>
  <c r="AO150" i="1" a="1"/>
  <c r="AO150" i="1" s="1"/>
  <c r="AO151" i="1" a="1"/>
  <c r="AO151" i="1" s="1"/>
  <c r="AO152" i="1" a="1"/>
  <c r="AO152" i="1" s="1"/>
  <c r="AO153" i="1" a="1"/>
  <c r="AO153" i="1" s="1"/>
  <c r="AO154" i="1" a="1"/>
  <c r="AO154" i="1" s="1"/>
  <c r="AO155" i="1" a="1"/>
  <c r="AO155" i="1" s="1"/>
  <c r="AO156" i="1" a="1"/>
  <c r="AO156" i="1" s="1"/>
  <c r="AO157" i="1" a="1"/>
  <c r="AO157" i="1" s="1"/>
  <c r="AO158" i="1" a="1"/>
  <c r="AO158" i="1" s="1"/>
  <c r="AO159" i="1" a="1"/>
  <c r="AO159" i="1" s="1"/>
  <c r="AO160" i="1" a="1"/>
  <c r="AO160" i="1" s="1"/>
  <c r="AO161" i="1" a="1"/>
  <c r="AO161" i="1" s="1"/>
  <c r="AO162" i="1" a="1"/>
  <c r="AO162" i="1" s="1"/>
  <c r="AO163" i="1" a="1"/>
  <c r="AO163" i="1" s="1"/>
  <c r="AO164" i="1" a="1"/>
  <c r="AO164" i="1" s="1"/>
  <c r="AO165" i="1" a="1"/>
  <c r="AO165" i="1" s="1"/>
  <c r="AO166" i="1" a="1"/>
  <c r="AO166" i="1" s="1"/>
  <c r="AO167" i="1" a="1"/>
  <c r="AO167" i="1" s="1"/>
  <c r="AO168" i="1" a="1"/>
  <c r="AO168" i="1" s="1"/>
  <c r="AO169" i="1" a="1"/>
  <c r="AO169" i="1" s="1"/>
  <c r="AO170" i="1" a="1"/>
  <c r="AO170" i="1" s="1"/>
  <c r="AO171" i="1" a="1"/>
  <c r="AO171" i="1" s="1"/>
  <c r="AO172" i="1" a="1"/>
  <c r="AO172" i="1" s="1"/>
  <c r="AO173" i="1" a="1"/>
  <c r="AO173" i="1" s="1"/>
  <c r="AO174" i="1" a="1"/>
  <c r="AO174" i="1" s="1"/>
  <c r="AO175" i="1" a="1"/>
  <c r="AO175" i="1" s="1"/>
  <c r="AO176" i="1" a="1"/>
  <c r="AO176" i="1" s="1"/>
  <c r="AO177" i="1" a="1"/>
  <c r="AO177" i="1" s="1"/>
  <c r="AO178" i="1" a="1"/>
  <c r="AO178" i="1" s="1"/>
  <c r="AO179" i="1" a="1"/>
  <c r="AO179" i="1" s="1"/>
  <c r="AO180" i="1" a="1"/>
  <c r="AO180" i="1" s="1"/>
  <c r="AO181" i="1" a="1"/>
  <c r="AO181" i="1" s="1"/>
  <c r="AO182" i="1" a="1"/>
  <c r="AO182" i="1" s="1"/>
  <c r="AO183" i="1" a="1"/>
  <c r="AO183" i="1" s="1"/>
  <c r="AO184" i="1" a="1"/>
  <c r="AO184" i="1" s="1"/>
  <c r="AO185" i="1" a="1"/>
  <c r="AO185" i="1" s="1"/>
  <c r="AO186" i="1" a="1"/>
  <c r="AO186" i="1" s="1"/>
  <c r="AO187" i="1" a="1"/>
  <c r="AO187" i="1" s="1"/>
  <c r="AO188" i="1" a="1"/>
  <c r="AO188" i="1" s="1"/>
  <c r="AO189" i="1" a="1"/>
  <c r="AO189" i="1" s="1"/>
  <c r="AO190" i="1" a="1"/>
  <c r="AO190" i="1" s="1"/>
  <c r="AO191" i="1" a="1"/>
  <c r="AO191" i="1" s="1"/>
  <c r="AO192" i="1" a="1"/>
  <c r="AO192" i="1" s="1"/>
  <c r="AO193" i="1" a="1"/>
  <c r="AO193" i="1" s="1"/>
  <c r="AO194" i="1" a="1"/>
  <c r="AO194" i="1" s="1"/>
  <c r="AO195" i="1" a="1"/>
  <c r="AO195" i="1" s="1"/>
  <c r="AO196" i="1" a="1"/>
  <c r="AO196" i="1" s="1"/>
  <c r="AO197" i="1" a="1"/>
  <c r="AO197" i="1" s="1"/>
  <c r="AO198" i="1" a="1"/>
  <c r="AO198" i="1" s="1"/>
  <c r="AO199" i="1" a="1"/>
  <c r="AO199" i="1" s="1"/>
  <c r="AO200" i="1" a="1"/>
  <c r="AO200" i="1" s="1"/>
  <c r="AO201" i="1" a="1"/>
  <c r="AO201" i="1" s="1"/>
  <c r="AO202" i="1" a="1"/>
  <c r="AO202" i="1" s="1"/>
  <c r="AO203" i="1" a="1"/>
  <c r="AO203" i="1" s="1"/>
  <c r="AO204" i="1" a="1"/>
  <c r="AO204" i="1" s="1"/>
  <c r="AO205" i="1" a="1"/>
  <c r="AO205" i="1" s="1"/>
  <c r="AO206" i="1" a="1"/>
  <c r="AO206" i="1" s="1"/>
  <c r="AO207" i="1" a="1"/>
  <c r="AO207" i="1" s="1"/>
  <c r="AO208" i="1" a="1"/>
  <c r="AO208" i="1" s="1"/>
  <c r="AO209" i="1" a="1"/>
  <c r="AO209" i="1" s="1"/>
  <c r="AO210" i="1" a="1"/>
  <c r="AO210" i="1" s="1"/>
  <c r="AO211" i="1" a="1"/>
  <c r="AO211" i="1" s="1"/>
  <c r="AO212" i="1" a="1"/>
  <c r="AO212" i="1" s="1"/>
  <c r="AO213" i="1" a="1"/>
  <c r="AO213" i="1" s="1"/>
  <c r="AO214" i="1" a="1"/>
  <c r="AO214" i="1" s="1"/>
  <c r="AO215" i="1" a="1"/>
  <c r="AO215" i="1" s="1"/>
  <c r="AO216" i="1" a="1"/>
  <c r="AO216" i="1" s="1"/>
  <c r="AO217" i="1" a="1"/>
  <c r="AO217" i="1" s="1"/>
  <c r="AO218" i="1" a="1"/>
  <c r="AO218" i="1" s="1"/>
  <c r="AO219" i="1" a="1"/>
  <c r="AO219" i="1" s="1"/>
  <c r="AO220" i="1" a="1"/>
  <c r="AO220" i="1" s="1"/>
  <c r="AO221" i="1" a="1"/>
  <c r="AO221" i="1" s="1"/>
  <c r="AO222" i="1" a="1"/>
  <c r="AO222" i="1" s="1"/>
  <c r="AO223" i="1" a="1"/>
  <c r="AO223" i="1" s="1"/>
  <c r="AO224" i="1" a="1"/>
  <c r="AO224" i="1" s="1"/>
  <c r="AO225" i="1" a="1"/>
  <c r="AO225" i="1" s="1"/>
  <c r="AO226" i="1" a="1"/>
  <c r="AO226" i="1" s="1"/>
  <c r="AO227" i="1" a="1"/>
  <c r="AO227" i="1" s="1"/>
  <c r="AO228" i="1" a="1"/>
  <c r="AO228" i="1" s="1"/>
  <c r="AO229" i="1" a="1"/>
  <c r="AO229" i="1" s="1"/>
  <c r="AO230" i="1" a="1"/>
  <c r="AO230" i="1" s="1"/>
  <c r="AO231" i="1" a="1"/>
  <c r="AO231" i="1" s="1"/>
  <c r="AO232" i="1" a="1"/>
  <c r="AO232" i="1" s="1"/>
  <c r="AO233" i="1" a="1"/>
  <c r="AO233" i="1" s="1"/>
  <c r="AO234" i="1" a="1"/>
  <c r="AO234" i="1" s="1"/>
  <c r="AO235" i="1" a="1"/>
  <c r="AO235" i="1" s="1"/>
  <c r="AO236" i="1" a="1"/>
  <c r="AO236" i="1" s="1"/>
  <c r="AO237" i="1" a="1"/>
  <c r="AO237" i="1" s="1"/>
  <c r="AO238" i="1" a="1"/>
  <c r="AO238" i="1" s="1"/>
  <c r="AO239" i="1" a="1"/>
  <c r="AO239" i="1" s="1"/>
  <c r="AO240" i="1" a="1"/>
  <c r="AO240" i="1" s="1"/>
  <c r="AO241" i="1" a="1"/>
  <c r="AO241" i="1" s="1"/>
  <c r="AO242" i="1" a="1"/>
  <c r="AO242" i="1" s="1"/>
  <c r="AO243" i="1" a="1"/>
  <c r="AO243" i="1" s="1"/>
  <c r="AO244" i="1" a="1"/>
  <c r="AO244" i="1" s="1"/>
  <c r="AO245" i="1" a="1"/>
  <c r="AO245" i="1" s="1"/>
  <c r="AO246" i="1" a="1"/>
  <c r="AO246" i="1" s="1"/>
  <c r="AO247" i="1" a="1"/>
  <c r="AO247" i="1" s="1"/>
  <c r="AO248" i="1" a="1"/>
  <c r="AO248" i="1" s="1"/>
  <c r="AO249" i="1" a="1"/>
  <c r="AO249" i="1" s="1"/>
  <c r="AO250" i="1" a="1"/>
  <c r="AO250" i="1" s="1"/>
  <c r="AO251" i="1" a="1"/>
  <c r="AO251" i="1" s="1"/>
  <c r="AO252" i="1" a="1"/>
  <c r="AO252" i="1" s="1"/>
  <c r="AO253" i="1" a="1"/>
  <c r="AO253" i="1" s="1"/>
  <c r="AO254" i="1" a="1"/>
  <c r="AO254" i="1" s="1"/>
  <c r="AO255" i="1" a="1"/>
  <c r="AO255" i="1" s="1"/>
  <c r="AO256" i="1" a="1"/>
  <c r="AO256" i="1" s="1"/>
  <c r="AO257" i="1" a="1"/>
  <c r="AO257" i="1" s="1"/>
  <c r="AO258" i="1" a="1"/>
  <c r="AO258" i="1" s="1"/>
  <c r="AO259" i="1" a="1"/>
  <c r="AO259" i="1" s="1"/>
  <c r="AO260" i="1" a="1"/>
  <c r="AO260" i="1" s="1"/>
  <c r="AO261" i="1" a="1"/>
  <c r="AO261" i="1" s="1"/>
  <c r="AO262" i="1" a="1"/>
  <c r="AO262" i="1" s="1"/>
  <c r="AO263" i="1" a="1"/>
  <c r="AO263" i="1" s="1"/>
  <c r="AO264" i="1" a="1"/>
  <c r="AO264" i="1" s="1"/>
  <c r="AO265" i="1" a="1"/>
  <c r="AO265" i="1" s="1"/>
  <c r="AO266" i="1" a="1"/>
  <c r="AO266" i="1" s="1"/>
  <c r="AO267" i="1" a="1"/>
  <c r="AO267" i="1" s="1"/>
  <c r="AO268" i="1" a="1"/>
  <c r="AO268" i="1" s="1"/>
  <c r="AO269" i="1" a="1"/>
  <c r="AO269" i="1" s="1"/>
  <c r="AO270" i="1" a="1"/>
  <c r="AO270" i="1" s="1"/>
  <c r="AO271" i="1" a="1"/>
  <c r="AO271" i="1" s="1"/>
  <c r="AO272" i="1" a="1"/>
  <c r="AO272" i="1" s="1"/>
  <c r="AO273" i="1" a="1"/>
  <c r="AO273" i="1" s="1"/>
  <c r="AO274" i="1" a="1"/>
  <c r="AO274" i="1" s="1"/>
  <c r="AO275" i="1" a="1"/>
  <c r="AO275" i="1" s="1"/>
  <c r="AO276" i="1" a="1"/>
  <c r="AO276" i="1" s="1"/>
  <c r="AO277" i="1" a="1"/>
  <c r="AO277" i="1" s="1"/>
  <c r="AO278" i="1" a="1"/>
  <c r="AO278" i="1" s="1"/>
  <c r="AO279" i="1" a="1"/>
  <c r="AO279" i="1" s="1"/>
  <c r="AO280" i="1" a="1"/>
  <c r="AO280" i="1" s="1"/>
  <c r="AO281" i="1" a="1"/>
  <c r="AO281" i="1" s="1"/>
  <c r="AO282" i="1" a="1"/>
  <c r="AO282" i="1" s="1"/>
  <c r="AO283" i="1" a="1"/>
  <c r="AO283" i="1" s="1"/>
  <c r="AO284" i="1" a="1"/>
  <c r="AO284" i="1" s="1"/>
  <c r="AO285" i="1" a="1"/>
  <c r="AO285" i="1" s="1"/>
  <c r="AO286" i="1" a="1"/>
  <c r="AO286" i="1" s="1"/>
  <c r="AO287" i="1" a="1"/>
  <c r="AO287" i="1" s="1"/>
  <c r="AO288" i="1" a="1"/>
  <c r="AO288" i="1" s="1"/>
  <c r="AO289" i="1" a="1"/>
  <c r="AO289" i="1" s="1"/>
  <c r="AO290" i="1" a="1"/>
  <c r="AO290" i="1" s="1"/>
  <c r="AO291" i="1" a="1"/>
  <c r="AO291" i="1" s="1"/>
  <c r="AO292" i="1" a="1"/>
  <c r="AO292" i="1" s="1"/>
  <c r="AO293" i="1" a="1"/>
  <c r="AO293" i="1" s="1"/>
  <c r="AO294" i="1" a="1"/>
  <c r="AO294" i="1" s="1"/>
  <c r="AO295" i="1" a="1"/>
  <c r="AO295" i="1" s="1"/>
  <c r="AO296" i="1" a="1"/>
  <c r="AO296" i="1" s="1"/>
  <c r="AO297" i="1" a="1"/>
  <c r="AO297" i="1" s="1"/>
  <c r="AO298" i="1" a="1"/>
  <c r="AO298" i="1" s="1"/>
  <c r="AO299" i="1" a="1"/>
  <c r="AO299" i="1" s="1"/>
  <c r="AO300" i="1" a="1"/>
  <c r="AO300" i="1" s="1"/>
  <c r="AO301" i="1" a="1"/>
  <c r="AO301" i="1" s="1"/>
  <c r="AO302" i="1" a="1"/>
  <c r="AO302" i="1" s="1"/>
  <c r="AO303" i="1" a="1"/>
  <c r="AO303" i="1" s="1"/>
  <c r="AO304" i="1" a="1"/>
  <c r="AO304" i="1" s="1"/>
  <c r="AO305" i="1" a="1"/>
  <c r="AO305" i="1" s="1"/>
  <c r="AO306" i="1" a="1"/>
  <c r="AO306" i="1" s="1"/>
  <c r="AO307" i="1" a="1"/>
  <c r="AO307" i="1" s="1"/>
  <c r="AO308" i="1" a="1"/>
  <c r="AO308" i="1" s="1"/>
  <c r="AO309" i="1" a="1"/>
  <c r="AO309" i="1" s="1"/>
  <c r="AO310" i="1" a="1"/>
  <c r="AO310" i="1" s="1"/>
  <c r="AO311" i="1" a="1"/>
  <c r="AO311" i="1" s="1"/>
  <c r="AO312" i="1" a="1"/>
  <c r="AO312" i="1" s="1"/>
  <c r="AO313" i="1" a="1"/>
  <c r="AO313" i="1" s="1"/>
  <c r="AO314" i="1" a="1"/>
  <c r="AO314" i="1" s="1"/>
  <c r="AO315" i="1" a="1"/>
  <c r="AO315" i="1" s="1"/>
  <c r="AO316" i="1" a="1"/>
  <c r="AO316" i="1" s="1"/>
  <c r="AO317" i="1" a="1"/>
  <c r="AO317" i="1" s="1"/>
  <c r="AO318" i="1" a="1"/>
  <c r="AO318" i="1" s="1"/>
  <c r="AO319" i="1" a="1"/>
  <c r="AO319" i="1" s="1"/>
  <c r="AO320" i="1" a="1"/>
  <c r="AO320" i="1" s="1"/>
  <c r="AO321" i="1" a="1"/>
  <c r="AO321" i="1" s="1"/>
  <c r="AO322" i="1" a="1"/>
  <c r="AO322" i="1" s="1"/>
  <c r="AO323" i="1" a="1"/>
  <c r="AO323" i="1" s="1"/>
  <c r="AO324" i="1" a="1"/>
  <c r="AO324" i="1" s="1"/>
  <c r="AO325" i="1" a="1"/>
  <c r="AO325" i="1" s="1"/>
  <c r="AO326" i="1" a="1"/>
  <c r="AO326" i="1" s="1"/>
  <c r="AO327" i="1" a="1"/>
  <c r="AO327" i="1" s="1"/>
  <c r="AO328" i="1" a="1"/>
  <c r="AO328" i="1" s="1"/>
  <c r="AO329" i="1" a="1"/>
  <c r="AO329" i="1" s="1"/>
  <c r="AO330" i="1" a="1"/>
  <c r="AO330" i="1" s="1"/>
  <c r="AO331" i="1" a="1"/>
  <c r="AO331" i="1" s="1"/>
  <c r="AO332" i="1" a="1"/>
  <c r="AO332" i="1" s="1"/>
  <c r="AO333" i="1" a="1"/>
  <c r="AO333" i="1" s="1"/>
  <c r="AO334" i="1" a="1"/>
  <c r="AO334" i="1" s="1"/>
  <c r="AO335" i="1" a="1"/>
  <c r="AO335" i="1" s="1"/>
  <c r="AO336" i="1" a="1"/>
  <c r="AO336" i="1" s="1"/>
  <c r="AO337" i="1" a="1"/>
  <c r="AO337" i="1" s="1"/>
  <c r="AO338" i="1" a="1"/>
  <c r="AO338" i="1" s="1"/>
  <c r="AO339" i="1" a="1"/>
  <c r="AO339" i="1" s="1"/>
  <c r="AO340" i="1" a="1"/>
  <c r="AO340" i="1" s="1"/>
  <c r="AO341" i="1" a="1"/>
  <c r="AO341" i="1" s="1"/>
  <c r="AO342" i="1" a="1"/>
  <c r="AO342" i="1" s="1"/>
  <c r="AO343" i="1" a="1"/>
  <c r="AO343" i="1" s="1"/>
  <c r="AO344" i="1" a="1"/>
  <c r="AO344" i="1" s="1"/>
  <c r="AO345" i="1" a="1"/>
  <c r="AO345" i="1" s="1"/>
  <c r="AO346" i="1" a="1"/>
  <c r="AO346" i="1" s="1"/>
  <c r="AO347" i="1" a="1"/>
  <c r="AO347" i="1" s="1"/>
  <c r="AO348" i="1" a="1"/>
  <c r="AO348" i="1" s="1"/>
  <c r="AO349" i="1" a="1"/>
  <c r="AO349" i="1" s="1"/>
  <c r="AO350" i="1" a="1"/>
  <c r="AO350" i="1" s="1"/>
  <c r="AO351" i="1" a="1"/>
  <c r="AO351" i="1" s="1"/>
  <c r="AO352" i="1" a="1"/>
  <c r="AO352" i="1" s="1"/>
  <c r="AO353" i="1" a="1"/>
  <c r="AO353" i="1" s="1"/>
  <c r="AO354" i="1" a="1"/>
  <c r="AO354" i="1" s="1"/>
  <c r="AO355" i="1" a="1"/>
  <c r="AO355" i="1" s="1"/>
  <c r="AO356" i="1" a="1"/>
  <c r="AO356" i="1" s="1"/>
  <c r="AO357" i="1" a="1"/>
  <c r="AO357" i="1" s="1"/>
  <c r="AO358" i="1" a="1"/>
  <c r="AO358" i="1" s="1"/>
  <c r="AO359" i="1" a="1"/>
  <c r="AO359" i="1" s="1"/>
  <c r="AO360" i="1" a="1"/>
  <c r="AO360" i="1" s="1"/>
  <c r="AO361" i="1" a="1"/>
  <c r="AO361" i="1" s="1"/>
  <c r="AO362" i="1" a="1"/>
  <c r="AO362" i="1" s="1"/>
  <c r="AO363" i="1" a="1"/>
  <c r="AO363" i="1" s="1"/>
  <c r="AO364" i="1" a="1"/>
  <c r="AO364" i="1" s="1"/>
  <c r="AO365" i="1" a="1"/>
  <c r="AO365" i="1" s="1"/>
  <c r="AO366" i="1" a="1"/>
  <c r="AO366" i="1" s="1"/>
  <c r="AO367" i="1" a="1"/>
  <c r="AO367" i="1" s="1"/>
  <c r="AO368" i="1" a="1"/>
  <c r="AO368" i="1" s="1"/>
  <c r="AO369" i="1" a="1"/>
  <c r="AO369" i="1" s="1"/>
  <c r="AO370" i="1" a="1"/>
  <c r="AO370" i="1" s="1"/>
  <c r="AO371" i="1" a="1"/>
  <c r="AO371" i="1" s="1"/>
  <c r="AO372" i="1" a="1"/>
  <c r="AO372" i="1" s="1"/>
  <c r="AO373" i="1" a="1"/>
  <c r="AO373" i="1" s="1"/>
  <c r="AO374" i="1" a="1"/>
  <c r="AO374" i="1" s="1"/>
  <c r="AO375" i="1" a="1"/>
  <c r="AO375" i="1" s="1"/>
  <c r="AO376" i="1" a="1"/>
  <c r="AO376" i="1" s="1"/>
  <c r="AO377" i="1" a="1"/>
  <c r="AO377" i="1" s="1"/>
  <c r="AO378" i="1" a="1"/>
  <c r="AO378" i="1" s="1"/>
  <c r="AO379" i="1" a="1"/>
  <c r="AO379" i="1" s="1"/>
  <c r="AO380" i="1" a="1"/>
  <c r="AO380" i="1" s="1"/>
  <c r="AO381" i="1" a="1"/>
  <c r="AO381" i="1" s="1"/>
  <c r="AO382" i="1" a="1"/>
  <c r="AO382" i="1" s="1"/>
  <c r="AO383" i="1" a="1"/>
  <c r="AO383" i="1" s="1"/>
  <c r="AO384" i="1" a="1"/>
  <c r="AO384" i="1" s="1"/>
  <c r="AO385" i="1" a="1"/>
  <c r="AO385" i="1" s="1"/>
  <c r="AO386" i="1" a="1"/>
  <c r="AO386" i="1" s="1"/>
  <c r="AO387" i="1" a="1"/>
  <c r="AO387" i="1" s="1"/>
  <c r="AO388" i="1" a="1"/>
  <c r="AO388" i="1" s="1"/>
  <c r="AO389" i="1" a="1"/>
  <c r="AO389" i="1" s="1"/>
  <c r="AO390" i="1" a="1"/>
  <c r="AO390" i="1" s="1"/>
  <c r="AO391" i="1" a="1"/>
  <c r="AO391" i="1" s="1"/>
  <c r="AO392" i="1" a="1"/>
  <c r="AO392" i="1" s="1"/>
  <c r="AO393" i="1" a="1"/>
  <c r="AO393" i="1" s="1"/>
  <c r="AO394" i="1" a="1"/>
  <c r="AO394" i="1" s="1"/>
  <c r="AO395" i="1" a="1"/>
  <c r="AO395" i="1" s="1"/>
  <c r="AO396" i="1" a="1"/>
  <c r="AO396" i="1" s="1"/>
  <c r="AO397" i="1" a="1"/>
  <c r="AO397" i="1" s="1"/>
  <c r="AO398" i="1" a="1"/>
  <c r="AO398" i="1" s="1"/>
  <c r="AO399" i="1" a="1"/>
  <c r="AO399" i="1" s="1"/>
  <c r="AO400" i="1" a="1"/>
  <c r="AO400" i="1" s="1"/>
  <c r="AO401" i="1" a="1"/>
  <c r="AO401" i="1" s="1"/>
  <c r="AO402" i="1" a="1"/>
  <c r="AO402" i="1" s="1"/>
  <c r="AO403" i="1" a="1"/>
  <c r="AO403" i="1" s="1"/>
  <c r="AO404" i="1" a="1"/>
  <c r="AO404" i="1" s="1"/>
  <c r="AO405" i="1" a="1"/>
  <c r="AO405" i="1" s="1"/>
  <c r="AO406" i="1" a="1"/>
  <c r="AO406" i="1" s="1"/>
  <c r="AO407" i="1" a="1"/>
  <c r="AO407" i="1" s="1"/>
  <c r="AO408" i="1" a="1"/>
  <c r="AO408" i="1" s="1"/>
  <c r="AO409" i="1" a="1"/>
  <c r="AO409" i="1" s="1"/>
  <c r="AO410" i="1" a="1"/>
  <c r="AO410" i="1" s="1"/>
  <c r="AO411" i="1" a="1"/>
  <c r="AO411" i="1" s="1"/>
  <c r="AO412" i="1" a="1"/>
  <c r="AO412" i="1" s="1"/>
  <c r="AO413" i="1" a="1"/>
  <c r="AO413" i="1" s="1"/>
  <c r="AO414" i="1" a="1"/>
  <c r="AO414" i="1" s="1"/>
  <c r="AO415" i="1" a="1"/>
  <c r="AO415" i="1" s="1"/>
  <c r="AO416" i="1" a="1"/>
  <c r="AO416" i="1" s="1"/>
  <c r="AO417" i="1" a="1"/>
  <c r="AO417" i="1" s="1"/>
  <c r="AO418" i="1" a="1"/>
  <c r="AO418" i="1" s="1"/>
  <c r="AO419" i="1" a="1"/>
  <c r="AO419" i="1" s="1"/>
  <c r="AO420" i="1" a="1"/>
  <c r="AO420" i="1" s="1"/>
  <c r="AO421" i="1" a="1"/>
  <c r="AO421" i="1" s="1"/>
  <c r="AO422" i="1" a="1"/>
  <c r="AO422" i="1" s="1"/>
  <c r="AO423" i="1" a="1"/>
  <c r="AO423" i="1" s="1"/>
  <c r="AO424" i="1" a="1"/>
  <c r="AO424" i="1" s="1"/>
  <c r="AO425" i="1" a="1"/>
  <c r="AO425" i="1" s="1"/>
  <c r="AO426" i="1" a="1"/>
  <c r="AO426" i="1" s="1"/>
  <c r="AO427" i="1" a="1"/>
  <c r="AO427" i="1" s="1"/>
  <c r="AO428" i="1" a="1"/>
  <c r="AO428" i="1" s="1"/>
  <c r="AO429" i="1" a="1"/>
  <c r="AO429" i="1" s="1"/>
  <c r="AO430" i="1" a="1"/>
  <c r="AO430" i="1" s="1"/>
  <c r="AO431" i="1" a="1"/>
  <c r="AO431" i="1" s="1"/>
  <c r="AO432" i="1" a="1"/>
  <c r="AO432" i="1" s="1"/>
  <c r="AO433" i="1" a="1"/>
  <c r="AO433" i="1" s="1"/>
  <c r="AO434" i="1" a="1"/>
  <c r="AO434" i="1" s="1"/>
  <c r="AO435" i="1" a="1"/>
  <c r="AO435" i="1" s="1"/>
  <c r="AO436" i="1" a="1"/>
  <c r="AO436" i="1" s="1"/>
  <c r="AO437" i="1" a="1"/>
  <c r="AO437" i="1" s="1"/>
  <c r="AO438" i="1" a="1"/>
  <c r="AO438" i="1" s="1"/>
  <c r="AO439" i="1" a="1"/>
  <c r="AO439" i="1" s="1"/>
  <c r="AO440" i="1" a="1"/>
  <c r="AO440" i="1" s="1"/>
  <c r="AO441" i="1" a="1"/>
  <c r="AO441" i="1" s="1"/>
  <c r="AO442" i="1" a="1"/>
  <c r="AO442" i="1" s="1"/>
  <c r="AO443" i="1" a="1"/>
  <c r="AO443" i="1" s="1"/>
  <c r="AO444" i="1" a="1"/>
  <c r="AO444" i="1" s="1"/>
  <c r="AO445" i="1" a="1"/>
  <c r="AO445" i="1" s="1"/>
  <c r="AO446" i="1" a="1"/>
  <c r="AO446" i="1" s="1"/>
  <c r="AO447" i="1" a="1"/>
  <c r="AO447" i="1" s="1"/>
  <c r="AO448" i="1" a="1"/>
  <c r="AO448" i="1" s="1"/>
  <c r="AO449" i="1" a="1"/>
  <c r="AO449" i="1" s="1"/>
  <c r="AO450" i="1" a="1"/>
  <c r="AO450" i="1" s="1"/>
  <c r="AO451" i="1" a="1"/>
  <c r="AO451" i="1" s="1"/>
  <c r="AO452" i="1" a="1"/>
  <c r="AO452" i="1" s="1"/>
  <c r="AO453" i="1" a="1"/>
  <c r="AO453" i="1" s="1"/>
  <c r="AO454" i="1" a="1"/>
  <c r="AO454" i="1" s="1"/>
  <c r="AO455" i="1" a="1"/>
  <c r="AO455" i="1" s="1"/>
  <c r="AO456" i="1" a="1"/>
  <c r="AO456" i="1" s="1"/>
  <c r="AO457" i="1" a="1"/>
  <c r="AO457" i="1" s="1"/>
  <c r="AO458" i="1" a="1"/>
  <c r="AO458" i="1" s="1"/>
  <c r="AO459" i="1" a="1"/>
  <c r="AO459" i="1" s="1"/>
  <c r="AO460" i="1" a="1"/>
  <c r="AO460" i="1" s="1"/>
  <c r="AO461" i="1" a="1"/>
  <c r="AO461" i="1" s="1"/>
  <c r="AO462" i="1" a="1"/>
  <c r="AO462" i="1" s="1"/>
  <c r="AO463" i="1" a="1"/>
  <c r="AO463" i="1" s="1"/>
  <c r="AO464" i="1" a="1"/>
  <c r="AO464" i="1" s="1"/>
  <c r="AO465" i="1" a="1"/>
  <c r="AO465" i="1" s="1"/>
  <c r="AO466" i="1" a="1"/>
  <c r="AO466" i="1" s="1"/>
  <c r="AO467" i="1" a="1"/>
  <c r="AO467" i="1" s="1"/>
  <c r="AO468" i="1" a="1"/>
  <c r="AO468" i="1" s="1"/>
  <c r="AO469" i="1" a="1"/>
  <c r="AO469" i="1" s="1"/>
  <c r="AO470" i="1" a="1"/>
  <c r="AO470" i="1" s="1"/>
  <c r="AO471" i="1" a="1"/>
  <c r="AO471" i="1" s="1"/>
  <c r="AO472" i="1" a="1"/>
  <c r="AO472" i="1" s="1"/>
  <c r="AO473" i="1" a="1"/>
  <c r="AO473" i="1" s="1"/>
  <c r="AO474" i="1" a="1"/>
  <c r="AO474" i="1" s="1"/>
  <c r="AO475" i="1" a="1"/>
  <c r="AO475" i="1" s="1"/>
  <c r="AO476" i="1" a="1"/>
  <c r="AO476" i="1" s="1"/>
  <c r="AO477" i="1" a="1"/>
  <c r="AO477" i="1" s="1"/>
  <c r="AO478" i="1" a="1"/>
  <c r="AO478" i="1" s="1"/>
  <c r="AO479" i="1" a="1"/>
  <c r="AO479" i="1" s="1"/>
  <c r="AO480" i="1" a="1"/>
  <c r="AO480" i="1" s="1"/>
  <c r="AO481" i="1" a="1"/>
  <c r="AO481" i="1" s="1"/>
  <c r="AO482" i="1" a="1"/>
  <c r="AO482" i="1" s="1"/>
  <c r="AO483" i="1" a="1"/>
  <c r="AO483" i="1" s="1"/>
  <c r="AO484" i="1" a="1"/>
  <c r="AO484" i="1" s="1"/>
  <c r="AO485" i="1" a="1"/>
  <c r="AO485" i="1" s="1"/>
  <c r="AO486" i="1" a="1"/>
  <c r="AO486" i="1" s="1"/>
  <c r="AO487" i="1" a="1"/>
  <c r="AO487" i="1" s="1"/>
  <c r="AO488" i="1" a="1"/>
  <c r="AO488" i="1" s="1"/>
  <c r="AO489" i="1" a="1"/>
  <c r="AO489" i="1" s="1"/>
  <c r="AO490" i="1" a="1"/>
  <c r="AO490" i="1" s="1"/>
  <c r="AO491" i="1" a="1"/>
  <c r="AO491" i="1" s="1"/>
  <c r="AO492" i="1" a="1"/>
  <c r="AO492" i="1" s="1"/>
  <c r="AO493" i="1" a="1"/>
  <c r="AO493" i="1" s="1"/>
  <c r="AO494" i="1" a="1"/>
  <c r="AO494" i="1" s="1"/>
  <c r="AO495" i="1" a="1"/>
  <c r="AO495" i="1" s="1"/>
  <c r="AO496" i="1" a="1"/>
  <c r="AO496" i="1" s="1"/>
  <c r="AO497" i="1" a="1"/>
  <c r="AO497" i="1" s="1"/>
  <c r="AO498" i="1" a="1"/>
  <c r="AO498" i="1" s="1"/>
  <c r="AO499" i="1" a="1"/>
  <c r="AO499" i="1" s="1"/>
  <c r="AO500" i="1" a="1"/>
  <c r="AO500" i="1" s="1"/>
  <c r="AO501" i="1" a="1"/>
  <c r="AO501" i="1" s="1"/>
  <c r="AO502" i="1" a="1"/>
  <c r="AO502" i="1" s="1"/>
  <c r="AO503" i="1" a="1"/>
  <c r="AO503" i="1" s="1"/>
  <c r="AO504" i="1" a="1"/>
  <c r="AO504" i="1" s="1"/>
  <c r="AO505" i="1" a="1"/>
  <c r="AO505" i="1" s="1"/>
  <c r="AO506" i="1" a="1"/>
  <c r="AO506" i="1" s="1"/>
  <c r="AO507" i="1" a="1"/>
  <c r="AO507" i="1" s="1"/>
  <c r="AO508" i="1" a="1"/>
  <c r="AO508" i="1" s="1"/>
  <c r="AO509" i="1" a="1"/>
  <c r="AO509" i="1" s="1"/>
  <c r="AO510" i="1" a="1"/>
  <c r="AO510" i="1" s="1"/>
  <c r="AO511" i="1" a="1"/>
  <c r="AO511" i="1" s="1"/>
  <c r="AO512" i="1" a="1"/>
  <c r="AO512" i="1" s="1"/>
  <c r="AO513" i="1" a="1"/>
  <c r="AO513" i="1" s="1"/>
  <c r="AO514" i="1" a="1"/>
  <c r="AO514" i="1" s="1"/>
  <c r="AO515" i="1" a="1"/>
  <c r="AO515" i="1" s="1"/>
  <c r="AO516" i="1" a="1"/>
  <c r="AO516" i="1" s="1"/>
  <c r="AO517" i="1" a="1"/>
  <c r="AO517" i="1" s="1"/>
  <c r="AO518" i="1" a="1"/>
  <c r="AO518" i="1" s="1"/>
  <c r="AO519" i="1" a="1"/>
  <c r="AO519" i="1" s="1"/>
  <c r="AO520" i="1" a="1"/>
  <c r="AO520" i="1" s="1"/>
  <c r="AO521" i="1" a="1"/>
  <c r="AO521" i="1" s="1"/>
  <c r="AO522" i="1" a="1"/>
  <c r="AO522" i="1" s="1"/>
  <c r="AO523" i="1" a="1"/>
  <c r="AO523" i="1" s="1"/>
  <c r="AO524" i="1" a="1"/>
  <c r="AO524" i="1" s="1"/>
  <c r="AO525" i="1" a="1"/>
  <c r="AO525" i="1" s="1"/>
  <c r="AO526" i="1" a="1"/>
  <c r="AO526" i="1" s="1"/>
  <c r="AO527" i="1" a="1"/>
  <c r="AO527" i="1" s="1"/>
  <c r="AO528" i="1" a="1"/>
  <c r="AO528" i="1" s="1"/>
  <c r="AO529" i="1" a="1"/>
  <c r="AO529" i="1" s="1"/>
  <c r="AO530" i="1" a="1"/>
  <c r="AO530" i="1" s="1"/>
  <c r="AO531" i="1" a="1"/>
  <c r="AO531" i="1" s="1"/>
  <c r="AO532" i="1" a="1"/>
  <c r="AO532" i="1" s="1"/>
  <c r="AO533" i="1" a="1"/>
  <c r="AO533" i="1" s="1"/>
  <c r="AO534" i="1" a="1"/>
  <c r="AO534" i="1" s="1"/>
  <c r="AO535" i="1" a="1"/>
  <c r="AO535" i="1" s="1"/>
  <c r="AO536" i="1" a="1"/>
  <c r="AO536" i="1" s="1"/>
  <c r="AO537" i="1" a="1"/>
  <c r="AO537" i="1" s="1"/>
  <c r="AO538" i="1" a="1"/>
  <c r="AO538" i="1" s="1"/>
  <c r="AO539" i="1" a="1"/>
  <c r="AO539" i="1" s="1"/>
  <c r="AO540" i="1" a="1"/>
  <c r="AO540" i="1" s="1"/>
  <c r="AO541" i="1" a="1"/>
  <c r="AO541" i="1" s="1"/>
  <c r="AO542" i="1" a="1"/>
  <c r="AO542" i="1" s="1"/>
  <c r="AO543" i="1" a="1"/>
  <c r="AO543" i="1" s="1"/>
  <c r="AO544" i="1" a="1"/>
  <c r="AO544" i="1" s="1"/>
  <c r="AO545" i="1" a="1"/>
  <c r="AO545" i="1" s="1"/>
  <c r="AO546" i="1" a="1"/>
  <c r="AO546" i="1" s="1"/>
  <c r="AO547" i="1" a="1"/>
  <c r="AO547" i="1" s="1"/>
  <c r="AO548" i="1" a="1"/>
  <c r="AO548" i="1" s="1"/>
  <c r="AO549" i="1" a="1"/>
  <c r="AO549" i="1" s="1"/>
  <c r="AO550" i="1" a="1"/>
  <c r="AO550" i="1" s="1"/>
  <c r="AO551" i="1" a="1"/>
  <c r="AO551" i="1" s="1"/>
  <c r="AO552" i="1" a="1"/>
  <c r="AO552" i="1" s="1"/>
  <c r="AO553" i="1" a="1"/>
  <c r="AO553" i="1" s="1"/>
  <c r="AO554" i="1" a="1"/>
  <c r="AO554" i="1" s="1"/>
  <c r="AO555" i="1" a="1"/>
  <c r="AO555" i="1" s="1"/>
  <c r="AO556" i="1" a="1"/>
  <c r="AO556" i="1" s="1"/>
  <c r="AO557" i="1" a="1"/>
  <c r="AO557" i="1" s="1"/>
  <c r="AO558" i="1" a="1"/>
  <c r="AO558" i="1" s="1"/>
  <c r="AO559" i="1" a="1"/>
  <c r="AO559" i="1" s="1"/>
  <c r="AO560" i="1" a="1"/>
  <c r="AO560" i="1" s="1"/>
  <c r="AO561" i="1" a="1"/>
  <c r="AO561" i="1" s="1"/>
  <c r="AO562" i="1" a="1"/>
  <c r="AO562" i="1" s="1"/>
  <c r="AO563" i="1" a="1"/>
  <c r="AO563" i="1" s="1"/>
  <c r="AO564" i="1" a="1"/>
  <c r="AO564" i="1" s="1"/>
  <c r="AO565" i="1" a="1"/>
  <c r="AO565" i="1" s="1"/>
  <c r="AO566" i="1" a="1"/>
  <c r="AO566" i="1" s="1"/>
  <c r="AO567" i="1" a="1"/>
  <c r="AO567" i="1" s="1"/>
  <c r="AO568" i="1" a="1"/>
  <c r="AO568" i="1" s="1"/>
  <c r="AO569" i="1" a="1"/>
  <c r="AO569" i="1" s="1"/>
  <c r="AO570" i="1" a="1"/>
  <c r="AO570" i="1" s="1"/>
  <c r="AO571" i="1" a="1"/>
  <c r="AO571" i="1" s="1"/>
  <c r="AO572" i="1" a="1"/>
  <c r="AO572" i="1" s="1"/>
  <c r="AO573" i="1" a="1"/>
  <c r="AO573" i="1" s="1"/>
  <c r="AO574" i="1" a="1"/>
  <c r="AO574" i="1" s="1"/>
  <c r="AO575" i="1" a="1"/>
  <c r="AO575" i="1" s="1"/>
  <c r="AO576" i="1" a="1"/>
  <c r="AO576" i="1" s="1"/>
  <c r="AO577" i="1" a="1"/>
  <c r="AO577" i="1" s="1"/>
  <c r="AO578" i="1" a="1"/>
  <c r="AO578" i="1" s="1"/>
  <c r="AO579" i="1" a="1"/>
  <c r="AO579" i="1" s="1"/>
  <c r="AO580" i="1" a="1"/>
  <c r="AO580" i="1" s="1"/>
  <c r="AO581" i="1" a="1"/>
  <c r="AO581" i="1" s="1"/>
  <c r="AO582" i="1" a="1"/>
  <c r="AO582" i="1" s="1"/>
  <c r="AO583" i="1" a="1"/>
  <c r="AO583" i="1" s="1"/>
  <c r="AO584" i="1" a="1"/>
  <c r="AO584" i="1" s="1"/>
  <c r="AO585" i="1" a="1"/>
  <c r="AO585" i="1" s="1"/>
  <c r="AO586" i="1" a="1"/>
  <c r="AO586" i="1" s="1"/>
  <c r="AO587" i="1" a="1"/>
  <c r="AO587" i="1" s="1"/>
  <c r="AO588" i="1" a="1"/>
  <c r="AO588" i="1" s="1"/>
  <c r="AO589" i="1" a="1"/>
  <c r="AO589" i="1" s="1"/>
  <c r="AO590" i="1" a="1"/>
  <c r="AO590" i="1" s="1"/>
  <c r="AO591" i="1" a="1"/>
  <c r="AO591" i="1" s="1"/>
  <c r="AO592" i="1" a="1"/>
  <c r="AO592" i="1" s="1"/>
  <c r="AO593" i="1" a="1"/>
  <c r="AO593" i="1" s="1"/>
  <c r="AO594" i="1" a="1"/>
  <c r="AO594" i="1" s="1"/>
  <c r="AO595" i="1" a="1"/>
  <c r="AO595" i="1" s="1"/>
  <c r="AO596" i="1" a="1"/>
  <c r="AO596" i="1" s="1"/>
  <c r="AO597" i="1" a="1"/>
  <c r="AO597" i="1" s="1"/>
  <c r="AO598" i="1" a="1"/>
  <c r="AO598" i="1" s="1"/>
  <c r="AO599" i="1" a="1"/>
  <c r="AO599" i="1" s="1"/>
  <c r="AO600" i="1" a="1"/>
  <c r="AO600" i="1" s="1"/>
  <c r="AO601" i="1" a="1"/>
  <c r="AO601" i="1" s="1"/>
  <c r="AO602" i="1" a="1"/>
  <c r="AO602" i="1" s="1"/>
  <c r="AO603" i="1" a="1"/>
  <c r="AO603" i="1" s="1"/>
  <c r="AO604" i="1" a="1"/>
  <c r="AO604" i="1" s="1"/>
  <c r="AO605" i="1" a="1"/>
  <c r="AO605" i="1" s="1"/>
  <c r="AO606" i="1" a="1"/>
  <c r="AO606" i="1" s="1"/>
  <c r="AO607" i="1" a="1"/>
  <c r="AO607" i="1" s="1"/>
  <c r="AO608" i="1" a="1"/>
  <c r="AO608" i="1" s="1"/>
  <c r="AO609" i="1" a="1"/>
  <c r="AO609" i="1" s="1"/>
  <c r="AO610" i="1" a="1"/>
  <c r="AO610" i="1" s="1"/>
  <c r="AO611" i="1" a="1"/>
  <c r="AO611" i="1" s="1"/>
  <c r="AO612" i="1" a="1"/>
  <c r="AO612" i="1" s="1"/>
  <c r="AO613" i="1" a="1"/>
  <c r="AO613" i="1" s="1"/>
  <c r="AO614" i="1" a="1"/>
  <c r="AO614" i="1" s="1"/>
  <c r="AO615" i="1" a="1"/>
  <c r="AO615" i="1" s="1"/>
  <c r="AO616" i="1" a="1"/>
  <c r="AO616" i="1" s="1"/>
  <c r="AO617" i="1" a="1"/>
  <c r="AO617" i="1" s="1"/>
  <c r="AO618" i="1" a="1"/>
  <c r="AO618" i="1" s="1"/>
  <c r="AO619" i="1" a="1"/>
  <c r="AO619" i="1" s="1"/>
  <c r="AO620" i="1" a="1"/>
  <c r="AO620" i="1" s="1"/>
  <c r="AO621" i="1" a="1"/>
  <c r="AO621" i="1" s="1"/>
  <c r="AO622" i="1" a="1"/>
  <c r="AO622" i="1" s="1"/>
  <c r="AO623" i="1" a="1"/>
  <c r="AO623" i="1" s="1"/>
  <c r="AO624" i="1" a="1"/>
  <c r="AO624" i="1" s="1"/>
  <c r="AO625" i="1" a="1"/>
  <c r="AO625" i="1" s="1"/>
  <c r="AO626" i="1" a="1"/>
  <c r="AO626" i="1" s="1"/>
  <c r="AO627" i="1" a="1"/>
  <c r="AO627" i="1" s="1"/>
  <c r="AO628" i="1" a="1"/>
  <c r="AO628" i="1" s="1"/>
  <c r="AO629" i="1" a="1"/>
  <c r="AO629" i="1" s="1"/>
  <c r="AO630" i="1" a="1"/>
  <c r="AO630" i="1" s="1"/>
  <c r="AO631" i="1" a="1"/>
  <c r="AO631" i="1" s="1"/>
  <c r="AO632" i="1" a="1"/>
  <c r="AO632" i="1" s="1"/>
  <c r="AO633" i="1" a="1"/>
  <c r="AO633" i="1" s="1"/>
  <c r="AO634" i="1" a="1"/>
  <c r="AO634" i="1" s="1"/>
  <c r="AO635" i="1" a="1"/>
  <c r="AO635" i="1" s="1"/>
  <c r="AO636" i="1" a="1"/>
  <c r="AO636" i="1" s="1"/>
  <c r="AO637" i="1" a="1"/>
  <c r="AO637" i="1" s="1"/>
  <c r="AO638" i="1" a="1"/>
  <c r="AO638" i="1" s="1"/>
  <c r="AO639" i="1" a="1"/>
  <c r="AO639" i="1" s="1"/>
  <c r="AO640" i="1" a="1"/>
  <c r="AO640" i="1" s="1"/>
  <c r="AO641" i="1" a="1"/>
  <c r="AO641" i="1" s="1"/>
  <c r="AO642" i="1" a="1"/>
  <c r="AO642" i="1" s="1"/>
  <c r="AO643" i="1" a="1"/>
  <c r="AO643" i="1" s="1"/>
  <c r="AO644" i="1" a="1"/>
  <c r="AO644" i="1" s="1"/>
  <c r="AO645" i="1" a="1"/>
  <c r="AO645" i="1" s="1"/>
  <c r="AO646" i="1" a="1"/>
  <c r="AO646" i="1" s="1"/>
  <c r="AO647" i="1" a="1"/>
  <c r="AO647" i="1" s="1"/>
  <c r="AO648" i="1" a="1"/>
  <c r="AO648" i="1" s="1"/>
  <c r="AO649" i="1" a="1"/>
  <c r="AO649" i="1" s="1"/>
  <c r="AO650" i="1" a="1"/>
  <c r="AO650" i="1" s="1"/>
  <c r="AO651" i="1" a="1"/>
  <c r="AO651" i="1" s="1"/>
  <c r="AO652" i="1" a="1"/>
  <c r="AO652" i="1" s="1"/>
  <c r="AO653" i="1" a="1"/>
  <c r="AO653" i="1" s="1"/>
  <c r="AO654" i="1" a="1"/>
  <c r="AO654" i="1" s="1"/>
  <c r="AO655" i="1" a="1"/>
  <c r="AO655" i="1" s="1"/>
  <c r="AO656" i="1" a="1"/>
  <c r="AO656" i="1" s="1"/>
  <c r="AO657" i="1" a="1"/>
  <c r="AO657" i="1" s="1"/>
  <c r="AO658" i="1" a="1"/>
  <c r="AO658" i="1" s="1"/>
  <c r="AO659" i="1" a="1"/>
  <c r="AO659" i="1" s="1"/>
  <c r="AO660" i="1" a="1"/>
  <c r="AO660" i="1" s="1"/>
  <c r="AO661" i="1" a="1"/>
  <c r="AO661" i="1" s="1"/>
  <c r="AO662" i="1" a="1"/>
  <c r="AO662" i="1" s="1"/>
  <c r="AO663" i="1" a="1"/>
  <c r="AO663" i="1" s="1"/>
  <c r="AO664" i="1" a="1"/>
  <c r="AO664" i="1" s="1"/>
  <c r="AO665" i="1" a="1"/>
  <c r="AO665" i="1" s="1"/>
  <c r="AO666" i="1" a="1"/>
  <c r="AO666" i="1" s="1"/>
  <c r="AO667" i="1" a="1"/>
  <c r="AO667" i="1" s="1"/>
  <c r="AO668" i="1" a="1"/>
  <c r="AO668" i="1" s="1"/>
  <c r="AO669" i="1" a="1"/>
  <c r="AO669" i="1" s="1"/>
  <c r="AO670" i="1" a="1"/>
  <c r="AO670" i="1" s="1"/>
  <c r="AO671" i="1" a="1"/>
  <c r="AO671" i="1" s="1"/>
  <c r="AO672" i="1" a="1"/>
  <c r="AO672" i="1" s="1"/>
  <c r="AO673" i="1" a="1"/>
  <c r="AO673" i="1" s="1"/>
  <c r="AO674" i="1" a="1"/>
  <c r="AO674" i="1" s="1"/>
  <c r="AO675" i="1" a="1"/>
  <c r="AO675" i="1" s="1"/>
  <c r="AO676" i="1" a="1"/>
  <c r="AO676" i="1" s="1"/>
  <c r="AO677" i="1" a="1"/>
  <c r="AO677" i="1" s="1"/>
  <c r="AO678" i="1" a="1"/>
  <c r="AO678" i="1" s="1"/>
  <c r="AO679" i="1" a="1"/>
  <c r="AO679" i="1" s="1"/>
  <c r="AO680" i="1" a="1"/>
  <c r="AO680" i="1" s="1"/>
  <c r="AO681" i="1" a="1"/>
  <c r="AO681" i="1" s="1"/>
  <c r="AO682" i="1" a="1"/>
  <c r="AO682" i="1" s="1"/>
  <c r="AO683" i="1" a="1"/>
  <c r="AO683" i="1" s="1"/>
  <c r="AO684" i="1" a="1"/>
  <c r="AO684" i="1" s="1"/>
  <c r="AO685" i="1" a="1"/>
  <c r="AO685" i="1" s="1"/>
  <c r="AO686" i="1" a="1"/>
  <c r="AO686" i="1" s="1"/>
  <c r="AO687" i="1" a="1"/>
  <c r="AO687" i="1" s="1"/>
  <c r="AO688" i="1" a="1"/>
  <c r="AO688" i="1" s="1"/>
  <c r="AO689" i="1" a="1"/>
  <c r="AO689" i="1" s="1"/>
  <c r="AO690" i="1" a="1"/>
  <c r="AO690" i="1" s="1"/>
  <c r="AO691" i="1" a="1"/>
  <c r="AO691" i="1" s="1"/>
  <c r="AO692" i="1" a="1"/>
  <c r="AO692" i="1" s="1"/>
  <c r="AO693" i="1" a="1"/>
  <c r="AO693" i="1" s="1"/>
  <c r="AO694" i="1" a="1"/>
  <c r="AO694" i="1" s="1"/>
  <c r="AO695" i="1" a="1"/>
  <c r="AO695" i="1" s="1"/>
  <c r="AO696" i="1" a="1"/>
  <c r="AO696" i="1" s="1"/>
  <c r="AO697" i="1" a="1"/>
  <c r="AO697" i="1" s="1"/>
  <c r="AO698" i="1" a="1"/>
  <c r="AO698" i="1" s="1"/>
  <c r="AO699" i="1" a="1"/>
  <c r="AO699" i="1" s="1"/>
  <c r="AO700" i="1" a="1"/>
  <c r="AO700" i="1" s="1"/>
  <c r="AO701" i="1" a="1"/>
  <c r="AO701" i="1" s="1"/>
  <c r="AO702" i="1" a="1"/>
  <c r="AO702" i="1" s="1"/>
  <c r="AO703" i="1" a="1"/>
  <c r="AO703" i="1" s="1"/>
  <c r="AO704" i="1" a="1"/>
  <c r="AO704" i="1" s="1"/>
  <c r="AO705" i="1" a="1"/>
  <c r="AO705" i="1" s="1"/>
  <c r="AO706" i="1" a="1"/>
  <c r="AO706" i="1" s="1"/>
  <c r="AO707" i="1" a="1"/>
  <c r="AO707" i="1" s="1"/>
  <c r="AO708" i="1" a="1"/>
  <c r="AO708" i="1" s="1"/>
  <c r="AO709" i="1" a="1"/>
  <c r="AO709" i="1" s="1"/>
  <c r="AO710" i="1" a="1"/>
  <c r="AO710" i="1" s="1"/>
  <c r="AO711" i="1" a="1"/>
  <c r="AO711" i="1" s="1"/>
  <c r="AO712" i="1" a="1"/>
  <c r="AO712" i="1" s="1"/>
  <c r="AO713" i="1" a="1"/>
  <c r="AO713" i="1" s="1"/>
  <c r="AO714" i="1" a="1"/>
  <c r="AO714" i="1" s="1"/>
  <c r="AO715" i="1" a="1"/>
  <c r="AO715" i="1" s="1"/>
  <c r="AO716" i="1" a="1"/>
  <c r="AO716" i="1" s="1"/>
  <c r="AO717" i="1" a="1"/>
  <c r="AO717" i="1" s="1"/>
  <c r="AO718" i="1" a="1"/>
  <c r="AO718" i="1" s="1"/>
  <c r="AO719" i="1" a="1"/>
  <c r="AO719" i="1" s="1"/>
  <c r="AO720" i="1" a="1"/>
  <c r="AO720" i="1" s="1"/>
  <c r="AO721" i="1" a="1"/>
  <c r="AO721" i="1" s="1"/>
  <c r="AO722" i="1" a="1"/>
  <c r="AO722" i="1" s="1"/>
  <c r="AO723" i="1" a="1"/>
  <c r="AO723" i="1" s="1"/>
  <c r="AO724" i="1" a="1"/>
  <c r="AO724" i="1" s="1"/>
  <c r="AO725" i="1" a="1"/>
  <c r="AO725" i="1" s="1"/>
  <c r="AO726" i="1" a="1"/>
  <c r="AO726" i="1" s="1"/>
  <c r="AO727" i="1" a="1"/>
  <c r="AO727" i="1" s="1"/>
  <c r="AO728" i="1" a="1"/>
  <c r="AO728" i="1" s="1"/>
  <c r="AO729" i="1" a="1"/>
  <c r="AO729" i="1" s="1"/>
  <c r="AO730" i="1" a="1"/>
  <c r="AO730" i="1" s="1"/>
  <c r="AO731" i="1" a="1"/>
  <c r="AO731" i="1" s="1"/>
  <c r="AO732" i="1" a="1"/>
  <c r="AO732" i="1" s="1"/>
  <c r="AO733" i="1" a="1"/>
  <c r="AO733" i="1" s="1"/>
  <c r="AO734" i="1" a="1"/>
  <c r="AO734" i="1" s="1"/>
  <c r="AO735" i="1" a="1"/>
  <c r="AO735" i="1" s="1"/>
  <c r="AO736" i="1" a="1"/>
  <c r="AO736" i="1" s="1"/>
  <c r="AO737" i="1" a="1"/>
  <c r="AO737" i="1" s="1"/>
  <c r="AO738" i="1" a="1"/>
  <c r="AO738" i="1" s="1"/>
  <c r="AO739" i="1" a="1"/>
  <c r="AO739" i="1" s="1"/>
  <c r="AO740" i="1" a="1"/>
  <c r="AO740" i="1" s="1"/>
  <c r="AO741" i="1" a="1"/>
  <c r="AO741" i="1" s="1"/>
  <c r="AO742" i="1" a="1"/>
  <c r="AO742" i="1" s="1"/>
  <c r="AO743" i="1" a="1"/>
  <c r="AO743" i="1" s="1"/>
  <c r="AO744" i="1" a="1"/>
  <c r="AO744" i="1" s="1"/>
  <c r="AO745" i="1" a="1"/>
  <c r="AO745" i="1" s="1"/>
  <c r="AO746" i="1" a="1"/>
  <c r="AO746" i="1" s="1"/>
  <c r="AO747" i="1" a="1"/>
  <c r="AO747" i="1" s="1"/>
  <c r="AO748" i="1" a="1"/>
  <c r="AO748" i="1" s="1"/>
  <c r="AO749" i="1" a="1"/>
  <c r="AO749" i="1" s="1"/>
  <c r="AO750" i="1" a="1"/>
  <c r="AO750" i="1" s="1"/>
  <c r="AO751" i="1" a="1"/>
  <c r="AO751" i="1" s="1"/>
  <c r="AO752" i="1" a="1"/>
  <c r="AO752" i="1" s="1"/>
  <c r="AO753" i="1" a="1"/>
  <c r="AO753" i="1" s="1"/>
  <c r="AO754" i="1" a="1"/>
  <c r="AO754" i="1" s="1"/>
  <c r="AO755" i="1" a="1"/>
  <c r="AO755" i="1" s="1"/>
  <c r="AO756" i="1" a="1"/>
  <c r="AO756" i="1" s="1"/>
  <c r="AO757" i="1" a="1"/>
  <c r="AO757" i="1" s="1"/>
  <c r="AO758" i="1" a="1"/>
  <c r="AO758" i="1" s="1"/>
  <c r="AO759" i="1" a="1"/>
  <c r="AO759" i="1" s="1"/>
  <c r="AO760" i="1" a="1"/>
  <c r="AO760" i="1" s="1"/>
  <c r="AO761" i="1" a="1"/>
  <c r="AO761" i="1" s="1"/>
  <c r="AO762" i="1" a="1"/>
  <c r="AO762" i="1" s="1"/>
  <c r="AO763" i="1" a="1"/>
  <c r="AO763" i="1" s="1"/>
  <c r="AO764" i="1" a="1"/>
  <c r="AO764" i="1" s="1"/>
  <c r="AO765" i="1" a="1"/>
  <c r="AO765" i="1" s="1"/>
  <c r="AO766" i="1" a="1"/>
  <c r="AO766" i="1" s="1"/>
  <c r="AO767" i="1" a="1"/>
  <c r="AO767" i="1" s="1"/>
  <c r="AO768" i="1" a="1"/>
  <c r="AO768" i="1" s="1"/>
  <c r="AO769" i="1" a="1"/>
  <c r="AO769" i="1" s="1"/>
  <c r="AO770" i="1" a="1"/>
  <c r="AO770" i="1" s="1"/>
  <c r="AO771" i="1" a="1"/>
  <c r="AO771" i="1" s="1"/>
  <c r="AO772" i="1" a="1"/>
  <c r="AO772" i="1" s="1"/>
  <c r="AO773" i="1" a="1"/>
  <c r="AO773" i="1" s="1"/>
  <c r="AO774" i="1" a="1"/>
  <c r="AO774" i="1" s="1"/>
  <c r="AO775" i="1" a="1"/>
  <c r="AO775" i="1" s="1"/>
  <c r="AO776" i="1" a="1"/>
  <c r="AO776" i="1" s="1"/>
  <c r="AO777" i="1" a="1"/>
  <c r="AO777" i="1" s="1"/>
  <c r="AO778" i="1" a="1"/>
  <c r="AO778" i="1" s="1"/>
  <c r="AO779" i="1" a="1"/>
  <c r="AO779" i="1" s="1"/>
  <c r="AO780" i="1" a="1"/>
  <c r="AO780" i="1" s="1"/>
  <c r="AO781" i="1" a="1"/>
  <c r="AO781" i="1" s="1"/>
  <c r="AO782" i="1" a="1"/>
  <c r="AO782" i="1" s="1"/>
  <c r="AO783" i="1" a="1"/>
  <c r="AO783" i="1" s="1"/>
  <c r="AO784" i="1" a="1"/>
  <c r="AO784" i="1" s="1"/>
  <c r="AO785" i="1" a="1"/>
  <c r="AO785" i="1" s="1"/>
  <c r="AO786" i="1" a="1"/>
  <c r="AO786" i="1" s="1"/>
  <c r="AO787" i="1" a="1"/>
  <c r="AO787" i="1" s="1"/>
  <c r="AO788" i="1" a="1"/>
  <c r="AO788" i="1" s="1"/>
  <c r="AO789" i="1" a="1"/>
  <c r="AO789" i="1" s="1"/>
  <c r="AO790" i="1" a="1"/>
  <c r="AO790" i="1" s="1"/>
  <c r="AO791" i="1" a="1"/>
  <c r="AO791" i="1" s="1"/>
  <c r="AO792" i="1" a="1"/>
  <c r="AO792" i="1" s="1"/>
  <c r="AO793" i="1" a="1"/>
  <c r="AO793" i="1" s="1"/>
  <c r="AO794" i="1" a="1"/>
  <c r="AO794" i="1" s="1"/>
  <c r="AO795" i="1" a="1"/>
  <c r="AO795" i="1" s="1"/>
  <c r="AO796" i="1" a="1"/>
  <c r="AO796" i="1" s="1"/>
  <c r="AO797" i="1" a="1"/>
  <c r="AO797" i="1" s="1"/>
  <c r="AO798" i="1" a="1"/>
  <c r="AO798" i="1" s="1"/>
  <c r="AO799" i="1" a="1"/>
  <c r="AO799" i="1" s="1"/>
  <c r="AO800" i="1" a="1"/>
  <c r="AO800" i="1" s="1"/>
  <c r="AO801" i="1" a="1"/>
  <c r="AO801" i="1" s="1"/>
  <c r="AO802" i="1" a="1"/>
  <c r="AO802" i="1" s="1"/>
  <c r="AO803" i="1" a="1"/>
  <c r="AO803" i="1" s="1"/>
  <c r="AO804" i="1" a="1"/>
  <c r="AO804" i="1" s="1"/>
  <c r="AO805" i="1" a="1"/>
  <c r="AO805" i="1" s="1"/>
  <c r="AO806" i="1" a="1"/>
  <c r="AO806" i="1" s="1"/>
  <c r="AO807" i="1" a="1"/>
  <c r="AO807" i="1" s="1"/>
  <c r="AO808" i="1" a="1"/>
  <c r="AO808" i="1" s="1"/>
  <c r="AO809" i="1" a="1"/>
  <c r="AO809" i="1" s="1"/>
  <c r="AO810" i="1" a="1"/>
  <c r="AO810" i="1" s="1"/>
  <c r="AO811" i="1" a="1"/>
  <c r="AO811" i="1" s="1"/>
  <c r="AO812" i="1" a="1"/>
  <c r="AO812" i="1" s="1"/>
  <c r="AO813" i="1" a="1"/>
  <c r="AO813" i="1" s="1"/>
  <c r="AO814" i="1" a="1"/>
  <c r="AO814" i="1" s="1"/>
  <c r="AO815" i="1" a="1"/>
  <c r="AO815" i="1" s="1"/>
  <c r="AO816" i="1" a="1"/>
  <c r="AO816" i="1" s="1"/>
  <c r="AO817" i="1" a="1"/>
  <c r="AO817" i="1" s="1"/>
  <c r="AO818" i="1" a="1"/>
  <c r="AO818" i="1" s="1"/>
  <c r="AO819" i="1" a="1"/>
  <c r="AO819" i="1" s="1"/>
  <c r="AO820" i="1" a="1"/>
  <c r="AO820" i="1" s="1"/>
  <c r="AO821" i="1" a="1"/>
  <c r="AO821" i="1" s="1"/>
  <c r="AO822" i="1" a="1"/>
  <c r="AO822" i="1" s="1"/>
  <c r="AO823" i="1" a="1"/>
  <c r="AO823" i="1" s="1"/>
  <c r="AO824" i="1" a="1"/>
  <c r="AO824" i="1" s="1"/>
  <c r="AO825" i="1" a="1"/>
  <c r="AO825" i="1" s="1"/>
  <c r="AO826" i="1" a="1"/>
  <c r="AO826" i="1" s="1"/>
  <c r="AO827" i="1" a="1"/>
  <c r="AO827" i="1" s="1"/>
  <c r="AO828" i="1" a="1"/>
  <c r="AO828" i="1" s="1"/>
  <c r="AO829" i="1" a="1"/>
  <c r="AO829" i="1" s="1"/>
  <c r="AO830" i="1" a="1"/>
  <c r="AO830" i="1" s="1"/>
  <c r="AO831" i="1" a="1"/>
  <c r="AO831" i="1" s="1"/>
  <c r="AO832" i="1" a="1"/>
  <c r="AO832" i="1" s="1"/>
  <c r="AO833" i="1" a="1"/>
  <c r="AO833" i="1" s="1"/>
  <c r="AO834" i="1" a="1"/>
  <c r="AO834" i="1" s="1"/>
  <c r="AO835" i="1" a="1"/>
  <c r="AO835" i="1" s="1"/>
  <c r="AO836" i="1" a="1"/>
  <c r="AO836" i="1" s="1"/>
  <c r="AO837" i="1" a="1"/>
  <c r="AO837" i="1" s="1"/>
  <c r="AO838" i="1" a="1"/>
  <c r="AO838" i="1" s="1"/>
  <c r="AO839" i="1" a="1"/>
  <c r="AO839" i="1" s="1"/>
  <c r="AO840" i="1" a="1"/>
  <c r="AO840" i="1" s="1"/>
  <c r="AO841" i="1" a="1"/>
  <c r="AO841" i="1" s="1"/>
  <c r="AO842" i="1" a="1"/>
  <c r="AO842" i="1" s="1"/>
  <c r="AO843" i="1" a="1"/>
  <c r="AO843" i="1" s="1"/>
  <c r="AO844" i="1" a="1"/>
  <c r="AO844" i="1" s="1"/>
  <c r="AO845" i="1" a="1"/>
  <c r="AO845" i="1" s="1"/>
  <c r="AO846" i="1" a="1"/>
  <c r="AO846" i="1" s="1"/>
  <c r="AO847" i="1" a="1"/>
  <c r="AO847" i="1" s="1"/>
  <c r="AO848" i="1" a="1"/>
  <c r="AO848" i="1" s="1"/>
  <c r="AO849" i="1" a="1"/>
  <c r="AO849" i="1" s="1"/>
  <c r="AO850" i="1" a="1"/>
  <c r="AO850" i="1" s="1"/>
  <c r="AO851" i="1" a="1"/>
  <c r="AO851" i="1" s="1"/>
  <c r="AO852" i="1" a="1"/>
  <c r="AO852" i="1" s="1"/>
  <c r="AO853" i="1" a="1"/>
  <c r="AO853" i="1" s="1"/>
  <c r="AO854" i="1" a="1"/>
  <c r="AO854" i="1" s="1"/>
  <c r="AO855" i="1" a="1"/>
  <c r="AO855" i="1" s="1"/>
  <c r="AO856" i="1" a="1"/>
  <c r="AO856" i="1" s="1"/>
  <c r="AO857" i="1" a="1"/>
  <c r="AO857" i="1" s="1"/>
  <c r="AO858" i="1" a="1"/>
  <c r="AO858" i="1" s="1"/>
  <c r="AO859" i="1" a="1"/>
  <c r="AO859" i="1" s="1"/>
  <c r="AO860" i="1" a="1"/>
  <c r="AO860" i="1" s="1"/>
  <c r="AO861" i="1" a="1"/>
  <c r="AO861" i="1" s="1"/>
  <c r="AO862" i="1" a="1"/>
  <c r="AO862" i="1" s="1"/>
  <c r="AO863" i="1" a="1"/>
  <c r="AO863" i="1" s="1"/>
  <c r="AO864" i="1" a="1"/>
  <c r="AO864" i="1" s="1"/>
  <c r="AO865" i="1" a="1"/>
  <c r="AO865" i="1" s="1"/>
  <c r="AO866" i="1" a="1"/>
  <c r="AO866" i="1" s="1"/>
  <c r="AO867" i="1" a="1"/>
  <c r="AO867" i="1" s="1"/>
  <c r="AO868" i="1" a="1"/>
  <c r="AO868" i="1" s="1"/>
  <c r="AO869" i="1" a="1"/>
  <c r="AO869" i="1" s="1"/>
  <c r="AO870" i="1" a="1"/>
  <c r="AO870" i="1" s="1"/>
  <c r="AO871" i="1" a="1"/>
  <c r="AO871" i="1" s="1"/>
  <c r="AO872" i="1" a="1"/>
  <c r="AO872" i="1" s="1"/>
  <c r="AO873" i="1" a="1"/>
  <c r="AO873" i="1" s="1"/>
  <c r="AO874" i="1" a="1"/>
  <c r="AO874" i="1" s="1"/>
  <c r="AO875" i="1" a="1"/>
  <c r="AO875" i="1" s="1"/>
  <c r="AO876" i="1" a="1"/>
  <c r="AO876" i="1" s="1"/>
  <c r="AO877" i="1" a="1"/>
  <c r="AO877" i="1" s="1"/>
  <c r="AO878" i="1" a="1"/>
  <c r="AO878" i="1" s="1"/>
  <c r="AO879" i="1" a="1"/>
  <c r="AO879" i="1" s="1"/>
  <c r="AO880" i="1" a="1"/>
  <c r="AO880" i="1" s="1"/>
  <c r="AO881" i="1" a="1"/>
  <c r="AO881" i="1" s="1"/>
  <c r="AO882" i="1" a="1"/>
  <c r="AO882" i="1" s="1"/>
  <c r="AO883" i="1" a="1"/>
  <c r="AO883" i="1" s="1"/>
  <c r="AO884" i="1" a="1"/>
  <c r="AO884" i="1" s="1"/>
  <c r="AO885" i="1" a="1"/>
  <c r="AO885" i="1" s="1"/>
  <c r="AO886" i="1" a="1"/>
  <c r="AO886" i="1" s="1"/>
  <c r="AO887" i="1" a="1"/>
  <c r="AO887" i="1" s="1"/>
  <c r="AO888" i="1" a="1"/>
  <c r="AO888" i="1" s="1"/>
  <c r="AO889" i="1" a="1"/>
  <c r="AO889" i="1" s="1"/>
  <c r="AO890" i="1" a="1"/>
  <c r="AO890" i="1" s="1"/>
  <c r="AO891" i="1" a="1"/>
  <c r="AO891" i="1" s="1"/>
  <c r="AO892" i="1" a="1"/>
  <c r="AO892" i="1" s="1"/>
  <c r="AO893" i="1" a="1"/>
  <c r="AO893" i="1" s="1"/>
  <c r="AO894" i="1" a="1"/>
  <c r="AO894" i="1" s="1"/>
  <c r="AO895" i="1" a="1"/>
  <c r="AO895" i="1" s="1"/>
  <c r="AO896" i="1" a="1"/>
  <c r="AO896" i="1" s="1"/>
  <c r="AO897" i="1" a="1"/>
  <c r="AO897" i="1" s="1"/>
  <c r="AO898" i="1" a="1"/>
  <c r="AO898" i="1" s="1"/>
  <c r="AO899" i="1" a="1"/>
  <c r="AO899" i="1" s="1"/>
  <c r="AO900" i="1" a="1"/>
  <c r="AO900" i="1" s="1"/>
  <c r="AO901" i="1" a="1"/>
  <c r="AO901" i="1" s="1"/>
  <c r="AO902" i="1" a="1"/>
  <c r="AO902" i="1" s="1"/>
  <c r="AO903" i="1" a="1"/>
  <c r="AO903" i="1" s="1"/>
  <c r="AO904" i="1" a="1"/>
  <c r="AO904" i="1" s="1"/>
  <c r="AO905" i="1" a="1"/>
  <c r="AO905" i="1" s="1"/>
  <c r="AO906" i="1" a="1"/>
  <c r="AO906" i="1" s="1"/>
  <c r="AO907" i="1" a="1"/>
  <c r="AO907" i="1" s="1"/>
  <c r="AO908" i="1" a="1"/>
  <c r="AO908" i="1" s="1"/>
  <c r="AO909" i="1" a="1"/>
  <c r="AO909" i="1" s="1"/>
  <c r="AO910" i="1" a="1"/>
  <c r="AO910" i="1" s="1"/>
  <c r="AO911" i="1" a="1"/>
  <c r="AO911" i="1" s="1"/>
  <c r="AO912" i="1" a="1"/>
  <c r="AO912" i="1" s="1"/>
  <c r="AO913" i="1" a="1"/>
  <c r="AO913" i="1" s="1"/>
  <c r="AO914" i="1" a="1"/>
  <c r="AO914" i="1" s="1"/>
  <c r="AO915" i="1" a="1"/>
  <c r="AO915" i="1" s="1"/>
  <c r="AO916" i="1" a="1"/>
  <c r="AO916" i="1" s="1"/>
  <c r="AO917" i="1" a="1"/>
  <c r="AO917" i="1" s="1"/>
  <c r="AO918" i="1" a="1"/>
  <c r="AO918" i="1" s="1"/>
  <c r="AO919" i="1" a="1"/>
  <c r="AO919" i="1" s="1"/>
  <c r="AO920" i="1" a="1"/>
  <c r="AO920" i="1" s="1"/>
  <c r="AO921" i="1" a="1"/>
  <c r="AO921" i="1" s="1"/>
  <c r="AO922" i="1" a="1"/>
  <c r="AO922" i="1" s="1"/>
  <c r="AO923" i="1" a="1"/>
  <c r="AO923" i="1" s="1"/>
  <c r="AO924" i="1" a="1"/>
  <c r="AO924" i="1" s="1"/>
  <c r="AO925" i="1" a="1"/>
  <c r="AO925" i="1" s="1"/>
  <c r="AO926" i="1" a="1"/>
  <c r="AO926" i="1" s="1"/>
  <c r="AO927" i="1" a="1"/>
  <c r="AO927" i="1" s="1"/>
  <c r="AO928" i="1" a="1"/>
  <c r="AO928" i="1" s="1"/>
  <c r="AO929" i="1" a="1"/>
  <c r="AO929" i="1" s="1"/>
  <c r="AO930" i="1" a="1"/>
  <c r="AO930" i="1" s="1"/>
  <c r="AO931" i="1" a="1"/>
  <c r="AO931" i="1" s="1"/>
  <c r="AO932" i="1" a="1"/>
  <c r="AO932" i="1" s="1"/>
  <c r="AO933" i="1" a="1"/>
  <c r="AO933" i="1" s="1"/>
  <c r="AO934" i="1" a="1"/>
  <c r="AO934" i="1" s="1"/>
  <c r="AO935" i="1" a="1"/>
  <c r="AO935" i="1" s="1"/>
  <c r="AO936" i="1" a="1"/>
  <c r="AO936" i="1" s="1"/>
  <c r="AO937" i="1" a="1"/>
  <c r="AO937" i="1" s="1"/>
  <c r="AO938" i="1" a="1"/>
  <c r="AO938" i="1" s="1"/>
  <c r="AO939" i="1" a="1"/>
  <c r="AO939" i="1" s="1"/>
  <c r="AO940" i="1" a="1"/>
  <c r="AO940" i="1" s="1"/>
  <c r="AO941" i="1" a="1"/>
  <c r="AO941" i="1" s="1"/>
  <c r="AO942" i="1" a="1"/>
  <c r="AO942" i="1" s="1"/>
  <c r="AO943" i="1" a="1"/>
  <c r="AO943" i="1" s="1"/>
  <c r="AO944" i="1" a="1"/>
  <c r="AO944" i="1" s="1"/>
  <c r="AO945" i="1" a="1"/>
  <c r="AO945" i="1" s="1"/>
  <c r="AO946" i="1" a="1"/>
  <c r="AO946" i="1" s="1"/>
  <c r="AO947" i="1" a="1"/>
  <c r="AO947" i="1" s="1"/>
  <c r="AO948" i="1" a="1"/>
  <c r="AO948" i="1" s="1"/>
  <c r="AO949" i="1" a="1"/>
  <c r="AO949" i="1" s="1"/>
  <c r="AO950" i="1" a="1"/>
  <c r="AO950" i="1" s="1"/>
  <c r="AO951" i="1" a="1"/>
  <c r="AO951" i="1" s="1"/>
  <c r="AO952" i="1" a="1"/>
  <c r="AO952" i="1" s="1"/>
  <c r="AO953" i="1" a="1"/>
  <c r="AO953" i="1" s="1"/>
  <c r="AO954" i="1" a="1"/>
  <c r="AO954" i="1" s="1"/>
  <c r="AO955" i="1" a="1"/>
  <c r="AO955" i="1" s="1"/>
  <c r="AO956" i="1" a="1"/>
  <c r="AO956" i="1" s="1"/>
  <c r="AO957" i="1" a="1"/>
  <c r="AO957" i="1" s="1"/>
  <c r="AO958" i="1" a="1"/>
  <c r="AO958" i="1" s="1"/>
  <c r="AO959" i="1" a="1"/>
  <c r="AO959" i="1" s="1"/>
  <c r="AO960" i="1" a="1"/>
  <c r="AO960" i="1" s="1"/>
  <c r="AO961" i="1" a="1"/>
  <c r="AO961" i="1" s="1"/>
  <c r="AO962" i="1" a="1"/>
  <c r="AO962" i="1" s="1"/>
  <c r="AO963" i="1" a="1"/>
  <c r="AO963" i="1" s="1"/>
  <c r="AO964" i="1" a="1"/>
  <c r="AO964" i="1" s="1"/>
  <c r="AO965" i="1" a="1"/>
  <c r="AO965" i="1" s="1"/>
  <c r="AO966" i="1" a="1"/>
  <c r="AO966" i="1" s="1"/>
  <c r="AO967" i="1" a="1"/>
  <c r="AO967" i="1" s="1"/>
  <c r="AO968" i="1" a="1"/>
  <c r="AO968" i="1" s="1"/>
  <c r="AO969" i="1" a="1"/>
  <c r="AO969" i="1" s="1"/>
  <c r="AO970" i="1" a="1"/>
  <c r="AO970" i="1" s="1"/>
  <c r="AO971" i="1" a="1"/>
  <c r="AO971" i="1" s="1"/>
  <c r="AO972" i="1" a="1"/>
  <c r="AO972" i="1" s="1"/>
  <c r="AO973" i="1" a="1"/>
  <c r="AO973" i="1" s="1"/>
  <c r="AO974" i="1" a="1"/>
  <c r="AO974" i="1" s="1"/>
  <c r="AO975" i="1" a="1"/>
  <c r="AO975" i="1" s="1"/>
  <c r="AO976" i="1" a="1"/>
  <c r="AO976" i="1" s="1"/>
  <c r="AO977" i="1" a="1"/>
  <c r="AO977" i="1" s="1"/>
  <c r="AO978" i="1" a="1"/>
  <c r="AO978" i="1" s="1"/>
  <c r="AO979" i="1" a="1"/>
  <c r="AO979" i="1" s="1"/>
  <c r="AO980" i="1" a="1"/>
  <c r="AO980" i="1" s="1"/>
  <c r="AO981" i="1" a="1"/>
  <c r="AO981" i="1" s="1"/>
  <c r="AO982" i="1" a="1"/>
  <c r="AO982" i="1" s="1"/>
  <c r="AO983" i="1" a="1"/>
  <c r="AO983" i="1" s="1"/>
  <c r="AO984" i="1" a="1"/>
  <c r="AO984" i="1" s="1"/>
  <c r="AO985" i="1" a="1"/>
  <c r="AO985" i="1" s="1"/>
  <c r="AO986" i="1" a="1"/>
  <c r="AO986" i="1" s="1"/>
  <c r="AO987" i="1" a="1"/>
  <c r="AO987" i="1" s="1"/>
  <c r="AO988" i="1" a="1"/>
  <c r="AO988" i="1" s="1"/>
  <c r="AO989" i="1" a="1"/>
  <c r="AO989" i="1" s="1"/>
  <c r="AO990" i="1" a="1"/>
  <c r="AO990" i="1" s="1"/>
  <c r="AO991" i="1" a="1"/>
  <c r="AO991" i="1" s="1"/>
  <c r="AO992" i="1" a="1"/>
  <c r="AO992" i="1" s="1"/>
  <c r="AO993" i="1" a="1"/>
  <c r="AO993" i="1" s="1"/>
  <c r="AO994" i="1" a="1"/>
  <c r="AO994" i="1" s="1"/>
  <c r="AO995" i="1" a="1"/>
  <c r="AO995" i="1" s="1"/>
  <c r="AO996" i="1" a="1"/>
  <c r="AO996" i="1" s="1"/>
  <c r="AO997" i="1" a="1"/>
  <c r="AO997" i="1" s="1"/>
  <c r="AO998" i="1" a="1"/>
  <c r="AO998" i="1" s="1"/>
  <c r="AO999" i="1" a="1"/>
  <c r="AO999" i="1" s="1"/>
  <c r="AO1000" i="1" a="1"/>
  <c r="AO1000" i="1" s="1"/>
  <c r="AO1001" i="1" a="1"/>
  <c r="AO1001" i="1" s="1"/>
  <c r="AO1002" i="1" a="1"/>
  <c r="AO1002" i="1" s="1"/>
  <c r="AO1003" i="1" a="1"/>
  <c r="AO1003" i="1" s="1"/>
  <c r="AO1004" i="1" a="1"/>
  <c r="AO1004" i="1" s="1"/>
  <c r="AO1005" i="1" a="1"/>
  <c r="AO1005" i="1" s="1"/>
  <c r="AO1006" i="1" a="1"/>
  <c r="AO1006" i="1" s="1"/>
  <c r="AO1007" i="1" a="1"/>
  <c r="AO1007" i="1" s="1"/>
  <c r="AO1008" i="1" a="1"/>
  <c r="AO1008" i="1" s="1"/>
  <c r="AO1009" i="1" a="1"/>
  <c r="AO1009" i="1" s="1"/>
  <c r="AO1010" i="1" a="1"/>
  <c r="AO1010" i="1" s="1"/>
  <c r="AO1011" i="1" a="1"/>
  <c r="AO1011" i="1" s="1"/>
  <c r="AO1012" i="1" a="1"/>
  <c r="AO1012" i="1" s="1"/>
  <c r="AO1013" i="1" a="1"/>
  <c r="AO1013" i="1" s="1"/>
  <c r="AO1014" i="1" a="1"/>
  <c r="AO1014" i="1" s="1"/>
  <c r="AO1015" i="1" a="1"/>
  <c r="AO1015" i="1" s="1"/>
  <c r="AO1016" i="1" a="1"/>
  <c r="AO1016" i="1" s="1"/>
  <c r="AO1017" i="1" a="1"/>
  <c r="AO1017" i="1" s="1"/>
  <c r="AO1018" i="1" a="1"/>
  <c r="AO1018" i="1" s="1"/>
  <c r="AO1019" i="1" a="1"/>
  <c r="AO1019" i="1" s="1"/>
  <c r="AO1020" i="1" a="1"/>
  <c r="AO1020" i="1" s="1"/>
  <c r="AO1021" i="1" a="1"/>
  <c r="AO1021" i="1" s="1"/>
  <c r="AO1022" i="1" a="1"/>
  <c r="AO1022" i="1" s="1"/>
  <c r="AO1023" i="1" a="1"/>
  <c r="AO1023" i="1" s="1"/>
  <c r="AO1024" i="1" a="1"/>
  <c r="AO1024" i="1" s="1"/>
  <c r="AO1025" i="1" a="1"/>
  <c r="AO1025" i="1" s="1"/>
  <c r="AO1026" i="1" a="1"/>
  <c r="AO1026" i="1" s="1"/>
  <c r="AO1027" i="1" a="1"/>
  <c r="AO1027" i="1" s="1"/>
  <c r="AO1028" i="1" a="1"/>
  <c r="AO1028" i="1" s="1"/>
  <c r="AO1029" i="1" a="1"/>
  <c r="AO1029" i="1" s="1"/>
  <c r="AO1030" i="1" a="1"/>
  <c r="AO1030" i="1" s="1"/>
  <c r="AO1031" i="1" a="1"/>
  <c r="AO1031" i="1" s="1"/>
  <c r="AO1032" i="1" a="1"/>
  <c r="AO1032" i="1" s="1"/>
  <c r="AO1033" i="1" a="1"/>
  <c r="AO1033" i="1" s="1"/>
  <c r="AO1034" i="1" a="1"/>
  <c r="AO1034" i="1" s="1"/>
  <c r="AO1035" i="1" a="1"/>
  <c r="AO1035" i="1" s="1"/>
  <c r="AO1036" i="1" a="1"/>
  <c r="AO1036" i="1" s="1"/>
  <c r="AO1037" i="1" a="1"/>
  <c r="AO1037" i="1" s="1"/>
  <c r="AO1038" i="1" a="1"/>
  <c r="AO1038" i="1" s="1"/>
  <c r="AO1039" i="1" a="1"/>
  <c r="AO1039" i="1" s="1"/>
  <c r="AO1040" i="1" a="1"/>
  <c r="AO1040" i="1" s="1"/>
  <c r="AO1041" i="1" a="1"/>
  <c r="AO1041" i="1" s="1"/>
  <c r="AO1042" i="1" a="1"/>
  <c r="AO1042" i="1" s="1"/>
  <c r="AO1043" i="1" a="1"/>
  <c r="AO1043" i="1" s="1"/>
  <c r="AO1044" i="1" a="1"/>
  <c r="AO1044" i="1" s="1"/>
  <c r="AO1045" i="1" a="1"/>
  <c r="AO1045" i="1" s="1"/>
  <c r="AO1046" i="1" a="1"/>
  <c r="AO1046" i="1" s="1"/>
  <c r="AO1047" i="1" a="1"/>
  <c r="AO1047" i="1" s="1"/>
  <c r="AO1048" i="1" a="1"/>
  <c r="AO1048" i="1" s="1"/>
  <c r="AO1049" i="1" a="1"/>
  <c r="AO1049" i="1" s="1"/>
  <c r="AO1050" i="1" a="1"/>
  <c r="AO1050" i="1" s="1"/>
  <c r="AO1051" i="1" a="1"/>
  <c r="AO1051" i="1" s="1"/>
  <c r="AO1052" i="1" a="1"/>
  <c r="AO1052" i="1" s="1"/>
  <c r="AO1053" i="1" a="1"/>
  <c r="AO1053" i="1" s="1"/>
  <c r="AO1054" i="1" a="1"/>
  <c r="AO1054" i="1" s="1"/>
  <c r="AO1055" i="1" a="1"/>
  <c r="AO1055" i="1" s="1"/>
  <c r="AO1056" i="1" a="1"/>
  <c r="AO1056" i="1" s="1"/>
  <c r="AO1057" i="1" a="1"/>
  <c r="AO1057" i="1" s="1"/>
  <c r="AO1058" i="1" a="1"/>
  <c r="AO1058" i="1" s="1"/>
  <c r="AO1059" i="1" a="1"/>
  <c r="AO1059" i="1" s="1"/>
  <c r="AO1060" i="1" a="1"/>
  <c r="AO1060" i="1" s="1"/>
  <c r="AO1061" i="1" a="1"/>
  <c r="AO1061" i="1" s="1"/>
  <c r="AO1062" i="1" a="1"/>
  <c r="AO1062" i="1" s="1"/>
  <c r="AO1063" i="1" a="1"/>
  <c r="AO1063" i="1" s="1"/>
  <c r="AO1064" i="1" a="1"/>
  <c r="AO1064" i="1" s="1"/>
  <c r="AO1065" i="1" a="1"/>
  <c r="AO1065" i="1" s="1"/>
  <c r="AO1066" i="1" a="1"/>
  <c r="AO1066" i="1" s="1"/>
  <c r="AO1067" i="1" a="1"/>
  <c r="AO1067" i="1" s="1"/>
  <c r="AO1068" i="1" a="1"/>
  <c r="AO1068" i="1" s="1"/>
  <c r="AO1069" i="1" a="1"/>
  <c r="AO1069" i="1" s="1"/>
  <c r="AO1070" i="1" a="1"/>
  <c r="AO1070" i="1" s="1"/>
  <c r="AO1071" i="1" a="1"/>
  <c r="AO1071" i="1" s="1"/>
  <c r="AO1072" i="1" a="1"/>
  <c r="AO1072" i="1" s="1"/>
  <c r="AO1073" i="1" a="1"/>
  <c r="AO1073" i="1" s="1"/>
  <c r="AO1074" i="1" a="1"/>
  <c r="AO1074" i="1" s="1"/>
  <c r="AO1075" i="1" a="1"/>
  <c r="AO1075" i="1" s="1"/>
  <c r="AO1076" i="1" a="1"/>
  <c r="AO1076" i="1" s="1"/>
  <c r="AO1077" i="1" a="1"/>
  <c r="AO1077" i="1" s="1"/>
  <c r="AO1078" i="1" a="1"/>
  <c r="AO1078" i="1" s="1"/>
  <c r="AO1079" i="1" a="1"/>
  <c r="AO1079" i="1" s="1"/>
  <c r="AO1080" i="1" a="1"/>
  <c r="AO1080" i="1" s="1"/>
  <c r="AO1081" i="1" a="1"/>
  <c r="AO1081" i="1" s="1"/>
  <c r="AO1082" i="1" a="1"/>
  <c r="AO1082" i="1" s="1"/>
  <c r="AO1083" i="1" a="1"/>
  <c r="AO1083" i="1" s="1"/>
  <c r="AO1084" i="1" a="1"/>
  <c r="AO1084" i="1" s="1"/>
  <c r="AO1085" i="1" a="1"/>
  <c r="AO1085" i="1" s="1"/>
  <c r="AO1086" i="1" a="1"/>
  <c r="AO1086" i="1" s="1"/>
  <c r="AO1087" i="1" a="1"/>
  <c r="AO1087" i="1" s="1"/>
  <c r="AO1088" i="1" a="1"/>
  <c r="AO1088" i="1" s="1"/>
  <c r="AO1089" i="1" a="1"/>
  <c r="AO1089" i="1" s="1"/>
  <c r="AO1090" i="1" a="1"/>
  <c r="AO1090" i="1" s="1"/>
  <c r="AO1091" i="1" a="1"/>
  <c r="AO1091" i="1" s="1"/>
  <c r="AO1092" i="1" a="1"/>
  <c r="AO1092" i="1" s="1"/>
  <c r="AO1093" i="1" a="1"/>
  <c r="AO1093" i="1" s="1"/>
  <c r="AO1094" i="1" a="1"/>
  <c r="AO1094" i="1" s="1"/>
  <c r="AO1095" i="1" a="1"/>
  <c r="AO1095" i="1" s="1"/>
  <c r="AO1096" i="1" a="1"/>
  <c r="AO1096" i="1" s="1"/>
  <c r="AO1097" i="1" a="1"/>
  <c r="AO1097" i="1" s="1"/>
  <c r="AO1098" i="1" a="1"/>
  <c r="AO1098" i="1" s="1"/>
  <c r="AO1099" i="1" a="1"/>
  <c r="AO1099" i="1" s="1"/>
  <c r="AO1100" i="1" a="1"/>
  <c r="AO1100" i="1" s="1"/>
  <c r="AO1101" i="1" a="1"/>
  <c r="AO1101" i="1" s="1"/>
  <c r="AO1102" i="1" a="1"/>
  <c r="AO1102" i="1" s="1"/>
  <c r="AO1103" i="1" a="1"/>
  <c r="AO1103" i="1" s="1"/>
  <c r="AO1104" i="1" a="1"/>
  <c r="AO1104" i="1" s="1"/>
  <c r="AO1105" i="1" a="1"/>
  <c r="AO1105" i="1" s="1"/>
  <c r="AO1106" i="1" a="1"/>
  <c r="AO1106" i="1" s="1"/>
  <c r="AO1107" i="1" a="1"/>
  <c r="AO1107" i="1" s="1"/>
  <c r="AO1108" i="1" a="1"/>
  <c r="AO1108" i="1" s="1"/>
  <c r="AO1109" i="1" a="1"/>
  <c r="AO1109" i="1" s="1"/>
  <c r="AO1110" i="1" a="1"/>
  <c r="AO1110" i="1" s="1"/>
  <c r="AO1111" i="1" a="1"/>
  <c r="AO1111" i="1" s="1"/>
  <c r="AO1112" i="1" a="1"/>
  <c r="AO1112" i="1" s="1"/>
  <c r="AO1113" i="1" a="1"/>
  <c r="AO1113" i="1" s="1"/>
  <c r="AO1114" i="1" a="1"/>
  <c r="AO1114" i="1" s="1"/>
  <c r="AO1115" i="1" a="1"/>
  <c r="AO1115" i="1" s="1"/>
  <c r="AO1116" i="1" a="1"/>
  <c r="AO1116" i="1" s="1"/>
  <c r="AO1117" i="1" a="1"/>
  <c r="AO1117" i="1" s="1"/>
  <c r="AO1118" i="1" a="1"/>
  <c r="AO1118" i="1" s="1"/>
  <c r="AO1119" i="1" a="1"/>
  <c r="AO1119" i="1" s="1"/>
  <c r="AO1120" i="1" a="1"/>
  <c r="AO1120" i="1" s="1"/>
  <c r="AO1121" i="1" a="1"/>
  <c r="AO1121" i="1" s="1"/>
  <c r="AO1122" i="1" a="1"/>
  <c r="AO1122" i="1" s="1"/>
  <c r="AO1123" i="1" a="1"/>
  <c r="AO1123" i="1" s="1"/>
  <c r="AO1124" i="1" a="1"/>
  <c r="AO1124" i="1" s="1"/>
  <c r="AO1125" i="1" a="1"/>
  <c r="AO1125" i="1" s="1"/>
  <c r="AO1126" i="1" a="1"/>
  <c r="AO1126" i="1" s="1"/>
  <c r="AO1127" i="1" a="1"/>
  <c r="AO1127" i="1" s="1"/>
  <c r="AO1128" i="1" a="1"/>
  <c r="AO1128" i="1" s="1"/>
  <c r="AO1129" i="1" a="1"/>
  <c r="AO1129" i="1" s="1"/>
  <c r="AO1130" i="1" a="1"/>
  <c r="AO1130" i="1" s="1"/>
  <c r="AO1131" i="1" a="1"/>
  <c r="AO1131" i="1" s="1"/>
  <c r="AO1132" i="1" a="1"/>
  <c r="AO1132" i="1" s="1"/>
  <c r="AO1133" i="1" a="1"/>
  <c r="AO1133" i="1" s="1"/>
  <c r="AO1134" i="1" a="1"/>
  <c r="AO1134" i="1" s="1"/>
  <c r="AO1135" i="1" a="1"/>
  <c r="AO1135" i="1" s="1"/>
  <c r="AO1136" i="1" a="1"/>
  <c r="AO1136" i="1" s="1"/>
  <c r="AO1137" i="1" a="1"/>
  <c r="AO1137" i="1" s="1"/>
  <c r="AO1138" i="1" a="1"/>
  <c r="AO1138" i="1" s="1"/>
  <c r="AO1139" i="1" a="1"/>
  <c r="AO1139" i="1" s="1"/>
  <c r="AO1140" i="1" a="1"/>
  <c r="AO1140" i="1" s="1"/>
  <c r="AO1141" i="1" a="1"/>
  <c r="AO1141" i="1" s="1"/>
  <c r="AO1142" i="1" a="1"/>
  <c r="AO1142" i="1" s="1"/>
  <c r="AO1143" i="1" a="1"/>
  <c r="AO1143" i="1" s="1"/>
  <c r="AO1144" i="1" a="1"/>
  <c r="AO1144" i="1" s="1"/>
  <c r="AO1145" i="1" a="1"/>
  <c r="AO1145" i="1" s="1"/>
  <c r="AO1146" i="1" a="1"/>
  <c r="AO1146" i="1" s="1"/>
  <c r="AO1147" i="1" a="1"/>
  <c r="AO1147" i="1" s="1"/>
  <c r="AO1148" i="1" a="1"/>
  <c r="AO1148" i="1" s="1"/>
  <c r="AO1149" i="1" a="1"/>
  <c r="AO1149" i="1" s="1"/>
  <c r="AO1150" i="1" a="1"/>
  <c r="AO1150" i="1" s="1"/>
  <c r="AO1151" i="1" a="1"/>
  <c r="AO1151" i="1" s="1"/>
  <c r="AO1152" i="1" a="1"/>
  <c r="AO1152" i="1" s="1"/>
  <c r="AO1153" i="1" a="1"/>
  <c r="AO1153" i="1" s="1"/>
  <c r="AO1154" i="1" a="1"/>
  <c r="AO1154" i="1" s="1"/>
  <c r="AO1155" i="1" a="1"/>
  <c r="AO1155" i="1" s="1"/>
  <c r="AO1156" i="1" a="1"/>
  <c r="AO1156" i="1" s="1"/>
  <c r="AO1157" i="1" a="1"/>
  <c r="AO1157" i="1" s="1"/>
  <c r="AO1158" i="1" a="1"/>
  <c r="AO1158" i="1" s="1"/>
  <c r="AO1159" i="1" a="1"/>
  <c r="AO1159" i="1" s="1"/>
  <c r="AO1160" i="1" a="1"/>
  <c r="AO1160" i="1" s="1"/>
  <c r="AO1161" i="1" a="1"/>
  <c r="AO1161" i="1" s="1"/>
  <c r="AO1162" i="1" a="1"/>
  <c r="AO1162" i="1" s="1"/>
  <c r="AO1163" i="1" a="1"/>
  <c r="AO1163" i="1" s="1"/>
  <c r="AO1164" i="1" a="1"/>
  <c r="AO1164" i="1" s="1"/>
  <c r="AO1165" i="1" a="1"/>
  <c r="AO1165" i="1" s="1"/>
  <c r="AO1166" i="1" a="1"/>
  <c r="AO1166" i="1" s="1"/>
  <c r="AO1167" i="1" a="1"/>
  <c r="AO1167" i="1" s="1"/>
  <c r="AO1168" i="1" a="1"/>
  <c r="AO1168" i="1" s="1"/>
  <c r="AO1169" i="1" a="1"/>
  <c r="AO1169" i="1" s="1"/>
  <c r="AO1170" i="1" a="1"/>
  <c r="AO1170" i="1" s="1"/>
  <c r="AO1171" i="1" a="1"/>
  <c r="AO1171" i="1" s="1"/>
  <c r="AO1172" i="1" a="1"/>
  <c r="AO1172" i="1" s="1"/>
  <c r="AO1173" i="1" a="1"/>
  <c r="AO1173" i="1" s="1"/>
  <c r="AO1174" i="1" a="1"/>
  <c r="AO1174" i="1" s="1"/>
  <c r="AO1175" i="1" a="1"/>
  <c r="AO1175" i="1" s="1"/>
  <c r="AO1176" i="1" a="1"/>
  <c r="AO1176" i="1" s="1"/>
  <c r="AO1177" i="1" a="1"/>
  <c r="AO1177" i="1" s="1"/>
  <c r="AO1178" i="1" a="1"/>
  <c r="AO1178" i="1" s="1"/>
  <c r="AO1179" i="1" a="1"/>
  <c r="AO1179" i="1" s="1"/>
  <c r="AO1180" i="1" a="1"/>
  <c r="AO1180" i="1" s="1"/>
  <c r="AO1181" i="1" a="1"/>
  <c r="AO1181" i="1" s="1"/>
  <c r="AO1182" i="1" a="1"/>
  <c r="AO1182" i="1" s="1"/>
  <c r="AO1183" i="1" a="1"/>
  <c r="AO1183" i="1" s="1"/>
  <c r="AO1184" i="1" a="1"/>
  <c r="AO1184" i="1" s="1"/>
  <c r="AO1185" i="1" a="1"/>
  <c r="AO1185" i="1" s="1"/>
  <c r="AO1186" i="1" a="1"/>
  <c r="AO1186" i="1" s="1"/>
  <c r="AO1187" i="1" a="1"/>
  <c r="AO1187" i="1" s="1"/>
  <c r="AO1188" i="1" a="1"/>
  <c r="AO1188" i="1" s="1"/>
  <c r="AO1189" i="1" a="1"/>
  <c r="AO1189" i="1" s="1"/>
  <c r="AO1190" i="1" a="1"/>
  <c r="AO1190" i="1" s="1"/>
  <c r="AO1191" i="1" a="1"/>
  <c r="AO1191" i="1" s="1"/>
  <c r="AO1192" i="1" a="1"/>
  <c r="AO1192" i="1" s="1"/>
  <c r="AO1193" i="1" a="1"/>
  <c r="AO1193" i="1" s="1"/>
  <c r="AO1194" i="1" a="1"/>
  <c r="AO1194" i="1" s="1"/>
  <c r="AO1195" i="1" a="1"/>
  <c r="AO1195" i="1" s="1"/>
  <c r="AO1196" i="1" a="1"/>
  <c r="AO1196" i="1" s="1"/>
  <c r="AO1197" i="1" a="1"/>
  <c r="AO1197" i="1" s="1"/>
  <c r="AO1198" i="1" a="1"/>
  <c r="AO1198" i="1" s="1"/>
  <c r="AO1199" i="1" a="1"/>
  <c r="AO1199" i="1" s="1"/>
  <c r="AO1200" i="1" a="1"/>
  <c r="AO1200" i="1" s="1"/>
  <c r="AO1201" i="1" a="1"/>
  <c r="AO1201" i="1" s="1"/>
  <c r="AO1202" i="1" a="1"/>
  <c r="AO1202" i="1" s="1"/>
  <c r="AO1203" i="1" a="1"/>
  <c r="AO1203" i="1" s="1"/>
  <c r="AO1204" i="1" a="1"/>
  <c r="AO1204" i="1" s="1"/>
  <c r="AO1205" i="1" a="1"/>
  <c r="AO1205" i="1" s="1"/>
  <c r="AO1206" i="1" a="1"/>
  <c r="AO1206" i="1" s="1"/>
  <c r="AO1207" i="1" a="1"/>
  <c r="AO1207" i="1" s="1"/>
  <c r="AO1208" i="1" a="1"/>
  <c r="AO1208" i="1" s="1"/>
  <c r="AO1209" i="1" a="1"/>
  <c r="AO1209" i="1" s="1"/>
  <c r="AO1210" i="1" a="1"/>
  <c r="AO1210" i="1" s="1"/>
  <c r="AO1211" i="1" a="1"/>
  <c r="AO1211" i="1" s="1"/>
  <c r="AO1212" i="1" a="1"/>
  <c r="AO1212" i="1" s="1"/>
  <c r="AO1213" i="1" a="1"/>
  <c r="AO1213" i="1" s="1"/>
  <c r="AO1214" i="1" a="1"/>
  <c r="AO1214" i="1" s="1"/>
  <c r="AO1215" i="1" a="1"/>
  <c r="AO1215" i="1" s="1"/>
  <c r="AO1216" i="1" a="1"/>
  <c r="AO1216" i="1" s="1"/>
  <c r="AO1217" i="1" a="1"/>
  <c r="AO1217" i="1" s="1"/>
  <c r="AO1218" i="1" a="1"/>
  <c r="AO1218" i="1" s="1"/>
  <c r="AO1219" i="1" a="1"/>
  <c r="AO1219" i="1" s="1"/>
  <c r="AO1220" i="1" a="1"/>
  <c r="AO1220" i="1" s="1"/>
  <c r="AO1221" i="1" a="1"/>
  <c r="AO1221" i="1" s="1"/>
  <c r="AO1222" i="1" a="1"/>
  <c r="AO1222" i="1" s="1"/>
  <c r="AO1223" i="1" a="1"/>
  <c r="AO1223" i="1" s="1"/>
  <c r="AO1224" i="1" a="1"/>
  <c r="AO1224" i="1" s="1"/>
  <c r="AO1225" i="1" a="1"/>
  <c r="AO1225" i="1" s="1"/>
  <c r="AO1226" i="1" a="1"/>
  <c r="AO1226" i="1" s="1"/>
  <c r="AO1227" i="1" a="1"/>
  <c r="AO1227" i="1" s="1"/>
  <c r="AO1228" i="1" a="1"/>
  <c r="AO1228" i="1" s="1"/>
  <c r="AO1229" i="1" a="1"/>
  <c r="AO1229" i="1" s="1"/>
  <c r="AO1230" i="1" a="1"/>
  <c r="AO1230" i="1" s="1"/>
  <c r="AO1231" i="1" a="1"/>
  <c r="AO1231" i="1" s="1"/>
  <c r="AO1232" i="1" a="1"/>
  <c r="AO1232" i="1" s="1"/>
  <c r="AO1233" i="1" a="1"/>
  <c r="AO1233" i="1" s="1"/>
  <c r="AO1234" i="1" a="1"/>
  <c r="AO1234" i="1" s="1"/>
  <c r="AO1235" i="1" a="1"/>
  <c r="AO1235" i="1" s="1"/>
  <c r="AO1236" i="1" a="1"/>
  <c r="AO1236" i="1" s="1"/>
  <c r="AO1237" i="1" a="1"/>
  <c r="AO1237" i="1" s="1"/>
  <c r="AO1238" i="1" a="1"/>
  <c r="AO1238" i="1" s="1"/>
  <c r="AO1239" i="1" a="1"/>
  <c r="AO1239" i="1" s="1"/>
  <c r="AO1240" i="1" a="1"/>
  <c r="AO1240" i="1" s="1"/>
  <c r="AO1241" i="1" a="1"/>
  <c r="AO1241" i="1" s="1"/>
  <c r="AO1242" i="1" a="1"/>
  <c r="AO1242" i="1" s="1"/>
  <c r="AO1243" i="1" a="1"/>
  <c r="AO1243" i="1" s="1"/>
  <c r="AO1244" i="1" a="1"/>
  <c r="AO1244" i="1" s="1"/>
  <c r="AO1245" i="1" a="1"/>
  <c r="AO1245" i="1" s="1"/>
  <c r="AO1246" i="1" a="1"/>
  <c r="AO1246" i="1" s="1"/>
  <c r="AO1247" i="1" a="1"/>
  <c r="AO1247" i="1" s="1"/>
  <c r="AO1248" i="1" a="1"/>
  <c r="AO1248" i="1" s="1"/>
  <c r="AO1249" i="1" a="1"/>
  <c r="AO1249" i="1" s="1"/>
  <c r="AO1250" i="1" a="1"/>
  <c r="AO1250" i="1" s="1"/>
  <c r="AO1251" i="1" a="1"/>
  <c r="AO1251" i="1" s="1"/>
  <c r="AO1252" i="1" a="1"/>
  <c r="AO1252" i="1" s="1"/>
  <c r="AO1253" i="1" a="1"/>
  <c r="AO1253" i="1" s="1"/>
  <c r="AO1254" i="1" a="1"/>
  <c r="AO1254" i="1" s="1"/>
  <c r="AO1255" i="1" a="1"/>
  <c r="AO1255" i="1" s="1"/>
  <c r="AO1256" i="1" a="1"/>
  <c r="AO1256" i="1" s="1"/>
  <c r="AO1257" i="1" a="1"/>
  <c r="AO1257" i="1" s="1"/>
  <c r="AO1258" i="1" a="1"/>
  <c r="AO1258" i="1" s="1"/>
  <c r="AO1259" i="1" a="1"/>
  <c r="AO1259" i="1" s="1"/>
  <c r="AO1260" i="1" a="1"/>
  <c r="AO1260" i="1" s="1"/>
  <c r="AO1261" i="1" a="1"/>
  <c r="AO1261" i="1" s="1"/>
  <c r="AO1262" i="1" a="1"/>
  <c r="AO1262" i="1" s="1"/>
  <c r="AO1263" i="1" a="1"/>
  <c r="AO1263" i="1" s="1"/>
  <c r="AO1264" i="1" a="1"/>
  <c r="AO1264" i="1" s="1"/>
  <c r="AO1265" i="1" a="1"/>
  <c r="AO1265" i="1" s="1"/>
  <c r="AO1266" i="1" a="1"/>
  <c r="AO1266" i="1" s="1"/>
  <c r="AO1267" i="1" a="1"/>
  <c r="AO1267" i="1" s="1"/>
  <c r="AO1268" i="1" a="1"/>
  <c r="AO1268" i="1" s="1"/>
  <c r="AO1269" i="1" a="1"/>
  <c r="AO1269" i="1" s="1"/>
  <c r="AO1270" i="1" a="1"/>
  <c r="AO1270" i="1" s="1"/>
  <c r="AO1271" i="1" a="1"/>
  <c r="AO1271" i="1" s="1"/>
  <c r="AO1272" i="1" a="1"/>
  <c r="AO1272" i="1" s="1"/>
  <c r="AO1273" i="1" a="1"/>
  <c r="AO1273" i="1" s="1"/>
  <c r="AO1274" i="1" a="1"/>
  <c r="AO1274" i="1" s="1"/>
  <c r="AO1275" i="1" a="1"/>
  <c r="AO1275" i="1" s="1"/>
  <c r="AO1276" i="1" a="1"/>
  <c r="AO1276" i="1" s="1"/>
  <c r="AO1277" i="1" a="1"/>
  <c r="AO1277" i="1" s="1"/>
  <c r="AO1278" i="1" a="1"/>
  <c r="AO1278" i="1" s="1"/>
  <c r="AO1279" i="1" a="1"/>
  <c r="AO1279" i="1" s="1"/>
  <c r="AO1280" i="1" a="1"/>
  <c r="AO1280" i="1" s="1"/>
  <c r="AO1281" i="1" a="1"/>
  <c r="AO1281" i="1" s="1"/>
  <c r="AO1282" i="1" a="1"/>
  <c r="AO1282" i="1" s="1"/>
  <c r="AO1283" i="1" a="1"/>
  <c r="AO1283" i="1" s="1"/>
  <c r="AO1284" i="1" a="1"/>
  <c r="AO1284" i="1" s="1"/>
  <c r="AO1285" i="1" a="1"/>
  <c r="AO1285" i="1" s="1"/>
  <c r="AO1286" i="1" a="1"/>
  <c r="AO1286" i="1" s="1"/>
  <c r="AO1287" i="1" a="1"/>
  <c r="AO1287" i="1" s="1"/>
  <c r="AO1288" i="1" a="1"/>
  <c r="AO1288" i="1" s="1"/>
  <c r="AO1289" i="1" a="1"/>
  <c r="AO1289" i="1" s="1"/>
  <c r="AO1290" i="1" a="1"/>
  <c r="AO1290" i="1" s="1"/>
  <c r="AO1291" i="1" a="1"/>
  <c r="AO1291" i="1" s="1"/>
  <c r="AO1292" i="1" a="1"/>
  <c r="AO1292" i="1" s="1"/>
  <c r="AO1293" i="1" a="1"/>
  <c r="AO1293" i="1" s="1"/>
  <c r="AO1294" i="1" a="1"/>
  <c r="AO1294" i="1" s="1"/>
  <c r="AO1295" i="1" a="1"/>
  <c r="AO1295" i="1" s="1"/>
  <c r="AO1296" i="1" a="1"/>
  <c r="AO1296" i="1" s="1"/>
  <c r="AO1297" i="1" a="1"/>
  <c r="AO1297" i="1" s="1"/>
  <c r="AO1298" i="1" a="1"/>
  <c r="AO1298" i="1" s="1"/>
  <c r="AO1299" i="1" a="1"/>
  <c r="AO1299" i="1" s="1"/>
  <c r="AO1300" i="1" a="1"/>
  <c r="AO1300" i="1" s="1"/>
  <c r="AO1301" i="1" a="1"/>
  <c r="AO1301" i="1" s="1"/>
  <c r="AO1302" i="1" a="1"/>
  <c r="AO1302" i="1" s="1"/>
  <c r="AO1303" i="1" a="1"/>
  <c r="AO1303" i="1" s="1"/>
  <c r="AO1304" i="1" a="1"/>
  <c r="AO1304" i="1" s="1"/>
  <c r="AO1305" i="1" a="1"/>
  <c r="AO1305" i="1" s="1"/>
  <c r="AO1306" i="1" a="1"/>
  <c r="AO1306" i="1" s="1"/>
  <c r="AO1307" i="1" a="1"/>
  <c r="AO1307" i="1" s="1"/>
  <c r="AO1308" i="1" a="1"/>
  <c r="AO1308" i="1" s="1"/>
  <c r="AO1309" i="1" a="1"/>
  <c r="AO1309" i="1" s="1"/>
  <c r="AO1310" i="1" a="1"/>
  <c r="AO1310" i="1" s="1"/>
  <c r="AO1311" i="1" a="1"/>
  <c r="AO1311" i="1" s="1"/>
  <c r="AO1312" i="1" a="1"/>
  <c r="AO1312" i="1" s="1"/>
  <c r="AO1313" i="1" a="1"/>
  <c r="AO1313" i="1" s="1"/>
  <c r="AO1314" i="1" a="1"/>
  <c r="AO1314" i="1" s="1"/>
  <c r="AO1315" i="1" a="1"/>
  <c r="AO1315" i="1" s="1"/>
  <c r="AO1316" i="1" a="1"/>
  <c r="AO1316" i="1" s="1"/>
  <c r="AO1317" i="1" a="1"/>
  <c r="AO1317" i="1" s="1"/>
  <c r="AO1318" i="1" a="1"/>
  <c r="AO1318" i="1" s="1"/>
  <c r="AO1319" i="1" a="1"/>
  <c r="AO1319" i="1" s="1"/>
  <c r="AO1320" i="1" a="1"/>
  <c r="AO1320" i="1" s="1"/>
  <c r="AO1321" i="1" a="1"/>
  <c r="AO1321" i="1" s="1"/>
  <c r="AO1322" i="1" a="1"/>
  <c r="AO1322" i="1" s="1"/>
  <c r="AO1323" i="1" a="1"/>
  <c r="AO1323" i="1" s="1"/>
  <c r="AO1324" i="1" a="1"/>
  <c r="AO1324" i="1" s="1"/>
  <c r="AO1325" i="1" a="1"/>
  <c r="AO1325" i="1" s="1"/>
  <c r="AO1326" i="1" a="1"/>
  <c r="AO1326" i="1" s="1"/>
  <c r="AO1327" i="1" a="1"/>
  <c r="AO1327" i="1" s="1"/>
  <c r="AO1328" i="1" a="1"/>
  <c r="AO1328" i="1" s="1"/>
  <c r="AO1329" i="1" a="1"/>
  <c r="AO1329" i="1" s="1"/>
  <c r="AO1330" i="1" a="1"/>
  <c r="AO1330" i="1" s="1"/>
  <c r="AO1331" i="1" a="1"/>
  <c r="AO1331" i="1" s="1"/>
  <c r="AO1332" i="1" a="1"/>
  <c r="AO1332" i="1" s="1"/>
  <c r="AO1333" i="1" a="1"/>
  <c r="AO1333" i="1" s="1"/>
  <c r="AO1334" i="1" a="1"/>
  <c r="AO1334" i="1" s="1"/>
  <c r="AO1335" i="1" a="1"/>
  <c r="AO1335" i="1" s="1"/>
  <c r="AO1336" i="1" a="1"/>
  <c r="AO1336" i="1" s="1"/>
  <c r="AO1337" i="1" a="1"/>
  <c r="AO1337" i="1" s="1"/>
  <c r="AO1338" i="1" a="1"/>
  <c r="AO1338" i="1" s="1"/>
  <c r="AO1339" i="1" a="1"/>
  <c r="AO1339" i="1" s="1"/>
  <c r="AO1340" i="1" a="1"/>
  <c r="AO1340" i="1" s="1"/>
  <c r="AO1341" i="1" a="1"/>
  <c r="AO1341" i="1" s="1"/>
  <c r="AO1342" i="1" a="1"/>
  <c r="AO1342" i="1" s="1"/>
  <c r="AO1343" i="1" a="1"/>
  <c r="AO1343" i="1" s="1"/>
  <c r="AO1344" i="1" a="1"/>
  <c r="AO1344" i="1" s="1"/>
  <c r="AO1345" i="1" a="1"/>
  <c r="AO1345" i="1" s="1"/>
  <c r="AO1346" i="1" a="1"/>
  <c r="AO1346" i="1" s="1"/>
  <c r="AO1347" i="1" a="1"/>
  <c r="AO1347" i="1" s="1"/>
  <c r="AO1348" i="1" a="1"/>
  <c r="AO1348" i="1" s="1"/>
  <c r="AO1349" i="1" a="1"/>
  <c r="AO1349" i="1" s="1"/>
  <c r="AO1350" i="1" a="1"/>
  <c r="AO1350" i="1" s="1"/>
  <c r="AO1351" i="1" a="1"/>
  <c r="AO1351" i="1" s="1"/>
  <c r="AO1352" i="1" a="1"/>
  <c r="AO1352" i="1" s="1"/>
  <c r="AO1353" i="1" a="1"/>
  <c r="AO1353" i="1" s="1"/>
  <c r="AO1354" i="1" a="1"/>
  <c r="AO1354" i="1" s="1"/>
  <c r="AO1355" i="1" a="1"/>
  <c r="AO1355" i="1" s="1"/>
  <c r="AO1356" i="1" a="1"/>
  <c r="AO1356" i="1" s="1"/>
  <c r="AO1357" i="1" a="1"/>
  <c r="AO1357" i="1" s="1"/>
  <c r="AO1358" i="1" a="1"/>
  <c r="AO1358" i="1" s="1"/>
  <c r="AO1359" i="1" a="1"/>
  <c r="AO1359" i="1" s="1"/>
  <c r="AO1360" i="1" a="1"/>
  <c r="AO1360" i="1" s="1"/>
  <c r="AO1361" i="1" a="1"/>
  <c r="AO1361" i="1" s="1"/>
  <c r="AO1362" i="1" a="1"/>
  <c r="AO1362" i="1" s="1"/>
  <c r="AO1363" i="1" a="1"/>
  <c r="AO1363" i="1" s="1"/>
  <c r="AO1364" i="1" a="1"/>
  <c r="AO1364" i="1" s="1"/>
  <c r="AO1365" i="1" a="1"/>
  <c r="AO1365" i="1" s="1"/>
  <c r="AO1366" i="1" a="1"/>
  <c r="AO1366" i="1" s="1"/>
  <c r="AO1367" i="1" a="1"/>
  <c r="AO1367" i="1" s="1"/>
  <c r="AO1368" i="1" a="1"/>
  <c r="AO1368" i="1" s="1"/>
  <c r="AO1369" i="1" a="1"/>
  <c r="AO1369" i="1" s="1"/>
  <c r="AO1370" i="1" a="1"/>
  <c r="AO1370" i="1" s="1"/>
  <c r="AO1371" i="1" a="1"/>
  <c r="AO1371" i="1" s="1"/>
  <c r="AO1372" i="1" a="1"/>
  <c r="AO1372" i="1" s="1"/>
  <c r="AO1373" i="1" a="1"/>
  <c r="AO1373" i="1" s="1"/>
  <c r="AO1374" i="1" a="1"/>
  <c r="AO1374" i="1" s="1"/>
  <c r="AO1375" i="1" a="1"/>
  <c r="AO1375" i="1" s="1"/>
  <c r="AO1376" i="1" a="1"/>
  <c r="AO1376" i="1" s="1"/>
  <c r="AO1377" i="1" a="1"/>
  <c r="AO1377" i="1" s="1"/>
  <c r="AO1378" i="1" a="1"/>
  <c r="AO1378" i="1" s="1"/>
  <c r="AO1379" i="1" a="1"/>
  <c r="AO1379" i="1" s="1"/>
  <c r="AO1380" i="1" a="1"/>
  <c r="AO1380" i="1" s="1"/>
  <c r="AO1381" i="1" a="1"/>
  <c r="AO1381" i="1" s="1"/>
  <c r="AO1382" i="1" a="1"/>
  <c r="AO1382" i="1" s="1"/>
  <c r="AO1383" i="1" a="1"/>
  <c r="AO1383" i="1" s="1"/>
  <c r="AO1384" i="1" a="1"/>
  <c r="AO1384" i="1" s="1"/>
  <c r="AO1385" i="1" a="1"/>
  <c r="AO1385" i="1" s="1"/>
  <c r="AO1386" i="1" a="1"/>
  <c r="AO1386" i="1" s="1"/>
  <c r="AO1387" i="1" a="1"/>
  <c r="AO1387" i="1" s="1"/>
  <c r="AO1388" i="1" a="1"/>
  <c r="AO1388" i="1" s="1"/>
  <c r="AO1389" i="1" a="1"/>
  <c r="AO1389" i="1" s="1"/>
  <c r="AO1390" i="1" a="1"/>
  <c r="AO1390" i="1" s="1"/>
  <c r="AO1391" i="1" a="1"/>
  <c r="AO1391" i="1" s="1"/>
  <c r="AO1392" i="1" a="1"/>
  <c r="AO1392" i="1" s="1"/>
  <c r="AO1393" i="1" a="1"/>
  <c r="AO1393" i="1" s="1"/>
  <c r="AO1394" i="1" a="1"/>
  <c r="AO1394" i="1" s="1"/>
  <c r="AO1395" i="1" a="1"/>
  <c r="AO1395" i="1" s="1"/>
  <c r="AO1396" i="1" a="1"/>
  <c r="AO1396" i="1" s="1"/>
  <c r="AO1397" i="1" a="1"/>
  <c r="AO1397" i="1" s="1"/>
  <c r="AO1398" i="1" a="1"/>
  <c r="AO1398" i="1" s="1"/>
  <c r="AO1399" i="1" a="1"/>
  <c r="AO1399" i="1" s="1"/>
  <c r="AO1400" i="1" a="1"/>
  <c r="AO1400" i="1" s="1"/>
  <c r="AO1401" i="1" a="1"/>
  <c r="AO1401" i="1" s="1"/>
  <c r="AO1402" i="1" a="1"/>
  <c r="AO1402" i="1" s="1"/>
  <c r="AO1403" i="1" a="1"/>
  <c r="AO1403" i="1" s="1"/>
  <c r="AO1404" i="1" a="1"/>
  <c r="AO1404" i="1" s="1"/>
  <c r="AO1405" i="1" a="1"/>
  <c r="AO1405" i="1" s="1"/>
  <c r="AO1406" i="1" a="1"/>
  <c r="AO1406" i="1" s="1"/>
  <c r="AO1407" i="1" a="1"/>
  <c r="AO1407" i="1" s="1"/>
  <c r="AO1408" i="1" a="1"/>
  <c r="AO1408" i="1" s="1"/>
  <c r="AO1409" i="1" a="1"/>
  <c r="AO1409" i="1" s="1"/>
  <c r="AO1410" i="1" a="1"/>
  <c r="AO1410" i="1" s="1"/>
  <c r="AO1411" i="1" a="1"/>
  <c r="AO1411" i="1" s="1"/>
  <c r="AO1412" i="1" a="1"/>
  <c r="AO1412" i="1" s="1"/>
  <c r="AO1413" i="1" a="1"/>
  <c r="AO1413" i="1" s="1"/>
  <c r="AO1414" i="1" a="1"/>
  <c r="AO1414" i="1" s="1"/>
  <c r="AO1415" i="1" a="1"/>
  <c r="AO1415" i="1" s="1"/>
  <c r="AO1416" i="1" a="1"/>
  <c r="AO1416" i="1" s="1"/>
  <c r="AO1417" i="1" a="1"/>
  <c r="AO1417" i="1" s="1"/>
  <c r="AO1418" i="1" a="1"/>
  <c r="AO1418" i="1" s="1"/>
  <c r="AO1419" i="1" a="1"/>
  <c r="AO1419" i="1" s="1"/>
  <c r="AO1420" i="1" a="1"/>
  <c r="AO1420" i="1" s="1"/>
  <c r="AO1421" i="1" a="1"/>
  <c r="AO1421" i="1" s="1"/>
  <c r="AO1422" i="1" a="1"/>
  <c r="AO1422" i="1" s="1"/>
  <c r="AO1423" i="1" a="1"/>
  <c r="AO1423" i="1" s="1"/>
  <c r="AO1424" i="1" a="1"/>
  <c r="AO1424" i="1" s="1"/>
  <c r="AO1425" i="1" a="1"/>
  <c r="AO1425" i="1" s="1"/>
  <c r="AO1426" i="1" a="1"/>
  <c r="AO1426" i="1" s="1"/>
  <c r="AO1427" i="1" a="1"/>
  <c r="AO1427" i="1" s="1"/>
  <c r="AO1428" i="1" a="1"/>
  <c r="AO1428" i="1" s="1"/>
  <c r="AO1429" i="1" a="1"/>
  <c r="AO1429" i="1" s="1"/>
  <c r="AO1430" i="1" a="1"/>
  <c r="AO1430" i="1" s="1"/>
  <c r="AO1431" i="1" a="1"/>
  <c r="AO1431" i="1" s="1"/>
  <c r="AO1432" i="1" a="1"/>
  <c r="AO1432" i="1" s="1"/>
  <c r="AO1433" i="1" a="1"/>
  <c r="AO1433" i="1" s="1"/>
  <c r="AO1434" i="1" a="1"/>
  <c r="AO1434" i="1" s="1"/>
  <c r="AO1435" i="1" a="1"/>
  <c r="AO1435" i="1" s="1"/>
  <c r="AO1436" i="1" a="1"/>
  <c r="AO1436" i="1" s="1"/>
  <c r="AO1437" i="1" a="1"/>
  <c r="AO1437" i="1" s="1"/>
  <c r="AO1438" i="1" a="1"/>
  <c r="AO1438" i="1" s="1"/>
  <c r="AO1439" i="1" a="1"/>
  <c r="AO1439" i="1" s="1"/>
  <c r="AO1440" i="1" a="1"/>
  <c r="AO1440" i="1" s="1"/>
  <c r="AO1441" i="1" a="1"/>
  <c r="AO1441" i="1" s="1"/>
  <c r="AO1442" i="1" a="1"/>
  <c r="AO1442" i="1" s="1"/>
  <c r="AO1443" i="1" a="1"/>
  <c r="AO1443" i="1" s="1"/>
  <c r="AO1444" i="1" a="1"/>
  <c r="AO1444" i="1" s="1"/>
  <c r="AO1445" i="1" a="1"/>
  <c r="AO1445" i="1" s="1"/>
  <c r="AO1446" i="1" a="1"/>
  <c r="AO1446" i="1" s="1"/>
  <c r="AO1447" i="1" a="1"/>
  <c r="AO1447" i="1" s="1"/>
  <c r="AO1448" i="1" a="1"/>
  <c r="AO1448" i="1" s="1"/>
  <c r="AO1449" i="1" a="1"/>
  <c r="AO1449" i="1" s="1"/>
  <c r="AO1450" i="1" a="1"/>
  <c r="AO1450" i="1" s="1"/>
  <c r="AO1451" i="1" a="1"/>
  <c r="AO1451" i="1" s="1"/>
  <c r="AO1452" i="1" a="1"/>
  <c r="AO1452" i="1" s="1"/>
  <c r="AO1453" i="1" a="1"/>
  <c r="AO1453" i="1" s="1"/>
  <c r="AO1454" i="1" a="1"/>
  <c r="AO1454" i="1" s="1"/>
  <c r="AO1455" i="1" a="1"/>
  <c r="AO1455" i="1" s="1"/>
  <c r="AO1456" i="1" a="1"/>
  <c r="AO1456" i="1" s="1"/>
  <c r="AO1457" i="1" a="1"/>
  <c r="AO1457" i="1" s="1"/>
  <c r="AO1458" i="1" a="1"/>
  <c r="AO1458" i="1" s="1"/>
  <c r="AO1459" i="1" a="1"/>
  <c r="AO1459" i="1" s="1"/>
  <c r="AO1460" i="1" a="1"/>
  <c r="AO1460" i="1" s="1"/>
  <c r="AO1461" i="1" a="1"/>
  <c r="AO1461" i="1" s="1"/>
  <c r="AO1462" i="1" a="1"/>
  <c r="AO1462" i="1" s="1"/>
  <c r="AO1463" i="1" a="1"/>
  <c r="AO1463" i="1" s="1"/>
  <c r="AO1464" i="1" a="1"/>
  <c r="AO1464" i="1" s="1"/>
  <c r="AO1465" i="1" a="1"/>
  <c r="AO1465" i="1" s="1"/>
  <c r="AO1466" i="1" a="1"/>
  <c r="AO1466" i="1" s="1"/>
  <c r="AO1467" i="1" a="1"/>
  <c r="AO1467" i="1" s="1"/>
  <c r="AO1468" i="1" a="1"/>
  <c r="AO1468" i="1" s="1"/>
  <c r="AO1469" i="1" a="1"/>
  <c r="AO1469" i="1" s="1"/>
  <c r="AO1470" i="1" a="1"/>
  <c r="AO1470" i="1" s="1"/>
  <c r="AO1471" i="1" a="1"/>
  <c r="AO1471" i="1" s="1"/>
  <c r="AN2" i="1" a="1"/>
  <c r="AN2" i="1" s="1"/>
  <c r="AN3" i="1" a="1"/>
  <c r="AN3" i="1" s="1"/>
  <c r="AN4" i="1" a="1"/>
  <c r="AN4" i="1" s="1"/>
  <c r="AN5" i="1" a="1"/>
  <c r="AN5" i="1" s="1"/>
  <c r="AN6" i="1" a="1"/>
  <c r="AN6" i="1" s="1"/>
  <c r="AN7" i="1" a="1"/>
  <c r="AN7" i="1" s="1"/>
  <c r="AN8" i="1" a="1"/>
  <c r="AN8" i="1" s="1"/>
  <c r="AN9" i="1" a="1"/>
  <c r="AN9" i="1" s="1"/>
  <c r="AN10" i="1" a="1"/>
  <c r="AN10" i="1" s="1"/>
  <c r="AN11" i="1" a="1"/>
  <c r="AN11" i="1" s="1"/>
  <c r="AN12" i="1" a="1"/>
  <c r="AN12" i="1" s="1"/>
  <c r="AN13" i="1" a="1"/>
  <c r="AN13" i="1" s="1"/>
  <c r="AN14" i="1" a="1"/>
  <c r="AN14" i="1" s="1"/>
  <c r="AN15" i="1" a="1"/>
  <c r="AN15" i="1" s="1"/>
  <c r="AN16" i="1" a="1"/>
  <c r="AN16" i="1" s="1"/>
  <c r="AN17" i="1" a="1"/>
  <c r="AN17" i="1" s="1"/>
  <c r="AN18" i="1" a="1"/>
  <c r="AN18" i="1" s="1"/>
  <c r="AN19" i="1" a="1"/>
  <c r="AN19" i="1" s="1"/>
  <c r="AN20" i="1" a="1"/>
  <c r="AN20" i="1" s="1"/>
  <c r="AN21" i="1" a="1"/>
  <c r="AN21" i="1" s="1"/>
  <c r="AN22" i="1" a="1"/>
  <c r="AN22" i="1" s="1"/>
  <c r="AN23" i="1" a="1"/>
  <c r="AN23" i="1" s="1"/>
  <c r="AN24" i="1" a="1"/>
  <c r="AN24" i="1" s="1"/>
  <c r="AN25" i="1" a="1"/>
  <c r="AN25" i="1" s="1"/>
  <c r="AN26" i="1" a="1"/>
  <c r="AN26" i="1" s="1"/>
  <c r="AN27" i="1" a="1"/>
  <c r="AN27" i="1" s="1"/>
  <c r="AN28" i="1" a="1"/>
  <c r="AN28" i="1" s="1"/>
  <c r="AN29" i="1" a="1"/>
  <c r="AN29" i="1" s="1"/>
  <c r="AN30" i="1" a="1"/>
  <c r="AN30" i="1" s="1"/>
  <c r="AN31" i="1" a="1"/>
  <c r="AN31" i="1" s="1"/>
  <c r="AN32" i="1" a="1"/>
  <c r="AN32" i="1" s="1"/>
  <c r="AN33" i="1" a="1"/>
  <c r="AN33" i="1" s="1"/>
  <c r="AN34" i="1" a="1"/>
  <c r="AN34" i="1" s="1"/>
  <c r="AN35" i="1" a="1"/>
  <c r="AN35" i="1" s="1"/>
  <c r="AN36" i="1" a="1"/>
  <c r="AN36" i="1" s="1"/>
  <c r="AN37" i="1" a="1"/>
  <c r="AN37" i="1" s="1"/>
  <c r="AN38" i="1" a="1"/>
  <c r="AN38" i="1" s="1"/>
  <c r="AN39" i="1" a="1"/>
  <c r="AN39" i="1" s="1"/>
  <c r="AN40" i="1" a="1"/>
  <c r="AN40" i="1" s="1"/>
  <c r="AN41" i="1" a="1"/>
  <c r="AN41" i="1" s="1"/>
  <c r="AN42" i="1" a="1"/>
  <c r="AN42" i="1" s="1"/>
  <c r="AN43" i="1" a="1"/>
  <c r="AN43" i="1" s="1"/>
  <c r="AN44" i="1" a="1"/>
  <c r="AN44" i="1" s="1"/>
  <c r="AN45" i="1" a="1"/>
  <c r="AN45" i="1" s="1"/>
  <c r="AN46" i="1" a="1"/>
  <c r="AN46" i="1" s="1"/>
  <c r="AN47" i="1" a="1"/>
  <c r="AN47" i="1" s="1"/>
  <c r="AN48" i="1" a="1"/>
  <c r="AN48" i="1" s="1"/>
  <c r="AN49" i="1" a="1"/>
  <c r="AN49" i="1" s="1"/>
  <c r="AN50" i="1" a="1"/>
  <c r="AN50" i="1" s="1"/>
  <c r="AN51" i="1" a="1"/>
  <c r="AN51" i="1" s="1"/>
  <c r="AN52" i="1" a="1"/>
  <c r="AN52" i="1" s="1"/>
  <c r="AN53" i="1" a="1"/>
  <c r="AN53" i="1" s="1"/>
  <c r="AN54" i="1" a="1"/>
  <c r="AN54" i="1" s="1"/>
  <c r="AN55" i="1" a="1"/>
  <c r="AN55" i="1" s="1"/>
  <c r="AN56" i="1" a="1"/>
  <c r="AN56" i="1" s="1"/>
  <c r="AN57" i="1" a="1"/>
  <c r="AN57" i="1" s="1"/>
  <c r="AN58" i="1" a="1"/>
  <c r="AN58" i="1" s="1"/>
  <c r="AN59" i="1" a="1"/>
  <c r="AN59" i="1" s="1"/>
  <c r="AN60" i="1" a="1"/>
  <c r="AN60" i="1" s="1"/>
  <c r="AN61" i="1" a="1"/>
  <c r="AN61" i="1" s="1"/>
  <c r="AN62" i="1" a="1"/>
  <c r="AN62" i="1" s="1"/>
  <c r="AN63" i="1" a="1"/>
  <c r="AN63" i="1" s="1"/>
  <c r="AN64" i="1" a="1"/>
  <c r="AN64" i="1" s="1"/>
  <c r="AN65" i="1" a="1"/>
  <c r="AN65" i="1" s="1"/>
  <c r="AN66" i="1" a="1"/>
  <c r="AN66" i="1" s="1"/>
  <c r="AN67" i="1" a="1"/>
  <c r="AN67" i="1" s="1"/>
  <c r="AN68" i="1" a="1"/>
  <c r="AN68" i="1" s="1"/>
  <c r="AN69" i="1" a="1"/>
  <c r="AN69" i="1" s="1"/>
  <c r="AN70" i="1" a="1"/>
  <c r="AN70" i="1" s="1"/>
  <c r="AN71" i="1" a="1"/>
  <c r="AN71" i="1" s="1"/>
  <c r="AN72" i="1" a="1"/>
  <c r="AN72" i="1" s="1"/>
  <c r="AN73" i="1" a="1"/>
  <c r="AN73" i="1" s="1"/>
  <c r="AN74" i="1" a="1"/>
  <c r="AN74" i="1" s="1"/>
  <c r="AN75" i="1" a="1"/>
  <c r="AN75" i="1" s="1"/>
  <c r="AN76" i="1" a="1"/>
  <c r="AN76" i="1" s="1"/>
  <c r="AN77" i="1" a="1"/>
  <c r="AN77" i="1" s="1"/>
  <c r="AN78" i="1" a="1"/>
  <c r="AN78" i="1" s="1"/>
  <c r="AN79" i="1" a="1"/>
  <c r="AN79" i="1" s="1"/>
  <c r="AN80" i="1" a="1"/>
  <c r="AN80" i="1" s="1"/>
  <c r="AN81" i="1" a="1"/>
  <c r="AN81" i="1" s="1"/>
  <c r="AN82" i="1" a="1"/>
  <c r="AN82" i="1" s="1"/>
  <c r="AN83" i="1" a="1"/>
  <c r="AN83" i="1" s="1"/>
  <c r="AN84" i="1" a="1"/>
  <c r="AN84" i="1" s="1"/>
  <c r="AN85" i="1" a="1"/>
  <c r="AN85" i="1" s="1"/>
  <c r="AN86" i="1" a="1"/>
  <c r="AN86" i="1" s="1"/>
  <c r="AN87" i="1" a="1"/>
  <c r="AN87" i="1" s="1"/>
  <c r="AN88" i="1" a="1"/>
  <c r="AN88" i="1" s="1"/>
  <c r="AN89" i="1" a="1"/>
  <c r="AN89" i="1" s="1"/>
  <c r="AN90" i="1" a="1"/>
  <c r="AN90" i="1" s="1"/>
  <c r="AN91" i="1" a="1"/>
  <c r="AN91" i="1" s="1"/>
  <c r="AN92" i="1" a="1"/>
  <c r="AN92" i="1" s="1"/>
  <c r="AN93" i="1" a="1"/>
  <c r="AN93" i="1" s="1"/>
  <c r="AN94" i="1" a="1"/>
  <c r="AN94" i="1" s="1"/>
  <c r="AN95" i="1" a="1"/>
  <c r="AN95" i="1" s="1"/>
  <c r="AN96" i="1" a="1"/>
  <c r="AN96" i="1" s="1"/>
  <c r="AN97" i="1" a="1"/>
  <c r="AN97" i="1" s="1"/>
  <c r="AN98" i="1" a="1"/>
  <c r="AN98" i="1" s="1"/>
  <c r="AN99" i="1" a="1"/>
  <c r="AN99" i="1" s="1"/>
  <c r="AN100" i="1" a="1"/>
  <c r="AN100" i="1" s="1"/>
  <c r="AN101" i="1" a="1"/>
  <c r="AN101" i="1" s="1"/>
  <c r="AN102" i="1" a="1"/>
  <c r="AN102" i="1" s="1"/>
  <c r="AN103" i="1" a="1"/>
  <c r="AN103" i="1" s="1"/>
  <c r="AN104" i="1" a="1"/>
  <c r="AN104" i="1" s="1"/>
  <c r="AN105" i="1" a="1"/>
  <c r="AN105" i="1" s="1"/>
  <c r="AN106" i="1" a="1"/>
  <c r="AN106" i="1" s="1"/>
  <c r="AN107" i="1" a="1"/>
  <c r="AN107" i="1" s="1"/>
  <c r="AN108" i="1" a="1"/>
  <c r="AN108" i="1" s="1"/>
  <c r="AN109" i="1" a="1"/>
  <c r="AN109" i="1" s="1"/>
  <c r="AN110" i="1" a="1"/>
  <c r="AN110" i="1" s="1"/>
  <c r="AN111" i="1" a="1"/>
  <c r="AN111" i="1" s="1"/>
  <c r="AN112" i="1" a="1"/>
  <c r="AN112" i="1" s="1"/>
  <c r="AN113" i="1" a="1"/>
  <c r="AN113" i="1" s="1"/>
  <c r="AN114" i="1" a="1"/>
  <c r="AN114" i="1" s="1"/>
  <c r="AN115" i="1" a="1"/>
  <c r="AN115" i="1" s="1"/>
  <c r="AN116" i="1" a="1"/>
  <c r="AN116" i="1" s="1"/>
  <c r="AN117" i="1" a="1"/>
  <c r="AN117" i="1" s="1"/>
  <c r="AN118" i="1" a="1"/>
  <c r="AN118" i="1" s="1"/>
  <c r="AN119" i="1" a="1"/>
  <c r="AN119" i="1" s="1"/>
  <c r="AN120" i="1" a="1"/>
  <c r="AN120" i="1" s="1"/>
  <c r="AN121" i="1" a="1"/>
  <c r="AN121" i="1" s="1"/>
  <c r="AN122" i="1" a="1"/>
  <c r="AN122" i="1" s="1"/>
  <c r="AN123" i="1" a="1"/>
  <c r="AN123" i="1" s="1"/>
  <c r="AN124" i="1" a="1"/>
  <c r="AN124" i="1" s="1"/>
  <c r="AN125" i="1" a="1"/>
  <c r="AN125" i="1" s="1"/>
  <c r="AN126" i="1" a="1"/>
  <c r="AN126" i="1" s="1"/>
  <c r="AN127" i="1" a="1"/>
  <c r="AN127" i="1" s="1"/>
  <c r="AN128" i="1" a="1"/>
  <c r="AN128" i="1" s="1"/>
  <c r="AN129" i="1" a="1"/>
  <c r="AN129" i="1" s="1"/>
  <c r="AN130" i="1" a="1"/>
  <c r="AN130" i="1" s="1"/>
  <c r="AN131" i="1" a="1"/>
  <c r="AN131" i="1" s="1"/>
  <c r="AN132" i="1" a="1"/>
  <c r="AN132" i="1" s="1"/>
  <c r="AN133" i="1" a="1"/>
  <c r="AN133" i="1" s="1"/>
  <c r="AN134" i="1" a="1"/>
  <c r="AN134" i="1" s="1"/>
  <c r="AN135" i="1" a="1"/>
  <c r="AN135" i="1" s="1"/>
  <c r="AN136" i="1" a="1"/>
  <c r="AN136" i="1" s="1"/>
  <c r="AN137" i="1" a="1"/>
  <c r="AN137" i="1" s="1"/>
  <c r="AN138" i="1" a="1"/>
  <c r="AN138" i="1" s="1"/>
  <c r="AN139" i="1" a="1"/>
  <c r="AN139" i="1" s="1"/>
  <c r="AN140" i="1" a="1"/>
  <c r="AN140" i="1" s="1"/>
  <c r="AN141" i="1" a="1"/>
  <c r="AN141" i="1" s="1"/>
  <c r="AN142" i="1" a="1"/>
  <c r="AN142" i="1" s="1"/>
  <c r="AN143" i="1" a="1"/>
  <c r="AN143" i="1" s="1"/>
  <c r="AN144" i="1" a="1"/>
  <c r="AN144" i="1" s="1"/>
  <c r="AN145" i="1" a="1"/>
  <c r="AN145" i="1" s="1"/>
  <c r="AN146" i="1" a="1"/>
  <c r="AN146" i="1" s="1"/>
  <c r="AN147" i="1" a="1"/>
  <c r="AN147" i="1" s="1"/>
  <c r="AN148" i="1" a="1"/>
  <c r="AN148" i="1" s="1"/>
  <c r="AN149" i="1" a="1"/>
  <c r="AN149" i="1" s="1"/>
  <c r="AN150" i="1" a="1"/>
  <c r="AN150" i="1" s="1"/>
  <c r="AN151" i="1" a="1"/>
  <c r="AN151" i="1" s="1"/>
  <c r="AN152" i="1" a="1"/>
  <c r="AN152" i="1" s="1"/>
  <c r="AN153" i="1" a="1"/>
  <c r="AN153" i="1" s="1"/>
  <c r="AN154" i="1" a="1"/>
  <c r="AN154" i="1" s="1"/>
  <c r="AN155" i="1" a="1"/>
  <c r="AN155" i="1" s="1"/>
  <c r="AN156" i="1" a="1"/>
  <c r="AN156" i="1" s="1"/>
  <c r="AN157" i="1" a="1"/>
  <c r="AN157" i="1" s="1"/>
  <c r="AN158" i="1" a="1"/>
  <c r="AN158" i="1" s="1"/>
  <c r="AN159" i="1" a="1"/>
  <c r="AN159" i="1" s="1"/>
  <c r="AN160" i="1" a="1"/>
  <c r="AN160" i="1" s="1"/>
  <c r="AN161" i="1" a="1"/>
  <c r="AN161" i="1" s="1"/>
  <c r="AN162" i="1" a="1"/>
  <c r="AN162" i="1" s="1"/>
  <c r="AN163" i="1" a="1"/>
  <c r="AN163" i="1" s="1"/>
  <c r="AN164" i="1" a="1"/>
  <c r="AN164" i="1" s="1"/>
  <c r="AN165" i="1" a="1"/>
  <c r="AN165" i="1" s="1"/>
  <c r="AN166" i="1" a="1"/>
  <c r="AN166" i="1" s="1"/>
  <c r="AN167" i="1" a="1"/>
  <c r="AN167" i="1" s="1"/>
  <c r="AN168" i="1" a="1"/>
  <c r="AN168" i="1" s="1"/>
  <c r="AN169" i="1" a="1"/>
  <c r="AN169" i="1" s="1"/>
  <c r="AN170" i="1" a="1"/>
  <c r="AN170" i="1" s="1"/>
  <c r="AN171" i="1" a="1"/>
  <c r="AN171" i="1" s="1"/>
  <c r="AN172" i="1" a="1"/>
  <c r="AN172" i="1" s="1"/>
  <c r="AN173" i="1" a="1"/>
  <c r="AN173" i="1" s="1"/>
  <c r="AN174" i="1" a="1"/>
  <c r="AN174" i="1" s="1"/>
  <c r="AN175" i="1" a="1"/>
  <c r="AN175" i="1" s="1"/>
  <c r="AN176" i="1" a="1"/>
  <c r="AN176" i="1" s="1"/>
  <c r="AN177" i="1" a="1"/>
  <c r="AN177" i="1" s="1"/>
  <c r="AN178" i="1" a="1"/>
  <c r="AN178" i="1" s="1"/>
  <c r="AN179" i="1" a="1"/>
  <c r="AN179" i="1" s="1"/>
  <c r="AN180" i="1" a="1"/>
  <c r="AN180" i="1" s="1"/>
  <c r="AN181" i="1" a="1"/>
  <c r="AN181" i="1" s="1"/>
  <c r="AN182" i="1" a="1"/>
  <c r="AN182" i="1" s="1"/>
  <c r="AN183" i="1" a="1"/>
  <c r="AN183" i="1" s="1"/>
  <c r="AN184" i="1" a="1"/>
  <c r="AN184" i="1" s="1"/>
  <c r="AN185" i="1" a="1"/>
  <c r="AN185" i="1" s="1"/>
  <c r="AN186" i="1" a="1"/>
  <c r="AN186" i="1" s="1"/>
  <c r="AN187" i="1" a="1"/>
  <c r="AN187" i="1" s="1"/>
  <c r="AN188" i="1" a="1"/>
  <c r="AN188" i="1" s="1"/>
  <c r="AN189" i="1" a="1"/>
  <c r="AN189" i="1" s="1"/>
  <c r="AN190" i="1" a="1"/>
  <c r="AN190" i="1" s="1"/>
  <c r="AN191" i="1" a="1"/>
  <c r="AN191" i="1" s="1"/>
  <c r="AN192" i="1" a="1"/>
  <c r="AN192" i="1" s="1"/>
  <c r="AN193" i="1" a="1"/>
  <c r="AN193" i="1" s="1"/>
  <c r="AN194" i="1" a="1"/>
  <c r="AN194" i="1" s="1"/>
  <c r="AN195" i="1" a="1"/>
  <c r="AN195" i="1" s="1"/>
  <c r="AN196" i="1" a="1"/>
  <c r="AN196" i="1" s="1"/>
  <c r="AN197" i="1" a="1"/>
  <c r="AN197" i="1" s="1"/>
  <c r="AN198" i="1" a="1"/>
  <c r="AN198" i="1" s="1"/>
  <c r="AN199" i="1" a="1"/>
  <c r="AN199" i="1" s="1"/>
  <c r="AN200" i="1" a="1"/>
  <c r="AN200" i="1" s="1"/>
  <c r="AN201" i="1" a="1"/>
  <c r="AN201" i="1" s="1"/>
  <c r="AN202" i="1" a="1"/>
  <c r="AN202" i="1" s="1"/>
  <c r="AN203" i="1" a="1"/>
  <c r="AN203" i="1" s="1"/>
  <c r="AN204" i="1" a="1"/>
  <c r="AN204" i="1" s="1"/>
  <c r="AN205" i="1" a="1"/>
  <c r="AN205" i="1" s="1"/>
  <c r="AN206" i="1" a="1"/>
  <c r="AN206" i="1" s="1"/>
  <c r="AN207" i="1" a="1"/>
  <c r="AN207" i="1" s="1"/>
  <c r="AN208" i="1" a="1"/>
  <c r="AN208" i="1" s="1"/>
  <c r="AN209" i="1" a="1"/>
  <c r="AN209" i="1" s="1"/>
  <c r="AN210" i="1" a="1"/>
  <c r="AN210" i="1" s="1"/>
  <c r="AN211" i="1" a="1"/>
  <c r="AN211" i="1" s="1"/>
  <c r="AN212" i="1" a="1"/>
  <c r="AN212" i="1" s="1"/>
  <c r="AN213" i="1" a="1"/>
  <c r="AN213" i="1" s="1"/>
  <c r="AN214" i="1" a="1"/>
  <c r="AN214" i="1" s="1"/>
  <c r="AN215" i="1" a="1"/>
  <c r="AN215" i="1" s="1"/>
  <c r="AN216" i="1" a="1"/>
  <c r="AN216" i="1" s="1"/>
  <c r="AN217" i="1" a="1"/>
  <c r="AN217" i="1" s="1"/>
  <c r="AN218" i="1" a="1"/>
  <c r="AN218" i="1" s="1"/>
  <c r="AN219" i="1" a="1"/>
  <c r="AN219" i="1" s="1"/>
  <c r="AN220" i="1" a="1"/>
  <c r="AN220" i="1" s="1"/>
  <c r="AN221" i="1" a="1"/>
  <c r="AN221" i="1" s="1"/>
  <c r="AN222" i="1" a="1"/>
  <c r="AN222" i="1" s="1"/>
  <c r="AN223" i="1" a="1"/>
  <c r="AN223" i="1" s="1"/>
  <c r="AN224" i="1" a="1"/>
  <c r="AN224" i="1" s="1"/>
  <c r="AN225" i="1" a="1"/>
  <c r="AN225" i="1" s="1"/>
  <c r="AN226" i="1" a="1"/>
  <c r="AN226" i="1" s="1"/>
  <c r="AN227" i="1" a="1"/>
  <c r="AN227" i="1" s="1"/>
  <c r="AN228" i="1" a="1"/>
  <c r="AN228" i="1" s="1"/>
  <c r="AN229" i="1" a="1"/>
  <c r="AN229" i="1" s="1"/>
  <c r="AN230" i="1" a="1"/>
  <c r="AN230" i="1" s="1"/>
  <c r="AN231" i="1" a="1"/>
  <c r="AN231" i="1" s="1"/>
  <c r="AN232" i="1" a="1"/>
  <c r="AN232" i="1" s="1"/>
  <c r="AN233" i="1" a="1"/>
  <c r="AN233" i="1" s="1"/>
  <c r="AN234" i="1" a="1"/>
  <c r="AN234" i="1" s="1"/>
  <c r="AN235" i="1" a="1"/>
  <c r="AN235" i="1" s="1"/>
  <c r="AN236" i="1" a="1"/>
  <c r="AN236" i="1" s="1"/>
  <c r="AN237" i="1" a="1"/>
  <c r="AN237" i="1" s="1"/>
  <c r="AN238" i="1" a="1"/>
  <c r="AN238" i="1" s="1"/>
  <c r="AN239" i="1" a="1"/>
  <c r="AN239" i="1" s="1"/>
  <c r="AN240" i="1" a="1"/>
  <c r="AN240" i="1" s="1"/>
  <c r="AN241" i="1" a="1"/>
  <c r="AN241" i="1" s="1"/>
  <c r="AN242" i="1" a="1"/>
  <c r="AN242" i="1" s="1"/>
  <c r="AN243" i="1" a="1"/>
  <c r="AN243" i="1" s="1"/>
  <c r="AN244" i="1" a="1"/>
  <c r="AN244" i="1" s="1"/>
  <c r="AN245" i="1" a="1"/>
  <c r="AN245" i="1" s="1"/>
  <c r="AN246" i="1" a="1"/>
  <c r="AN246" i="1" s="1"/>
  <c r="AN247" i="1" a="1"/>
  <c r="AN247" i="1" s="1"/>
  <c r="AN248" i="1" a="1"/>
  <c r="AN248" i="1" s="1"/>
  <c r="AN249" i="1" a="1"/>
  <c r="AN249" i="1" s="1"/>
  <c r="AN250" i="1" a="1"/>
  <c r="AN250" i="1" s="1"/>
  <c r="AN251" i="1" a="1"/>
  <c r="AN251" i="1" s="1"/>
  <c r="AN252" i="1" a="1"/>
  <c r="AN252" i="1" s="1"/>
  <c r="AN253" i="1" a="1"/>
  <c r="AN253" i="1" s="1"/>
  <c r="AN254" i="1" a="1"/>
  <c r="AN254" i="1" s="1"/>
  <c r="AN255" i="1" a="1"/>
  <c r="AN255" i="1" s="1"/>
  <c r="AN256" i="1" a="1"/>
  <c r="AN256" i="1" s="1"/>
  <c r="AN257" i="1" a="1"/>
  <c r="AN257" i="1" s="1"/>
  <c r="AN258" i="1" a="1"/>
  <c r="AN258" i="1" s="1"/>
  <c r="AN259" i="1" a="1"/>
  <c r="AN259" i="1" s="1"/>
  <c r="AN260" i="1" a="1"/>
  <c r="AN260" i="1" s="1"/>
  <c r="AN261" i="1" a="1"/>
  <c r="AN261" i="1" s="1"/>
  <c r="AN262" i="1" a="1"/>
  <c r="AN262" i="1" s="1"/>
  <c r="AN263" i="1" a="1"/>
  <c r="AN263" i="1" s="1"/>
  <c r="AN264" i="1" a="1"/>
  <c r="AN264" i="1" s="1"/>
  <c r="AN265" i="1" a="1"/>
  <c r="AN265" i="1" s="1"/>
  <c r="AN266" i="1" a="1"/>
  <c r="AN266" i="1" s="1"/>
  <c r="AN267" i="1" a="1"/>
  <c r="AN267" i="1" s="1"/>
  <c r="AN268" i="1" a="1"/>
  <c r="AN268" i="1" s="1"/>
  <c r="AN269" i="1" a="1"/>
  <c r="AN269" i="1" s="1"/>
  <c r="AN270" i="1" a="1"/>
  <c r="AN270" i="1" s="1"/>
  <c r="AN271" i="1" a="1"/>
  <c r="AN271" i="1" s="1"/>
  <c r="AN272" i="1" a="1"/>
  <c r="AN272" i="1" s="1"/>
  <c r="AN273" i="1" a="1"/>
  <c r="AN273" i="1" s="1"/>
  <c r="AN274" i="1" a="1"/>
  <c r="AN274" i="1" s="1"/>
  <c r="AN275" i="1" a="1"/>
  <c r="AN275" i="1" s="1"/>
  <c r="AN276" i="1" a="1"/>
  <c r="AN276" i="1" s="1"/>
  <c r="AN277" i="1" a="1"/>
  <c r="AN277" i="1" s="1"/>
  <c r="AN278" i="1" a="1"/>
  <c r="AN278" i="1" s="1"/>
  <c r="AN279" i="1" a="1"/>
  <c r="AN279" i="1" s="1"/>
  <c r="AN280" i="1" a="1"/>
  <c r="AN280" i="1" s="1"/>
  <c r="AN281" i="1" a="1"/>
  <c r="AN281" i="1" s="1"/>
  <c r="AN282" i="1" a="1"/>
  <c r="AN282" i="1" s="1"/>
  <c r="AN283" i="1" a="1"/>
  <c r="AN283" i="1" s="1"/>
  <c r="AN284" i="1" a="1"/>
  <c r="AN284" i="1" s="1"/>
  <c r="AN285" i="1" a="1"/>
  <c r="AN285" i="1" s="1"/>
  <c r="AN286" i="1" a="1"/>
  <c r="AN286" i="1" s="1"/>
  <c r="AN287" i="1" a="1"/>
  <c r="AN287" i="1" s="1"/>
  <c r="AN288" i="1" a="1"/>
  <c r="AN288" i="1" s="1"/>
  <c r="AN289" i="1" a="1"/>
  <c r="AN289" i="1" s="1"/>
  <c r="AN290" i="1" a="1"/>
  <c r="AN290" i="1" s="1"/>
  <c r="AN291" i="1" a="1"/>
  <c r="AN291" i="1" s="1"/>
  <c r="AN292" i="1" a="1"/>
  <c r="AN292" i="1" s="1"/>
  <c r="AN293" i="1" a="1"/>
  <c r="AN293" i="1" s="1"/>
  <c r="AN294" i="1" a="1"/>
  <c r="AN294" i="1" s="1"/>
  <c r="AN295" i="1" a="1"/>
  <c r="AN295" i="1" s="1"/>
  <c r="AN296" i="1" a="1"/>
  <c r="AN296" i="1" s="1"/>
  <c r="AN297" i="1" a="1"/>
  <c r="AN297" i="1" s="1"/>
  <c r="AN298" i="1" a="1"/>
  <c r="AN298" i="1" s="1"/>
  <c r="AN299" i="1" a="1"/>
  <c r="AN299" i="1" s="1"/>
  <c r="AN300" i="1" a="1"/>
  <c r="AN300" i="1" s="1"/>
  <c r="AN301" i="1" a="1"/>
  <c r="AN301" i="1" s="1"/>
  <c r="AN302" i="1" a="1"/>
  <c r="AN302" i="1" s="1"/>
  <c r="AN303" i="1" a="1"/>
  <c r="AN303" i="1" s="1"/>
  <c r="AN304" i="1" a="1"/>
  <c r="AN304" i="1" s="1"/>
  <c r="AN305" i="1" a="1"/>
  <c r="AN305" i="1" s="1"/>
  <c r="AN306" i="1" a="1"/>
  <c r="AN306" i="1" s="1"/>
  <c r="AN307" i="1" a="1"/>
  <c r="AN307" i="1" s="1"/>
  <c r="AN308" i="1" a="1"/>
  <c r="AN308" i="1" s="1"/>
  <c r="AN309" i="1" a="1"/>
  <c r="AN309" i="1" s="1"/>
  <c r="AN310" i="1" a="1"/>
  <c r="AN310" i="1" s="1"/>
  <c r="AN311" i="1" a="1"/>
  <c r="AN311" i="1" s="1"/>
  <c r="AN312" i="1" a="1"/>
  <c r="AN312" i="1" s="1"/>
  <c r="AN313" i="1" a="1"/>
  <c r="AN313" i="1" s="1"/>
  <c r="AN314" i="1" a="1"/>
  <c r="AN314" i="1" s="1"/>
  <c r="AN315" i="1" a="1"/>
  <c r="AN315" i="1" s="1"/>
  <c r="AN316" i="1" a="1"/>
  <c r="AN316" i="1" s="1"/>
  <c r="AN317" i="1" a="1"/>
  <c r="AN317" i="1" s="1"/>
  <c r="AN318" i="1" a="1"/>
  <c r="AN318" i="1" s="1"/>
  <c r="AN319" i="1" a="1"/>
  <c r="AN319" i="1" s="1"/>
  <c r="AN320" i="1" a="1"/>
  <c r="AN320" i="1" s="1"/>
  <c r="AN321" i="1" a="1"/>
  <c r="AN321" i="1" s="1"/>
  <c r="AN322" i="1" a="1"/>
  <c r="AN322" i="1" s="1"/>
  <c r="AN323" i="1" a="1"/>
  <c r="AN323" i="1" s="1"/>
  <c r="AN324" i="1" a="1"/>
  <c r="AN324" i="1" s="1"/>
  <c r="AN325" i="1" a="1"/>
  <c r="AN325" i="1" s="1"/>
  <c r="AN326" i="1" a="1"/>
  <c r="AN326" i="1" s="1"/>
  <c r="AN327" i="1" a="1"/>
  <c r="AN327" i="1" s="1"/>
  <c r="AN328" i="1" a="1"/>
  <c r="AN328" i="1" s="1"/>
  <c r="AN329" i="1" a="1"/>
  <c r="AN329" i="1" s="1"/>
  <c r="AN330" i="1" a="1"/>
  <c r="AN330" i="1" s="1"/>
  <c r="AN331" i="1" a="1"/>
  <c r="AN331" i="1" s="1"/>
  <c r="AN332" i="1" a="1"/>
  <c r="AN332" i="1" s="1"/>
  <c r="AN333" i="1" a="1"/>
  <c r="AN333" i="1" s="1"/>
  <c r="AN334" i="1" a="1"/>
  <c r="AN334" i="1" s="1"/>
  <c r="AN335" i="1" a="1"/>
  <c r="AN335" i="1" s="1"/>
  <c r="AN336" i="1" a="1"/>
  <c r="AN336" i="1" s="1"/>
  <c r="AN337" i="1" a="1"/>
  <c r="AN337" i="1" s="1"/>
  <c r="AN338" i="1" a="1"/>
  <c r="AN338" i="1" s="1"/>
  <c r="AN339" i="1" a="1"/>
  <c r="AN339" i="1" s="1"/>
  <c r="AN340" i="1" a="1"/>
  <c r="AN340" i="1" s="1"/>
  <c r="AN341" i="1" a="1"/>
  <c r="AN341" i="1" s="1"/>
  <c r="AN342" i="1" a="1"/>
  <c r="AN342" i="1" s="1"/>
  <c r="AN343" i="1" a="1"/>
  <c r="AN343" i="1" s="1"/>
  <c r="AN344" i="1" a="1"/>
  <c r="AN344" i="1" s="1"/>
  <c r="AN345" i="1" a="1"/>
  <c r="AN345" i="1" s="1"/>
  <c r="AN346" i="1" a="1"/>
  <c r="AN346" i="1" s="1"/>
  <c r="AN347" i="1" a="1"/>
  <c r="AN347" i="1" s="1"/>
  <c r="AN348" i="1" a="1"/>
  <c r="AN348" i="1" s="1"/>
  <c r="AN349" i="1" a="1"/>
  <c r="AN349" i="1" s="1"/>
  <c r="AN350" i="1" a="1"/>
  <c r="AN350" i="1" s="1"/>
  <c r="AN351" i="1" a="1"/>
  <c r="AN351" i="1" s="1"/>
  <c r="AN352" i="1" a="1"/>
  <c r="AN352" i="1" s="1"/>
  <c r="AN353" i="1" a="1"/>
  <c r="AN353" i="1" s="1"/>
  <c r="AN354" i="1" a="1"/>
  <c r="AN354" i="1" s="1"/>
  <c r="AN355" i="1" a="1"/>
  <c r="AN355" i="1" s="1"/>
  <c r="AN356" i="1" a="1"/>
  <c r="AN356" i="1" s="1"/>
  <c r="AN357" i="1" a="1"/>
  <c r="AN357" i="1" s="1"/>
  <c r="AN358" i="1" a="1"/>
  <c r="AN358" i="1" s="1"/>
  <c r="AN359" i="1" a="1"/>
  <c r="AN359" i="1" s="1"/>
  <c r="AN360" i="1" a="1"/>
  <c r="AN360" i="1" s="1"/>
  <c r="AN361" i="1" a="1"/>
  <c r="AN361" i="1" s="1"/>
  <c r="AN362" i="1" a="1"/>
  <c r="AN362" i="1" s="1"/>
  <c r="AN363" i="1" a="1"/>
  <c r="AN363" i="1" s="1"/>
  <c r="AN364" i="1" a="1"/>
  <c r="AN364" i="1" s="1"/>
  <c r="AN365" i="1" a="1"/>
  <c r="AN365" i="1" s="1"/>
  <c r="AN366" i="1" a="1"/>
  <c r="AN366" i="1" s="1"/>
  <c r="AN367" i="1" a="1"/>
  <c r="AN367" i="1" s="1"/>
  <c r="AN368" i="1" a="1"/>
  <c r="AN368" i="1" s="1"/>
  <c r="AN369" i="1" a="1"/>
  <c r="AN369" i="1" s="1"/>
  <c r="AN370" i="1" a="1"/>
  <c r="AN370" i="1" s="1"/>
  <c r="AN371" i="1" a="1"/>
  <c r="AN371" i="1" s="1"/>
  <c r="AN372" i="1" a="1"/>
  <c r="AN372" i="1" s="1"/>
  <c r="AN373" i="1" a="1"/>
  <c r="AN373" i="1" s="1"/>
  <c r="AN374" i="1" a="1"/>
  <c r="AN374" i="1" s="1"/>
  <c r="AN375" i="1" a="1"/>
  <c r="AN375" i="1" s="1"/>
  <c r="AN376" i="1" a="1"/>
  <c r="AN376" i="1" s="1"/>
  <c r="AN377" i="1" a="1"/>
  <c r="AN377" i="1" s="1"/>
  <c r="AN378" i="1" a="1"/>
  <c r="AN378" i="1" s="1"/>
  <c r="AN379" i="1" a="1"/>
  <c r="AN379" i="1" s="1"/>
  <c r="AN380" i="1" a="1"/>
  <c r="AN380" i="1" s="1"/>
  <c r="AN381" i="1" a="1"/>
  <c r="AN381" i="1" s="1"/>
  <c r="AN382" i="1" a="1"/>
  <c r="AN382" i="1" s="1"/>
  <c r="AN383" i="1" a="1"/>
  <c r="AN383" i="1" s="1"/>
  <c r="AN384" i="1" a="1"/>
  <c r="AN384" i="1" s="1"/>
  <c r="AN385" i="1" a="1"/>
  <c r="AN385" i="1" s="1"/>
  <c r="AN386" i="1" a="1"/>
  <c r="AN386" i="1" s="1"/>
  <c r="AN387" i="1" a="1"/>
  <c r="AN387" i="1" s="1"/>
  <c r="AN388" i="1" a="1"/>
  <c r="AN388" i="1" s="1"/>
  <c r="AN389" i="1" a="1"/>
  <c r="AN389" i="1" s="1"/>
  <c r="AN390" i="1" a="1"/>
  <c r="AN390" i="1" s="1"/>
  <c r="AN391" i="1" a="1"/>
  <c r="AN391" i="1" s="1"/>
  <c r="AN392" i="1" a="1"/>
  <c r="AN392" i="1" s="1"/>
  <c r="AN393" i="1" a="1"/>
  <c r="AN393" i="1" s="1"/>
  <c r="AN394" i="1" a="1"/>
  <c r="AN394" i="1" s="1"/>
  <c r="AN395" i="1" a="1"/>
  <c r="AN395" i="1" s="1"/>
  <c r="AN396" i="1" a="1"/>
  <c r="AN396" i="1" s="1"/>
  <c r="AN397" i="1" a="1"/>
  <c r="AN397" i="1" s="1"/>
  <c r="AN398" i="1" a="1"/>
  <c r="AN398" i="1" s="1"/>
  <c r="AN399" i="1" a="1"/>
  <c r="AN399" i="1" s="1"/>
  <c r="AN400" i="1" a="1"/>
  <c r="AN400" i="1" s="1"/>
  <c r="AN401" i="1" a="1"/>
  <c r="AN401" i="1" s="1"/>
  <c r="AN402" i="1" a="1"/>
  <c r="AN402" i="1" s="1"/>
  <c r="AN403" i="1" a="1"/>
  <c r="AN403" i="1" s="1"/>
  <c r="AN404" i="1" a="1"/>
  <c r="AN404" i="1" s="1"/>
  <c r="AN405" i="1" a="1"/>
  <c r="AN405" i="1" s="1"/>
  <c r="AN406" i="1" a="1"/>
  <c r="AN406" i="1" s="1"/>
  <c r="AN407" i="1" a="1"/>
  <c r="AN407" i="1" s="1"/>
  <c r="AN408" i="1" a="1"/>
  <c r="AN408" i="1" s="1"/>
  <c r="AN409" i="1" a="1"/>
  <c r="AN409" i="1" s="1"/>
  <c r="AN410" i="1" a="1"/>
  <c r="AN410" i="1" s="1"/>
  <c r="AN411" i="1" a="1"/>
  <c r="AN411" i="1" s="1"/>
  <c r="AN412" i="1" a="1"/>
  <c r="AN412" i="1" s="1"/>
  <c r="AN413" i="1" a="1"/>
  <c r="AN413" i="1" s="1"/>
  <c r="AN414" i="1" a="1"/>
  <c r="AN414" i="1" s="1"/>
  <c r="AN415" i="1" a="1"/>
  <c r="AN415" i="1" s="1"/>
  <c r="AN416" i="1" a="1"/>
  <c r="AN416" i="1" s="1"/>
  <c r="AN417" i="1" a="1"/>
  <c r="AN417" i="1" s="1"/>
  <c r="AN418" i="1" a="1"/>
  <c r="AN418" i="1" s="1"/>
  <c r="AN419" i="1" a="1"/>
  <c r="AN419" i="1" s="1"/>
  <c r="AN420" i="1" a="1"/>
  <c r="AN420" i="1" s="1"/>
  <c r="AN421" i="1" a="1"/>
  <c r="AN421" i="1" s="1"/>
  <c r="AN422" i="1" a="1"/>
  <c r="AN422" i="1" s="1"/>
  <c r="AN423" i="1" a="1"/>
  <c r="AN423" i="1" s="1"/>
  <c r="AN424" i="1" a="1"/>
  <c r="AN424" i="1" s="1"/>
  <c r="AN425" i="1" a="1"/>
  <c r="AN425" i="1" s="1"/>
  <c r="AN426" i="1" a="1"/>
  <c r="AN426" i="1" s="1"/>
  <c r="AN427" i="1" a="1"/>
  <c r="AN427" i="1" s="1"/>
  <c r="AN428" i="1" a="1"/>
  <c r="AN428" i="1" s="1"/>
  <c r="AN429" i="1" a="1"/>
  <c r="AN429" i="1" s="1"/>
  <c r="AN430" i="1" a="1"/>
  <c r="AN430" i="1" s="1"/>
  <c r="AN431" i="1" a="1"/>
  <c r="AN431" i="1" s="1"/>
  <c r="AN432" i="1" a="1"/>
  <c r="AN432" i="1" s="1"/>
  <c r="AN433" i="1" a="1"/>
  <c r="AN433" i="1" s="1"/>
  <c r="AN434" i="1" a="1"/>
  <c r="AN434" i="1" s="1"/>
  <c r="AN435" i="1" a="1"/>
  <c r="AN435" i="1" s="1"/>
  <c r="AN436" i="1" a="1"/>
  <c r="AN436" i="1" s="1"/>
  <c r="AN437" i="1" a="1"/>
  <c r="AN437" i="1" s="1"/>
  <c r="AN438" i="1" a="1"/>
  <c r="AN438" i="1" s="1"/>
  <c r="AN439" i="1" a="1"/>
  <c r="AN439" i="1" s="1"/>
  <c r="AN440" i="1" a="1"/>
  <c r="AN440" i="1" s="1"/>
  <c r="AN441" i="1" a="1"/>
  <c r="AN441" i="1" s="1"/>
  <c r="AN442" i="1" a="1"/>
  <c r="AN442" i="1" s="1"/>
  <c r="AN443" i="1" a="1"/>
  <c r="AN443" i="1" s="1"/>
  <c r="AN444" i="1" a="1"/>
  <c r="AN444" i="1" s="1"/>
  <c r="AN445" i="1" a="1"/>
  <c r="AN445" i="1" s="1"/>
  <c r="AN446" i="1" a="1"/>
  <c r="AN446" i="1" s="1"/>
  <c r="AN447" i="1" a="1"/>
  <c r="AN447" i="1" s="1"/>
  <c r="AN448" i="1" a="1"/>
  <c r="AN448" i="1" s="1"/>
  <c r="AN449" i="1" a="1"/>
  <c r="AN449" i="1" s="1"/>
  <c r="AN450" i="1" a="1"/>
  <c r="AN450" i="1" s="1"/>
  <c r="AN451" i="1" a="1"/>
  <c r="AN451" i="1" s="1"/>
  <c r="AN452" i="1" a="1"/>
  <c r="AN452" i="1" s="1"/>
  <c r="AN453" i="1" a="1"/>
  <c r="AN453" i="1" s="1"/>
  <c r="AN454" i="1" a="1"/>
  <c r="AN454" i="1" s="1"/>
  <c r="AN455" i="1" a="1"/>
  <c r="AN455" i="1" s="1"/>
  <c r="AN456" i="1" a="1"/>
  <c r="AN456" i="1" s="1"/>
  <c r="AN457" i="1" a="1"/>
  <c r="AN457" i="1" s="1"/>
  <c r="AN458" i="1" a="1"/>
  <c r="AN458" i="1" s="1"/>
  <c r="AN459" i="1" a="1"/>
  <c r="AN459" i="1" s="1"/>
  <c r="AN460" i="1" a="1"/>
  <c r="AN460" i="1" s="1"/>
  <c r="AN461" i="1" a="1"/>
  <c r="AN461" i="1" s="1"/>
  <c r="AN462" i="1" a="1"/>
  <c r="AN462" i="1" s="1"/>
  <c r="AN463" i="1" a="1"/>
  <c r="AN463" i="1" s="1"/>
  <c r="AN464" i="1" a="1"/>
  <c r="AN464" i="1" s="1"/>
  <c r="AN465" i="1" a="1"/>
  <c r="AN465" i="1" s="1"/>
  <c r="AN466" i="1" a="1"/>
  <c r="AN466" i="1" s="1"/>
  <c r="AN467" i="1" a="1"/>
  <c r="AN467" i="1" s="1"/>
  <c r="AN468" i="1" a="1"/>
  <c r="AN468" i="1" s="1"/>
  <c r="AN469" i="1" a="1"/>
  <c r="AN469" i="1" s="1"/>
  <c r="AN470" i="1" a="1"/>
  <c r="AN470" i="1" s="1"/>
  <c r="AN471" i="1" a="1"/>
  <c r="AN471" i="1" s="1"/>
  <c r="AN472" i="1" a="1"/>
  <c r="AN472" i="1" s="1"/>
  <c r="AN473" i="1" a="1"/>
  <c r="AN473" i="1" s="1"/>
  <c r="AN474" i="1" a="1"/>
  <c r="AN474" i="1" s="1"/>
  <c r="AN475" i="1" a="1"/>
  <c r="AN475" i="1" s="1"/>
  <c r="AN476" i="1" a="1"/>
  <c r="AN476" i="1" s="1"/>
  <c r="AN477" i="1" a="1"/>
  <c r="AN477" i="1" s="1"/>
  <c r="AN478" i="1" a="1"/>
  <c r="AN478" i="1" s="1"/>
  <c r="AN479" i="1" a="1"/>
  <c r="AN479" i="1" s="1"/>
  <c r="AN480" i="1" a="1"/>
  <c r="AN480" i="1" s="1"/>
  <c r="AN481" i="1" a="1"/>
  <c r="AN481" i="1" s="1"/>
  <c r="AN482" i="1" a="1"/>
  <c r="AN482" i="1" s="1"/>
  <c r="AN483" i="1" a="1"/>
  <c r="AN483" i="1" s="1"/>
  <c r="AN484" i="1" a="1"/>
  <c r="AN484" i="1" s="1"/>
  <c r="AN485" i="1" a="1"/>
  <c r="AN485" i="1" s="1"/>
  <c r="AN486" i="1" a="1"/>
  <c r="AN486" i="1" s="1"/>
  <c r="AN487" i="1" a="1"/>
  <c r="AN487" i="1" s="1"/>
  <c r="AN488" i="1" a="1"/>
  <c r="AN488" i="1" s="1"/>
  <c r="AN489" i="1" a="1"/>
  <c r="AN489" i="1" s="1"/>
  <c r="AN490" i="1" a="1"/>
  <c r="AN490" i="1" s="1"/>
  <c r="AN491" i="1" a="1"/>
  <c r="AN491" i="1" s="1"/>
  <c r="AN492" i="1" a="1"/>
  <c r="AN492" i="1" s="1"/>
  <c r="AN493" i="1" a="1"/>
  <c r="AN493" i="1" s="1"/>
  <c r="AN494" i="1" a="1"/>
  <c r="AN494" i="1" s="1"/>
  <c r="AN495" i="1" a="1"/>
  <c r="AN495" i="1" s="1"/>
  <c r="AN496" i="1" a="1"/>
  <c r="AN496" i="1" s="1"/>
  <c r="AN497" i="1" a="1"/>
  <c r="AN497" i="1" s="1"/>
  <c r="AN498" i="1" a="1"/>
  <c r="AN498" i="1" s="1"/>
  <c r="AN499" i="1" a="1"/>
  <c r="AN499" i="1" s="1"/>
  <c r="AN500" i="1" a="1"/>
  <c r="AN500" i="1" s="1"/>
  <c r="AN501" i="1" a="1"/>
  <c r="AN501" i="1" s="1"/>
  <c r="AN502" i="1" a="1"/>
  <c r="AN502" i="1" s="1"/>
  <c r="AN503" i="1" a="1"/>
  <c r="AN503" i="1" s="1"/>
  <c r="AN504" i="1" a="1"/>
  <c r="AN504" i="1" s="1"/>
  <c r="AN505" i="1" a="1"/>
  <c r="AN505" i="1" s="1"/>
  <c r="AN506" i="1" a="1"/>
  <c r="AN506" i="1" s="1"/>
  <c r="AN507" i="1" a="1"/>
  <c r="AN507" i="1" s="1"/>
  <c r="AN508" i="1" a="1"/>
  <c r="AN508" i="1" s="1"/>
  <c r="AN509" i="1" a="1"/>
  <c r="AN509" i="1" s="1"/>
  <c r="AN510" i="1" a="1"/>
  <c r="AN510" i="1" s="1"/>
  <c r="AN511" i="1" a="1"/>
  <c r="AN511" i="1" s="1"/>
  <c r="AN512" i="1" a="1"/>
  <c r="AN512" i="1" s="1"/>
  <c r="AN513" i="1" a="1"/>
  <c r="AN513" i="1" s="1"/>
  <c r="AN514" i="1" a="1"/>
  <c r="AN514" i="1" s="1"/>
  <c r="AN515" i="1" a="1"/>
  <c r="AN515" i="1" s="1"/>
  <c r="AN516" i="1" a="1"/>
  <c r="AN516" i="1" s="1"/>
  <c r="AN517" i="1" a="1"/>
  <c r="AN517" i="1" s="1"/>
  <c r="AN518" i="1" a="1"/>
  <c r="AN518" i="1" s="1"/>
  <c r="AN519" i="1" a="1"/>
  <c r="AN519" i="1" s="1"/>
  <c r="AN520" i="1" a="1"/>
  <c r="AN520" i="1" s="1"/>
  <c r="AN521" i="1" a="1"/>
  <c r="AN521" i="1" s="1"/>
  <c r="AN522" i="1" a="1"/>
  <c r="AN522" i="1" s="1"/>
  <c r="AN523" i="1" a="1"/>
  <c r="AN523" i="1" s="1"/>
  <c r="AN524" i="1" a="1"/>
  <c r="AN524" i="1" s="1"/>
  <c r="AN525" i="1" a="1"/>
  <c r="AN525" i="1" s="1"/>
  <c r="AN526" i="1" a="1"/>
  <c r="AN526" i="1" s="1"/>
  <c r="AN527" i="1" a="1"/>
  <c r="AN527" i="1" s="1"/>
  <c r="AN528" i="1" a="1"/>
  <c r="AN528" i="1" s="1"/>
  <c r="AN529" i="1" a="1"/>
  <c r="AN529" i="1" s="1"/>
  <c r="AN530" i="1" a="1"/>
  <c r="AN530" i="1" s="1"/>
  <c r="AN531" i="1" a="1"/>
  <c r="AN531" i="1" s="1"/>
  <c r="AN532" i="1" a="1"/>
  <c r="AN532" i="1" s="1"/>
  <c r="AN533" i="1" a="1"/>
  <c r="AN533" i="1" s="1"/>
  <c r="AN534" i="1" a="1"/>
  <c r="AN534" i="1" s="1"/>
  <c r="AN535" i="1" a="1"/>
  <c r="AN535" i="1" s="1"/>
  <c r="AN536" i="1" a="1"/>
  <c r="AN536" i="1" s="1"/>
  <c r="AN537" i="1" a="1"/>
  <c r="AN537" i="1" s="1"/>
  <c r="AN538" i="1" a="1"/>
  <c r="AN538" i="1" s="1"/>
  <c r="AN539" i="1" a="1"/>
  <c r="AN539" i="1" s="1"/>
  <c r="AN540" i="1" a="1"/>
  <c r="AN540" i="1" s="1"/>
  <c r="AN541" i="1" a="1"/>
  <c r="AN541" i="1" s="1"/>
  <c r="AN542" i="1" a="1"/>
  <c r="AN542" i="1" s="1"/>
  <c r="AN543" i="1" a="1"/>
  <c r="AN543" i="1" s="1"/>
  <c r="AN544" i="1" a="1"/>
  <c r="AN544" i="1" s="1"/>
  <c r="AN545" i="1" a="1"/>
  <c r="AN545" i="1" s="1"/>
  <c r="AN546" i="1" a="1"/>
  <c r="AN546" i="1" s="1"/>
  <c r="AN547" i="1" a="1"/>
  <c r="AN547" i="1" s="1"/>
  <c r="AN548" i="1" a="1"/>
  <c r="AN548" i="1" s="1"/>
  <c r="AN549" i="1" a="1"/>
  <c r="AN549" i="1" s="1"/>
  <c r="AN550" i="1" a="1"/>
  <c r="AN550" i="1" s="1"/>
  <c r="AN551" i="1" a="1"/>
  <c r="AN551" i="1" s="1"/>
  <c r="AN552" i="1" a="1"/>
  <c r="AN552" i="1" s="1"/>
  <c r="AN553" i="1" a="1"/>
  <c r="AN553" i="1" s="1"/>
  <c r="AN554" i="1" a="1"/>
  <c r="AN554" i="1" s="1"/>
  <c r="AN555" i="1" a="1"/>
  <c r="AN555" i="1" s="1"/>
  <c r="AN556" i="1" a="1"/>
  <c r="AN556" i="1" s="1"/>
  <c r="AN557" i="1" a="1"/>
  <c r="AN557" i="1" s="1"/>
  <c r="AN558" i="1" a="1"/>
  <c r="AN558" i="1" s="1"/>
  <c r="AN559" i="1" a="1"/>
  <c r="AN559" i="1" s="1"/>
  <c r="AN560" i="1" a="1"/>
  <c r="AN560" i="1" s="1"/>
  <c r="AN561" i="1" a="1"/>
  <c r="AN561" i="1" s="1"/>
  <c r="AN562" i="1" a="1"/>
  <c r="AN562" i="1" s="1"/>
  <c r="AN563" i="1" a="1"/>
  <c r="AN563" i="1" s="1"/>
  <c r="AN564" i="1" a="1"/>
  <c r="AN564" i="1" s="1"/>
  <c r="AN565" i="1" a="1"/>
  <c r="AN565" i="1" s="1"/>
  <c r="AN566" i="1" a="1"/>
  <c r="AN566" i="1" s="1"/>
  <c r="AN567" i="1" a="1"/>
  <c r="AN567" i="1" s="1"/>
  <c r="AN568" i="1" a="1"/>
  <c r="AN568" i="1" s="1"/>
  <c r="AN569" i="1" a="1"/>
  <c r="AN569" i="1" s="1"/>
  <c r="AN570" i="1" a="1"/>
  <c r="AN570" i="1" s="1"/>
  <c r="AN571" i="1" a="1"/>
  <c r="AN571" i="1" s="1"/>
  <c r="AN572" i="1" a="1"/>
  <c r="AN572" i="1" s="1"/>
  <c r="AN573" i="1" a="1"/>
  <c r="AN573" i="1" s="1"/>
  <c r="AN574" i="1" a="1"/>
  <c r="AN574" i="1" s="1"/>
  <c r="AN575" i="1" a="1"/>
  <c r="AN575" i="1" s="1"/>
  <c r="AN576" i="1" a="1"/>
  <c r="AN576" i="1" s="1"/>
  <c r="AN577" i="1" a="1"/>
  <c r="AN577" i="1" s="1"/>
  <c r="AN578" i="1" a="1"/>
  <c r="AN578" i="1" s="1"/>
  <c r="AN579" i="1" a="1"/>
  <c r="AN579" i="1" s="1"/>
  <c r="AN580" i="1" a="1"/>
  <c r="AN580" i="1" s="1"/>
  <c r="AN581" i="1" a="1"/>
  <c r="AN581" i="1" s="1"/>
  <c r="AN582" i="1" a="1"/>
  <c r="AN582" i="1" s="1"/>
  <c r="AN583" i="1" a="1"/>
  <c r="AN583" i="1" s="1"/>
  <c r="AN584" i="1" a="1"/>
  <c r="AN584" i="1" s="1"/>
  <c r="AN585" i="1" a="1"/>
  <c r="AN585" i="1" s="1"/>
  <c r="AN586" i="1" a="1"/>
  <c r="AN586" i="1" s="1"/>
  <c r="AN587" i="1" a="1"/>
  <c r="AN587" i="1" s="1"/>
  <c r="AN588" i="1" a="1"/>
  <c r="AN588" i="1" s="1"/>
  <c r="AN589" i="1" a="1"/>
  <c r="AN589" i="1" s="1"/>
  <c r="AN590" i="1" a="1"/>
  <c r="AN590" i="1" s="1"/>
  <c r="AN591" i="1" a="1"/>
  <c r="AN591" i="1" s="1"/>
  <c r="AN592" i="1" a="1"/>
  <c r="AN592" i="1" s="1"/>
  <c r="AN593" i="1" a="1"/>
  <c r="AN593" i="1" s="1"/>
  <c r="AN594" i="1" a="1"/>
  <c r="AN594" i="1" s="1"/>
  <c r="AN595" i="1" a="1"/>
  <c r="AN595" i="1" s="1"/>
  <c r="AN596" i="1" a="1"/>
  <c r="AN596" i="1" s="1"/>
  <c r="AN597" i="1" a="1"/>
  <c r="AN597" i="1" s="1"/>
  <c r="AN598" i="1" a="1"/>
  <c r="AN598" i="1" s="1"/>
  <c r="AN599" i="1" a="1"/>
  <c r="AN599" i="1" s="1"/>
  <c r="AN600" i="1" a="1"/>
  <c r="AN600" i="1" s="1"/>
  <c r="AN601" i="1" a="1"/>
  <c r="AN601" i="1" s="1"/>
  <c r="AN602" i="1" a="1"/>
  <c r="AN602" i="1" s="1"/>
  <c r="AN603" i="1" a="1"/>
  <c r="AN603" i="1" s="1"/>
  <c r="AN604" i="1" a="1"/>
  <c r="AN604" i="1" s="1"/>
  <c r="AN605" i="1" a="1"/>
  <c r="AN605" i="1" s="1"/>
  <c r="AN606" i="1" a="1"/>
  <c r="AN606" i="1" s="1"/>
  <c r="AN607" i="1" a="1"/>
  <c r="AN607" i="1" s="1"/>
  <c r="AN608" i="1" a="1"/>
  <c r="AN608" i="1" s="1"/>
  <c r="AN609" i="1" a="1"/>
  <c r="AN609" i="1" s="1"/>
  <c r="AN610" i="1" a="1"/>
  <c r="AN610" i="1" s="1"/>
  <c r="AN611" i="1" a="1"/>
  <c r="AN611" i="1" s="1"/>
  <c r="AN612" i="1" a="1"/>
  <c r="AN612" i="1" s="1"/>
  <c r="AN613" i="1" a="1"/>
  <c r="AN613" i="1" s="1"/>
  <c r="AN614" i="1" a="1"/>
  <c r="AN614" i="1" s="1"/>
  <c r="AN615" i="1" a="1"/>
  <c r="AN615" i="1" s="1"/>
  <c r="AN616" i="1" a="1"/>
  <c r="AN616" i="1" s="1"/>
  <c r="AN617" i="1" a="1"/>
  <c r="AN617" i="1" s="1"/>
  <c r="AN618" i="1" a="1"/>
  <c r="AN618" i="1" s="1"/>
  <c r="AN619" i="1" a="1"/>
  <c r="AN619" i="1" s="1"/>
  <c r="AN620" i="1" a="1"/>
  <c r="AN620" i="1" s="1"/>
  <c r="AN621" i="1" a="1"/>
  <c r="AN621" i="1" s="1"/>
  <c r="AN622" i="1" a="1"/>
  <c r="AN622" i="1" s="1"/>
  <c r="AN623" i="1" a="1"/>
  <c r="AN623" i="1" s="1"/>
  <c r="AN624" i="1" a="1"/>
  <c r="AN624" i="1" s="1"/>
  <c r="AN625" i="1" a="1"/>
  <c r="AN625" i="1" s="1"/>
  <c r="AN626" i="1" a="1"/>
  <c r="AN626" i="1" s="1"/>
  <c r="AN627" i="1" a="1"/>
  <c r="AN627" i="1" s="1"/>
  <c r="AN628" i="1" a="1"/>
  <c r="AN628" i="1" s="1"/>
  <c r="AN629" i="1" a="1"/>
  <c r="AN629" i="1" s="1"/>
  <c r="AN630" i="1" a="1"/>
  <c r="AN630" i="1" s="1"/>
  <c r="AN631" i="1" a="1"/>
  <c r="AN631" i="1" s="1"/>
  <c r="AN632" i="1" a="1"/>
  <c r="AN632" i="1" s="1"/>
  <c r="AN633" i="1" a="1"/>
  <c r="AN633" i="1" s="1"/>
  <c r="AN634" i="1" a="1"/>
  <c r="AN634" i="1" s="1"/>
  <c r="AN635" i="1" a="1"/>
  <c r="AN635" i="1" s="1"/>
  <c r="AN636" i="1" a="1"/>
  <c r="AN636" i="1" s="1"/>
  <c r="AN637" i="1" a="1"/>
  <c r="AN637" i="1" s="1"/>
  <c r="AN638" i="1" a="1"/>
  <c r="AN638" i="1" s="1"/>
  <c r="AN639" i="1" a="1"/>
  <c r="AN639" i="1" s="1"/>
  <c r="AN640" i="1" a="1"/>
  <c r="AN640" i="1" s="1"/>
  <c r="AN641" i="1" a="1"/>
  <c r="AN641" i="1" s="1"/>
  <c r="AN642" i="1" a="1"/>
  <c r="AN642" i="1" s="1"/>
  <c r="AN643" i="1" a="1"/>
  <c r="AN643" i="1" s="1"/>
  <c r="AN644" i="1" a="1"/>
  <c r="AN644" i="1" s="1"/>
  <c r="AN645" i="1" a="1"/>
  <c r="AN645" i="1" s="1"/>
  <c r="AN646" i="1" a="1"/>
  <c r="AN646" i="1" s="1"/>
  <c r="AN647" i="1" a="1"/>
  <c r="AN647" i="1" s="1"/>
  <c r="AN648" i="1" a="1"/>
  <c r="AN648" i="1" s="1"/>
  <c r="AN649" i="1" a="1"/>
  <c r="AN649" i="1" s="1"/>
  <c r="AN650" i="1" a="1"/>
  <c r="AN650" i="1" s="1"/>
  <c r="AN651" i="1" a="1"/>
  <c r="AN651" i="1" s="1"/>
  <c r="AN652" i="1" a="1"/>
  <c r="AN652" i="1" s="1"/>
  <c r="AN653" i="1" a="1"/>
  <c r="AN653" i="1" s="1"/>
  <c r="AN654" i="1" a="1"/>
  <c r="AN654" i="1" s="1"/>
  <c r="AN655" i="1" a="1"/>
  <c r="AN655" i="1" s="1"/>
  <c r="AN656" i="1" a="1"/>
  <c r="AN656" i="1" s="1"/>
  <c r="AN657" i="1" a="1"/>
  <c r="AN657" i="1" s="1"/>
  <c r="AN658" i="1" a="1"/>
  <c r="AN658" i="1" s="1"/>
  <c r="AN659" i="1" a="1"/>
  <c r="AN659" i="1" s="1"/>
  <c r="AN660" i="1" a="1"/>
  <c r="AN660" i="1" s="1"/>
  <c r="AN661" i="1" a="1"/>
  <c r="AN661" i="1" s="1"/>
  <c r="AN662" i="1" a="1"/>
  <c r="AN662" i="1" s="1"/>
  <c r="AN663" i="1" a="1"/>
  <c r="AN663" i="1" s="1"/>
  <c r="AN664" i="1" a="1"/>
  <c r="AN664" i="1" s="1"/>
  <c r="AN665" i="1" a="1"/>
  <c r="AN665" i="1" s="1"/>
  <c r="AN666" i="1" a="1"/>
  <c r="AN666" i="1" s="1"/>
  <c r="AN667" i="1" a="1"/>
  <c r="AN667" i="1" s="1"/>
  <c r="AN668" i="1" a="1"/>
  <c r="AN668" i="1" s="1"/>
  <c r="AN669" i="1" a="1"/>
  <c r="AN669" i="1" s="1"/>
  <c r="AN670" i="1" a="1"/>
  <c r="AN670" i="1" s="1"/>
  <c r="AN671" i="1" a="1"/>
  <c r="AN671" i="1" s="1"/>
  <c r="AN672" i="1" a="1"/>
  <c r="AN672" i="1" s="1"/>
  <c r="AN673" i="1" a="1"/>
  <c r="AN673" i="1" s="1"/>
  <c r="AN674" i="1" a="1"/>
  <c r="AN674" i="1" s="1"/>
  <c r="AN675" i="1" a="1"/>
  <c r="AN675" i="1" s="1"/>
  <c r="AN676" i="1" a="1"/>
  <c r="AN676" i="1" s="1"/>
  <c r="AN677" i="1" a="1"/>
  <c r="AN677" i="1" s="1"/>
  <c r="AN678" i="1" a="1"/>
  <c r="AN678" i="1" s="1"/>
  <c r="AN679" i="1" a="1"/>
  <c r="AN679" i="1" s="1"/>
  <c r="AN680" i="1" a="1"/>
  <c r="AN680" i="1" s="1"/>
  <c r="AN681" i="1" a="1"/>
  <c r="AN681" i="1" s="1"/>
  <c r="AN682" i="1" a="1"/>
  <c r="AN682" i="1" s="1"/>
  <c r="AN683" i="1" a="1"/>
  <c r="AN683" i="1" s="1"/>
  <c r="AN684" i="1" a="1"/>
  <c r="AN684" i="1" s="1"/>
  <c r="AN685" i="1" a="1"/>
  <c r="AN685" i="1" s="1"/>
  <c r="AN686" i="1" a="1"/>
  <c r="AN686" i="1" s="1"/>
  <c r="AN687" i="1" a="1"/>
  <c r="AN687" i="1" s="1"/>
  <c r="AN688" i="1" a="1"/>
  <c r="AN688" i="1" s="1"/>
  <c r="AN689" i="1" a="1"/>
  <c r="AN689" i="1" s="1"/>
  <c r="AN690" i="1" a="1"/>
  <c r="AN690" i="1" s="1"/>
  <c r="AN691" i="1" a="1"/>
  <c r="AN691" i="1" s="1"/>
  <c r="AN692" i="1" a="1"/>
  <c r="AN692" i="1" s="1"/>
  <c r="AN693" i="1" a="1"/>
  <c r="AN693" i="1" s="1"/>
  <c r="AN694" i="1" a="1"/>
  <c r="AN694" i="1" s="1"/>
  <c r="AN695" i="1" a="1"/>
  <c r="AN695" i="1" s="1"/>
  <c r="AN696" i="1" a="1"/>
  <c r="AN696" i="1" s="1"/>
  <c r="AN697" i="1" a="1"/>
  <c r="AN697" i="1" s="1"/>
  <c r="AN698" i="1" a="1"/>
  <c r="AN698" i="1" s="1"/>
  <c r="AN699" i="1" a="1"/>
  <c r="AN699" i="1" s="1"/>
  <c r="AN700" i="1" a="1"/>
  <c r="AN700" i="1" s="1"/>
  <c r="AN701" i="1" a="1"/>
  <c r="AN701" i="1" s="1"/>
  <c r="AN702" i="1" a="1"/>
  <c r="AN702" i="1" s="1"/>
  <c r="AN703" i="1" a="1"/>
  <c r="AN703" i="1" s="1"/>
  <c r="AN704" i="1" a="1"/>
  <c r="AN704" i="1" s="1"/>
  <c r="AN705" i="1" a="1"/>
  <c r="AN705" i="1" s="1"/>
  <c r="AN706" i="1" a="1"/>
  <c r="AN706" i="1" s="1"/>
  <c r="AN707" i="1" a="1"/>
  <c r="AN707" i="1" s="1"/>
  <c r="AN708" i="1" a="1"/>
  <c r="AN708" i="1" s="1"/>
  <c r="AN709" i="1" a="1"/>
  <c r="AN709" i="1" s="1"/>
  <c r="AN710" i="1" a="1"/>
  <c r="AN710" i="1" s="1"/>
  <c r="AN711" i="1" a="1"/>
  <c r="AN711" i="1" s="1"/>
  <c r="AN712" i="1" a="1"/>
  <c r="AN712" i="1" s="1"/>
  <c r="AN713" i="1" a="1"/>
  <c r="AN713" i="1" s="1"/>
  <c r="AN714" i="1" a="1"/>
  <c r="AN714" i="1" s="1"/>
  <c r="AN715" i="1" a="1"/>
  <c r="AN715" i="1" s="1"/>
  <c r="AN716" i="1" a="1"/>
  <c r="AN716" i="1" s="1"/>
  <c r="AN717" i="1" a="1"/>
  <c r="AN717" i="1" s="1"/>
  <c r="AN718" i="1" a="1"/>
  <c r="AN718" i="1" s="1"/>
  <c r="AN719" i="1" a="1"/>
  <c r="AN719" i="1" s="1"/>
  <c r="AN720" i="1" a="1"/>
  <c r="AN720" i="1" s="1"/>
  <c r="AN721" i="1" a="1"/>
  <c r="AN721" i="1" s="1"/>
  <c r="AN722" i="1" a="1"/>
  <c r="AN722" i="1" s="1"/>
  <c r="AN723" i="1" a="1"/>
  <c r="AN723" i="1" s="1"/>
  <c r="AN724" i="1" a="1"/>
  <c r="AN724" i="1" s="1"/>
  <c r="AN725" i="1" a="1"/>
  <c r="AN725" i="1" s="1"/>
  <c r="AN726" i="1" a="1"/>
  <c r="AN726" i="1" s="1"/>
  <c r="AN727" i="1" a="1"/>
  <c r="AN727" i="1" s="1"/>
  <c r="AN728" i="1" a="1"/>
  <c r="AN728" i="1" s="1"/>
  <c r="AN729" i="1" a="1"/>
  <c r="AN729" i="1" s="1"/>
  <c r="AN730" i="1" a="1"/>
  <c r="AN730" i="1" s="1"/>
  <c r="AN731" i="1" a="1"/>
  <c r="AN731" i="1" s="1"/>
  <c r="AN732" i="1" a="1"/>
  <c r="AN732" i="1" s="1"/>
  <c r="AN733" i="1" a="1"/>
  <c r="AN733" i="1" s="1"/>
  <c r="AN734" i="1" a="1"/>
  <c r="AN734" i="1" s="1"/>
  <c r="AN735" i="1" a="1"/>
  <c r="AN735" i="1" s="1"/>
  <c r="AN736" i="1" a="1"/>
  <c r="AN736" i="1" s="1"/>
  <c r="AN737" i="1" a="1"/>
  <c r="AN737" i="1" s="1"/>
  <c r="AN738" i="1" a="1"/>
  <c r="AN738" i="1" s="1"/>
  <c r="AN739" i="1" a="1"/>
  <c r="AN739" i="1" s="1"/>
  <c r="AN740" i="1" a="1"/>
  <c r="AN740" i="1" s="1"/>
  <c r="AN741" i="1" a="1"/>
  <c r="AN741" i="1" s="1"/>
  <c r="AN742" i="1" a="1"/>
  <c r="AN742" i="1" s="1"/>
  <c r="AN743" i="1" a="1"/>
  <c r="AN743" i="1" s="1"/>
  <c r="AN744" i="1" a="1"/>
  <c r="AN744" i="1" s="1"/>
  <c r="AN745" i="1" a="1"/>
  <c r="AN745" i="1" s="1"/>
  <c r="AN746" i="1" a="1"/>
  <c r="AN746" i="1" s="1"/>
  <c r="AN747" i="1" a="1"/>
  <c r="AN747" i="1" s="1"/>
  <c r="AN748" i="1" a="1"/>
  <c r="AN748" i="1" s="1"/>
  <c r="AN749" i="1" a="1"/>
  <c r="AN749" i="1" s="1"/>
  <c r="AN750" i="1" a="1"/>
  <c r="AN750" i="1" s="1"/>
  <c r="AN751" i="1" a="1"/>
  <c r="AN751" i="1" s="1"/>
  <c r="AN752" i="1" a="1"/>
  <c r="AN752" i="1" s="1"/>
  <c r="AN753" i="1" a="1"/>
  <c r="AN753" i="1" s="1"/>
  <c r="AN754" i="1" a="1"/>
  <c r="AN754" i="1" s="1"/>
  <c r="AN755" i="1" a="1"/>
  <c r="AN755" i="1" s="1"/>
  <c r="AN756" i="1" a="1"/>
  <c r="AN756" i="1" s="1"/>
  <c r="AN757" i="1" a="1"/>
  <c r="AN757" i="1" s="1"/>
  <c r="AN758" i="1" a="1"/>
  <c r="AN758" i="1" s="1"/>
  <c r="AN759" i="1" a="1"/>
  <c r="AN759" i="1" s="1"/>
  <c r="AN760" i="1" a="1"/>
  <c r="AN760" i="1" s="1"/>
  <c r="AN761" i="1" a="1"/>
  <c r="AN761" i="1" s="1"/>
  <c r="AN762" i="1" a="1"/>
  <c r="AN762" i="1" s="1"/>
  <c r="AN763" i="1" a="1"/>
  <c r="AN763" i="1" s="1"/>
  <c r="AN764" i="1" a="1"/>
  <c r="AN764" i="1" s="1"/>
  <c r="AN765" i="1" a="1"/>
  <c r="AN765" i="1" s="1"/>
  <c r="AN766" i="1" a="1"/>
  <c r="AN766" i="1" s="1"/>
  <c r="AN767" i="1" a="1"/>
  <c r="AN767" i="1" s="1"/>
  <c r="AN768" i="1" a="1"/>
  <c r="AN768" i="1" s="1"/>
  <c r="AN769" i="1" a="1"/>
  <c r="AN769" i="1" s="1"/>
  <c r="AN770" i="1" a="1"/>
  <c r="AN770" i="1" s="1"/>
  <c r="AN771" i="1" a="1"/>
  <c r="AN771" i="1" s="1"/>
  <c r="AN772" i="1" a="1"/>
  <c r="AN772" i="1" s="1"/>
  <c r="AN773" i="1" a="1"/>
  <c r="AN773" i="1" s="1"/>
  <c r="AN774" i="1" a="1"/>
  <c r="AN774" i="1" s="1"/>
  <c r="AN775" i="1" a="1"/>
  <c r="AN775" i="1" s="1"/>
  <c r="AN776" i="1" a="1"/>
  <c r="AN776" i="1" s="1"/>
  <c r="AN777" i="1" a="1"/>
  <c r="AN777" i="1" s="1"/>
  <c r="AN778" i="1" a="1"/>
  <c r="AN778" i="1" s="1"/>
  <c r="AN779" i="1" a="1"/>
  <c r="AN779" i="1" s="1"/>
  <c r="AN780" i="1" a="1"/>
  <c r="AN780" i="1" s="1"/>
  <c r="AN781" i="1" a="1"/>
  <c r="AN781" i="1" s="1"/>
  <c r="AN782" i="1" a="1"/>
  <c r="AN782" i="1" s="1"/>
  <c r="AN783" i="1" a="1"/>
  <c r="AN783" i="1" s="1"/>
  <c r="AN784" i="1" a="1"/>
  <c r="AN784" i="1" s="1"/>
  <c r="AN785" i="1" a="1"/>
  <c r="AN785" i="1" s="1"/>
  <c r="AN786" i="1" a="1"/>
  <c r="AN786" i="1" s="1"/>
  <c r="AN787" i="1" a="1"/>
  <c r="AN787" i="1" s="1"/>
  <c r="AN788" i="1" a="1"/>
  <c r="AN788" i="1" s="1"/>
  <c r="AN789" i="1" a="1"/>
  <c r="AN789" i="1" s="1"/>
  <c r="AN790" i="1" a="1"/>
  <c r="AN790" i="1" s="1"/>
  <c r="AN791" i="1" a="1"/>
  <c r="AN791" i="1" s="1"/>
  <c r="AN792" i="1" a="1"/>
  <c r="AN792" i="1" s="1"/>
  <c r="AN793" i="1" a="1"/>
  <c r="AN793" i="1" s="1"/>
  <c r="AN794" i="1" a="1"/>
  <c r="AN794" i="1" s="1"/>
  <c r="AN795" i="1" a="1"/>
  <c r="AN795" i="1" s="1"/>
  <c r="AN796" i="1" a="1"/>
  <c r="AN796" i="1" s="1"/>
  <c r="AN797" i="1" a="1"/>
  <c r="AN797" i="1" s="1"/>
  <c r="AN798" i="1" a="1"/>
  <c r="AN798" i="1" s="1"/>
  <c r="AN799" i="1" a="1"/>
  <c r="AN799" i="1" s="1"/>
  <c r="AN800" i="1" a="1"/>
  <c r="AN800" i="1" s="1"/>
  <c r="AN801" i="1" a="1"/>
  <c r="AN801" i="1" s="1"/>
  <c r="AN802" i="1" a="1"/>
  <c r="AN802" i="1" s="1"/>
  <c r="AN803" i="1" a="1"/>
  <c r="AN803" i="1" s="1"/>
  <c r="AN804" i="1" a="1"/>
  <c r="AN804" i="1" s="1"/>
  <c r="AN805" i="1" a="1"/>
  <c r="AN805" i="1" s="1"/>
  <c r="AN806" i="1" a="1"/>
  <c r="AN806" i="1" s="1"/>
  <c r="AN807" i="1" a="1"/>
  <c r="AN807" i="1" s="1"/>
  <c r="AN808" i="1" a="1"/>
  <c r="AN808" i="1" s="1"/>
  <c r="AN809" i="1" a="1"/>
  <c r="AN809" i="1" s="1"/>
  <c r="AN810" i="1" a="1"/>
  <c r="AN810" i="1" s="1"/>
  <c r="AN811" i="1" a="1"/>
  <c r="AN811" i="1" s="1"/>
  <c r="AN812" i="1" a="1"/>
  <c r="AN812" i="1" s="1"/>
  <c r="AN813" i="1" a="1"/>
  <c r="AN813" i="1" s="1"/>
  <c r="AN814" i="1" a="1"/>
  <c r="AN814" i="1" s="1"/>
  <c r="AN815" i="1" a="1"/>
  <c r="AN815" i="1" s="1"/>
  <c r="AN816" i="1" a="1"/>
  <c r="AN816" i="1" s="1"/>
  <c r="AN817" i="1" a="1"/>
  <c r="AN817" i="1" s="1"/>
  <c r="AN818" i="1" a="1"/>
  <c r="AN818" i="1" s="1"/>
  <c r="AN819" i="1" a="1"/>
  <c r="AN819" i="1" s="1"/>
  <c r="AN820" i="1" a="1"/>
  <c r="AN820" i="1" s="1"/>
  <c r="AN821" i="1" a="1"/>
  <c r="AN821" i="1" s="1"/>
  <c r="AN822" i="1" a="1"/>
  <c r="AN822" i="1" s="1"/>
  <c r="AN823" i="1" a="1"/>
  <c r="AN823" i="1" s="1"/>
  <c r="AN824" i="1" a="1"/>
  <c r="AN824" i="1" s="1"/>
  <c r="AN825" i="1" a="1"/>
  <c r="AN825" i="1" s="1"/>
  <c r="AN826" i="1" a="1"/>
  <c r="AN826" i="1" s="1"/>
  <c r="AN827" i="1" a="1"/>
  <c r="AN827" i="1" s="1"/>
  <c r="AN828" i="1" a="1"/>
  <c r="AN828" i="1" s="1"/>
  <c r="AN829" i="1" a="1"/>
  <c r="AN829" i="1" s="1"/>
  <c r="AN830" i="1" a="1"/>
  <c r="AN830" i="1" s="1"/>
  <c r="AN831" i="1" a="1"/>
  <c r="AN831" i="1" s="1"/>
  <c r="AN832" i="1" a="1"/>
  <c r="AN832" i="1" s="1"/>
  <c r="AN833" i="1" a="1"/>
  <c r="AN833" i="1" s="1"/>
  <c r="AN834" i="1" a="1"/>
  <c r="AN834" i="1" s="1"/>
  <c r="AN835" i="1" a="1"/>
  <c r="AN835" i="1" s="1"/>
  <c r="AN836" i="1" a="1"/>
  <c r="AN836" i="1" s="1"/>
  <c r="AN837" i="1" a="1"/>
  <c r="AN837" i="1" s="1"/>
  <c r="AN838" i="1" a="1"/>
  <c r="AN838" i="1" s="1"/>
  <c r="AN839" i="1" a="1"/>
  <c r="AN839" i="1" s="1"/>
  <c r="AN840" i="1" a="1"/>
  <c r="AN840" i="1" s="1"/>
  <c r="AN841" i="1" a="1"/>
  <c r="AN841" i="1" s="1"/>
  <c r="AN842" i="1" a="1"/>
  <c r="AN842" i="1" s="1"/>
  <c r="AN843" i="1" a="1"/>
  <c r="AN843" i="1" s="1"/>
  <c r="AN844" i="1" a="1"/>
  <c r="AN844" i="1" s="1"/>
  <c r="AN845" i="1" a="1"/>
  <c r="AN845" i="1" s="1"/>
  <c r="AN846" i="1" a="1"/>
  <c r="AN846" i="1" s="1"/>
  <c r="AN847" i="1" a="1"/>
  <c r="AN847" i="1" s="1"/>
  <c r="AN848" i="1" a="1"/>
  <c r="AN848" i="1" s="1"/>
  <c r="AN849" i="1" a="1"/>
  <c r="AN849" i="1" s="1"/>
  <c r="AN850" i="1" a="1"/>
  <c r="AN850" i="1" s="1"/>
  <c r="AN851" i="1" a="1"/>
  <c r="AN851" i="1" s="1"/>
  <c r="AN852" i="1" a="1"/>
  <c r="AN852" i="1" s="1"/>
  <c r="AN853" i="1" a="1"/>
  <c r="AN853" i="1" s="1"/>
  <c r="AN854" i="1" a="1"/>
  <c r="AN854" i="1" s="1"/>
  <c r="AN855" i="1" a="1"/>
  <c r="AN855" i="1" s="1"/>
  <c r="AN856" i="1" a="1"/>
  <c r="AN856" i="1" s="1"/>
  <c r="AN857" i="1" a="1"/>
  <c r="AN857" i="1" s="1"/>
  <c r="AN858" i="1" a="1"/>
  <c r="AN858" i="1" s="1"/>
  <c r="AN859" i="1" a="1"/>
  <c r="AN859" i="1" s="1"/>
  <c r="AN860" i="1" a="1"/>
  <c r="AN860" i="1" s="1"/>
  <c r="AN861" i="1" a="1"/>
  <c r="AN861" i="1" s="1"/>
  <c r="AN862" i="1" a="1"/>
  <c r="AN862" i="1" s="1"/>
  <c r="AN863" i="1" a="1"/>
  <c r="AN863" i="1" s="1"/>
  <c r="AN864" i="1" a="1"/>
  <c r="AN864" i="1" s="1"/>
  <c r="AN865" i="1" a="1"/>
  <c r="AN865" i="1" s="1"/>
  <c r="AN866" i="1" a="1"/>
  <c r="AN866" i="1" s="1"/>
  <c r="AN867" i="1" a="1"/>
  <c r="AN867" i="1" s="1"/>
  <c r="AN868" i="1" a="1"/>
  <c r="AN868" i="1" s="1"/>
  <c r="AN869" i="1" a="1"/>
  <c r="AN869" i="1" s="1"/>
  <c r="AN870" i="1" a="1"/>
  <c r="AN870" i="1" s="1"/>
  <c r="AN871" i="1" a="1"/>
  <c r="AN871" i="1" s="1"/>
  <c r="AN872" i="1" a="1"/>
  <c r="AN872" i="1" s="1"/>
  <c r="AN873" i="1" a="1"/>
  <c r="AN873" i="1" s="1"/>
  <c r="AN874" i="1" a="1"/>
  <c r="AN874" i="1" s="1"/>
  <c r="AN875" i="1" a="1"/>
  <c r="AN875" i="1" s="1"/>
  <c r="AN876" i="1" a="1"/>
  <c r="AN876" i="1" s="1"/>
  <c r="AN877" i="1" a="1"/>
  <c r="AN877" i="1" s="1"/>
  <c r="AN878" i="1" a="1"/>
  <c r="AN878" i="1" s="1"/>
  <c r="AN879" i="1" a="1"/>
  <c r="AN879" i="1" s="1"/>
  <c r="AN880" i="1" a="1"/>
  <c r="AN880" i="1" s="1"/>
  <c r="AN881" i="1" a="1"/>
  <c r="AN881" i="1" s="1"/>
  <c r="AN882" i="1" a="1"/>
  <c r="AN882" i="1" s="1"/>
  <c r="AN883" i="1" a="1"/>
  <c r="AN883" i="1" s="1"/>
  <c r="AN884" i="1" a="1"/>
  <c r="AN884" i="1" s="1"/>
  <c r="AN885" i="1" a="1"/>
  <c r="AN885" i="1" s="1"/>
  <c r="AN886" i="1" a="1"/>
  <c r="AN886" i="1" s="1"/>
  <c r="AN887" i="1" a="1"/>
  <c r="AN887" i="1" s="1"/>
  <c r="AN888" i="1" a="1"/>
  <c r="AN888" i="1" s="1"/>
  <c r="AN889" i="1" a="1"/>
  <c r="AN889" i="1" s="1"/>
  <c r="AN890" i="1" a="1"/>
  <c r="AN890" i="1" s="1"/>
  <c r="AN891" i="1" a="1"/>
  <c r="AN891" i="1" s="1"/>
  <c r="AN892" i="1" a="1"/>
  <c r="AN892" i="1" s="1"/>
  <c r="AN893" i="1" a="1"/>
  <c r="AN893" i="1" s="1"/>
  <c r="AN894" i="1" a="1"/>
  <c r="AN894" i="1" s="1"/>
  <c r="AN895" i="1" a="1"/>
  <c r="AN895" i="1" s="1"/>
  <c r="AN896" i="1" a="1"/>
  <c r="AN896" i="1" s="1"/>
  <c r="AN897" i="1" a="1"/>
  <c r="AN897" i="1" s="1"/>
  <c r="AN898" i="1" a="1"/>
  <c r="AN898" i="1" s="1"/>
  <c r="AN899" i="1" a="1"/>
  <c r="AN899" i="1" s="1"/>
  <c r="AN900" i="1" a="1"/>
  <c r="AN900" i="1" s="1"/>
  <c r="AN901" i="1" a="1"/>
  <c r="AN901" i="1" s="1"/>
  <c r="AN902" i="1" a="1"/>
  <c r="AN902" i="1" s="1"/>
  <c r="AN903" i="1" a="1"/>
  <c r="AN903" i="1" s="1"/>
  <c r="AN904" i="1" a="1"/>
  <c r="AN904" i="1" s="1"/>
  <c r="AN905" i="1" a="1"/>
  <c r="AN905" i="1" s="1"/>
  <c r="AN906" i="1" a="1"/>
  <c r="AN906" i="1" s="1"/>
  <c r="AN907" i="1" a="1"/>
  <c r="AN907" i="1" s="1"/>
  <c r="AN908" i="1" a="1"/>
  <c r="AN908" i="1" s="1"/>
  <c r="AN909" i="1" a="1"/>
  <c r="AN909" i="1" s="1"/>
  <c r="AN910" i="1" a="1"/>
  <c r="AN910" i="1" s="1"/>
  <c r="AN911" i="1" a="1"/>
  <c r="AN911" i="1" s="1"/>
  <c r="AN912" i="1" a="1"/>
  <c r="AN912" i="1" s="1"/>
  <c r="AN913" i="1" a="1"/>
  <c r="AN913" i="1" s="1"/>
  <c r="AN914" i="1" a="1"/>
  <c r="AN914" i="1" s="1"/>
  <c r="AN915" i="1" a="1"/>
  <c r="AN915" i="1" s="1"/>
  <c r="AN916" i="1" a="1"/>
  <c r="AN916" i="1" s="1"/>
  <c r="AN917" i="1" a="1"/>
  <c r="AN917" i="1" s="1"/>
  <c r="AN918" i="1" a="1"/>
  <c r="AN918" i="1" s="1"/>
  <c r="AN919" i="1" a="1"/>
  <c r="AN919" i="1" s="1"/>
  <c r="AN920" i="1" a="1"/>
  <c r="AN920" i="1" s="1"/>
  <c r="AN921" i="1" a="1"/>
  <c r="AN921" i="1" s="1"/>
  <c r="AN922" i="1" a="1"/>
  <c r="AN922" i="1" s="1"/>
  <c r="AN923" i="1" a="1"/>
  <c r="AN923" i="1" s="1"/>
  <c r="AN924" i="1" a="1"/>
  <c r="AN924" i="1" s="1"/>
  <c r="AN925" i="1" a="1"/>
  <c r="AN925" i="1" s="1"/>
  <c r="AN926" i="1" a="1"/>
  <c r="AN926" i="1" s="1"/>
  <c r="AN927" i="1" a="1"/>
  <c r="AN927" i="1" s="1"/>
  <c r="AN928" i="1" a="1"/>
  <c r="AN928" i="1" s="1"/>
  <c r="AN929" i="1" a="1"/>
  <c r="AN929" i="1" s="1"/>
  <c r="AN930" i="1" a="1"/>
  <c r="AN930" i="1" s="1"/>
  <c r="AN931" i="1" a="1"/>
  <c r="AN931" i="1" s="1"/>
  <c r="AN932" i="1" a="1"/>
  <c r="AN932" i="1" s="1"/>
  <c r="AN933" i="1" a="1"/>
  <c r="AN933" i="1" s="1"/>
  <c r="AN934" i="1" a="1"/>
  <c r="AN934" i="1" s="1"/>
  <c r="AN935" i="1" a="1"/>
  <c r="AN935" i="1" s="1"/>
  <c r="AN936" i="1" a="1"/>
  <c r="AN936" i="1" s="1"/>
  <c r="AN937" i="1" a="1"/>
  <c r="AN937" i="1" s="1"/>
  <c r="AN938" i="1" a="1"/>
  <c r="AN938" i="1" s="1"/>
  <c r="AN939" i="1" a="1"/>
  <c r="AN939" i="1" s="1"/>
  <c r="AN940" i="1" a="1"/>
  <c r="AN940" i="1" s="1"/>
  <c r="AN941" i="1" a="1"/>
  <c r="AN941" i="1" s="1"/>
  <c r="AN942" i="1" a="1"/>
  <c r="AN942" i="1" s="1"/>
  <c r="AN943" i="1" a="1"/>
  <c r="AN943" i="1" s="1"/>
  <c r="AN944" i="1" a="1"/>
  <c r="AN944" i="1" s="1"/>
  <c r="AN945" i="1" a="1"/>
  <c r="AN945" i="1" s="1"/>
  <c r="AN946" i="1" a="1"/>
  <c r="AN946" i="1" s="1"/>
  <c r="AN947" i="1" a="1"/>
  <c r="AN947" i="1" s="1"/>
  <c r="AN948" i="1" a="1"/>
  <c r="AN948" i="1" s="1"/>
  <c r="AN949" i="1" a="1"/>
  <c r="AN949" i="1" s="1"/>
  <c r="AN950" i="1" a="1"/>
  <c r="AN950" i="1" s="1"/>
  <c r="AN951" i="1" a="1"/>
  <c r="AN951" i="1" s="1"/>
  <c r="AN952" i="1" a="1"/>
  <c r="AN952" i="1" s="1"/>
  <c r="AN953" i="1" a="1"/>
  <c r="AN953" i="1" s="1"/>
  <c r="AN954" i="1" a="1"/>
  <c r="AN954" i="1" s="1"/>
  <c r="AN955" i="1" a="1"/>
  <c r="AN955" i="1" s="1"/>
  <c r="AN956" i="1" a="1"/>
  <c r="AN956" i="1" s="1"/>
  <c r="AN957" i="1" a="1"/>
  <c r="AN957" i="1" s="1"/>
  <c r="AN958" i="1" a="1"/>
  <c r="AN958" i="1" s="1"/>
  <c r="AN959" i="1" a="1"/>
  <c r="AN959" i="1" s="1"/>
  <c r="AN960" i="1" a="1"/>
  <c r="AN960" i="1" s="1"/>
  <c r="AN961" i="1" a="1"/>
  <c r="AN961" i="1" s="1"/>
  <c r="AN962" i="1" a="1"/>
  <c r="AN962" i="1" s="1"/>
  <c r="AN963" i="1" a="1"/>
  <c r="AN963" i="1" s="1"/>
  <c r="AN964" i="1" a="1"/>
  <c r="AN964" i="1" s="1"/>
  <c r="AN965" i="1" a="1"/>
  <c r="AN965" i="1" s="1"/>
  <c r="AN966" i="1" a="1"/>
  <c r="AN966" i="1" s="1"/>
  <c r="AN967" i="1" a="1"/>
  <c r="AN967" i="1" s="1"/>
  <c r="AN968" i="1" a="1"/>
  <c r="AN968" i="1" s="1"/>
  <c r="AN969" i="1" a="1"/>
  <c r="AN969" i="1" s="1"/>
  <c r="AN970" i="1" a="1"/>
  <c r="AN970" i="1" s="1"/>
  <c r="AN971" i="1" a="1"/>
  <c r="AN971" i="1" s="1"/>
  <c r="AN972" i="1" a="1"/>
  <c r="AN972" i="1" s="1"/>
  <c r="AN973" i="1" a="1"/>
  <c r="AN973" i="1" s="1"/>
  <c r="AN974" i="1" a="1"/>
  <c r="AN974" i="1" s="1"/>
  <c r="AN975" i="1" a="1"/>
  <c r="AN975" i="1" s="1"/>
  <c r="AN976" i="1" a="1"/>
  <c r="AN976" i="1" s="1"/>
  <c r="AN977" i="1" a="1"/>
  <c r="AN977" i="1" s="1"/>
  <c r="AN978" i="1" a="1"/>
  <c r="AN978" i="1" s="1"/>
  <c r="AN979" i="1" a="1"/>
  <c r="AN979" i="1" s="1"/>
  <c r="AN980" i="1" a="1"/>
  <c r="AN980" i="1" s="1"/>
  <c r="AN981" i="1" a="1"/>
  <c r="AN981" i="1" s="1"/>
  <c r="AN982" i="1" a="1"/>
  <c r="AN982" i="1" s="1"/>
  <c r="AN983" i="1" a="1"/>
  <c r="AN983" i="1" s="1"/>
  <c r="AN984" i="1" a="1"/>
  <c r="AN984" i="1" s="1"/>
  <c r="AN985" i="1" a="1"/>
  <c r="AN985" i="1" s="1"/>
  <c r="AN986" i="1" a="1"/>
  <c r="AN986" i="1" s="1"/>
  <c r="AN987" i="1" a="1"/>
  <c r="AN987" i="1" s="1"/>
  <c r="AN988" i="1" a="1"/>
  <c r="AN988" i="1" s="1"/>
  <c r="AN989" i="1" a="1"/>
  <c r="AN989" i="1" s="1"/>
  <c r="AN990" i="1" a="1"/>
  <c r="AN990" i="1" s="1"/>
  <c r="AN991" i="1" a="1"/>
  <c r="AN991" i="1" s="1"/>
  <c r="AN992" i="1" a="1"/>
  <c r="AN992" i="1" s="1"/>
  <c r="AN993" i="1" a="1"/>
  <c r="AN993" i="1" s="1"/>
  <c r="AN994" i="1" a="1"/>
  <c r="AN994" i="1" s="1"/>
  <c r="AN995" i="1" a="1"/>
  <c r="AN995" i="1" s="1"/>
  <c r="AN996" i="1" a="1"/>
  <c r="AN996" i="1" s="1"/>
  <c r="AN997" i="1" a="1"/>
  <c r="AN997" i="1" s="1"/>
  <c r="AN998" i="1" a="1"/>
  <c r="AN998" i="1" s="1"/>
  <c r="AN999" i="1" a="1"/>
  <c r="AN999" i="1" s="1"/>
  <c r="AN1000" i="1" a="1"/>
  <c r="AN1000" i="1" s="1"/>
  <c r="AN1001" i="1" a="1"/>
  <c r="AN1001" i="1" s="1"/>
  <c r="AN1002" i="1" a="1"/>
  <c r="AN1002" i="1" s="1"/>
  <c r="AN1003" i="1" a="1"/>
  <c r="AN1003" i="1" s="1"/>
  <c r="AN1004" i="1" a="1"/>
  <c r="AN1004" i="1" s="1"/>
  <c r="AN1005" i="1" a="1"/>
  <c r="AN1005" i="1" s="1"/>
  <c r="AN1006" i="1" a="1"/>
  <c r="AN1006" i="1" s="1"/>
  <c r="AN1007" i="1" a="1"/>
  <c r="AN1007" i="1" s="1"/>
  <c r="AN1008" i="1" a="1"/>
  <c r="AN1008" i="1" s="1"/>
  <c r="AN1009" i="1" a="1"/>
  <c r="AN1009" i="1" s="1"/>
  <c r="AN1010" i="1" a="1"/>
  <c r="AN1010" i="1" s="1"/>
  <c r="AN1011" i="1" a="1"/>
  <c r="AN1011" i="1" s="1"/>
  <c r="AN1012" i="1" a="1"/>
  <c r="AN1012" i="1" s="1"/>
  <c r="AN1013" i="1" a="1"/>
  <c r="AN1013" i="1" s="1"/>
  <c r="AN1014" i="1" a="1"/>
  <c r="AN1014" i="1" s="1"/>
  <c r="AN1015" i="1" a="1"/>
  <c r="AN1015" i="1" s="1"/>
  <c r="AN1016" i="1" a="1"/>
  <c r="AN1016" i="1" s="1"/>
  <c r="AN1017" i="1" a="1"/>
  <c r="AN1017" i="1" s="1"/>
  <c r="AN1018" i="1" a="1"/>
  <c r="AN1018" i="1" s="1"/>
  <c r="AN1019" i="1" a="1"/>
  <c r="AN1019" i="1" s="1"/>
  <c r="AN1020" i="1" a="1"/>
  <c r="AN1020" i="1" s="1"/>
  <c r="AN1021" i="1" a="1"/>
  <c r="AN1021" i="1" s="1"/>
  <c r="AN1022" i="1" a="1"/>
  <c r="AN1022" i="1" s="1"/>
  <c r="AN1023" i="1" a="1"/>
  <c r="AN1023" i="1" s="1"/>
  <c r="AN1024" i="1" a="1"/>
  <c r="AN1024" i="1" s="1"/>
  <c r="AN1025" i="1" a="1"/>
  <c r="AN1025" i="1" s="1"/>
  <c r="AN1026" i="1" a="1"/>
  <c r="AN1026" i="1" s="1"/>
  <c r="AN1027" i="1" a="1"/>
  <c r="AN1027" i="1" s="1"/>
  <c r="AN1028" i="1" a="1"/>
  <c r="AN1028" i="1" s="1"/>
  <c r="AN1029" i="1" a="1"/>
  <c r="AN1029" i="1" s="1"/>
  <c r="AN1030" i="1" a="1"/>
  <c r="AN1030" i="1" s="1"/>
  <c r="AN1031" i="1" a="1"/>
  <c r="AN1031" i="1" s="1"/>
  <c r="AN1032" i="1" a="1"/>
  <c r="AN1032" i="1" s="1"/>
  <c r="AN1033" i="1" a="1"/>
  <c r="AN1033" i="1" s="1"/>
  <c r="AN1034" i="1" a="1"/>
  <c r="AN1034" i="1" s="1"/>
  <c r="AN1035" i="1" a="1"/>
  <c r="AN1035" i="1" s="1"/>
  <c r="AN1036" i="1" a="1"/>
  <c r="AN1036" i="1" s="1"/>
  <c r="AN1037" i="1" a="1"/>
  <c r="AN1037" i="1" s="1"/>
  <c r="AN1038" i="1" a="1"/>
  <c r="AN1038" i="1" s="1"/>
  <c r="AN1039" i="1" a="1"/>
  <c r="AN1039" i="1" s="1"/>
  <c r="AN1040" i="1" a="1"/>
  <c r="AN1040" i="1" s="1"/>
  <c r="AN1041" i="1" a="1"/>
  <c r="AN1041" i="1" s="1"/>
  <c r="AN1042" i="1" a="1"/>
  <c r="AN1042" i="1" s="1"/>
  <c r="AN1043" i="1" a="1"/>
  <c r="AN1043" i="1" s="1"/>
  <c r="AN1044" i="1" a="1"/>
  <c r="AN1044" i="1" s="1"/>
  <c r="AN1045" i="1" a="1"/>
  <c r="AN1045" i="1" s="1"/>
  <c r="AN1046" i="1" a="1"/>
  <c r="AN1046" i="1" s="1"/>
  <c r="AN1047" i="1" a="1"/>
  <c r="AN1047" i="1" s="1"/>
  <c r="AN1048" i="1" a="1"/>
  <c r="AN1048" i="1" s="1"/>
  <c r="AN1049" i="1" a="1"/>
  <c r="AN1049" i="1" s="1"/>
  <c r="AN1050" i="1" a="1"/>
  <c r="AN1050" i="1" s="1"/>
  <c r="AN1051" i="1" a="1"/>
  <c r="AN1051" i="1" s="1"/>
  <c r="AN1052" i="1" a="1"/>
  <c r="AN1052" i="1" s="1"/>
  <c r="AN1053" i="1" a="1"/>
  <c r="AN1053" i="1" s="1"/>
  <c r="AN1054" i="1" a="1"/>
  <c r="AN1054" i="1" s="1"/>
  <c r="AN1055" i="1" a="1"/>
  <c r="AN1055" i="1" s="1"/>
  <c r="AN1056" i="1" a="1"/>
  <c r="AN1056" i="1" s="1"/>
  <c r="AN1057" i="1" a="1"/>
  <c r="AN1057" i="1" s="1"/>
  <c r="AN1058" i="1" a="1"/>
  <c r="AN1058" i="1" s="1"/>
  <c r="AN1059" i="1" a="1"/>
  <c r="AN1059" i="1" s="1"/>
  <c r="AN1060" i="1" a="1"/>
  <c r="AN1060" i="1" s="1"/>
  <c r="AN1061" i="1" a="1"/>
  <c r="AN1061" i="1" s="1"/>
  <c r="AN1062" i="1" a="1"/>
  <c r="AN1062" i="1" s="1"/>
  <c r="AN1063" i="1" a="1"/>
  <c r="AN1063" i="1" s="1"/>
  <c r="AN1064" i="1" a="1"/>
  <c r="AN1064" i="1" s="1"/>
  <c r="AN1065" i="1" a="1"/>
  <c r="AN1065" i="1" s="1"/>
  <c r="AN1066" i="1" a="1"/>
  <c r="AN1066" i="1" s="1"/>
  <c r="AN1067" i="1" a="1"/>
  <c r="AN1067" i="1" s="1"/>
  <c r="AN1068" i="1" a="1"/>
  <c r="AN1068" i="1" s="1"/>
  <c r="AN1069" i="1" a="1"/>
  <c r="AN1069" i="1" s="1"/>
  <c r="AN1070" i="1" a="1"/>
  <c r="AN1070" i="1" s="1"/>
  <c r="AN1071" i="1" a="1"/>
  <c r="AN1071" i="1" s="1"/>
  <c r="AN1072" i="1" a="1"/>
  <c r="AN1072" i="1" s="1"/>
  <c r="AN1073" i="1" a="1"/>
  <c r="AN1073" i="1" s="1"/>
  <c r="AN1074" i="1" a="1"/>
  <c r="AN1074" i="1" s="1"/>
  <c r="AN1075" i="1" a="1"/>
  <c r="AN1075" i="1" s="1"/>
  <c r="AN1076" i="1" a="1"/>
  <c r="AN1076" i="1" s="1"/>
  <c r="AN1077" i="1" a="1"/>
  <c r="AN1077" i="1" s="1"/>
  <c r="AN1078" i="1" a="1"/>
  <c r="AN1078" i="1" s="1"/>
  <c r="AN1079" i="1" a="1"/>
  <c r="AN1079" i="1" s="1"/>
  <c r="AN1080" i="1" a="1"/>
  <c r="AN1080" i="1" s="1"/>
  <c r="AN1081" i="1" a="1"/>
  <c r="AN1081" i="1" s="1"/>
  <c r="AN1082" i="1" a="1"/>
  <c r="AN1082" i="1" s="1"/>
  <c r="AN1083" i="1" a="1"/>
  <c r="AN1083" i="1" s="1"/>
  <c r="AN1084" i="1" a="1"/>
  <c r="AN1084" i="1" s="1"/>
  <c r="AN1085" i="1" a="1"/>
  <c r="AN1085" i="1" s="1"/>
  <c r="AN1086" i="1" a="1"/>
  <c r="AN1086" i="1" s="1"/>
  <c r="AN1087" i="1" a="1"/>
  <c r="AN1087" i="1" s="1"/>
  <c r="AN1088" i="1" a="1"/>
  <c r="AN1088" i="1" s="1"/>
  <c r="AN1089" i="1" a="1"/>
  <c r="AN1089" i="1" s="1"/>
  <c r="AN1090" i="1" a="1"/>
  <c r="AN1090" i="1" s="1"/>
  <c r="AN1091" i="1" a="1"/>
  <c r="AN1091" i="1" s="1"/>
  <c r="AN1092" i="1" a="1"/>
  <c r="AN1092" i="1" s="1"/>
  <c r="AN1093" i="1" a="1"/>
  <c r="AN1093" i="1" s="1"/>
  <c r="AN1094" i="1" a="1"/>
  <c r="AN1094" i="1" s="1"/>
  <c r="AN1095" i="1" a="1"/>
  <c r="AN1095" i="1" s="1"/>
  <c r="AN1096" i="1" a="1"/>
  <c r="AN1096" i="1" s="1"/>
  <c r="AN1097" i="1" a="1"/>
  <c r="AN1097" i="1" s="1"/>
  <c r="AN1098" i="1" a="1"/>
  <c r="AN1098" i="1" s="1"/>
  <c r="AN1099" i="1" a="1"/>
  <c r="AN1099" i="1" s="1"/>
  <c r="AN1100" i="1" a="1"/>
  <c r="AN1100" i="1" s="1"/>
  <c r="AN1101" i="1" a="1"/>
  <c r="AN1101" i="1" s="1"/>
  <c r="AN1102" i="1" a="1"/>
  <c r="AN1102" i="1" s="1"/>
  <c r="AN1103" i="1" a="1"/>
  <c r="AN1103" i="1" s="1"/>
  <c r="AN1104" i="1" a="1"/>
  <c r="AN1104" i="1" s="1"/>
  <c r="AN1105" i="1" a="1"/>
  <c r="AN1105" i="1" s="1"/>
  <c r="AN1106" i="1" a="1"/>
  <c r="AN1106" i="1" s="1"/>
  <c r="AN1107" i="1" a="1"/>
  <c r="AN1107" i="1" s="1"/>
  <c r="AN1108" i="1" a="1"/>
  <c r="AN1108" i="1" s="1"/>
  <c r="AN1109" i="1" a="1"/>
  <c r="AN1109" i="1" s="1"/>
  <c r="AN1110" i="1" a="1"/>
  <c r="AN1110" i="1" s="1"/>
  <c r="AN1111" i="1" a="1"/>
  <c r="AN1111" i="1" s="1"/>
  <c r="AN1112" i="1" a="1"/>
  <c r="AN1112" i="1" s="1"/>
  <c r="AN1113" i="1" a="1"/>
  <c r="AN1113" i="1" s="1"/>
  <c r="AN1114" i="1" a="1"/>
  <c r="AN1114" i="1" s="1"/>
  <c r="AN1115" i="1" a="1"/>
  <c r="AN1115" i="1" s="1"/>
  <c r="AN1116" i="1" a="1"/>
  <c r="AN1116" i="1" s="1"/>
  <c r="AN1117" i="1" a="1"/>
  <c r="AN1117" i="1" s="1"/>
  <c r="AN1118" i="1" a="1"/>
  <c r="AN1118" i="1" s="1"/>
  <c r="AN1119" i="1" a="1"/>
  <c r="AN1119" i="1" s="1"/>
  <c r="AN1120" i="1" a="1"/>
  <c r="AN1120" i="1" s="1"/>
  <c r="AN1121" i="1" a="1"/>
  <c r="AN1121" i="1" s="1"/>
  <c r="AN1122" i="1" a="1"/>
  <c r="AN1122" i="1" s="1"/>
  <c r="AN1123" i="1" a="1"/>
  <c r="AN1123" i="1" s="1"/>
  <c r="AN1124" i="1" a="1"/>
  <c r="AN1124" i="1" s="1"/>
  <c r="AN1125" i="1" a="1"/>
  <c r="AN1125" i="1" s="1"/>
  <c r="AN1126" i="1" a="1"/>
  <c r="AN1126" i="1" s="1"/>
  <c r="AN1127" i="1" a="1"/>
  <c r="AN1127" i="1" s="1"/>
  <c r="AN1128" i="1" a="1"/>
  <c r="AN1128" i="1" s="1"/>
  <c r="AN1129" i="1" a="1"/>
  <c r="AN1129" i="1" s="1"/>
  <c r="AN1130" i="1" a="1"/>
  <c r="AN1130" i="1" s="1"/>
  <c r="AN1131" i="1" a="1"/>
  <c r="AN1131" i="1" s="1"/>
  <c r="AN1132" i="1" a="1"/>
  <c r="AN1132" i="1" s="1"/>
  <c r="AN1133" i="1" a="1"/>
  <c r="AN1133" i="1" s="1"/>
  <c r="AN1134" i="1" a="1"/>
  <c r="AN1134" i="1" s="1"/>
  <c r="AN1135" i="1" a="1"/>
  <c r="AN1135" i="1" s="1"/>
  <c r="AN1136" i="1" a="1"/>
  <c r="AN1136" i="1" s="1"/>
  <c r="AN1137" i="1" a="1"/>
  <c r="AN1137" i="1" s="1"/>
  <c r="AN1138" i="1" a="1"/>
  <c r="AN1138" i="1" s="1"/>
  <c r="AN1139" i="1" a="1"/>
  <c r="AN1139" i="1" s="1"/>
  <c r="AN1140" i="1" a="1"/>
  <c r="AN1140" i="1" s="1"/>
  <c r="AN1141" i="1" a="1"/>
  <c r="AN1141" i="1" s="1"/>
  <c r="AN1142" i="1" a="1"/>
  <c r="AN1142" i="1" s="1"/>
  <c r="AN1143" i="1" a="1"/>
  <c r="AN1143" i="1" s="1"/>
  <c r="AN1144" i="1" a="1"/>
  <c r="AN1144" i="1" s="1"/>
  <c r="AN1145" i="1" a="1"/>
  <c r="AN1145" i="1" s="1"/>
  <c r="AN1146" i="1" a="1"/>
  <c r="AN1146" i="1" s="1"/>
  <c r="AN1147" i="1" a="1"/>
  <c r="AN1147" i="1" s="1"/>
  <c r="AN1148" i="1" a="1"/>
  <c r="AN1148" i="1" s="1"/>
  <c r="AN1149" i="1" a="1"/>
  <c r="AN1149" i="1" s="1"/>
  <c r="AN1150" i="1" a="1"/>
  <c r="AN1150" i="1" s="1"/>
  <c r="AN1151" i="1" a="1"/>
  <c r="AN1151" i="1" s="1"/>
  <c r="AN1152" i="1" a="1"/>
  <c r="AN1152" i="1" s="1"/>
  <c r="AN1153" i="1" a="1"/>
  <c r="AN1153" i="1" s="1"/>
  <c r="AN1154" i="1" a="1"/>
  <c r="AN1154" i="1" s="1"/>
  <c r="AN1155" i="1" a="1"/>
  <c r="AN1155" i="1" s="1"/>
  <c r="AN1156" i="1" a="1"/>
  <c r="AN1156" i="1" s="1"/>
  <c r="AN1157" i="1" a="1"/>
  <c r="AN1157" i="1" s="1"/>
  <c r="AN1158" i="1" a="1"/>
  <c r="AN1158" i="1" s="1"/>
  <c r="AN1159" i="1" a="1"/>
  <c r="AN1159" i="1" s="1"/>
  <c r="AN1160" i="1" a="1"/>
  <c r="AN1160" i="1" s="1"/>
  <c r="AN1161" i="1" a="1"/>
  <c r="AN1161" i="1" s="1"/>
  <c r="AN1162" i="1" a="1"/>
  <c r="AN1162" i="1" s="1"/>
  <c r="AN1163" i="1" a="1"/>
  <c r="AN1163" i="1" s="1"/>
  <c r="AN1164" i="1" a="1"/>
  <c r="AN1164" i="1" s="1"/>
  <c r="AN1165" i="1" a="1"/>
  <c r="AN1165" i="1" s="1"/>
  <c r="AN1166" i="1" a="1"/>
  <c r="AN1166" i="1" s="1"/>
  <c r="AN1167" i="1" a="1"/>
  <c r="AN1167" i="1" s="1"/>
  <c r="AN1168" i="1" a="1"/>
  <c r="AN1168" i="1" s="1"/>
  <c r="AN1169" i="1" a="1"/>
  <c r="AN1169" i="1" s="1"/>
  <c r="AN1170" i="1" a="1"/>
  <c r="AN1170" i="1" s="1"/>
  <c r="AN1171" i="1" a="1"/>
  <c r="AN1171" i="1" s="1"/>
  <c r="AN1172" i="1" a="1"/>
  <c r="AN1172" i="1" s="1"/>
  <c r="AN1173" i="1" a="1"/>
  <c r="AN1173" i="1" s="1"/>
  <c r="AN1174" i="1" a="1"/>
  <c r="AN1174" i="1" s="1"/>
  <c r="AN1175" i="1" a="1"/>
  <c r="AN1175" i="1" s="1"/>
  <c r="AN1176" i="1" a="1"/>
  <c r="AN1176" i="1" s="1"/>
  <c r="AN1177" i="1" a="1"/>
  <c r="AN1177" i="1" s="1"/>
  <c r="AN1178" i="1" a="1"/>
  <c r="AN1178" i="1" s="1"/>
  <c r="AN1179" i="1" a="1"/>
  <c r="AN1179" i="1" s="1"/>
  <c r="AN1180" i="1" a="1"/>
  <c r="AN1180" i="1" s="1"/>
  <c r="AN1181" i="1" a="1"/>
  <c r="AN1181" i="1" s="1"/>
  <c r="AN1182" i="1" a="1"/>
  <c r="AN1182" i="1" s="1"/>
  <c r="AN1183" i="1" a="1"/>
  <c r="AN1183" i="1" s="1"/>
  <c r="AN1184" i="1" a="1"/>
  <c r="AN1184" i="1" s="1"/>
  <c r="AN1185" i="1" a="1"/>
  <c r="AN1185" i="1" s="1"/>
  <c r="AN1186" i="1" a="1"/>
  <c r="AN1186" i="1" s="1"/>
  <c r="AN1187" i="1" a="1"/>
  <c r="AN1187" i="1" s="1"/>
  <c r="AN1188" i="1" a="1"/>
  <c r="AN1188" i="1" s="1"/>
  <c r="AN1189" i="1" a="1"/>
  <c r="AN1189" i="1" s="1"/>
  <c r="AN1190" i="1" a="1"/>
  <c r="AN1190" i="1" s="1"/>
  <c r="AN1191" i="1" a="1"/>
  <c r="AN1191" i="1" s="1"/>
  <c r="AN1192" i="1" a="1"/>
  <c r="AN1192" i="1" s="1"/>
  <c r="AN1193" i="1" a="1"/>
  <c r="AN1193" i="1" s="1"/>
  <c r="AN1194" i="1" a="1"/>
  <c r="AN1194" i="1" s="1"/>
  <c r="AN1195" i="1" a="1"/>
  <c r="AN1195" i="1" s="1"/>
  <c r="AN1196" i="1" a="1"/>
  <c r="AN1196" i="1" s="1"/>
  <c r="AN1197" i="1" a="1"/>
  <c r="AN1197" i="1" s="1"/>
  <c r="AN1198" i="1" a="1"/>
  <c r="AN1198" i="1" s="1"/>
  <c r="AN1199" i="1" a="1"/>
  <c r="AN1199" i="1" s="1"/>
  <c r="AN1200" i="1" a="1"/>
  <c r="AN1200" i="1" s="1"/>
  <c r="AN1201" i="1" a="1"/>
  <c r="AN1201" i="1" s="1"/>
  <c r="AN1202" i="1" a="1"/>
  <c r="AN1202" i="1" s="1"/>
  <c r="AN1203" i="1" a="1"/>
  <c r="AN1203" i="1" s="1"/>
  <c r="AN1204" i="1" a="1"/>
  <c r="AN1204" i="1" s="1"/>
  <c r="AN1205" i="1" a="1"/>
  <c r="AN1205" i="1" s="1"/>
  <c r="AN1206" i="1" a="1"/>
  <c r="AN1206" i="1" s="1"/>
  <c r="AN1207" i="1" a="1"/>
  <c r="AN1207" i="1" s="1"/>
  <c r="AN1208" i="1" a="1"/>
  <c r="AN1208" i="1" s="1"/>
  <c r="AN1209" i="1" a="1"/>
  <c r="AN1209" i="1" s="1"/>
  <c r="AN1210" i="1" a="1"/>
  <c r="AN1210" i="1" s="1"/>
  <c r="AN1211" i="1" a="1"/>
  <c r="AN1211" i="1" s="1"/>
  <c r="AN1212" i="1" a="1"/>
  <c r="AN1212" i="1" s="1"/>
  <c r="AN1213" i="1" a="1"/>
  <c r="AN1213" i="1" s="1"/>
  <c r="AN1214" i="1" a="1"/>
  <c r="AN1214" i="1" s="1"/>
  <c r="AN1215" i="1" a="1"/>
  <c r="AN1215" i="1" s="1"/>
  <c r="AN1216" i="1" a="1"/>
  <c r="AN1216" i="1" s="1"/>
  <c r="AN1217" i="1" a="1"/>
  <c r="AN1217" i="1" s="1"/>
  <c r="AN1218" i="1" a="1"/>
  <c r="AN1218" i="1" s="1"/>
  <c r="AN1219" i="1" a="1"/>
  <c r="AN1219" i="1" s="1"/>
  <c r="AN1220" i="1" a="1"/>
  <c r="AN1220" i="1" s="1"/>
  <c r="AN1221" i="1" a="1"/>
  <c r="AN1221" i="1" s="1"/>
  <c r="AN1222" i="1" a="1"/>
  <c r="AN1222" i="1" s="1"/>
  <c r="AN1223" i="1" a="1"/>
  <c r="AN1223" i="1" s="1"/>
  <c r="AN1224" i="1" a="1"/>
  <c r="AN1224" i="1" s="1"/>
  <c r="AN1225" i="1" a="1"/>
  <c r="AN1225" i="1" s="1"/>
  <c r="AN1226" i="1" a="1"/>
  <c r="AN1226" i="1" s="1"/>
  <c r="AN1227" i="1" a="1"/>
  <c r="AN1227" i="1" s="1"/>
  <c r="AN1228" i="1" a="1"/>
  <c r="AN1228" i="1" s="1"/>
  <c r="AN1229" i="1" a="1"/>
  <c r="AN1229" i="1" s="1"/>
  <c r="AN1230" i="1" a="1"/>
  <c r="AN1230" i="1" s="1"/>
  <c r="AN1231" i="1" a="1"/>
  <c r="AN1231" i="1" s="1"/>
  <c r="AN1232" i="1" a="1"/>
  <c r="AN1232" i="1" s="1"/>
  <c r="AN1233" i="1" a="1"/>
  <c r="AN1233" i="1" s="1"/>
  <c r="AN1234" i="1" a="1"/>
  <c r="AN1234" i="1" s="1"/>
  <c r="AN1235" i="1" a="1"/>
  <c r="AN1235" i="1" s="1"/>
  <c r="AN1236" i="1" a="1"/>
  <c r="AN1236" i="1" s="1"/>
  <c r="AN1237" i="1" a="1"/>
  <c r="AN1237" i="1" s="1"/>
  <c r="AN1238" i="1" a="1"/>
  <c r="AN1238" i="1" s="1"/>
  <c r="AN1239" i="1" a="1"/>
  <c r="AN1239" i="1" s="1"/>
  <c r="AN1240" i="1" a="1"/>
  <c r="AN1240" i="1" s="1"/>
  <c r="AN1241" i="1" a="1"/>
  <c r="AN1241" i="1" s="1"/>
  <c r="AN1242" i="1" a="1"/>
  <c r="AN1242" i="1" s="1"/>
  <c r="AN1243" i="1" a="1"/>
  <c r="AN1243" i="1" s="1"/>
  <c r="AN1244" i="1" a="1"/>
  <c r="AN1244" i="1" s="1"/>
  <c r="AN1245" i="1" a="1"/>
  <c r="AN1245" i="1" s="1"/>
  <c r="AN1246" i="1" a="1"/>
  <c r="AN1246" i="1" s="1"/>
  <c r="AN1247" i="1" a="1"/>
  <c r="AN1247" i="1" s="1"/>
  <c r="AN1248" i="1" a="1"/>
  <c r="AN1248" i="1" s="1"/>
  <c r="AN1249" i="1" a="1"/>
  <c r="AN1249" i="1" s="1"/>
  <c r="AN1250" i="1" a="1"/>
  <c r="AN1250" i="1" s="1"/>
  <c r="AN1251" i="1" a="1"/>
  <c r="AN1251" i="1" s="1"/>
  <c r="AN1252" i="1" a="1"/>
  <c r="AN1252" i="1" s="1"/>
  <c r="AN1253" i="1" a="1"/>
  <c r="AN1253" i="1" s="1"/>
  <c r="AN1254" i="1" a="1"/>
  <c r="AN1254" i="1" s="1"/>
  <c r="AN1255" i="1" a="1"/>
  <c r="AN1255" i="1" s="1"/>
  <c r="AN1256" i="1" a="1"/>
  <c r="AN1256" i="1" s="1"/>
  <c r="AN1257" i="1" a="1"/>
  <c r="AN1257" i="1" s="1"/>
  <c r="AN1258" i="1" a="1"/>
  <c r="AN1258" i="1" s="1"/>
  <c r="AN1259" i="1" a="1"/>
  <c r="AN1259" i="1" s="1"/>
  <c r="AN1260" i="1" a="1"/>
  <c r="AN1260" i="1" s="1"/>
  <c r="AN1261" i="1" a="1"/>
  <c r="AN1261" i="1" s="1"/>
  <c r="AN1262" i="1" a="1"/>
  <c r="AN1262" i="1" s="1"/>
  <c r="AN1263" i="1" a="1"/>
  <c r="AN1263" i="1" s="1"/>
  <c r="AN1264" i="1" a="1"/>
  <c r="AN1264" i="1" s="1"/>
  <c r="AN1265" i="1" a="1"/>
  <c r="AN1265" i="1" s="1"/>
  <c r="AN1266" i="1" a="1"/>
  <c r="AN1266" i="1" s="1"/>
  <c r="AN1267" i="1" a="1"/>
  <c r="AN1267" i="1" s="1"/>
  <c r="AN1268" i="1" a="1"/>
  <c r="AN1268" i="1" s="1"/>
  <c r="AN1269" i="1" a="1"/>
  <c r="AN1269" i="1" s="1"/>
  <c r="AN1270" i="1" a="1"/>
  <c r="AN1270" i="1" s="1"/>
  <c r="AN1271" i="1" a="1"/>
  <c r="AN1271" i="1" s="1"/>
  <c r="AN1272" i="1" a="1"/>
  <c r="AN1272" i="1" s="1"/>
  <c r="AN1273" i="1" a="1"/>
  <c r="AN1273" i="1" s="1"/>
  <c r="AN1274" i="1" a="1"/>
  <c r="AN1274" i="1" s="1"/>
  <c r="AN1275" i="1" a="1"/>
  <c r="AN1275" i="1" s="1"/>
  <c r="AN1276" i="1" a="1"/>
  <c r="AN1276" i="1" s="1"/>
  <c r="AN1277" i="1" a="1"/>
  <c r="AN1277" i="1" s="1"/>
  <c r="AN1278" i="1" a="1"/>
  <c r="AN1278" i="1" s="1"/>
  <c r="AN1279" i="1" a="1"/>
  <c r="AN1279" i="1" s="1"/>
  <c r="AN1280" i="1" a="1"/>
  <c r="AN1280" i="1" s="1"/>
  <c r="AN1281" i="1" a="1"/>
  <c r="AN1281" i="1" s="1"/>
  <c r="AN1282" i="1" a="1"/>
  <c r="AN1282" i="1" s="1"/>
  <c r="AN1283" i="1" a="1"/>
  <c r="AN1283" i="1" s="1"/>
  <c r="AN1284" i="1" a="1"/>
  <c r="AN1284" i="1" s="1"/>
  <c r="AN1285" i="1" a="1"/>
  <c r="AN1285" i="1" s="1"/>
  <c r="AN1286" i="1" a="1"/>
  <c r="AN1286" i="1" s="1"/>
  <c r="AN1287" i="1" a="1"/>
  <c r="AN1287" i="1" s="1"/>
  <c r="AN1288" i="1" a="1"/>
  <c r="AN1288" i="1" s="1"/>
  <c r="AN1289" i="1" a="1"/>
  <c r="AN1289" i="1" s="1"/>
  <c r="AN1290" i="1" a="1"/>
  <c r="AN1290" i="1" s="1"/>
  <c r="AN1291" i="1" a="1"/>
  <c r="AN1291" i="1" s="1"/>
  <c r="AN1292" i="1" a="1"/>
  <c r="AN1292" i="1" s="1"/>
  <c r="AN1293" i="1" a="1"/>
  <c r="AN1293" i="1" s="1"/>
  <c r="AN1294" i="1" a="1"/>
  <c r="AN1294" i="1" s="1"/>
  <c r="AN1295" i="1" a="1"/>
  <c r="AN1295" i="1" s="1"/>
  <c r="AN1296" i="1" a="1"/>
  <c r="AN1296" i="1" s="1"/>
  <c r="AN1297" i="1" a="1"/>
  <c r="AN1297" i="1" s="1"/>
  <c r="AN1298" i="1" a="1"/>
  <c r="AN1298" i="1" s="1"/>
  <c r="AN1299" i="1" a="1"/>
  <c r="AN1299" i="1" s="1"/>
  <c r="AN1300" i="1" a="1"/>
  <c r="AN1300" i="1" s="1"/>
  <c r="AN1301" i="1" a="1"/>
  <c r="AN1301" i="1" s="1"/>
  <c r="AN1302" i="1" a="1"/>
  <c r="AN1302" i="1" s="1"/>
  <c r="AN1303" i="1" a="1"/>
  <c r="AN1303" i="1" s="1"/>
  <c r="AN1304" i="1" a="1"/>
  <c r="AN1304" i="1" s="1"/>
  <c r="AN1305" i="1" a="1"/>
  <c r="AN1305" i="1" s="1"/>
  <c r="AN1306" i="1" a="1"/>
  <c r="AN1306" i="1" s="1"/>
  <c r="AN1307" i="1" a="1"/>
  <c r="AN1307" i="1" s="1"/>
  <c r="AN1308" i="1" a="1"/>
  <c r="AN1308" i="1" s="1"/>
  <c r="AN1309" i="1" a="1"/>
  <c r="AN1309" i="1" s="1"/>
  <c r="AN1310" i="1" a="1"/>
  <c r="AN1310" i="1" s="1"/>
  <c r="AN1311" i="1" a="1"/>
  <c r="AN1311" i="1" s="1"/>
  <c r="AN1312" i="1" a="1"/>
  <c r="AN1312" i="1" s="1"/>
  <c r="AN1313" i="1" a="1"/>
  <c r="AN1313" i="1" s="1"/>
  <c r="AN1314" i="1" a="1"/>
  <c r="AN1314" i="1" s="1"/>
  <c r="AN1315" i="1" a="1"/>
  <c r="AN1315" i="1" s="1"/>
  <c r="AN1316" i="1" a="1"/>
  <c r="AN1316" i="1" s="1"/>
  <c r="AN1317" i="1" a="1"/>
  <c r="AN1317" i="1" s="1"/>
  <c r="AN1318" i="1" a="1"/>
  <c r="AN1318" i="1" s="1"/>
  <c r="AN1319" i="1" a="1"/>
  <c r="AN1319" i="1" s="1"/>
  <c r="AN1320" i="1" a="1"/>
  <c r="AN1320" i="1" s="1"/>
  <c r="AN1321" i="1" a="1"/>
  <c r="AN1321" i="1" s="1"/>
  <c r="AN1322" i="1" a="1"/>
  <c r="AN1322" i="1" s="1"/>
  <c r="AN1323" i="1" a="1"/>
  <c r="AN1323" i="1" s="1"/>
  <c r="AN1324" i="1" a="1"/>
  <c r="AN1324" i="1" s="1"/>
  <c r="AN1325" i="1" a="1"/>
  <c r="AN1325" i="1" s="1"/>
  <c r="AN1326" i="1" a="1"/>
  <c r="AN1326" i="1" s="1"/>
  <c r="AN1327" i="1" a="1"/>
  <c r="AN1327" i="1" s="1"/>
  <c r="AN1328" i="1" a="1"/>
  <c r="AN1328" i="1" s="1"/>
  <c r="AN1329" i="1" a="1"/>
  <c r="AN1329" i="1" s="1"/>
  <c r="AN1330" i="1" a="1"/>
  <c r="AN1330" i="1" s="1"/>
  <c r="AN1331" i="1" a="1"/>
  <c r="AN1331" i="1" s="1"/>
  <c r="AN1332" i="1" a="1"/>
  <c r="AN1332" i="1" s="1"/>
  <c r="AN1333" i="1" a="1"/>
  <c r="AN1333" i="1" s="1"/>
  <c r="AN1334" i="1" a="1"/>
  <c r="AN1334" i="1" s="1"/>
  <c r="AN1335" i="1" a="1"/>
  <c r="AN1335" i="1" s="1"/>
  <c r="AN1336" i="1" a="1"/>
  <c r="AN1336" i="1" s="1"/>
  <c r="AN1337" i="1" a="1"/>
  <c r="AN1337" i="1" s="1"/>
  <c r="AN1338" i="1" a="1"/>
  <c r="AN1338" i="1" s="1"/>
  <c r="AN1339" i="1" a="1"/>
  <c r="AN1339" i="1" s="1"/>
  <c r="AN1340" i="1" a="1"/>
  <c r="AN1340" i="1" s="1"/>
  <c r="AN1341" i="1" a="1"/>
  <c r="AN1341" i="1" s="1"/>
  <c r="AN1342" i="1" a="1"/>
  <c r="AN1342" i="1" s="1"/>
  <c r="AN1343" i="1" a="1"/>
  <c r="AN1343" i="1" s="1"/>
  <c r="AN1344" i="1" a="1"/>
  <c r="AN1344" i="1" s="1"/>
  <c r="AN1345" i="1" a="1"/>
  <c r="AN1345" i="1" s="1"/>
  <c r="AN1346" i="1" a="1"/>
  <c r="AN1346" i="1" s="1"/>
  <c r="AN1347" i="1" a="1"/>
  <c r="AN1347" i="1" s="1"/>
  <c r="AN1348" i="1" a="1"/>
  <c r="AN1348" i="1" s="1"/>
  <c r="AN1349" i="1" a="1"/>
  <c r="AN1349" i="1" s="1"/>
  <c r="AN1350" i="1" a="1"/>
  <c r="AN1350" i="1" s="1"/>
  <c r="AN1351" i="1" a="1"/>
  <c r="AN1351" i="1" s="1"/>
  <c r="AN1352" i="1" a="1"/>
  <c r="AN1352" i="1" s="1"/>
  <c r="AN1353" i="1" a="1"/>
  <c r="AN1353" i="1" s="1"/>
  <c r="AN1354" i="1" a="1"/>
  <c r="AN1354" i="1" s="1"/>
  <c r="AN1355" i="1" a="1"/>
  <c r="AN1355" i="1" s="1"/>
  <c r="AN1356" i="1" a="1"/>
  <c r="AN1356" i="1" s="1"/>
  <c r="AN1357" i="1" a="1"/>
  <c r="AN1357" i="1" s="1"/>
  <c r="AN1358" i="1" a="1"/>
  <c r="AN1358" i="1" s="1"/>
  <c r="AN1359" i="1" a="1"/>
  <c r="AN1359" i="1" s="1"/>
  <c r="AN1360" i="1" a="1"/>
  <c r="AN1360" i="1" s="1"/>
  <c r="AN1361" i="1" a="1"/>
  <c r="AN1361" i="1" s="1"/>
  <c r="AN1362" i="1" a="1"/>
  <c r="AN1362" i="1" s="1"/>
  <c r="AN1363" i="1" a="1"/>
  <c r="AN1363" i="1" s="1"/>
  <c r="AN1364" i="1" a="1"/>
  <c r="AN1364" i="1" s="1"/>
  <c r="AN1365" i="1" a="1"/>
  <c r="AN1365" i="1" s="1"/>
  <c r="AN1366" i="1" a="1"/>
  <c r="AN1366" i="1" s="1"/>
  <c r="AN1367" i="1" a="1"/>
  <c r="AN1367" i="1" s="1"/>
  <c r="AN1368" i="1" a="1"/>
  <c r="AN1368" i="1" s="1"/>
  <c r="AN1369" i="1" a="1"/>
  <c r="AN1369" i="1" s="1"/>
  <c r="AN1370" i="1" a="1"/>
  <c r="AN1370" i="1" s="1"/>
  <c r="AN1371" i="1" a="1"/>
  <c r="AN1371" i="1" s="1"/>
  <c r="AN1372" i="1" a="1"/>
  <c r="AN1372" i="1" s="1"/>
  <c r="AN1373" i="1" a="1"/>
  <c r="AN1373" i="1" s="1"/>
  <c r="AN1374" i="1" a="1"/>
  <c r="AN1374" i="1" s="1"/>
  <c r="AN1375" i="1" a="1"/>
  <c r="AN1375" i="1" s="1"/>
  <c r="AN1376" i="1" a="1"/>
  <c r="AN1376" i="1" s="1"/>
  <c r="AN1377" i="1" a="1"/>
  <c r="AN1377" i="1" s="1"/>
  <c r="AN1378" i="1" a="1"/>
  <c r="AN1378" i="1" s="1"/>
  <c r="AN1379" i="1" a="1"/>
  <c r="AN1379" i="1" s="1"/>
  <c r="AN1380" i="1" a="1"/>
  <c r="AN1380" i="1" s="1"/>
  <c r="AN1381" i="1" a="1"/>
  <c r="AN1381" i="1" s="1"/>
  <c r="AN1382" i="1" a="1"/>
  <c r="AN1382" i="1" s="1"/>
  <c r="AN1383" i="1" a="1"/>
  <c r="AN1383" i="1" s="1"/>
  <c r="AN1384" i="1" a="1"/>
  <c r="AN1384" i="1" s="1"/>
  <c r="AN1385" i="1" a="1"/>
  <c r="AN1385" i="1" s="1"/>
  <c r="AN1386" i="1" a="1"/>
  <c r="AN1386" i="1" s="1"/>
  <c r="AN1387" i="1" a="1"/>
  <c r="AN1387" i="1" s="1"/>
  <c r="AN1388" i="1" a="1"/>
  <c r="AN1388" i="1" s="1"/>
  <c r="AN1389" i="1" a="1"/>
  <c r="AN1389" i="1" s="1"/>
  <c r="AN1390" i="1" a="1"/>
  <c r="AN1390" i="1" s="1"/>
  <c r="AN1391" i="1" a="1"/>
  <c r="AN1391" i="1" s="1"/>
  <c r="AN1392" i="1" a="1"/>
  <c r="AN1392" i="1" s="1"/>
  <c r="AN1393" i="1" a="1"/>
  <c r="AN1393" i="1" s="1"/>
  <c r="AN1394" i="1" a="1"/>
  <c r="AN1394" i="1" s="1"/>
  <c r="AN1395" i="1" a="1"/>
  <c r="AN1395" i="1" s="1"/>
  <c r="AN1396" i="1" a="1"/>
  <c r="AN1396" i="1" s="1"/>
  <c r="AN1397" i="1" a="1"/>
  <c r="AN1397" i="1" s="1"/>
  <c r="AN1398" i="1" a="1"/>
  <c r="AN1398" i="1" s="1"/>
  <c r="AN1399" i="1" a="1"/>
  <c r="AN1399" i="1" s="1"/>
  <c r="AN1400" i="1" a="1"/>
  <c r="AN1400" i="1" s="1"/>
  <c r="AN1401" i="1" a="1"/>
  <c r="AN1401" i="1" s="1"/>
  <c r="AN1402" i="1" a="1"/>
  <c r="AN1402" i="1" s="1"/>
  <c r="AN1403" i="1" a="1"/>
  <c r="AN1403" i="1" s="1"/>
  <c r="AN1404" i="1" a="1"/>
  <c r="AN1404" i="1" s="1"/>
  <c r="AN1405" i="1" a="1"/>
  <c r="AN1405" i="1" s="1"/>
  <c r="AN1406" i="1" a="1"/>
  <c r="AN1406" i="1" s="1"/>
  <c r="AN1407" i="1" a="1"/>
  <c r="AN1407" i="1" s="1"/>
  <c r="AN1408" i="1" a="1"/>
  <c r="AN1408" i="1" s="1"/>
  <c r="AN1409" i="1" a="1"/>
  <c r="AN1409" i="1" s="1"/>
  <c r="AN1410" i="1" a="1"/>
  <c r="AN1410" i="1" s="1"/>
  <c r="AN1411" i="1" a="1"/>
  <c r="AN1411" i="1" s="1"/>
  <c r="AN1412" i="1" a="1"/>
  <c r="AN1412" i="1" s="1"/>
  <c r="AN1413" i="1" a="1"/>
  <c r="AN1413" i="1" s="1"/>
  <c r="AN1414" i="1" a="1"/>
  <c r="AN1414" i="1" s="1"/>
  <c r="AN1415" i="1" a="1"/>
  <c r="AN1415" i="1" s="1"/>
  <c r="AN1416" i="1" a="1"/>
  <c r="AN1416" i="1" s="1"/>
  <c r="AN1417" i="1" a="1"/>
  <c r="AN1417" i="1" s="1"/>
  <c r="AN1418" i="1" a="1"/>
  <c r="AN1418" i="1" s="1"/>
  <c r="AN1419" i="1" a="1"/>
  <c r="AN1419" i="1" s="1"/>
  <c r="AN1420" i="1" a="1"/>
  <c r="AN1420" i="1" s="1"/>
  <c r="AN1421" i="1" a="1"/>
  <c r="AN1421" i="1" s="1"/>
  <c r="AN1422" i="1" a="1"/>
  <c r="AN1422" i="1" s="1"/>
  <c r="AN1423" i="1" a="1"/>
  <c r="AN1423" i="1" s="1"/>
  <c r="AN1424" i="1" a="1"/>
  <c r="AN1424" i="1" s="1"/>
  <c r="AN1425" i="1" a="1"/>
  <c r="AN1425" i="1" s="1"/>
  <c r="AN1426" i="1" a="1"/>
  <c r="AN1426" i="1" s="1"/>
  <c r="AN1427" i="1" a="1"/>
  <c r="AN1427" i="1" s="1"/>
  <c r="AN1428" i="1" a="1"/>
  <c r="AN1428" i="1" s="1"/>
  <c r="AN1429" i="1" a="1"/>
  <c r="AN1429" i="1" s="1"/>
  <c r="AN1430" i="1" a="1"/>
  <c r="AN1430" i="1" s="1"/>
  <c r="AN1431" i="1" a="1"/>
  <c r="AN1431" i="1" s="1"/>
  <c r="AN1432" i="1" a="1"/>
  <c r="AN1432" i="1" s="1"/>
  <c r="AN1433" i="1" a="1"/>
  <c r="AN1433" i="1" s="1"/>
  <c r="AN1434" i="1" a="1"/>
  <c r="AN1434" i="1" s="1"/>
  <c r="AN1435" i="1" a="1"/>
  <c r="AN1435" i="1" s="1"/>
  <c r="AN1436" i="1" a="1"/>
  <c r="AN1436" i="1" s="1"/>
  <c r="AN1437" i="1" a="1"/>
  <c r="AN1437" i="1" s="1"/>
  <c r="AN1438" i="1" a="1"/>
  <c r="AN1438" i="1" s="1"/>
  <c r="AN1439" i="1" a="1"/>
  <c r="AN1439" i="1" s="1"/>
  <c r="AN1440" i="1" a="1"/>
  <c r="AN1440" i="1" s="1"/>
  <c r="AN1441" i="1" a="1"/>
  <c r="AN1441" i="1" s="1"/>
  <c r="AN1442" i="1" a="1"/>
  <c r="AN1442" i="1" s="1"/>
  <c r="AN1443" i="1" a="1"/>
  <c r="AN1443" i="1" s="1"/>
  <c r="AN1444" i="1" a="1"/>
  <c r="AN1444" i="1" s="1"/>
  <c r="AN1445" i="1" a="1"/>
  <c r="AN1445" i="1" s="1"/>
  <c r="AN1446" i="1" a="1"/>
  <c r="AN1446" i="1" s="1"/>
  <c r="AN1447" i="1" a="1"/>
  <c r="AN1447" i="1" s="1"/>
  <c r="AN1448" i="1" a="1"/>
  <c r="AN1448" i="1" s="1"/>
  <c r="AN1449" i="1" a="1"/>
  <c r="AN1449" i="1" s="1"/>
  <c r="AN1450" i="1" a="1"/>
  <c r="AN1450" i="1" s="1"/>
  <c r="AN1451" i="1" a="1"/>
  <c r="AN1451" i="1" s="1"/>
  <c r="AN1452" i="1" a="1"/>
  <c r="AN1452" i="1" s="1"/>
  <c r="AN1453" i="1" a="1"/>
  <c r="AN1453" i="1" s="1"/>
  <c r="AN1454" i="1" a="1"/>
  <c r="AN1454" i="1" s="1"/>
  <c r="AN1455" i="1" a="1"/>
  <c r="AN1455" i="1" s="1"/>
  <c r="AN1456" i="1" a="1"/>
  <c r="AN1456" i="1" s="1"/>
  <c r="AN1457" i="1" a="1"/>
  <c r="AN1457" i="1" s="1"/>
  <c r="AN1458" i="1" a="1"/>
  <c r="AN1458" i="1" s="1"/>
  <c r="AN1459" i="1" a="1"/>
  <c r="AN1459" i="1" s="1"/>
  <c r="AN1460" i="1" a="1"/>
  <c r="AN1460" i="1" s="1"/>
  <c r="AN1461" i="1" a="1"/>
  <c r="AN1461" i="1" s="1"/>
  <c r="AN1462" i="1" a="1"/>
  <c r="AN1462" i="1" s="1"/>
  <c r="AN1463" i="1" a="1"/>
  <c r="AN1463" i="1" s="1"/>
  <c r="AN1464" i="1" a="1"/>
  <c r="AN1464" i="1" s="1"/>
  <c r="AN1465" i="1" a="1"/>
  <c r="AN1465" i="1" s="1"/>
  <c r="AN1466" i="1" a="1"/>
  <c r="AN1466" i="1" s="1"/>
  <c r="AN1467" i="1" a="1"/>
  <c r="AN1467" i="1" s="1"/>
  <c r="AN1468" i="1" a="1"/>
  <c r="AN1468" i="1" s="1"/>
  <c r="AN1469" i="1" a="1"/>
  <c r="AN1469" i="1" s="1"/>
  <c r="AN1470" i="1" a="1"/>
  <c r="AN1470" i="1" s="1"/>
  <c r="AN1471" i="1" a="1"/>
  <c r="AN1471" i="1" s="1"/>
  <c r="AL2" i="1" a="1"/>
  <c r="AL2" i="1" s="1"/>
  <c r="AL3" i="1" a="1"/>
  <c r="AL3"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M2" i="1" a="1"/>
  <c r="AM2" i="1" s="1"/>
  <c r="AM3" i="1" a="1"/>
  <c r="AM3" i="1" s="1"/>
  <c r="AM4" i="1" a="1"/>
  <c r="AM4" i="1" s="1"/>
  <c r="AM5" i="1" a="1"/>
  <c r="AM5" i="1" s="1"/>
  <c r="AM6" i="1" a="1"/>
  <c r="AM6" i="1" s="1"/>
  <c r="AM7" i="1" a="1"/>
  <c r="AM7" i="1" s="1"/>
  <c r="AM8" i="1" a="1"/>
  <c r="AM8" i="1" s="1"/>
  <c r="AM9" i="1" a="1"/>
  <c r="AM9" i="1" s="1"/>
  <c r="AM10" i="1" a="1"/>
  <c r="AM10" i="1" s="1"/>
  <c r="AM11" i="1" a="1"/>
  <c r="AM11" i="1" s="1"/>
  <c r="AM12" i="1" a="1"/>
  <c r="AM12" i="1" s="1"/>
  <c r="AM13" i="1" a="1"/>
  <c r="AM13" i="1" s="1"/>
  <c r="AM14" i="1" a="1"/>
  <c r="AM14" i="1" s="1"/>
  <c r="AM15" i="1" a="1"/>
  <c r="AM15" i="1" s="1"/>
  <c r="AM16" i="1" a="1"/>
  <c r="AM16" i="1" s="1"/>
  <c r="AM17" i="1" a="1"/>
  <c r="AM17" i="1" s="1"/>
  <c r="AM18" i="1" a="1"/>
  <c r="AM18" i="1" s="1"/>
  <c r="AM19" i="1" a="1"/>
  <c r="AM19" i="1" s="1"/>
  <c r="AM20" i="1" a="1"/>
  <c r="AM20" i="1" s="1"/>
  <c r="AM21" i="1" a="1"/>
  <c r="AM21" i="1" s="1"/>
  <c r="AM22" i="1" a="1"/>
  <c r="AM22" i="1" s="1"/>
  <c r="AM23" i="1" a="1"/>
  <c r="AM23" i="1" s="1"/>
  <c r="AM24" i="1" a="1"/>
  <c r="AM24" i="1" s="1"/>
  <c r="AM25" i="1" a="1"/>
  <c r="AM25" i="1" s="1"/>
  <c r="AM26" i="1" a="1"/>
  <c r="AM26" i="1" s="1"/>
  <c r="AM27" i="1" a="1"/>
  <c r="AM27" i="1" s="1"/>
  <c r="AM28" i="1" a="1"/>
  <c r="AM28" i="1" s="1"/>
  <c r="AM29" i="1" a="1"/>
  <c r="AM29" i="1" s="1"/>
  <c r="AM30" i="1" a="1"/>
  <c r="AM30" i="1" s="1"/>
  <c r="AM31" i="1" a="1"/>
  <c r="AM31" i="1" s="1"/>
  <c r="AM32" i="1" a="1"/>
  <c r="AM32" i="1" s="1"/>
  <c r="AM33" i="1" a="1"/>
  <c r="AM33" i="1" s="1"/>
  <c r="AM34" i="1" a="1"/>
  <c r="AM34" i="1" s="1"/>
  <c r="AM35" i="1" a="1"/>
  <c r="AM35" i="1" s="1"/>
  <c r="AM36" i="1" a="1"/>
  <c r="AM36" i="1" s="1"/>
  <c r="AM37" i="1" a="1"/>
  <c r="AM37" i="1" s="1"/>
  <c r="AM38" i="1" a="1"/>
  <c r="AM38" i="1" s="1"/>
  <c r="AM39" i="1" a="1"/>
  <c r="AM39" i="1" s="1"/>
  <c r="AM40" i="1" a="1"/>
  <c r="AM40" i="1" s="1"/>
  <c r="AM41" i="1" a="1"/>
  <c r="AM41" i="1" s="1"/>
  <c r="AM42" i="1" a="1"/>
  <c r="AM42" i="1" s="1"/>
  <c r="AM43" i="1" a="1"/>
  <c r="AM43" i="1" s="1"/>
  <c r="AM44" i="1" a="1"/>
  <c r="AM44" i="1" s="1"/>
  <c r="AM45" i="1" a="1"/>
  <c r="AM45" i="1" s="1"/>
  <c r="AM46" i="1" a="1"/>
  <c r="AM46" i="1" s="1"/>
  <c r="AM47" i="1" a="1"/>
  <c r="AM47" i="1" s="1"/>
  <c r="AM48" i="1" a="1"/>
  <c r="AM48" i="1" s="1"/>
  <c r="AM49" i="1" a="1"/>
  <c r="AM49" i="1" s="1"/>
  <c r="AM50" i="1" a="1"/>
  <c r="AM50" i="1" s="1"/>
  <c r="AM51" i="1" a="1"/>
  <c r="AM51" i="1" s="1"/>
  <c r="AM52" i="1" a="1"/>
  <c r="AM52" i="1" s="1"/>
  <c r="AM53" i="1" a="1"/>
  <c r="AM53" i="1" s="1"/>
  <c r="AM54" i="1" a="1"/>
  <c r="AM54" i="1" s="1"/>
  <c r="AM55" i="1" a="1"/>
  <c r="AM55" i="1" s="1"/>
  <c r="AM56" i="1" a="1"/>
  <c r="AM56" i="1" s="1"/>
  <c r="AM57" i="1" a="1"/>
  <c r="AM57" i="1" s="1"/>
  <c r="AM58" i="1" a="1"/>
  <c r="AM58" i="1" s="1"/>
  <c r="AM59" i="1" a="1"/>
  <c r="AM59" i="1" s="1"/>
  <c r="AM60" i="1" a="1"/>
  <c r="AM60" i="1" s="1"/>
  <c r="AM61" i="1" a="1"/>
  <c r="AM61" i="1" s="1"/>
  <c r="AM62" i="1" a="1"/>
  <c r="AM62" i="1" s="1"/>
  <c r="AM63" i="1" a="1"/>
  <c r="AM63" i="1" s="1"/>
  <c r="AM64" i="1" a="1"/>
  <c r="AM64" i="1" s="1"/>
  <c r="AM65" i="1" a="1"/>
  <c r="AM65" i="1" s="1"/>
  <c r="AM66" i="1" a="1"/>
  <c r="AM66" i="1" s="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M77" i="1" a="1"/>
  <c r="AM77" i="1" s="1"/>
  <c r="AM78" i="1" a="1"/>
  <c r="AM78" i="1" s="1"/>
  <c r="AM79" i="1" a="1"/>
  <c r="AM79" i="1" s="1"/>
  <c r="AM80" i="1" a="1"/>
  <c r="AM80" i="1" s="1"/>
  <c r="AM81" i="1" a="1"/>
  <c r="AM81" i="1" s="1"/>
  <c r="AM82" i="1" a="1"/>
  <c r="AM82" i="1" s="1"/>
  <c r="AM83" i="1" a="1"/>
  <c r="AM83" i="1" s="1"/>
  <c r="AM84" i="1" a="1"/>
  <c r="AM84" i="1" s="1"/>
  <c r="AM85" i="1" a="1"/>
  <c r="AM85" i="1" s="1"/>
  <c r="AM86" i="1" a="1"/>
  <c r="AM86" i="1" s="1"/>
  <c r="AM87" i="1" a="1"/>
  <c r="AM87" i="1" s="1"/>
  <c r="AM88" i="1" a="1"/>
  <c r="AM88" i="1" s="1"/>
  <c r="AM89" i="1" a="1"/>
  <c r="AM89" i="1" s="1"/>
  <c r="AM90" i="1" a="1"/>
  <c r="AM90" i="1" s="1"/>
  <c r="AM91" i="1" a="1"/>
  <c r="AM91" i="1" s="1"/>
  <c r="AM92" i="1" a="1"/>
  <c r="AM92" i="1" s="1"/>
  <c r="AM93" i="1" a="1"/>
  <c r="AM93" i="1" s="1"/>
  <c r="AM94" i="1" a="1"/>
  <c r="AM94" i="1" s="1"/>
  <c r="AM95" i="1" a="1"/>
  <c r="AM95" i="1" s="1"/>
  <c r="AM96" i="1" a="1"/>
  <c r="AM96" i="1" s="1"/>
  <c r="AM97" i="1" a="1"/>
  <c r="AM97" i="1" s="1"/>
  <c r="AM98" i="1" a="1"/>
  <c r="AM98" i="1" s="1"/>
  <c r="AM99" i="1" a="1"/>
  <c r="AM99" i="1" s="1"/>
  <c r="AM100" i="1" a="1"/>
  <c r="AM100" i="1" s="1"/>
  <c r="AM101" i="1" a="1"/>
  <c r="AM101" i="1" s="1"/>
  <c r="AM102" i="1" a="1"/>
  <c r="AM102" i="1" s="1"/>
  <c r="AM103" i="1" a="1"/>
  <c r="AM103" i="1" s="1"/>
  <c r="AM104" i="1" a="1"/>
  <c r="AM104" i="1" s="1"/>
  <c r="AM105" i="1" a="1"/>
  <c r="AM105" i="1" s="1"/>
  <c r="AM106" i="1" a="1"/>
  <c r="AM106" i="1" s="1"/>
  <c r="AM107" i="1" a="1"/>
  <c r="AM107" i="1" s="1"/>
  <c r="AM108" i="1" a="1"/>
  <c r="AM108" i="1" s="1"/>
  <c r="AM109" i="1" a="1"/>
  <c r="AM109" i="1" s="1"/>
  <c r="AM110" i="1" a="1"/>
  <c r="AM110" i="1" s="1"/>
  <c r="AM111" i="1" a="1"/>
  <c r="AM111" i="1" s="1"/>
  <c r="AM112" i="1" a="1"/>
  <c r="AM112" i="1" s="1"/>
  <c r="AM113" i="1" a="1"/>
  <c r="AM113" i="1" s="1"/>
  <c r="AM114" i="1" a="1"/>
  <c r="AM114" i="1" s="1"/>
  <c r="AM115" i="1" a="1"/>
  <c r="AM115" i="1" s="1"/>
  <c r="AM116" i="1" a="1"/>
  <c r="AM116" i="1" s="1"/>
  <c r="AM117" i="1" a="1"/>
  <c r="AM117" i="1" s="1"/>
  <c r="AM118" i="1" a="1"/>
  <c r="AM118" i="1" s="1"/>
  <c r="AM119" i="1" a="1"/>
  <c r="AM119" i="1" s="1"/>
  <c r="AM120" i="1" a="1"/>
  <c r="AM120" i="1" s="1"/>
  <c r="AM121" i="1" a="1"/>
  <c r="AM121" i="1" s="1"/>
  <c r="AM122" i="1" a="1"/>
  <c r="AM122" i="1" s="1"/>
  <c r="AM123" i="1" a="1"/>
  <c r="AM123" i="1" s="1"/>
  <c r="AM124" i="1" a="1"/>
  <c r="AM124" i="1" s="1"/>
  <c r="AM125" i="1" a="1"/>
  <c r="AM125" i="1" s="1"/>
  <c r="AM126" i="1" a="1"/>
  <c r="AM126" i="1" s="1"/>
  <c r="AM127" i="1" a="1"/>
  <c r="AM127" i="1" s="1"/>
  <c r="AM128" i="1" a="1"/>
  <c r="AM128" i="1" s="1"/>
  <c r="AM129" i="1" a="1"/>
  <c r="AM129" i="1" s="1"/>
  <c r="AM130" i="1" a="1"/>
  <c r="AM130" i="1" s="1"/>
  <c r="AM131" i="1" a="1"/>
  <c r="AM131" i="1" s="1"/>
  <c r="AM132" i="1" a="1"/>
  <c r="AM132" i="1" s="1"/>
  <c r="AM133" i="1" a="1"/>
  <c r="AM133" i="1" s="1"/>
  <c r="AM134" i="1" a="1"/>
  <c r="AM134" i="1" s="1"/>
  <c r="AM135" i="1" a="1"/>
  <c r="AM135" i="1" s="1"/>
  <c r="AM136" i="1" a="1"/>
  <c r="AM136" i="1" s="1"/>
  <c r="AM137" i="1" a="1"/>
  <c r="AM137" i="1" s="1"/>
  <c r="AM138" i="1" a="1"/>
  <c r="AM138" i="1" s="1"/>
  <c r="AM139" i="1" a="1"/>
  <c r="AM139" i="1" s="1"/>
  <c r="AM140" i="1" a="1"/>
  <c r="AM140" i="1" s="1"/>
  <c r="AM141" i="1" a="1"/>
  <c r="AM141" i="1" s="1"/>
  <c r="AM142" i="1" a="1"/>
  <c r="AM142" i="1" s="1"/>
  <c r="AM143" i="1" a="1"/>
  <c r="AM143" i="1" s="1"/>
  <c r="AM144" i="1" a="1"/>
  <c r="AM144" i="1" s="1"/>
  <c r="AM145" i="1" a="1"/>
  <c r="AM145" i="1" s="1"/>
  <c r="AM146" i="1" a="1"/>
  <c r="AM146" i="1" s="1"/>
  <c r="AM147" i="1" a="1"/>
  <c r="AM147" i="1" s="1"/>
  <c r="AM148" i="1" a="1"/>
  <c r="AM148" i="1" s="1"/>
  <c r="AM149" i="1" a="1"/>
  <c r="AM149" i="1" s="1"/>
  <c r="AM150" i="1" a="1"/>
  <c r="AM150" i="1" s="1"/>
  <c r="AM151" i="1" a="1"/>
  <c r="AM151" i="1" s="1"/>
  <c r="AM152" i="1" a="1"/>
  <c r="AM152" i="1" s="1"/>
  <c r="AM153" i="1" a="1"/>
  <c r="AM153" i="1" s="1"/>
  <c r="AM154" i="1" a="1"/>
  <c r="AM154" i="1" s="1"/>
  <c r="AM155" i="1" a="1"/>
  <c r="AM155" i="1" s="1"/>
  <c r="AM156" i="1" a="1"/>
  <c r="AM156" i="1" s="1"/>
  <c r="AM157" i="1" a="1"/>
  <c r="AM157" i="1" s="1"/>
  <c r="AM158" i="1" a="1"/>
  <c r="AM158" i="1" s="1"/>
  <c r="AM159" i="1" a="1"/>
  <c r="AM159" i="1" s="1"/>
  <c r="AM160" i="1" a="1"/>
  <c r="AM160" i="1" s="1"/>
  <c r="AM161" i="1" a="1"/>
  <c r="AM161" i="1" s="1"/>
  <c r="AM162" i="1" a="1"/>
  <c r="AM162" i="1" s="1"/>
  <c r="AM163" i="1" a="1"/>
  <c r="AM163" i="1" s="1"/>
  <c r="AM164" i="1" a="1"/>
  <c r="AM164" i="1" s="1"/>
  <c r="AM165" i="1" a="1"/>
  <c r="AM165" i="1" s="1"/>
  <c r="AM166" i="1" a="1"/>
  <c r="AM166" i="1" s="1"/>
  <c r="AM167" i="1" a="1"/>
  <c r="AM167" i="1" s="1"/>
  <c r="AM168" i="1" a="1"/>
  <c r="AM168" i="1" s="1"/>
  <c r="AM169" i="1" a="1"/>
  <c r="AM169" i="1" s="1"/>
  <c r="AM170" i="1" a="1"/>
  <c r="AM170" i="1" s="1"/>
  <c r="AM171" i="1" a="1"/>
  <c r="AM171" i="1" s="1"/>
  <c r="AM172" i="1" a="1"/>
  <c r="AM172" i="1" s="1"/>
  <c r="AM173" i="1" a="1"/>
  <c r="AM173" i="1" s="1"/>
  <c r="AM174" i="1" a="1"/>
  <c r="AM174" i="1" s="1"/>
  <c r="AM175" i="1" a="1"/>
  <c r="AM175" i="1" s="1"/>
  <c r="AM176" i="1" a="1"/>
  <c r="AM176" i="1" s="1"/>
  <c r="AM177" i="1" a="1"/>
  <c r="AM177" i="1" s="1"/>
  <c r="AM178" i="1" a="1"/>
  <c r="AM178" i="1" s="1"/>
  <c r="AM179" i="1" a="1"/>
  <c r="AM179" i="1" s="1"/>
  <c r="AM180" i="1" a="1"/>
  <c r="AM180" i="1" s="1"/>
  <c r="AM181" i="1" a="1"/>
  <c r="AM181" i="1" s="1"/>
  <c r="AM182" i="1" a="1"/>
  <c r="AM182" i="1" s="1"/>
  <c r="AM183" i="1" a="1"/>
  <c r="AM183" i="1" s="1"/>
  <c r="AM184" i="1" a="1"/>
  <c r="AM184" i="1" s="1"/>
  <c r="AM185" i="1" a="1"/>
  <c r="AM185" i="1" s="1"/>
  <c r="AM186" i="1" a="1"/>
  <c r="AM186" i="1" s="1"/>
  <c r="AM187" i="1" a="1"/>
  <c r="AM187" i="1" s="1"/>
  <c r="AM188" i="1" a="1"/>
  <c r="AM188" i="1" s="1"/>
  <c r="AM189" i="1" a="1"/>
  <c r="AM189" i="1" s="1"/>
  <c r="AM190" i="1" a="1"/>
  <c r="AM190" i="1" s="1"/>
  <c r="AM191" i="1" a="1"/>
  <c r="AM191" i="1" s="1"/>
  <c r="AM192" i="1" a="1"/>
  <c r="AM192" i="1" s="1"/>
  <c r="AM193" i="1" a="1"/>
  <c r="AM193" i="1" s="1"/>
  <c r="AM194" i="1" a="1"/>
  <c r="AM194" i="1" s="1"/>
  <c r="AM195" i="1" a="1"/>
  <c r="AM195" i="1" s="1"/>
  <c r="AM196" i="1" a="1"/>
  <c r="AM196" i="1" s="1"/>
  <c r="AM197" i="1" a="1"/>
  <c r="AM197" i="1" s="1"/>
  <c r="AM198" i="1" a="1"/>
  <c r="AM198" i="1" s="1"/>
  <c r="AM199" i="1" a="1"/>
  <c r="AM199" i="1" s="1"/>
  <c r="AM200" i="1" a="1"/>
  <c r="AM200" i="1" s="1"/>
  <c r="AM201" i="1" a="1"/>
  <c r="AM201" i="1" s="1"/>
  <c r="AM202" i="1" a="1"/>
  <c r="AM202" i="1" s="1"/>
  <c r="AM203" i="1" a="1"/>
  <c r="AM203" i="1" s="1"/>
  <c r="AM204" i="1" a="1"/>
  <c r="AM204" i="1" s="1"/>
  <c r="AM205" i="1" a="1"/>
  <c r="AM205" i="1" s="1"/>
  <c r="AM206" i="1" a="1"/>
  <c r="AM206" i="1" s="1"/>
  <c r="AM207" i="1" a="1"/>
  <c r="AM207" i="1" s="1"/>
  <c r="AM208" i="1" a="1"/>
  <c r="AM208" i="1" s="1"/>
  <c r="AM209" i="1" a="1"/>
  <c r="AM209" i="1" s="1"/>
  <c r="AM210" i="1" a="1"/>
  <c r="AM210" i="1" s="1"/>
  <c r="AM211" i="1" a="1"/>
  <c r="AM211" i="1" s="1"/>
  <c r="AM212" i="1" a="1"/>
  <c r="AM212" i="1" s="1"/>
  <c r="AM213" i="1" a="1"/>
  <c r="AM213" i="1" s="1"/>
  <c r="AM214" i="1" a="1"/>
  <c r="AM214" i="1" s="1"/>
  <c r="AM215" i="1" a="1"/>
  <c r="AM215" i="1" s="1"/>
  <c r="AM216" i="1" a="1"/>
  <c r="AM216" i="1" s="1"/>
  <c r="AM217" i="1" a="1"/>
  <c r="AM217" i="1" s="1"/>
  <c r="AM218" i="1" a="1"/>
  <c r="AM218" i="1" s="1"/>
  <c r="AM219" i="1" a="1"/>
  <c r="AM219" i="1" s="1"/>
  <c r="AM220" i="1" a="1"/>
  <c r="AM220" i="1" s="1"/>
  <c r="AM221" i="1" a="1"/>
  <c r="AM221" i="1" s="1"/>
  <c r="AM222" i="1" a="1"/>
  <c r="AM222" i="1" s="1"/>
  <c r="AM223" i="1" a="1"/>
  <c r="AM223" i="1" s="1"/>
  <c r="AM224" i="1" a="1"/>
  <c r="AM224" i="1" s="1"/>
  <c r="AM225" i="1" a="1"/>
  <c r="AM225" i="1" s="1"/>
  <c r="AM226" i="1" a="1"/>
  <c r="AM226" i="1" s="1"/>
  <c r="AM227" i="1" a="1"/>
  <c r="AM227" i="1" s="1"/>
  <c r="AM228" i="1" a="1"/>
  <c r="AM228" i="1" s="1"/>
  <c r="AM229" i="1" a="1"/>
  <c r="AM229" i="1" s="1"/>
  <c r="AM230" i="1" a="1"/>
  <c r="AM230" i="1" s="1"/>
  <c r="AM231" i="1" a="1"/>
  <c r="AM231" i="1" s="1"/>
  <c r="AM232" i="1" a="1"/>
  <c r="AM232" i="1" s="1"/>
  <c r="AM233" i="1" a="1"/>
  <c r="AM233" i="1" s="1"/>
  <c r="AM234" i="1" a="1"/>
  <c r="AM234" i="1" s="1"/>
  <c r="AM235" i="1" a="1"/>
  <c r="AM235" i="1" s="1"/>
  <c r="AM236" i="1" a="1"/>
  <c r="AM236" i="1" s="1"/>
  <c r="AM237" i="1" a="1"/>
  <c r="AM237" i="1" s="1"/>
  <c r="AM238" i="1" a="1"/>
  <c r="AM238" i="1" s="1"/>
  <c r="AM239" i="1" a="1"/>
  <c r="AM239" i="1" s="1"/>
  <c r="AM240" i="1" a="1"/>
  <c r="AM240" i="1" s="1"/>
  <c r="AM241" i="1" a="1"/>
  <c r="AM241" i="1" s="1"/>
  <c r="AM242" i="1" a="1"/>
  <c r="AM242" i="1" s="1"/>
  <c r="AM243" i="1" a="1"/>
  <c r="AM243" i="1" s="1"/>
  <c r="AM244" i="1" a="1"/>
  <c r="AM244" i="1" s="1"/>
  <c r="AM245" i="1" a="1"/>
  <c r="AM245" i="1" s="1"/>
  <c r="AM246" i="1" a="1"/>
  <c r="AM246" i="1" s="1"/>
  <c r="AM247" i="1" a="1"/>
  <c r="AM247" i="1" s="1"/>
  <c r="AM248" i="1" a="1"/>
  <c r="AM248" i="1" s="1"/>
  <c r="AM249" i="1" a="1"/>
  <c r="AM249" i="1" s="1"/>
  <c r="AM250" i="1" a="1"/>
  <c r="AM250" i="1" s="1"/>
  <c r="AM251" i="1" a="1"/>
  <c r="AM251" i="1" s="1"/>
  <c r="AM252" i="1" a="1"/>
  <c r="AM252" i="1" s="1"/>
  <c r="AM253" i="1" a="1"/>
  <c r="AM253" i="1" s="1"/>
  <c r="AM254" i="1" a="1"/>
  <c r="AM254" i="1" s="1"/>
  <c r="AM255" i="1" a="1"/>
  <c r="AM255" i="1" s="1"/>
  <c r="AM256" i="1" a="1"/>
  <c r="AM256" i="1" s="1"/>
  <c r="AM257" i="1" a="1"/>
  <c r="AM257" i="1" s="1"/>
  <c r="AM258" i="1" a="1"/>
  <c r="AM258" i="1" s="1"/>
  <c r="AM259" i="1" a="1"/>
  <c r="AM259" i="1" s="1"/>
  <c r="AM260" i="1" a="1"/>
  <c r="AM260" i="1" s="1"/>
  <c r="AM261" i="1" a="1"/>
  <c r="AM261" i="1" s="1"/>
  <c r="AM262" i="1" a="1"/>
  <c r="AM262" i="1" s="1"/>
  <c r="AM263" i="1" a="1"/>
  <c r="AM263" i="1" s="1"/>
  <c r="AM264" i="1" a="1"/>
  <c r="AM264" i="1" s="1"/>
  <c r="AM265" i="1" a="1"/>
  <c r="AM265" i="1" s="1"/>
  <c r="AM266" i="1" a="1"/>
  <c r="AM266" i="1" s="1"/>
  <c r="AM267" i="1" a="1"/>
  <c r="AM267" i="1" s="1"/>
  <c r="AM268" i="1" a="1"/>
  <c r="AM268" i="1" s="1"/>
  <c r="AM269" i="1" a="1"/>
  <c r="AM269" i="1" s="1"/>
  <c r="AM270" i="1" a="1"/>
  <c r="AM270" i="1" s="1"/>
  <c r="AM271" i="1" a="1"/>
  <c r="AM271" i="1" s="1"/>
  <c r="AM272" i="1" a="1"/>
  <c r="AM272" i="1" s="1"/>
  <c r="AM273" i="1" a="1"/>
  <c r="AM273" i="1" s="1"/>
  <c r="AM274" i="1" a="1"/>
  <c r="AM274" i="1" s="1"/>
  <c r="AM275" i="1" a="1"/>
  <c r="AM275" i="1" s="1"/>
  <c r="AM276" i="1" a="1"/>
  <c r="AM276" i="1" s="1"/>
  <c r="AM277" i="1" a="1"/>
  <c r="AM277" i="1" s="1"/>
  <c r="AM278" i="1" a="1"/>
  <c r="AM278" i="1" s="1"/>
  <c r="AM279" i="1" a="1"/>
  <c r="AM279" i="1" s="1"/>
  <c r="AM280" i="1" a="1"/>
  <c r="AM280" i="1" s="1"/>
  <c r="AM281" i="1" a="1"/>
  <c r="AM281" i="1" s="1"/>
  <c r="AM282" i="1" a="1"/>
  <c r="AM282" i="1" s="1"/>
  <c r="AM283" i="1" a="1"/>
  <c r="AM283" i="1" s="1"/>
  <c r="AM284" i="1" a="1"/>
  <c r="AM284" i="1" s="1"/>
  <c r="AM285" i="1" a="1"/>
  <c r="AM285" i="1" s="1"/>
  <c r="AM286" i="1" a="1"/>
  <c r="AM286" i="1" s="1"/>
  <c r="AM287" i="1" a="1"/>
  <c r="AM287" i="1" s="1"/>
  <c r="AM288" i="1" a="1"/>
  <c r="AM288" i="1" s="1"/>
  <c r="AM289" i="1" a="1"/>
  <c r="AM289" i="1" s="1"/>
  <c r="AM290" i="1" a="1"/>
  <c r="AM290" i="1" s="1"/>
  <c r="AM291" i="1" a="1"/>
  <c r="AM291" i="1" s="1"/>
  <c r="AM292" i="1" a="1"/>
  <c r="AM292" i="1" s="1"/>
  <c r="AM293" i="1" a="1"/>
  <c r="AM293" i="1" s="1"/>
  <c r="AM294" i="1" a="1"/>
  <c r="AM294" i="1" s="1"/>
  <c r="AM295" i="1" a="1"/>
  <c r="AM295" i="1" s="1"/>
  <c r="AM296" i="1" a="1"/>
  <c r="AM296" i="1" s="1"/>
  <c r="AM297" i="1" a="1"/>
  <c r="AM297" i="1" s="1"/>
  <c r="AM298" i="1" a="1"/>
  <c r="AM298" i="1" s="1"/>
  <c r="AM299" i="1" a="1"/>
  <c r="AM299" i="1" s="1"/>
  <c r="AM300" i="1" a="1"/>
  <c r="AM300" i="1" s="1"/>
  <c r="AM301" i="1" a="1"/>
  <c r="AM301" i="1" s="1"/>
  <c r="AM302" i="1" a="1"/>
  <c r="AM302" i="1" s="1"/>
  <c r="AM303" i="1" a="1"/>
  <c r="AM303" i="1" s="1"/>
  <c r="AM304" i="1" a="1"/>
  <c r="AM304" i="1" s="1"/>
  <c r="AM305" i="1" a="1"/>
  <c r="AM305" i="1" s="1"/>
  <c r="AM306" i="1" a="1"/>
  <c r="AM306" i="1" s="1"/>
  <c r="AM307" i="1" a="1"/>
  <c r="AM307" i="1" s="1"/>
  <c r="AM308" i="1" a="1"/>
  <c r="AM308" i="1" s="1"/>
  <c r="AM309" i="1" a="1"/>
  <c r="AM309" i="1" s="1"/>
  <c r="AM310" i="1" a="1"/>
  <c r="AM310" i="1" s="1"/>
  <c r="AM311" i="1" a="1"/>
  <c r="AM311" i="1" s="1"/>
  <c r="AM312" i="1" a="1"/>
  <c r="AM312" i="1" s="1"/>
  <c r="AM313" i="1" a="1"/>
  <c r="AM313" i="1" s="1"/>
  <c r="AM314" i="1" a="1"/>
  <c r="AM314" i="1" s="1"/>
  <c r="AM315" i="1" a="1"/>
  <c r="AM315" i="1" s="1"/>
  <c r="AM316" i="1" a="1"/>
  <c r="AM316" i="1" s="1"/>
  <c r="AM317" i="1" a="1"/>
  <c r="AM317" i="1" s="1"/>
  <c r="AM318" i="1" a="1"/>
  <c r="AM318" i="1" s="1"/>
  <c r="AM319" i="1" a="1"/>
  <c r="AM319" i="1" s="1"/>
  <c r="AM320" i="1" a="1"/>
  <c r="AM320" i="1" s="1"/>
  <c r="AM321" i="1" a="1"/>
  <c r="AM321" i="1" s="1"/>
  <c r="AM322" i="1" a="1"/>
  <c r="AM322" i="1" s="1"/>
  <c r="AM323" i="1" a="1"/>
  <c r="AM323" i="1" s="1"/>
  <c r="AM324" i="1" a="1"/>
  <c r="AM324" i="1" s="1"/>
  <c r="AM325" i="1" a="1"/>
  <c r="AM325" i="1" s="1"/>
  <c r="AM326" i="1" a="1"/>
  <c r="AM326" i="1" s="1"/>
  <c r="AM327" i="1" a="1"/>
  <c r="AM327" i="1" s="1"/>
  <c r="AM328" i="1" a="1"/>
  <c r="AM328" i="1" s="1"/>
  <c r="AM329" i="1" a="1"/>
  <c r="AM329" i="1" s="1"/>
  <c r="AM330" i="1" a="1"/>
  <c r="AM330" i="1" s="1"/>
  <c r="AM331" i="1" a="1"/>
  <c r="AM331" i="1" s="1"/>
  <c r="AM332" i="1" a="1"/>
  <c r="AM332" i="1" s="1"/>
  <c r="AM333" i="1" a="1"/>
  <c r="AM333" i="1" s="1"/>
  <c r="AM334" i="1" a="1"/>
  <c r="AM334" i="1" s="1"/>
  <c r="AM335" i="1" a="1"/>
  <c r="AM335" i="1" s="1"/>
  <c r="AM336" i="1" a="1"/>
  <c r="AM336" i="1" s="1"/>
  <c r="AM337" i="1" a="1"/>
  <c r="AM337" i="1" s="1"/>
  <c r="AM338" i="1" a="1"/>
  <c r="AM338" i="1" s="1"/>
  <c r="AM339" i="1" a="1"/>
  <c r="AM339" i="1" s="1"/>
  <c r="AM340" i="1" a="1"/>
  <c r="AM340" i="1" s="1"/>
  <c r="AM341" i="1" a="1"/>
  <c r="AM341" i="1" s="1"/>
  <c r="AM342" i="1" a="1"/>
  <c r="AM342" i="1" s="1"/>
  <c r="AM343" i="1" a="1"/>
  <c r="AM343" i="1" s="1"/>
  <c r="AM344" i="1" a="1"/>
  <c r="AM344" i="1" s="1"/>
  <c r="AM345" i="1" a="1"/>
  <c r="AM345" i="1" s="1"/>
  <c r="AM346" i="1" a="1"/>
  <c r="AM346" i="1" s="1"/>
  <c r="AM347" i="1" a="1"/>
  <c r="AM347" i="1" s="1"/>
  <c r="AM348" i="1" a="1"/>
  <c r="AM348" i="1" s="1"/>
  <c r="AM349" i="1" a="1"/>
  <c r="AM349" i="1" s="1"/>
  <c r="AM350" i="1" a="1"/>
  <c r="AM350" i="1" s="1"/>
  <c r="AM351" i="1" a="1"/>
  <c r="AM351" i="1" s="1"/>
  <c r="AM352" i="1" a="1"/>
  <c r="AM352" i="1" s="1"/>
  <c r="AM353" i="1" a="1"/>
  <c r="AM353" i="1" s="1"/>
  <c r="AM354" i="1" a="1"/>
  <c r="AM354" i="1" s="1"/>
  <c r="AM355" i="1" a="1"/>
  <c r="AM355" i="1" s="1"/>
  <c r="AM356" i="1" a="1"/>
  <c r="AM356" i="1" s="1"/>
  <c r="AM357" i="1" a="1"/>
  <c r="AM357" i="1" s="1"/>
  <c r="AM358" i="1" a="1"/>
  <c r="AM358" i="1" s="1"/>
  <c r="AM359" i="1" a="1"/>
  <c r="AM359" i="1" s="1"/>
  <c r="AM360" i="1" a="1"/>
  <c r="AM360" i="1" s="1"/>
  <c r="AM361" i="1" a="1"/>
  <c r="AM361" i="1" s="1"/>
  <c r="AM362" i="1" a="1"/>
  <c r="AM362" i="1" s="1"/>
  <c r="AM363" i="1" a="1"/>
  <c r="AM363" i="1" s="1"/>
  <c r="AM364" i="1" a="1"/>
  <c r="AM364" i="1" s="1"/>
  <c r="AM365" i="1" a="1"/>
  <c r="AM365" i="1" s="1"/>
  <c r="AM366" i="1" a="1"/>
  <c r="AM366" i="1" s="1"/>
  <c r="AM367" i="1" a="1"/>
  <c r="AM367" i="1" s="1"/>
  <c r="AM368" i="1" a="1"/>
  <c r="AM368" i="1" s="1"/>
  <c r="AM369" i="1" a="1"/>
  <c r="AM369" i="1" s="1"/>
  <c r="AM370" i="1" a="1"/>
  <c r="AM370" i="1" s="1"/>
  <c r="AM371" i="1" a="1"/>
  <c r="AM371" i="1" s="1"/>
  <c r="AM372" i="1" a="1"/>
  <c r="AM372" i="1" s="1"/>
  <c r="AM373" i="1" a="1"/>
  <c r="AM373" i="1" s="1"/>
  <c r="AM374" i="1" a="1"/>
  <c r="AM374" i="1" s="1"/>
  <c r="AM375" i="1" a="1"/>
  <c r="AM375" i="1" s="1"/>
  <c r="AM376" i="1" a="1"/>
  <c r="AM376" i="1" s="1"/>
  <c r="AM377" i="1" a="1"/>
  <c r="AM377" i="1" s="1"/>
  <c r="AM378" i="1" a="1"/>
  <c r="AM378" i="1" s="1"/>
  <c r="AM379" i="1" a="1"/>
  <c r="AM379" i="1" s="1"/>
  <c r="AM380" i="1" a="1"/>
  <c r="AM380" i="1" s="1"/>
  <c r="AM381" i="1" a="1"/>
  <c r="AM381" i="1" s="1"/>
  <c r="AM382" i="1" a="1"/>
  <c r="AM382" i="1" s="1"/>
  <c r="AM383" i="1" a="1"/>
  <c r="AM383" i="1" s="1"/>
  <c r="AM384" i="1" a="1"/>
  <c r="AM384" i="1" s="1"/>
  <c r="AM385" i="1" a="1"/>
  <c r="AM385" i="1" s="1"/>
  <c r="AM386" i="1" a="1"/>
  <c r="AM386" i="1" s="1"/>
  <c r="AM387" i="1" a="1"/>
  <c r="AM387" i="1" s="1"/>
  <c r="AM388" i="1" a="1"/>
  <c r="AM388" i="1" s="1"/>
  <c r="AM389" i="1" a="1"/>
  <c r="AM389" i="1" s="1"/>
  <c r="AM390" i="1" a="1"/>
  <c r="AM390" i="1" s="1"/>
  <c r="AM391" i="1" a="1"/>
  <c r="AM391" i="1" s="1"/>
  <c r="AM392" i="1" a="1"/>
  <c r="AM392" i="1" s="1"/>
  <c r="AM393" i="1" a="1"/>
  <c r="AM393" i="1" s="1"/>
  <c r="AM394" i="1" a="1"/>
  <c r="AM394" i="1" s="1"/>
  <c r="AM395" i="1" a="1"/>
  <c r="AM395" i="1" s="1"/>
  <c r="AM396" i="1" a="1"/>
  <c r="AM396" i="1" s="1"/>
  <c r="AM397" i="1" a="1"/>
  <c r="AM397" i="1" s="1"/>
  <c r="AM398" i="1" a="1"/>
  <c r="AM398" i="1" s="1"/>
  <c r="AM399" i="1" a="1"/>
  <c r="AM399" i="1" s="1"/>
  <c r="AM400" i="1" a="1"/>
  <c r="AM400" i="1" s="1"/>
  <c r="AM401" i="1" a="1"/>
  <c r="AM401" i="1" s="1"/>
  <c r="AM402" i="1" a="1"/>
  <c r="AM402" i="1" s="1"/>
  <c r="AM403" i="1" a="1"/>
  <c r="AM403" i="1" s="1"/>
  <c r="AM404" i="1" a="1"/>
  <c r="AM404" i="1" s="1"/>
  <c r="AM405" i="1" a="1"/>
  <c r="AM405" i="1" s="1"/>
  <c r="AM406" i="1" a="1"/>
  <c r="AM406" i="1" s="1"/>
  <c r="AM407" i="1" a="1"/>
  <c r="AM407" i="1" s="1"/>
  <c r="AM408" i="1" a="1"/>
  <c r="AM408" i="1" s="1"/>
  <c r="AM409" i="1" a="1"/>
  <c r="AM409" i="1" s="1"/>
  <c r="AM410" i="1" a="1"/>
  <c r="AM410" i="1" s="1"/>
  <c r="AM411" i="1" a="1"/>
  <c r="AM411" i="1" s="1"/>
  <c r="AM412" i="1" a="1"/>
  <c r="AM412" i="1" s="1"/>
  <c r="AM413" i="1" a="1"/>
  <c r="AM413" i="1" s="1"/>
  <c r="AM414" i="1" a="1"/>
  <c r="AM414" i="1" s="1"/>
  <c r="AM415" i="1" a="1"/>
  <c r="AM415" i="1" s="1"/>
  <c r="AM416" i="1" a="1"/>
  <c r="AM416" i="1" s="1"/>
  <c r="AM417" i="1" a="1"/>
  <c r="AM417" i="1" s="1"/>
  <c r="AM418" i="1" a="1"/>
  <c r="AM418" i="1" s="1"/>
  <c r="AM419" i="1" a="1"/>
  <c r="AM419" i="1" s="1"/>
  <c r="AM420" i="1" a="1"/>
  <c r="AM420" i="1" s="1"/>
  <c r="AM421" i="1" a="1"/>
  <c r="AM421" i="1" s="1"/>
  <c r="AM422" i="1" a="1"/>
  <c r="AM422" i="1" s="1"/>
  <c r="AM423" i="1" a="1"/>
  <c r="AM423" i="1" s="1"/>
  <c r="AM424" i="1" a="1"/>
  <c r="AM424" i="1" s="1"/>
  <c r="AM425" i="1" a="1"/>
  <c r="AM425" i="1" s="1"/>
  <c r="AM426" i="1" a="1"/>
  <c r="AM426" i="1" s="1"/>
  <c r="AM427" i="1" a="1"/>
  <c r="AM427" i="1" s="1"/>
  <c r="AM428" i="1" a="1"/>
  <c r="AM428" i="1" s="1"/>
  <c r="AM429" i="1" a="1"/>
  <c r="AM429" i="1" s="1"/>
  <c r="AM430" i="1" a="1"/>
  <c r="AM430" i="1" s="1"/>
  <c r="AM431" i="1" a="1"/>
  <c r="AM431" i="1" s="1"/>
  <c r="AM432" i="1" a="1"/>
  <c r="AM432" i="1" s="1"/>
  <c r="AM433" i="1" a="1"/>
  <c r="AM433" i="1" s="1"/>
  <c r="AM434" i="1" a="1"/>
  <c r="AM434" i="1" s="1"/>
  <c r="AM435" i="1" a="1"/>
  <c r="AM435" i="1" s="1"/>
  <c r="AM436" i="1" a="1"/>
  <c r="AM436" i="1" s="1"/>
  <c r="AM437" i="1" a="1"/>
  <c r="AM437" i="1" s="1"/>
  <c r="AM438" i="1" a="1"/>
  <c r="AM438" i="1" s="1"/>
  <c r="AM439" i="1" a="1"/>
  <c r="AM439" i="1" s="1"/>
  <c r="AM440" i="1" a="1"/>
  <c r="AM440" i="1" s="1"/>
  <c r="AM441" i="1" a="1"/>
  <c r="AM441" i="1" s="1"/>
  <c r="AM442" i="1" a="1"/>
  <c r="AM442" i="1" s="1"/>
  <c r="AM443" i="1" a="1"/>
  <c r="AM443" i="1" s="1"/>
  <c r="AM444" i="1" a="1"/>
  <c r="AM444" i="1" s="1"/>
  <c r="AM445" i="1" a="1"/>
  <c r="AM445" i="1" s="1"/>
  <c r="AM446" i="1" a="1"/>
  <c r="AM446" i="1" s="1"/>
  <c r="AM447" i="1" a="1"/>
  <c r="AM447" i="1" s="1"/>
  <c r="AM448" i="1" a="1"/>
  <c r="AM448" i="1" s="1"/>
  <c r="AM449" i="1" a="1"/>
  <c r="AM449" i="1" s="1"/>
  <c r="AM450" i="1" a="1"/>
  <c r="AM450" i="1" s="1"/>
  <c r="AM451" i="1" a="1"/>
  <c r="AM451" i="1" s="1"/>
  <c r="AM452" i="1" a="1"/>
  <c r="AM452" i="1" s="1"/>
  <c r="AM453" i="1" a="1"/>
  <c r="AM453" i="1" s="1"/>
  <c r="AM454" i="1" a="1"/>
  <c r="AM454" i="1" s="1"/>
  <c r="AM455" i="1" a="1"/>
  <c r="AM455" i="1" s="1"/>
  <c r="AM456" i="1" a="1"/>
  <c r="AM456" i="1" s="1"/>
  <c r="AM457" i="1" a="1"/>
  <c r="AM457" i="1" s="1"/>
  <c r="AM458" i="1" a="1"/>
  <c r="AM458" i="1" s="1"/>
  <c r="AM459" i="1" a="1"/>
  <c r="AM459" i="1" s="1"/>
  <c r="AM460" i="1" a="1"/>
  <c r="AM460" i="1" s="1"/>
  <c r="AM461" i="1" a="1"/>
  <c r="AM461" i="1" s="1"/>
  <c r="AM462" i="1" a="1"/>
  <c r="AM462" i="1" s="1"/>
  <c r="AM463" i="1" a="1"/>
  <c r="AM463" i="1" s="1"/>
  <c r="AM464" i="1" a="1"/>
  <c r="AM464" i="1" s="1"/>
  <c r="AM465" i="1" a="1"/>
  <c r="AM465" i="1" s="1"/>
  <c r="AM466" i="1" a="1"/>
  <c r="AM466" i="1" s="1"/>
  <c r="AM467" i="1" a="1"/>
  <c r="AM467" i="1" s="1"/>
  <c r="AM468" i="1" a="1"/>
  <c r="AM468" i="1" s="1"/>
  <c r="AM469" i="1" a="1"/>
  <c r="AM469" i="1" s="1"/>
  <c r="AM470" i="1" a="1"/>
  <c r="AM470" i="1" s="1"/>
  <c r="AM471" i="1" a="1"/>
  <c r="AM471" i="1" s="1"/>
  <c r="AM472" i="1" a="1"/>
  <c r="AM472" i="1" s="1"/>
  <c r="AM473" i="1" a="1"/>
  <c r="AM473" i="1" s="1"/>
  <c r="AM474" i="1" a="1"/>
  <c r="AM474" i="1" s="1"/>
  <c r="AM475" i="1" a="1"/>
  <c r="AM475" i="1" s="1"/>
  <c r="AM476" i="1" a="1"/>
  <c r="AM476" i="1" s="1"/>
  <c r="AM477" i="1" a="1"/>
  <c r="AM477" i="1" s="1"/>
  <c r="AM478" i="1" a="1"/>
  <c r="AM478" i="1" s="1"/>
  <c r="AM479" i="1" a="1"/>
  <c r="AM479" i="1" s="1"/>
  <c r="AM480" i="1" a="1"/>
  <c r="AM480" i="1" s="1"/>
  <c r="AM481" i="1" a="1"/>
  <c r="AM481" i="1" s="1"/>
  <c r="AM482" i="1" a="1"/>
  <c r="AM482" i="1" s="1"/>
  <c r="AM483" i="1" a="1"/>
  <c r="AM483" i="1" s="1"/>
  <c r="AM484" i="1" a="1"/>
  <c r="AM484" i="1" s="1"/>
  <c r="AM485" i="1" a="1"/>
  <c r="AM485" i="1" s="1"/>
  <c r="AM486" i="1" a="1"/>
  <c r="AM486" i="1" s="1"/>
  <c r="AM487" i="1" a="1"/>
  <c r="AM487" i="1" s="1"/>
  <c r="AM488" i="1" a="1"/>
  <c r="AM488" i="1" s="1"/>
  <c r="AM489" i="1" a="1"/>
  <c r="AM489" i="1" s="1"/>
  <c r="AM490" i="1" a="1"/>
  <c r="AM490" i="1" s="1"/>
  <c r="AM491" i="1" a="1"/>
  <c r="AM491" i="1" s="1"/>
  <c r="AM492" i="1" a="1"/>
  <c r="AM492" i="1" s="1"/>
  <c r="AM493" i="1" a="1"/>
  <c r="AM493" i="1" s="1"/>
  <c r="AM494" i="1" a="1"/>
  <c r="AM494" i="1" s="1"/>
  <c r="AM495" i="1" a="1"/>
  <c r="AM495" i="1" s="1"/>
  <c r="AM496" i="1" a="1"/>
  <c r="AM496" i="1" s="1"/>
  <c r="AM497" i="1" a="1"/>
  <c r="AM497" i="1" s="1"/>
  <c r="AM498" i="1" a="1"/>
  <c r="AM498" i="1" s="1"/>
  <c r="AM499" i="1" a="1"/>
  <c r="AM499" i="1" s="1"/>
  <c r="AM500" i="1" a="1"/>
  <c r="AM500" i="1" s="1"/>
  <c r="AM501" i="1" a="1"/>
  <c r="AM501" i="1" s="1"/>
  <c r="AM502" i="1" a="1"/>
  <c r="AM502" i="1" s="1"/>
  <c r="AM503" i="1" a="1"/>
  <c r="AM503" i="1" s="1"/>
  <c r="AM504" i="1" a="1"/>
  <c r="AM504" i="1" s="1"/>
  <c r="AM505" i="1" a="1"/>
  <c r="AM505" i="1" s="1"/>
  <c r="AM506" i="1" a="1"/>
  <c r="AM506" i="1" s="1"/>
  <c r="AM507" i="1" a="1"/>
  <c r="AM507" i="1" s="1"/>
  <c r="AM508" i="1" a="1"/>
  <c r="AM508" i="1" s="1"/>
  <c r="AM509" i="1" a="1"/>
  <c r="AM509" i="1" s="1"/>
  <c r="AM510" i="1" a="1"/>
  <c r="AM510" i="1" s="1"/>
  <c r="AM511" i="1" a="1"/>
  <c r="AM511" i="1" s="1"/>
  <c r="AM512" i="1" a="1"/>
  <c r="AM512" i="1" s="1"/>
  <c r="AM513" i="1" a="1"/>
  <c r="AM513" i="1" s="1"/>
  <c r="AM514" i="1" a="1"/>
  <c r="AM514" i="1" s="1"/>
  <c r="AM515" i="1" a="1"/>
  <c r="AM515" i="1" s="1"/>
  <c r="AM516" i="1" a="1"/>
  <c r="AM516" i="1" s="1"/>
  <c r="AM517" i="1" a="1"/>
  <c r="AM517" i="1" s="1"/>
  <c r="AM518" i="1" a="1"/>
  <c r="AM518" i="1" s="1"/>
  <c r="AM519" i="1" a="1"/>
  <c r="AM519" i="1" s="1"/>
  <c r="AM520" i="1" a="1"/>
  <c r="AM520" i="1" s="1"/>
  <c r="AM521" i="1" a="1"/>
  <c r="AM521" i="1" s="1"/>
  <c r="AM522" i="1" a="1"/>
  <c r="AM522" i="1" s="1"/>
  <c r="AM523" i="1" a="1"/>
  <c r="AM523" i="1" s="1"/>
  <c r="AM524" i="1" a="1"/>
  <c r="AM524" i="1" s="1"/>
  <c r="AM525" i="1" a="1"/>
  <c r="AM525" i="1" s="1"/>
  <c r="AM526" i="1" a="1"/>
  <c r="AM526" i="1" s="1"/>
  <c r="AM527" i="1" a="1"/>
  <c r="AM527" i="1" s="1"/>
  <c r="AM528" i="1" a="1"/>
  <c r="AM528" i="1" s="1"/>
  <c r="AM529" i="1" a="1"/>
  <c r="AM529" i="1" s="1"/>
  <c r="AM530" i="1" a="1"/>
  <c r="AM530" i="1" s="1"/>
  <c r="AM531" i="1" a="1"/>
  <c r="AM531" i="1" s="1"/>
  <c r="AM532" i="1" a="1"/>
  <c r="AM532" i="1" s="1"/>
  <c r="AM533" i="1" a="1"/>
  <c r="AM533" i="1" s="1"/>
  <c r="AM534" i="1" a="1"/>
  <c r="AM534" i="1" s="1"/>
  <c r="AM535" i="1" a="1"/>
  <c r="AM535" i="1" s="1"/>
  <c r="AM536" i="1" a="1"/>
  <c r="AM536" i="1" s="1"/>
  <c r="AM537" i="1" a="1"/>
  <c r="AM537" i="1" s="1"/>
  <c r="AM538" i="1" a="1"/>
  <c r="AM538" i="1" s="1"/>
  <c r="AM539" i="1" a="1"/>
  <c r="AM539" i="1" s="1"/>
  <c r="AM540" i="1" a="1"/>
  <c r="AM540" i="1" s="1"/>
  <c r="AM541" i="1" a="1"/>
  <c r="AM541" i="1" s="1"/>
  <c r="AM542" i="1" a="1"/>
  <c r="AM542" i="1" s="1"/>
  <c r="AM543" i="1" a="1"/>
  <c r="AM543" i="1" s="1"/>
  <c r="AM544" i="1" a="1"/>
  <c r="AM544" i="1" s="1"/>
  <c r="AM545" i="1" a="1"/>
  <c r="AM545" i="1" s="1"/>
  <c r="AM546" i="1" a="1"/>
  <c r="AM546" i="1" s="1"/>
  <c r="AM547" i="1" a="1"/>
  <c r="AM547" i="1" s="1"/>
  <c r="AM548" i="1" a="1"/>
  <c r="AM548" i="1" s="1"/>
  <c r="AM549" i="1" a="1"/>
  <c r="AM549" i="1" s="1"/>
  <c r="AM550" i="1" a="1"/>
  <c r="AM550" i="1" s="1"/>
  <c r="AM551" i="1" a="1"/>
  <c r="AM551" i="1" s="1"/>
  <c r="AM552" i="1" a="1"/>
  <c r="AM552" i="1" s="1"/>
  <c r="AM553" i="1" a="1"/>
  <c r="AM553" i="1" s="1"/>
  <c r="AM554" i="1" a="1"/>
  <c r="AM554" i="1" s="1"/>
  <c r="AM555" i="1" a="1"/>
  <c r="AM555" i="1" s="1"/>
  <c r="AM556" i="1" a="1"/>
  <c r="AM556" i="1" s="1"/>
  <c r="AM557" i="1" a="1"/>
  <c r="AM557" i="1" s="1"/>
  <c r="AM558" i="1" a="1"/>
  <c r="AM558" i="1" s="1"/>
  <c r="AM559" i="1" a="1"/>
  <c r="AM559" i="1" s="1"/>
  <c r="AM560" i="1" a="1"/>
  <c r="AM560" i="1" s="1"/>
  <c r="AM561" i="1" a="1"/>
  <c r="AM561" i="1" s="1"/>
  <c r="AM562" i="1" a="1"/>
  <c r="AM562" i="1" s="1"/>
  <c r="AM563" i="1" a="1"/>
  <c r="AM563" i="1" s="1"/>
  <c r="AM564" i="1" a="1"/>
  <c r="AM564" i="1" s="1"/>
  <c r="AM565" i="1" a="1"/>
  <c r="AM565" i="1" s="1"/>
  <c r="AM566" i="1" a="1"/>
  <c r="AM566" i="1" s="1"/>
  <c r="AM567" i="1" a="1"/>
  <c r="AM567" i="1" s="1"/>
  <c r="AM568" i="1" a="1"/>
  <c r="AM568" i="1" s="1"/>
  <c r="AM569" i="1" a="1"/>
  <c r="AM569" i="1" s="1"/>
  <c r="AM570" i="1" a="1"/>
  <c r="AM570" i="1" s="1"/>
  <c r="AM571" i="1" a="1"/>
  <c r="AM571" i="1" s="1"/>
  <c r="AM572" i="1" a="1"/>
  <c r="AM572" i="1" s="1"/>
  <c r="AM573" i="1" a="1"/>
  <c r="AM573" i="1" s="1"/>
  <c r="AM574" i="1" a="1"/>
  <c r="AM574" i="1" s="1"/>
  <c r="AM575" i="1" a="1"/>
  <c r="AM575" i="1" s="1"/>
  <c r="AM576" i="1" a="1"/>
  <c r="AM576" i="1" s="1"/>
  <c r="AM577" i="1" a="1"/>
  <c r="AM577" i="1" s="1"/>
  <c r="AM578" i="1" a="1"/>
  <c r="AM578" i="1" s="1"/>
  <c r="AM579" i="1" a="1"/>
  <c r="AM579" i="1" s="1"/>
  <c r="AM580" i="1" a="1"/>
  <c r="AM580" i="1" s="1"/>
  <c r="AM581" i="1" a="1"/>
  <c r="AM581" i="1" s="1"/>
  <c r="AM582" i="1" a="1"/>
  <c r="AM582" i="1" s="1"/>
  <c r="AM583" i="1" a="1"/>
  <c r="AM583" i="1" s="1"/>
  <c r="AM584" i="1" a="1"/>
  <c r="AM584" i="1" s="1"/>
  <c r="AM585" i="1" a="1"/>
  <c r="AM585" i="1" s="1"/>
  <c r="AM586" i="1" a="1"/>
  <c r="AM586" i="1" s="1"/>
  <c r="AM587" i="1" a="1"/>
  <c r="AM587" i="1" s="1"/>
  <c r="AM588" i="1" a="1"/>
  <c r="AM588" i="1" s="1"/>
  <c r="AM589" i="1" a="1"/>
  <c r="AM589" i="1" s="1"/>
  <c r="AM590" i="1" a="1"/>
  <c r="AM590" i="1" s="1"/>
  <c r="AM591" i="1" a="1"/>
  <c r="AM591" i="1" s="1"/>
  <c r="AM592" i="1" a="1"/>
  <c r="AM592" i="1" s="1"/>
  <c r="AM593" i="1" a="1"/>
  <c r="AM593" i="1" s="1"/>
  <c r="AM594" i="1" a="1"/>
  <c r="AM594" i="1" s="1"/>
  <c r="AM595" i="1" a="1"/>
  <c r="AM595" i="1" s="1"/>
  <c r="AM596" i="1" a="1"/>
  <c r="AM596" i="1" s="1"/>
  <c r="AM597" i="1" a="1"/>
  <c r="AM597" i="1" s="1"/>
  <c r="AM598" i="1" a="1"/>
  <c r="AM598" i="1" s="1"/>
  <c r="AM599" i="1" a="1"/>
  <c r="AM599" i="1" s="1"/>
  <c r="AM600" i="1" a="1"/>
  <c r="AM600" i="1" s="1"/>
  <c r="AM601" i="1" a="1"/>
  <c r="AM601" i="1" s="1"/>
  <c r="AM602" i="1" a="1"/>
  <c r="AM602" i="1" s="1"/>
  <c r="AM603" i="1" a="1"/>
  <c r="AM603" i="1" s="1"/>
  <c r="AM604" i="1" a="1"/>
  <c r="AM604" i="1" s="1"/>
  <c r="AM605" i="1" a="1"/>
  <c r="AM605" i="1" s="1"/>
  <c r="AM606" i="1" a="1"/>
  <c r="AM606" i="1" s="1"/>
  <c r="AM607" i="1" a="1"/>
  <c r="AM607" i="1" s="1"/>
  <c r="AM608" i="1" a="1"/>
  <c r="AM608" i="1" s="1"/>
  <c r="AM609" i="1" a="1"/>
  <c r="AM609" i="1" s="1"/>
  <c r="AM610" i="1" a="1"/>
  <c r="AM610" i="1" s="1"/>
  <c r="AM611" i="1" a="1"/>
  <c r="AM611" i="1" s="1"/>
  <c r="AM612" i="1" a="1"/>
  <c r="AM612" i="1" s="1"/>
  <c r="AM613" i="1" a="1"/>
  <c r="AM613" i="1" s="1"/>
  <c r="AM614" i="1" a="1"/>
  <c r="AM614" i="1" s="1"/>
  <c r="AM615" i="1" a="1"/>
  <c r="AM615" i="1" s="1"/>
  <c r="AM616" i="1" a="1"/>
  <c r="AM616" i="1" s="1"/>
  <c r="AM617" i="1" a="1"/>
  <c r="AM617" i="1" s="1"/>
  <c r="AM618" i="1" a="1"/>
  <c r="AM618" i="1" s="1"/>
  <c r="AM619" i="1" a="1"/>
  <c r="AM619" i="1" s="1"/>
  <c r="AM620" i="1" a="1"/>
  <c r="AM620" i="1" s="1"/>
  <c r="AM621" i="1" a="1"/>
  <c r="AM621" i="1" s="1"/>
  <c r="AM622" i="1" a="1"/>
  <c r="AM622" i="1" s="1"/>
  <c r="AM623" i="1" a="1"/>
  <c r="AM623" i="1" s="1"/>
  <c r="AM624" i="1" a="1"/>
  <c r="AM624" i="1" s="1"/>
  <c r="AM625" i="1" a="1"/>
  <c r="AM625" i="1" s="1"/>
  <c r="AM626" i="1" a="1"/>
  <c r="AM626" i="1" s="1"/>
  <c r="AM627" i="1" a="1"/>
  <c r="AM627" i="1" s="1"/>
  <c r="AM628" i="1" a="1"/>
  <c r="AM628" i="1" s="1"/>
  <c r="AM629" i="1" a="1"/>
  <c r="AM629" i="1" s="1"/>
  <c r="AM630" i="1" a="1"/>
  <c r="AM630" i="1" s="1"/>
  <c r="AM631" i="1" a="1"/>
  <c r="AM631" i="1" s="1"/>
  <c r="AM632" i="1" a="1"/>
  <c r="AM632" i="1" s="1"/>
  <c r="AM633" i="1" a="1"/>
  <c r="AM633" i="1" s="1"/>
  <c r="AM634" i="1" a="1"/>
  <c r="AM634" i="1" s="1"/>
  <c r="AM635" i="1" a="1"/>
  <c r="AM635" i="1" s="1"/>
  <c r="AM636" i="1" a="1"/>
  <c r="AM636" i="1" s="1"/>
  <c r="AM637" i="1" a="1"/>
  <c r="AM637" i="1" s="1"/>
  <c r="AM638" i="1" a="1"/>
  <c r="AM638" i="1" s="1"/>
  <c r="AM639" i="1" a="1"/>
  <c r="AM639" i="1" s="1"/>
  <c r="AM640" i="1" a="1"/>
  <c r="AM640" i="1" s="1"/>
  <c r="AM641" i="1" a="1"/>
  <c r="AM641" i="1" s="1"/>
  <c r="AM642" i="1" a="1"/>
  <c r="AM642" i="1" s="1"/>
  <c r="AM643" i="1" a="1"/>
  <c r="AM643" i="1" s="1"/>
  <c r="AM644" i="1" a="1"/>
  <c r="AM644" i="1" s="1"/>
  <c r="AM645" i="1" a="1"/>
  <c r="AM645" i="1" s="1"/>
  <c r="AM646" i="1" a="1"/>
  <c r="AM646" i="1" s="1"/>
  <c r="AM647" i="1" a="1"/>
  <c r="AM647" i="1" s="1"/>
  <c r="AM648" i="1" a="1"/>
  <c r="AM648" i="1" s="1"/>
  <c r="AM649" i="1" a="1"/>
  <c r="AM649" i="1" s="1"/>
  <c r="AM650" i="1" a="1"/>
  <c r="AM650" i="1" s="1"/>
  <c r="AM651" i="1" a="1"/>
  <c r="AM651" i="1" s="1"/>
  <c r="AM652" i="1" a="1"/>
  <c r="AM652" i="1" s="1"/>
  <c r="AM653" i="1" a="1"/>
  <c r="AM653" i="1" s="1"/>
  <c r="AM654" i="1" a="1"/>
  <c r="AM654" i="1" s="1"/>
  <c r="AM655" i="1" a="1"/>
  <c r="AM655" i="1" s="1"/>
  <c r="AM656" i="1" a="1"/>
  <c r="AM656" i="1" s="1"/>
  <c r="AM657" i="1" a="1"/>
  <c r="AM657" i="1" s="1"/>
  <c r="AM658" i="1" a="1"/>
  <c r="AM658" i="1" s="1"/>
  <c r="AM659" i="1" a="1"/>
  <c r="AM659" i="1" s="1"/>
  <c r="AM660" i="1" a="1"/>
  <c r="AM660" i="1" s="1"/>
  <c r="AM661" i="1" a="1"/>
  <c r="AM661" i="1" s="1"/>
  <c r="AM662" i="1" a="1"/>
  <c r="AM662" i="1" s="1"/>
  <c r="AM663" i="1" a="1"/>
  <c r="AM663" i="1" s="1"/>
  <c r="AM664" i="1" a="1"/>
  <c r="AM664" i="1" s="1"/>
  <c r="AM665" i="1" a="1"/>
  <c r="AM665" i="1" s="1"/>
  <c r="AM666" i="1" a="1"/>
  <c r="AM666" i="1" s="1"/>
  <c r="AM667" i="1" a="1"/>
  <c r="AM667" i="1" s="1"/>
  <c r="AM668" i="1" a="1"/>
  <c r="AM668" i="1" s="1"/>
  <c r="AM669" i="1" a="1"/>
  <c r="AM669" i="1" s="1"/>
  <c r="AM670" i="1" a="1"/>
  <c r="AM670" i="1" s="1"/>
  <c r="AM671" i="1" a="1"/>
  <c r="AM671" i="1" s="1"/>
  <c r="AM672" i="1" a="1"/>
  <c r="AM672" i="1" s="1"/>
  <c r="AM673" i="1" a="1"/>
  <c r="AM673" i="1" s="1"/>
  <c r="AM674" i="1" a="1"/>
  <c r="AM674" i="1" s="1"/>
  <c r="AM675" i="1" a="1"/>
  <c r="AM675" i="1" s="1"/>
  <c r="AM676" i="1" a="1"/>
  <c r="AM676" i="1" s="1"/>
  <c r="AM677" i="1" a="1"/>
  <c r="AM677" i="1" s="1"/>
  <c r="AM678" i="1" a="1"/>
  <c r="AM678" i="1" s="1"/>
  <c r="AM679" i="1" a="1"/>
  <c r="AM679" i="1" s="1"/>
  <c r="AM680" i="1" a="1"/>
  <c r="AM680" i="1" s="1"/>
  <c r="AM681" i="1" a="1"/>
  <c r="AM681" i="1" s="1"/>
  <c r="AM682" i="1" a="1"/>
  <c r="AM682" i="1" s="1"/>
  <c r="AM683" i="1" a="1"/>
  <c r="AM683" i="1" s="1"/>
  <c r="AM684" i="1" a="1"/>
  <c r="AM684" i="1" s="1"/>
  <c r="AM685" i="1" a="1"/>
  <c r="AM685" i="1" s="1"/>
  <c r="AM686" i="1" a="1"/>
  <c r="AM686" i="1" s="1"/>
  <c r="AM687" i="1" a="1"/>
  <c r="AM687" i="1" s="1"/>
  <c r="AM688" i="1" a="1"/>
  <c r="AM688" i="1" s="1"/>
  <c r="AM689" i="1" a="1"/>
  <c r="AM689" i="1" s="1"/>
  <c r="AM690" i="1" a="1"/>
  <c r="AM690" i="1" s="1"/>
  <c r="AM691" i="1" a="1"/>
  <c r="AM691" i="1" s="1"/>
  <c r="AM692" i="1" a="1"/>
  <c r="AM692" i="1" s="1"/>
  <c r="AM693" i="1" a="1"/>
  <c r="AM693" i="1" s="1"/>
  <c r="AM694" i="1" a="1"/>
  <c r="AM694" i="1" s="1"/>
  <c r="AM695" i="1" a="1"/>
  <c r="AM695" i="1" s="1"/>
  <c r="AM696" i="1" a="1"/>
  <c r="AM696" i="1" s="1"/>
  <c r="AM697" i="1" a="1"/>
  <c r="AM697" i="1" s="1"/>
  <c r="AM698" i="1" a="1"/>
  <c r="AM698" i="1" s="1"/>
  <c r="AM699" i="1" a="1"/>
  <c r="AM699" i="1" s="1"/>
  <c r="AM700" i="1" a="1"/>
  <c r="AM700" i="1" s="1"/>
  <c r="AM701" i="1" a="1"/>
  <c r="AM701" i="1" s="1"/>
  <c r="AM702" i="1" a="1"/>
  <c r="AM702" i="1" s="1"/>
  <c r="AM703" i="1" a="1"/>
  <c r="AM703" i="1" s="1"/>
  <c r="AM704" i="1" a="1"/>
  <c r="AM704" i="1" s="1"/>
  <c r="AM705" i="1" a="1"/>
  <c r="AM705" i="1" s="1"/>
  <c r="AM706" i="1" a="1"/>
  <c r="AM706" i="1" s="1"/>
  <c r="AM707" i="1" a="1"/>
  <c r="AM707" i="1" s="1"/>
  <c r="AM708" i="1" a="1"/>
  <c r="AM708" i="1" s="1"/>
  <c r="AM709" i="1" a="1"/>
  <c r="AM709" i="1" s="1"/>
  <c r="AM710" i="1" a="1"/>
  <c r="AM710" i="1" s="1"/>
  <c r="AM711" i="1" a="1"/>
  <c r="AM711" i="1" s="1"/>
  <c r="AM712" i="1" a="1"/>
  <c r="AM712" i="1" s="1"/>
  <c r="AM713" i="1" a="1"/>
  <c r="AM713" i="1" s="1"/>
  <c r="AM714" i="1" a="1"/>
  <c r="AM714" i="1" s="1"/>
  <c r="AM715" i="1" a="1"/>
  <c r="AM715" i="1" s="1"/>
  <c r="AM716" i="1" a="1"/>
  <c r="AM716" i="1" s="1"/>
  <c r="AM717" i="1" a="1"/>
  <c r="AM717" i="1" s="1"/>
  <c r="AM718" i="1" a="1"/>
  <c r="AM718" i="1" s="1"/>
  <c r="AM719" i="1" a="1"/>
  <c r="AM719" i="1" s="1"/>
  <c r="AM720" i="1" a="1"/>
  <c r="AM720" i="1" s="1"/>
  <c r="AM721" i="1" a="1"/>
  <c r="AM721" i="1" s="1"/>
  <c r="AM722" i="1" a="1"/>
  <c r="AM722" i="1" s="1"/>
  <c r="AM723" i="1" a="1"/>
  <c r="AM723" i="1" s="1"/>
  <c r="AM724" i="1" a="1"/>
  <c r="AM724" i="1" s="1"/>
  <c r="AM725" i="1" a="1"/>
  <c r="AM725" i="1" s="1"/>
  <c r="AM726" i="1" a="1"/>
  <c r="AM726" i="1" s="1"/>
  <c r="AM727" i="1" a="1"/>
  <c r="AM727" i="1" s="1"/>
  <c r="AM728" i="1" a="1"/>
  <c r="AM728" i="1" s="1"/>
  <c r="AM729" i="1" a="1"/>
  <c r="AM729" i="1" s="1"/>
  <c r="AM730" i="1" a="1"/>
  <c r="AM730" i="1" s="1"/>
  <c r="AM731" i="1" a="1"/>
  <c r="AM731" i="1" s="1"/>
  <c r="AM732" i="1" a="1"/>
  <c r="AM732" i="1" s="1"/>
  <c r="AM733" i="1" a="1"/>
  <c r="AM733" i="1" s="1"/>
  <c r="AM734" i="1" a="1"/>
  <c r="AM734" i="1" s="1"/>
  <c r="AM735" i="1" a="1"/>
  <c r="AM735" i="1" s="1"/>
  <c r="AM736" i="1" a="1"/>
  <c r="AM736" i="1" s="1"/>
  <c r="AM737" i="1" a="1"/>
  <c r="AM737" i="1" s="1"/>
  <c r="AM738" i="1" a="1"/>
  <c r="AM738" i="1" s="1"/>
  <c r="AM739" i="1" a="1"/>
  <c r="AM739" i="1" s="1"/>
  <c r="AM740" i="1" a="1"/>
  <c r="AM740" i="1" s="1"/>
  <c r="AM741" i="1" a="1"/>
  <c r="AM741" i="1" s="1"/>
  <c r="AM742" i="1" a="1"/>
  <c r="AM742" i="1" s="1"/>
  <c r="AM743" i="1" a="1"/>
  <c r="AM743" i="1" s="1"/>
  <c r="AM744" i="1" a="1"/>
  <c r="AM744" i="1" s="1"/>
  <c r="AM745" i="1" a="1"/>
  <c r="AM745" i="1" s="1"/>
  <c r="AM746" i="1" a="1"/>
  <c r="AM746" i="1" s="1"/>
  <c r="AM747" i="1" a="1"/>
  <c r="AM747" i="1" s="1"/>
  <c r="AM748" i="1" a="1"/>
  <c r="AM748" i="1" s="1"/>
  <c r="AM749" i="1" a="1"/>
  <c r="AM749" i="1" s="1"/>
  <c r="AM750" i="1" a="1"/>
  <c r="AM750" i="1" s="1"/>
  <c r="AM751" i="1" a="1"/>
  <c r="AM751" i="1" s="1"/>
  <c r="AM752" i="1" a="1"/>
  <c r="AM752" i="1" s="1"/>
  <c r="AM753" i="1" a="1"/>
  <c r="AM753" i="1" s="1"/>
  <c r="AM754" i="1" a="1"/>
  <c r="AM754" i="1" s="1"/>
  <c r="AM755" i="1" a="1"/>
  <c r="AM755" i="1" s="1"/>
  <c r="AM756" i="1" a="1"/>
  <c r="AM756" i="1" s="1"/>
  <c r="AM757" i="1" a="1"/>
  <c r="AM757" i="1" s="1"/>
  <c r="AM758" i="1" a="1"/>
  <c r="AM758" i="1" s="1"/>
  <c r="AM759" i="1" a="1"/>
  <c r="AM759" i="1" s="1"/>
  <c r="AM760" i="1" a="1"/>
  <c r="AM760" i="1" s="1"/>
  <c r="AM761" i="1" a="1"/>
  <c r="AM761" i="1" s="1"/>
  <c r="AM762" i="1" a="1"/>
  <c r="AM762" i="1" s="1"/>
  <c r="AM763" i="1" a="1"/>
  <c r="AM763" i="1" s="1"/>
  <c r="AM764" i="1" a="1"/>
  <c r="AM764" i="1" s="1"/>
  <c r="AM765" i="1" a="1"/>
  <c r="AM765" i="1" s="1"/>
  <c r="AM766" i="1" a="1"/>
  <c r="AM766" i="1" s="1"/>
  <c r="AM767" i="1" a="1"/>
  <c r="AM767" i="1" s="1"/>
  <c r="AM768" i="1" a="1"/>
  <c r="AM768" i="1" s="1"/>
  <c r="AM769" i="1" a="1"/>
  <c r="AM769" i="1" s="1"/>
  <c r="AM770" i="1" a="1"/>
  <c r="AM770" i="1" s="1"/>
  <c r="AM771" i="1" a="1"/>
  <c r="AM771" i="1" s="1"/>
  <c r="AM772" i="1" a="1"/>
  <c r="AM772" i="1" s="1"/>
  <c r="AM773" i="1" a="1"/>
  <c r="AM773" i="1" s="1"/>
  <c r="AM774" i="1" a="1"/>
  <c r="AM774" i="1" s="1"/>
  <c r="AM775" i="1" a="1"/>
  <c r="AM775" i="1" s="1"/>
  <c r="AM776" i="1" a="1"/>
  <c r="AM776" i="1" s="1"/>
  <c r="AM777" i="1" a="1"/>
  <c r="AM777" i="1" s="1"/>
  <c r="AM778" i="1" a="1"/>
  <c r="AM778" i="1" s="1"/>
  <c r="AM779" i="1" a="1"/>
  <c r="AM779" i="1" s="1"/>
  <c r="AM780" i="1" a="1"/>
  <c r="AM780" i="1" s="1"/>
  <c r="AM781" i="1" a="1"/>
  <c r="AM781" i="1" s="1"/>
  <c r="AM782" i="1" a="1"/>
  <c r="AM782" i="1" s="1"/>
  <c r="AM783" i="1" a="1"/>
  <c r="AM783" i="1" s="1"/>
  <c r="AM784" i="1" a="1"/>
  <c r="AM784" i="1" s="1"/>
  <c r="AM785" i="1" a="1"/>
  <c r="AM785" i="1" s="1"/>
  <c r="AM786" i="1" a="1"/>
  <c r="AM786" i="1" s="1"/>
  <c r="AM787" i="1" a="1"/>
  <c r="AM787" i="1" s="1"/>
  <c r="AM788" i="1" a="1"/>
  <c r="AM788" i="1" s="1"/>
  <c r="AM789" i="1" a="1"/>
  <c r="AM789" i="1" s="1"/>
  <c r="AM790" i="1" a="1"/>
  <c r="AM790" i="1" s="1"/>
  <c r="AM791" i="1" a="1"/>
  <c r="AM791" i="1" s="1"/>
  <c r="AM792" i="1" a="1"/>
  <c r="AM792" i="1" s="1"/>
  <c r="AM793" i="1" a="1"/>
  <c r="AM793" i="1" s="1"/>
  <c r="AM794" i="1" a="1"/>
  <c r="AM794" i="1" s="1"/>
  <c r="AM795" i="1" a="1"/>
  <c r="AM795" i="1" s="1"/>
  <c r="AM796" i="1" a="1"/>
  <c r="AM796" i="1" s="1"/>
  <c r="AM797" i="1" a="1"/>
  <c r="AM797" i="1" s="1"/>
  <c r="AM798" i="1" a="1"/>
  <c r="AM798" i="1" s="1"/>
  <c r="AM799" i="1" a="1"/>
  <c r="AM799" i="1" s="1"/>
  <c r="AM800" i="1" a="1"/>
  <c r="AM800" i="1" s="1"/>
  <c r="AM801" i="1" a="1"/>
  <c r="AM801" i="1" s="1"/>
  <c r="AM802" i="1" a="1"/>
  <c r="AM802" i="1" s="1"/>
  <c r="AM803" i="1" a="1"/>
  <c r="AM803" i="1" s="1"/>
  <c r="AM804" i="1" a="1"/>
  <c r="AM804" i="1" s="1"/>
  <c r="AM805" i="1" a="1"/>
  <c r="AM805" i="1" s="1"/>
  <c r="AM806" i="1" a="1"/>
  <c r="AM806" i="1" s="1"/>
  <c r="AM807" i="1" a="1"/>
  <c r="AM807" i="1" s="1"/>
  <c r="AM808" i="1" a="1"/>
  <c r="AM808" i="1" s="1"/>
  <c r="AM809" i="1" a="1"/>
  <c r="AM809" i="1" s="1"/>
  <c r="AM810" i="1" a="1"/>
  <c r="AM810" i="1" s="1"/>
  <c r="AM811" i="1" a="1"/>
  <c r="AM811" i="1" s="1"/>
  <c r="AM812" i="1" a="1"/>
  <c r="AM812" i="1" s="1"/>
  <c r="AM813" i="1" a="1"/>
  <c r="AM813" i="1" s="1"/>
  <c r="AM814" i="1" a="1"/>
  <c r="AM814" i="1" s="1"/>
  <c r="AM815" i="1" a="1"/>
  <c r="AM815" i="1" s="1"/>
  <c r="AM816" i="1" a="1"/>
  <c r="AM816" i="1" s="1"/>
  <c r="AM817" i="1" a="1"/>
  <c r="AM817" i="1" s="1"/>
  <c r="AM818" i="1" a="1"/>
  <c r="AM818" i="1" s="1"/>
  <c r="AM819" i="1" a="1"/>
  <c r="AM819" i="1" s="1"/>
  <c r="AM820" i="1" a="1"/>
  <c r="AM820" i="1" s="1"/>
  <c r="AM821" i="1" a="1"/>
  <c r="AM821" i="1" s="1"/>
  <c r="AM822" i="1" a="1"/>
  <c r="AM822" i="1" s="1"/>
  <c r="AM823" i="1" a="1"/>
  <c r="AM823" i="1" s="1"/>
  <c r="AM824" i="1" a="1"/>
  <c r="AM824" i="1" s="1"/>
  <c r="AM825" i="1" a="1"/>
  <c r="AM825" i="1" s="1"/>
  <c r="AM826" i="1" a="1"/>
  <c r="AM826" i="1" s="1"/>
  <c r="AM827" i="1" a="1"/>
  <c r="AM827" i="1" s="1"/>
  <c r="AM828" i="1" a="1"/>
  <c r="AM828" i="1" s="1"/>
  <c r="AM829" i="1" a="1"/>
  <c r="AM829" i="1" s="1"/>
  <c r="AM830" i="1" a="1"/>
  <c r="AM830" i="1" s="1"/>
  <c r="AM831" i="1" a="1"/>
  <c r="AM831" i="1" s="1"/>
  <c r="AM832" i="1" a="1"/>
  <c r="AM832" i="1" s="1"/>
  <c r="AM833" i="1" a="1"/>
  <c r="AM833" i="1" s="1"/>
  <c r="AM834" i="1" a="1"/>
  <c r="AM834" i="1" s="1"/>
  <c r="AM835" i="1" a="1"/>
  <c r="AM835" i="1" s="1"/>
  <c r="AM836" i="1" a="1"/>
  <c r="AM836" i="1" s="1"/>
  <c r="AM837" i="1" a="1"/>
  <c r="AM837" i="1" s="1"/>
  <c r="AM838" i="1" a="1"/>
  <c r="AM838" i="1" s="1"/>
  <c r="AM839" i="1" a="1"/>
  <c r="AM839" i="1" s="1"/>
  <c r="AM840" i="1" a="1"/>
  <c r="AM840" i="1" s="1"/>
  <c r="AM841" i="1" a="1"/>
  <c r="AM841" i="1" s="1"/>
  <c r="AM842" i="1" a="1"/>
  <c r="AM842" i="1" s="1"/>
  <c r="AM843" i="1" a="1"/>
  <c r="AM843" i="1" s="1"/>
  <c r="AM844" i="1" a="1"/>
  <c r="AM844" i="1" s="1"/>
  <c r="AM845" i="1" a="1"/>
  <c r="AM845" i="1" s="1"/>
  <c r="AM846" i="1" a="1"/>
  <c r="AM846" i="1" s="1"/>
  <c r="AM847" i="1" a="1"/>
  <c r="AM847" i="1" s="1"/>
  <c r="AM848" i="1" a="1"/>
  <c r="AM848" i="1" s="1"/>
  <c r="AM849" i="1" a="1"/>
  <c r="AM849" i="1" s="1"/>
  <c r="AM850" i="1" a="1"/>
  <c r="AM850" i="1" s="1"/>
  <c r="AM851" i="1" a="1"/>
  <c r="AM851" i="1" s="1"/>
  <c r="AM852" i="1" a="1"/>
  <c r="AM852" i="1" s="1"/>
  <c r="AM853" i="1" a="1"/>
  <c r="AM853" i="1" s="1"/>
  <c r="AM854" i="1" a="1"/>
  <c r="AM854" i="1" s="1"/>
  <c r="AM855" i="1" a="1"/>
  <c r="AM855" i="1" s="1"/>
  <c r="AM856" i="1" a="1"/>
  <c r="AM856" i="1" s="1"/>
  <c r="AM857" i="1" a="1"/>
  <c r="AM857" i="1" s="1"/>
  <c r="AM858" i="1" a="1"/>
  <c r="AM858" i="1" s="1"/>
  <c r="AM859" i="1" a="1"/>
  <c r="AM859" i="1" s="1"/>
  <c r="AM860" i="1" a="1"/>
  <c r="AM860" i="1" s="1"/>
  <c r="AM861" i="1" a="1"/>
  <c r="AM861" i="1" s="1"/>
  <c r="AM862" i="1" a="1"/>
  <c r="AM862" i="1" s="1"/>
  <c r="AM863" i="1" a="1"/>
  <c r="AM863" i="1" s="1"/>
  <c r="AM864" i="1" a="1"/>
  <c r="AM864" i="1" s="1"/>
  <c r="AM865" i="1" a="1"/>
  <c r="AM865" i="1" s="1"/>
  <c r="AM866" i="1" a="1"/>
  <c r="AM866" i="1" s="1"/>
  <c r="AM867" i="1" a="1"/>
  <c r="AM867" i="1" s="1"/>
  <c r="AM868" i="1" a="1"/>
  <c r="AM868" i="1" s="1"/>
  <c r="AM869" i="1" a="1"/>
  <c r="AM869" i="1" s="1"/>
  <c r="AM870" i="1" a="1"/>
  <c r="AM870" i="1" s="1"/>
  <c r="AM871" i="1" a="1"/>
  <c r="AM871" i="1" s="1"/>
  <c r="AM872" i="1" a="1"/>
  <c r="AM872" i="1" s="1"/>
  <c r="AM873" i="1" a="1"/>
  <c r="AM873" i="1" s="1"/>
  <c r="AM874" i="1" a="1"/>
  <c r="AM874" i="1" s="1"/>
  <c r="AM875" i="1" a="1"/>
  <c r="AM875" i="1" s="1"/>
  <c r="AM876" i="1" a="1"/>
  <c r="AM876" i="1" s="1"/>
  <c r="AM877" i="1" a="1"/>
  <c r="AM877" i="1" s="1"/>
  <c r="AM878" i="1" a="1"/>
  <c r="AM878" i="1" s="1"/>
  <c r="AM879" i="1" a="1"/>
  <c r="AM879" i="1" s="1"/>
  <c r="AM880" i="1" a="1"/>
  <c r="AM880" i="1" s="1"/>
  <c r="AM881" i="1" a="1"/>
  <c r="AM881" i="1" s="1"/>
  <c r="AM882" i="1" a="1"/>
  <c r="AM882" i="1" s="1"/>
  <c r="AM883" i="1" a="1"/>
  <c r="AM883" i="1" s="1"/>
  <c r="AM884" i="1" a="1"/>
  <c r="AM884" i="1" s="1"/>
  <c r="AM885" i="1" a="1"/>
  <c r="AM885" i="1" s="1"/>
  <c r="AM886" i="1" a="1"/>
  <c r="AM886" i="1" s="1"/>
  <c r="AM887" i="1" a="1"/>
  <c r="AM887" i="1" s="1"/>
  <c r="AM888" i="1" a="1"/>
  <c r="AM888" i="1" s="1"/>
  <c r="AM889" i="1" a="1"/>
  <c r="AM889" i="1" s="1"/>
  <c r="AM890" i="1" a="1"/>
  <c r="AM890" i="1" s="1"/>
  <c r="AM891" i="1" a="1"/>
  <c r="AM891" i="1" s="1"/>
  <c r="AM892" i="1" a="1"/>
  <c r="AM892" i="1" s="1"/>
  <c r="AM893" i="1" a="1"/>
  <c r="AM893" i="1" s="1"/>
  <c r="AM894" i="1" a="1"/>
  <c r="AM894" i="1" s="1"/>
  <c r="AM895" i="1" a="1"/>
  <c r="AM895" i="1" s="1"/>
  <c r="AM896" i="1" a="1"/>
  <c r="AM896" i="1" s="1"/>
  <c r="AM897" i="1" a="1"/>
  <c r="AM897" i="1" s="1"/>
  <c r="AM898" i="1" a="1"/>
  <c r="AM898" i="1" s="1"/>
  <c r="AM899" i="1" a="1"/>
  <c r="AM899" i="1" s="1"/>
  <c r="AM900" i="1" a="1"/>
  <c r="AM900" i="1" s="1"/>
  <c r="AM901" i="1" a="1"/>
  <c r="AM901" i="1" s="1"/>
  <c r="AM902" i="1" a="1"/>
  <c r="AM902" i="1" s="1"/>
  <c r="AM903" i="1" a="1"/>
  <c r="AM903" i="1" s="1"/>
  <c r="AM904" i="1" a="1"/>
  <c r="AM904" i="1" s="1"/>
  <c r="AM905" i="1" a="1"/>
  <c r="AM905" i="1" s="1"/>
  <c r="AM906" i="1" a="1"/>
  <c r="AM906" i="1" s="1"/>
  <c r="AM907" i="1" a="1"/>
  <c r="AM907" i="1" s="1"/>
  <c r="AM908" i="1" a="1"/>
  <c r="AM908" i="1" s="1"/>
  <c r="AM909" i="1" a="1"/>
  <c r="AM909" i="1" s="1"/>
  <c r="AM910" i="1" a="1"/>
  <c r="AM910" i="1" s="1"/>
  <c r="AM911" i="1" a="1"/>
  <c r="AM911" i="1" s="1"/>
  <c r="AM912" i="1" a="1"/>
  <c r="AM912" i="1" s="1"/>
  <c r="AM913" i="1" a="1"/>
  <c r="AM913" i="1" s="1"/>
  <c r="AM914" i="1" a="1"/>
  <c r="AM914" i="1" s="1"/>
  <c r="AM915" i="1" a="1"/>
  <c r="AM915" i="1" s="1"/>
  <c r="AM916" i="1" a="1"/>
  <c r="AM916" i="1" s="1"/>
  <c r="AM917" i="1" a="1"/>
  <c r="AM917" i="1" s="1"/>
  <c r="AM918" i="1" a="1"/>
  <c r="AM918" i="1" s="1"/>
  <c r="AM919" i="1" a="1"/>
  <c r="AM919" i="1" s="1"/>
  <c r="AM920" i="1" a="1"/>
  <c r="AM920" i="1" s="1"/>
  <c r="AM921" i="1" a="1"/>
  <c r="AM921" i="1" s="1"/>
  <c r="AM922" i="1" a="1"/>
  <c r="AM922" i="1" s="1"/>
  <c r="AM923" i="1" a="1"/>
  <c r="AM923" i="1" s="1"/>
  <c r="AM924" i="1" a="1"/>
  <c r="AM924" i="1" s="1"/>
  <c r="AM925" i="1" a="1"/>
  <c r="AM925" i="1" s="1"/>
  <c r="AM926" i="1" a="1"/>
  <c r="AM926" i="1" s="1"/>
  <c r="AM927" i="1" a="1"/>
  <c r="AM927" i="1" s="1"/>
  <c r="AM928" i="1" a="1"/>
  <c r="AM928" i="1" s="1"/>
  <c r="AM929" i="1" a="1"/>
  <c r="AM929" i="1" s="1"/>
  <c r="AM930" i="1" a="1"/>
  <c r="AM930" i="1" s="1"/>
  <c r="AM931" i="1" a="1"/>
  <c r="AM931" i="1" s="1"/>
  <c r="AM932" i="1" a="1"/>
  <c r="AM932" i="1" s="1"/>
  <c r="AM933" i="1" a="1"/>
  <c r="AM933" i="1" s="1"/>
  <c r="AM934" i="1" a="1"/>
  <c r="AM934" i="1" s="1"/>
  <c r="AM935" i="1" a="1"/>
  <c r="AM935" i="1" s="1"/>
  <c r="AM936" i="1" a="1"/>
  <c r="AM936" i="1" s="1"/>
  <c r="AM937" i="1" a="1"/>
  <c r="AM937" i="1" s="1"/>
  <c r="AM938" i="1" a="1"/>
  <c r="AM938" i="1" s="1"/>
  <c r="AM939" i="1" a="1"/>
  <c r="AM939" i="1" s="1"/>
  <c r="AM940" i="1" a="1"/>
  <c r="AM940" i="1" s="1"/>
  <c r="AM941" i="1" a="1"/>
  <c r="AM941" i="1" s="1"/>
  <c r="AM942" i="1" a="1"/>
  <c r="AM942" i="1" s="1"/>
  <c r="AM943" i="1" a="1"/>
  <c r="AM943" i="1" s="1"/>
  <c r="AM944" i="1" a="1"/>
  <c r="AM944" i="1" s="1"/>
  <c r="AM945" i="1" a="1"/>
  <c r="AM945" i="1" s="1"/>
  <c r="AM946" i="1" a="1"/>
  <c r="AM946" i="1" s="1"/>
  <c r="AM947" i="1" a="1"/>
  <c r="AM947" i="1" s="1"/>
  <c r="AM948" i="1" a="1"/>
  <c r="AM948" i="1" s="1"/>
  <c r="AM949" i="1" a="1"/>
  <c r="AM949" i="1" s="1"/>
  <c r="AM950" i="1" a="1"/>
  <c r="AM950" i="1" s="1"/>
  <c r="AM951" i="1" a="1"/>
  <c r="AM951" i="1" s="1"/>
  <c r="AM952" i="1" a="1"/>
  <c r="AM952" i="1" s="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s="1"/>
  <c r="AM963" i="1" a="1"/>
  <c r="AM963" i="1" s="1"/>
  <c r="AM964" i="1" a="1"/>
  <c r="AM964" i="1" s="1"/>
  <c r="AM965" i="1" a="1"/>
  <c r="AM965" i="1" s="1"/>
  <c r="AM966" i="1" a="1"/>
  <c r="AM966" i="1" s="1"/>
  <c r="AM967" i="1" a="1"/>
  <c r="AM967" i="1" s="1"/>
  <c r="AM968" i="1" a="1"/>
  <c r="AM968" i="1" s="1"/>
  <c r="AM969" i="1" a="1"/>
  <c r="AM969" i="1" s="1"/>
  <c r="AM970" i="1" a="1"/>
  <c r="AM970" i="1" s="1"/>
  <c r="AM971" i="1" a="1"/>
  <c r="AM971" i="1" s="1"/>
  <c r="AM972" i="1" a="1"/>
  <c r="AM972" i="1" s="1"/>
  <c r="AM973" i="1" a="1"/>
  <c r="AM973" i="1" s="1"/>
  <c r="AM974" i="1" a="1"/>
  <c r="AM974" i="1" s="1"/>
  <c r="AM975" i="1" a="1"/>
  <c r="AM975" i="1" s="1"/>
  <c r="AM976" i="1" a="1"/>
  <c r="AM976" i="1" s="1"/>
  <c r="AM977" i="1" a="1"/>
  <c r="AM977" i="1" s="1"/>
  <c r="AM978" i="1" a="1"/>
  <c r="AM978" i="1" s="1"/>
  <c r="AM979" i="1" a="1"/>
  <c r="AM979" i="1" s="1"/>
  <c r="AM980" i="1" a="1"/>
  <c r="AM980" i="1" s="1"/>
  <c r="AM981" i="1" a="1"/>
  <c r="AM981" i="1" s="1"/>
  <c r="AM982" i="1" a="1"/>
  <c r="AM982" i="1" s="1"/>
  <c r="AM983" i="1" a="1"/>
  <c r="AM983" i="1" s="1"/>
  <c r="AM984" i="1" a="1"/>
  <c r="AM984" i="1" s="1"/>
  <c r="AM985" i="1" a="1"/>
  <c r="AM985" i="1" s="1"/>
  <c r="AM986" i="1" a="1"/>
  <c r="AM986" i="1" s="1"/>
  <c r="AM987" i="1" a="1"/>
  <c r="AM987" i="1" s="1"/>
  <c r="AM988" i="1" a="1"/>
  <c r="AM988" i="1" s="1"/>
  <c r="AM989" i="1" a="1"/>
  <c r="AM989" i="1" s="1"/>
  <c r="AM990" i="1" a="1"/>
  <c r="AM990" i="1" s="1"/>
  <c r="AM991" i="1" a="1"/>
  <c r="AM991" i="1" s="1"/>
  <c r="AM992" i="1" a="1"/>
  <c r="AM992" i="1" s="1"/>
  <c r="AM993" i="1" a="1"/>
  <c r="AM993" i="1" s="1"/>
  <c r="AM994" i="1" a="1"/>
  <c r="AM994" i="1" s="1"/>
  <c r="AM995" i="1" a="1"/>
  <c r="AM995" i="1" s="1"/>
  <c r="AM996" i="1" a="1"/>
  <c r="AM996" i="1" s="1"/>
  <c r="AM997" i="1" a="1"/>
  <c r="AM997" i="1" s="1"/>
  <c r="AM998" i="1" a="1"/>
  <c r="AM998" i="1" s="1"/>
  <c r="AM999" i="1" a="1"/>
  <c r="AM999" i="1" s="1"/>
  <c r="AM1000" i="1" a="1"/>
  <c r="AM1000" i="1" s="1"/>
  <c r="AM1001" i="1" a="1"/>
  <c r="AM1001" i="1" s="1"/>
  <c r="AM1002" i="1" a="1"/>
  <c r="AM1002" i="1" s="1"/>
  <c r="AM1003" i="1" a="1"/>
  <c r="AM1003" i="1" s="1"/>
  <c r="AM1004" i="1" a="1"/>
  <c r="AM1004" i="1" s="1"/>
  <c r="AM1005" i="1" a="1"/>
  <c r="AM1005" i="1" s="1"/>
  <c r="AM1006" i="1" a="1"/>
  <c r="AM1006" i="1" s="1"/>
  <c r="AM1007" i="1" a="1"/>
  <c r="AM1007" i="1" s="1"/>
  <c r="AM1008" i="1" a="1"/>
  <c r="AM1008" i="1" s="1"/>
  <c r="AM1009" i="1" a="1"/>
  <c r="AM1009" i="1" s="1"/>
  <c r="AM1010" i="1" a="1"/>
  <c r="AM1010" i="1" s="1"/>
  <c r="AM1011" i="1" a="1"/>
  <c r="AM1011" i="1" s="1"/>
  <c r="AM1012" i="1" a="1"/>
  <c r="AM1012" i="1" s="1"/>
  <c r="AM1013" i="1" a="1"/>
  <c r="AM1013" i="1" s="1"/>
  <c r="AM1014" i="1" a="1"/>
  <c r="AM1014" i="1" s="1"/>
  <c r="AM1015" i="1" a="1"/>
  <c r="AM1015" i="1" s="1"/>
  <c r="AM1016" i="1" a="1"/>
  <c r="AM1016" i="1" s="1"/>
  <c r="AM1017" i="1" a="1"/>
  <c r="AM1017" i="1" s="1"/>
  <c r="AM1018" i="1" a="1"/>
  <c r="AM1018" i="1" s="1"/>
  <c r="AM1019" i="1" a="1"/>
  <c r="AM1019" i="1" s="1"/>
  <c r="AM1020" i="1" a="1"/>
  <c r="AM1020" i="1" s="1"/>
  <c r="AM1021" i="1" a="1"/>
  <c r="AM1021" i="1" s="1"/>
  <c r="AM1022" i="1" a="1"/>
  <c r="AM1022" i="1" s="1"/>
  <c r="AM1023" i="1" a="1"/>
  <c r="AM1023" i="1" s="1"/>
  <c r="AM1024" i="1" a="1"/>
  <c r="AM1024" i="1" s="1"/>
  <c r="AM1025" i="1" a="1"/>
  <c r="AM1025" i="1" s="1"/>
  <c r="AM1026" i="1" a="1"/>
  <c r="AM1026" i="1" s="1"/>
  <c r="AM1027" i="1" a="1"/>
  <c r="AM1027" i="1" s="1"/>
  <c r="AM1028" i="1" a="1"/>
  <c r="AM1028" i="1" s="1"/>
  <c r="AM1029" i="1" a="1"/>
  <c r="AM1029" i="1" s="1"/>
  <c r="AM1030" i="1" a="1"/>
  <c r="AM1030" i="1" s="1"/>
  <c r="AM1031" i="1" a="1"/>
  <c r="AM1031" i="1" s="1"/>
  <c r="AM1032" i="1" a="1"/>
  <c r="AM1032" i="1" s="1"/>
  <c r="AM1033" i="1" a="1"/>
  <c r="AM1033" i="1" s="1"/>
  <c r="AM1034" i="1" a="1"/>
  <c r="AM1034" i="1" s="1"/>
  <c r="AM1035" i="1" a="1"/>
  <c r="AM1035" i="1" s="1"/>
  <c r="AM1036" i="1" a="1"/>
  <c r="AM1036" i="1" s="1"/>
  <c r="AM1037" i="1" a="1"/>
  <c r="AM1037" i="1" s="1"/>
  <c r="AM1038" i="1" a="1"/>
  <c r="AM1038" i="1" s="1"/>
  <c r="AM1039" i="1" a="1"/>
  <c r="AM1039" i="1" s="1"/>
  <c r="AM1040" i="1" a="1"/>
  <c r="AM1040" i="1" s="1"/>
  <c r="AM1041" i="1" a="1"/>
  <c r="AM1041" i="1" s="1"/>
  <c r="AM1042" i="1" a="1"/>
  <c r="AM1042" i="1" s="1"/>
  <c r="AM1043" i="1" a="1"/>
  <c r="AM1043" i="1" s="1"/>
  <c r="AM1044" i="1" a="1"/>
  <c r="AM1044" i="1" s="1"/>
  <c r="AM1045" i="1" a="1"/>
  <c r="AM1045" i="1" s="1"/>
  <c r="AM1046" i="1" a="1"/>
  <c r="AM1046" i="1" s="1"/>
  <c r="AM1047" i="1" a="1"/>
  <c r="AM1047" i="1" s="1"/>
  <c r="AM1048" i="1" a="1"/>
  <c r="AM1048" i="1" s="1"/>
  <c r="AM1049" i="1" a="1"/>
  <c r="AM1049" i="1" s="1"/>
  <c r="AM1050" i="1" a="1"/>
  <c r="AM1050" i="1" s="1"/>
  <c r="AM1051" i="1" a="1"/>
  <c r="AM1051" i="1" s="1"/>
  <c r="AM1052" i="1" a="1"/>
  <c r="AM1052" i="1" s="1"/>
  <c r="AM1053" i="1" a="1"/>
  <c r="AM1053" i="1" s="1"/>
  <c r="AM1054" i="1" a="1"/>
  <c r="AM1054" i="1" s="1"/>
  <c r="AM1055" i="1" a="1"/>
  <c r="AM1055" i="1" s="1"/>
  <c r="AM1056" i="1" a="1"/>
  <c r="AM1056" i="1" s="1"/>
  <c r="AM1057" i="1" a="1"/>
  <c r="AM1057" i="1" s="1"/>
  <c r="AM1058" i="1" a="1"/>
  <c r="AM1058" i="1" s="1"/>
  <c r="AM1059" i="1" a="1"/>
  <c r="AM1059" i="1" s="1"/>
  <c r="AM1060" i="1" a="1"/>
  <c r="AM1060" i="1" s="1"/>
  <c r="AM1061" i="1" a="1"/>
  <c r="AM1061" i="1" s="1"/>
  <c r="AM1062" i="1" a="1"/>
  <c r="AM1062" i="1" s="1"/>
  <c r="AM1063" i="1" a="1"/>
  <c r="AM1063" i="1" s="1"/>
  <c r="AM1064" i="1" a="1"/>
  <c r="AM1064" i="1" s="1"/>
  <c r="AM1065" i="1" a="1"/>
  <c r="AM1065" i="1" s="1"/>
  <c r="AM1066" i="1" a="1"/>
  <c r="AM1066" i="1" s="1"/>
  <c r="AM1067" i="1" a="1"/>
  <c r="AM1067" i="1" s="1"/>
  <c r="AM1068" i="1" a="1"/>
  <c r="AM1068" i="1" s="1"/>
  <c r="AM1069" i="1" a="1"/>
  <c r="AM1069" i="1" s="1"/>
  <c r="AM1070" i="1" a="1"/>
  <c r="AM1070" i="1" s="1"/>
  <c r="AM1071" i="1" a="1"/>
  <c r="AM1071" i="1" s="1"/>
  <c r="AM1072" i="1" a="1"/>
  <c r="AM1072" i="1" s="1"/>
  <c r="AM1073" i="1" a="1"/>
  <c r="AM1073" i="1" s="1"/>
  <c r="AM1074" i="1" a="1"/>
  <c r="AM1074" i="1" s="1"/>
  <c r="AM1075" i="1" a="1"/>
  <c r="AM1075" i="1" s="1"/>
  <c r="AM1076" i="1" a="1"/>
  <c r="AM1076" i="1" s="1"/>
  <c r="AM1077" i="1" a="1"/>
  <c r="AM1077" i="1" s="1"/>
  <c r="AM1078" i="1" a="1"/>
  <c r="AM1078" i="1" s="1"/>
  <c r="AM1079" i="1" a="1"/>
  <c r="AM1079" i="1" s="1"/>
  <c r="AM1080" i="1" a="1"/>
  <c r="AM1080" i="1" s="1"/>
  <c r="AM1081" i="1" a="1"/>
  <c r="AM1081" i="1" s="1"/>
  <c r="AM1082" i="1" a="1"/>
  <c r="AM1082" i="1" s="1"/>
  <c r="AM1083" i="1" a="1"/>
  <c r="AM1083" i="1" s="1"/>
  <c r="AM1084" i="1" a="1"/>
  <c r="AM1084" i="1" s="1"/>
  <c r="AM1085" i="1" a="1"/>
  <c r="AM1085" i="1" s="1"/>
  <c r="AM1086" i="1" a="1"/>
  <c r="AM1086" i="1" s="1"/>
  <c r="AM1087" i="1" a="1"/>
  <c r="AM1087" i="1" s="1"/>
  <c r="AM1088" i="1" a="1"/>
  <c r="AM1088" i="1" s="1"/>
  <c r="AM1089" i="1" a="1"/>
  <c r="AM1089" i="1" s="1"/>
  <c r="AM1090" i="1" a="1"/>
  <c r="AM1090" i="1" s="1"/>
  <c r="AM1091" i="1" a="1"/>
  <c r="AM1091" i="1" s="1"/>
  <c r="AM1092" i="1" a="1"/>
  <c r="AM1092" i="1" s="1"/>
  <c r="AM1093" i="1" a="1"/>
  <c r="AM1093" i="1" s="1"/>
  <c r="AM1094" i="1" a="1"/>
  <c r="AM1094" i="1" s="1"/>
  <c r="AM1095" i="1" a="1"/>
  <c r="AM1095" i="1" s="1"/>
  <c r="AM1096" i="1" a="1"/>
  <c r="AM1096" i="1" s="1"/>
  <c r="AM1097" i="1" a="1"/>
  <c r="AM1097" i="1" s="1"/>
  <c r="AM1098" i="1" a="1"/>
  <c r="AM1098" i="1" s="1"/>
  <c r="AM1099" i="1" a="1"/>
  <c r="AM1099" i="1" s="1"/>
  <c r="AM1100" i="1" a="1"/>
  <c r="AM1100" i="1" s="1"/>
  <c r="AM1101" i="1" a="1"/>
  <c r="AM1101" i="1" s="1"/>
  <c r="AM1102" i="1" a="1"/>
  <c r="AM1102" i="1" s="1"/>
  <c r="AM1103" i="1" a="1"/>
  <c r="AM1103" i="1" s="1"/>
  <c r="AM1104" i="1" a="1"/>
  <c r="AM1104" i="1" s="1"/>
  <c r="AM1105" i="1" a="1"/>
  <c r="AM1105" i="1" s="1"/>
  <c r="AM1106" i="1" a="1"/>
  <c r="AM1106" i="1" s="1"/>
  <c r="AM1107" i="1" a="1"/>
  <c r="AM1107" i="1" s="1"/>
  <c r="AM1108" i="1" a="1"/>
  <c r="AM1108" i="1" s="1"/>
  <c r="AM1109" i="1" a="1"/>
  <c r="AM1109" i="1" s="1"/>
  <c r="AM1110" i="1" a="1"/>
  <c r="AM1110" i="1" s="1"/>
  <c r="AM1111" i="1" a="1"/>
  <c r="AM1111" i="1" s="1"/>
  <c r="AM1112" i="1" a="1"/>
  <c r="AM1112" i="1" s="1"/>
  <c r="AM1113" i="1" a="1"/>
  <c r="AM1113" i="1" s="1"/>
  <c r="AM1114" i="1" a="1"/>
  <c r="AM1114" i="1" s="1"/>
  <c r="AM1115" i="1" a="1"/>
  <c r="AM1115" i="1" s="1"/>
  <c r="AM1116" i="1" a="1"/>
  <c r="AM1116" i="1" s="1"/>
  <c r="AM1117" i="1" a="1"/>
  <c r="AM1117" i="1" s="1"/>
  <c r="AM1118" i="1" a="1"/>
  <c r="AM1118" i="1" s="1"/>
  <c r="AM1119" i="1" a="1"/>
  <c r="AM1119" i="1" s="1"/>
  <c r="AM1120" i="1" a="1"/>
  <c r="AM1120" i="1" s="1"/>
  <c r="AM1121" i="1" a="1"/>
  <c r="AM1121" i="1" s="1"/>
  <c r="AM1122" i="1" a="1"/>
  <c r="AM1122" i="1" s="1"/>
  <c r="AM1123" i="1" a="1"/>
  <c r="AM1123" i="1" s="1"/>
  <c r="AM1124" i="1" a="1"/>
  <c r="AM1124" i="1" s="1"/>
  <c r="AM1125" i="1" a="1"/>
  <c r="AM1125" i="1" s="1"/>
  <c r="AM1126" i="1" a="1"/>
  <c r="AM1126" i="1" s="1"/>
  <c r="AM1127" i="1" a="1"/>
  <c r="AM1127" i="1" s="1"/>
  <c r="AM1128" i="1" a="1"/>
  <c r="AM1128" i="1" s="1"/>
  <c r="AM1129" i="1" a="1"/>
  <c r="AM1129" i="1" s="1"/>
  <c r="AM1130" i="1" a="1"/>
  <c r="AM1130" i="1" s="1"/>
  <c r="AM1131" i="1" a="1"/>
  <c r="AM1131" i="1" s="1"/>
  <c r="AM1132" i="1" a="1"/>
  <c r="AM1132" i="1" s="1"/>
  <c r="AM1133" i="1" a="1"/>
  <c r="AM1133" i="1" s="1"/>
  <c r="AM1134" i="1" a="1"/>
  <c r="AM1134" i="1" s="1"/>
  <c r="AM1135" i="1" a="1"/>
  <c r="AM1135" i="1" s="1"/>
  <c r="AM1136" i="1" a="1"/>
  <c r="AM1136" i="1" s="1"/>
  <c r="AM1137" i="1" a="1"/>
  <c r="AM1137" i="1" s="1"/>
  <c r="AM1138" i="1" a="1"/>
  <c r="AM1138" i="1" s="1"/>
  <c r="AM1139" i="1" a="1"/>
  <c r="AM1139" i="1" s="1"/>
  <c r="AM1140" i="1" a="1"/>
  <c r="AM1140" i="1" s="1"/>
  <c r="AM1141" i="1" a="1"/>
  <c r="AM1141" i="1" s="1"/>
  <c r="AM1142" i="1" a="1"/>
  <c r="AM1142" i="1" s="1"/>
  <c r="AM1143" i="1" a="1"/>
  <c r="AM1143" i="1" s="1"/>
  <c r="AM1144" i="1" a="1"/>
  <c r="AM1144" i="1" s="1"/>
  <c r="AM1145" i="1" a="1"/>
  <c r="AM1145" i="1" s="1"/>
  <c r="AM1146" i="1" a="1"/>
  <c r="AM1146" i="1" s="1"/>
  <c r="AM1147" i="1" a="1"/>
  <c r="AM1147" i="1" s="1"/>
  <c r="AM1148" i="1" a="1"/>
  <c r="AM1148" i="1" s="1"/>
  <c r="AM1149" i="1" a="1"/>
  <c r="AM1149" i="1" s="1"/>
  <c r="AM1150" i="1" a="1"/>
  <c r="AM1150" i="1" s="1"/>
  <c r="AM1151" i="1" a="1"/>
  <c r="AM1151" i="1" s="1"/>
  <c r="AM1152" i="1" a="1"/>
  <c r="AM1152" i="1" s="1"/>
  <c r="AM1153" i="1" a="1"/>
  <c r="AM1153" i="1" s="1"/>
  <c r="AM1154" i="1" a="1"/>
  <c r="AM1154" i="1" s="1"/>
  <c r="AM1155" i="1" a="1"/>
  <c r="AM1155" i="1" s="1"/>
  <c r="AM1156" i="1" a="1"/>
  <c r="AM1156" i="1" s="1"/>
  <c r="AM1157" i="1" a="1"/>
  <c r="AM1157" i="1" s="1"/>
  <c r="AM1158" i="1" a="1"/>
  <c r="AM1158" i="1" s="1"/>
  <c r="AM1159" i="1" a="1"/>
  <c r="AM1159" i="1" s="1"/>
  <c r="AM1160" i="1" a="1"/>
  <c r="AM1160" i="1" s="1"/>
  <c r="AM1161" i="1" a="1"/>
  <c r="AM1161" i="1" s="1"/>
  <c r="AM1162" i="1" a="1"/>
  <c r="AM1162" i="1" s="1"/>
  <c r="AM1163" i="1" a="1"/>
  <c r="AM1163" i="1" s="1"/>
  <c r="AM1164" i="1" a="1"/>
  <c r="AM1164" i="1" s="1"/>
  <c r="AM1165" i="1" a="1"/>
  <c r="AM1165" i="1" s="1"/>
  <c r="AM1166" i="1" a="1"/>
  <c r="AM1166" i="1" s="1"/>
  <c r="AM1167" i="1" a="1"/>
  <c r="AM1167" i="1" s="1"/>
  <c r="AM1168" i="1" a="1"/>
  <c r="AM1168" i="1" s="1"/>
  <c r="AM1169" i="1" a="1"/>
  <c r="AM1169" i="1" s="1"/>
  <c r="AM1170" i="1" a="1"/>
  <c r="AM1170" i="1" s="1"/>
  <c r="AM1171" i="1" a="1"/>
  <c r="AM1171" i="1" s="1"/>
  <c r="AM1172" i="1" a="1"/>
  <c r="AM1172" i="1" s="1"/>
  <c r="AM1173" i="1" a="1"/>
  <c r="AM1173" i="1" s="1"/>
  <c r="AM1174" i="1" a="1"/>
  <c r="AM1174" i="1" s="1"/>
  <c r="AM1175" i="1" a="1"/>
  <c r="AM1175" i="1" s="1"/>
  <c r="AM1176" i="1" a="1"/>
  <c r="AM1176" i="1" s="1"/>
  <c r="AM1177" i="1" a="1"/>
  <c r="AM1177" i="1" s="1"/>
  <c r="AM1178" i="1" a="1"/>
  <c r="AM1178" i="1" s="1"/>
  <c r="AM1179" i="1" a="1"/>
  <c r="AM1179" i="1" s="1"/>
  <c r="AM1180" i="1" a="1"/>
  <c r="AM1180" i="1" s="1"/>
  <c r="AM1181" i="1" a="1"/>
  <c r="AM1181" i="1" s="1"/>
  <c r="AM1182" i="1" a="1"/>
  <c r="AM1182" i="1" s="1"/>
  <c r="AM1183" i="1" a="1"/>
  <c r="AM1183" i="1" s="1"/>
  <c r="AM1184" i="1" a="1"/>
  <c r="AM1184" i="1" s="1"/>
  <c r="AM1185" i="1" a="1"/>
  <c r="AM1185" i="1" s="1"/>
  <c r="AM1186" i="1" a="1"/>
  <c r="AM1186" i="1" s="1"/>
  <c r="AM1187" i="1" a="1"/>
  <c r="AM1187" i="1" s="1"/>
  <c r="AM1188" i="1" a="1"/>
  <c r="AM1188" i="1" s="1"/>
  <c r="AM1189" i="1" a="1"/>
  <c r="AM1189" i="1" s="1"/>
  <c r="AM1190" i="1" a="1"/>
  <c r="AM1190" i="1" s="1"/>
  <c r="AM1191" i="1" a="1"/>
  <c r="AM1191" i="1" s="1"/>
  <c r="AM1192" i="1" a="1"/>
  <c r="AM1192" i="1" s="1"/>
  <c r="AM1193" i="1" a="1"/>
  <c r="AM1193" i="1" s="1"/>
  <c r="AM1194" i="1" a="1"/>
  <c r="AM1194" i="1" s="1"/>
  <c r="AM1195" i="1" a="1"/>
  <c r="AM1195" i="1" s="1"/>
  <c r="AM1196" i="1" a="1"/>
  <c r="AM1196" i="1" s="1"/>
  <c r="AM1197" i="1" a="1"/>
  <c r="AM1197" i="1" s="1"/>
  <c r="AM1198" i="1" a="1"/>
  <c r="AM1198" i="1" s="1"/>
  <c r="AM1199" i="1" a="1"/>
  <c r="AM1199" i="1" s="1"/>
  <c r="AM1200" i="1" a="1"/>
  <c r="AM1200" i="1" s="1"/>
  <c r="AM1201" i="1" a="1"/>
  <c r="AM1201" i="1" s="1"/>
  <c r="AM1202" i="1" a="1"/>
  <c r="AM1202" i="1" s="1"/>
  <c r="AM1203" i="1" a="1"/>
  <c r="AM1203" i="1" s="1"/>
  <c r="AM1204" i="1" a="1"/>
  <c r="AM1204" i="1" s="1"/>
  <c r="AM1205" i="1" a="1"/>
  <c r="AM1205" i="1" s="1"/>
  <c r="AM1206" i="1" a="1"/>
  <c r="AM1206" i="1" s="1"/>
  <c r="AM1207" i="1" a="1"/>
  <c r="AM1207" i="1" s="1"/>
  <c r="AM1208" i="1" a="1"/>
  <c r="AM1208" i="1" s="1"/>
  <c r="AM1209" i="1" a="1"/>
  <c r="AM1209" i="1" s="1"/>
  <c r="AM1210" i="1" a="1"/>
  <c r="AM1210" i="1" s="1"/>
  <c r="AM1211" i="1" a="1"/>
  <c r="AM1211" i="1" s="1"/>
  <c r="AM1212" i="1" a="1"/>
  <c r="AM1212" i="1" s="1"/>
  <c r="AM1213" i="1" a="1"/>
  <c r="AM1213" i="1" s="1"/>
  <c r="AM1214" i="1" a="1"/>
  <c r="AM1214" i="1" s="1"/>
  <c r="AM1215" i="1" a="1"/>
  <c r="AM1215" i="1" s="1"/>
  <c r="AM1216" i="1" a="1"/>
  <c r="AM1216" i="1" s="1"/>
  <c r="AM1217" i="1" a="1"/>
  <c r="AM1217" i="1" s="1"/>
  <c r="AM1218" i="1" a="1"/>
  <c r="AM1218" i="1" s="1"/>
  <c r="AM1219" i="1" a="1"/>
  <c r="AM1219" i="1" s="1"/>
  <c r="AM1220" i="1" a="1"/>
  <c r="AM1220" i="1" s="1"/>
  <c r="AM1221" i="1" a="1"/>
  <c r="AM1221" i="1" s="1"/>
  <c r="AM1222" i="1" a="1"/>
  <c r="AM1222" i="1" s="1"/>
  <c r="AM1223" i="1" a="1"/>
  <c r="AM1223" i="1" s="1"/>
  <c r="AM1224" i="1" a="1"/>
  <c r="AM1224" i="1" s="1"/>
  <c r="AM1225" i="1" a="1"/>
  <c r="AM1225" i="1" s="1"/>
  <c r="AM1226" i="1" a="1"/>
  <c r="AM1226" i="1" s="1"/>
  <c r="AM1227" i="1" a="1"/>
  <c r="AM1227" i="1" s="1"/>
  <c r="AM1228" i="1" a="1"/>
  <c r="AM1228" i="1" s="1"/>
  <c r="AM1229" i="1" a="1"/>
  <c r="AM1229" i="1" s="1"/>
  <c r="AM1230" i="1" a="1"/>
  <c r="AM1230" i="1" s="1"/>
  <c r="AM1231" i="1" a="1"/>
  <c r="AM1231" i="1" s="1"/>
  <c r="AM1232" i="1" a="1"/>
  <c r="AM1232" i="1" s="1"/>
  <c r="AM1233" i="1" a="1"/>
  <c r="AM1233" i="1" s="1"/>
  <c r="AM1234" i="1" a="1"/>
  <c r="AM1234" i="1" s="1"/>
  <c r="AM1235" i="1" a="1"/>
  <c r="AM1235" i="1" s="1"/>
  <c r="AM1236" i="1" a="1"/>
  <c r="AM1236" i="1" s="1"/>
  <c r="AM1237" i="1" a="1"/>
  <c r="AM1237" i="1" s="1"/>
  <c r="AM1238" i="1" a="1"/>
  <c r="AM1238" i="1" s="1"/>
  <c r="AM1239" i="1" a="1"/>
  <c r="AM1239" i="1" s="1"/>
  <c r="AM1240" i="1" a="1"/>
  <c r="AM1240" i="1" s="1"/>
  <c r="AM1241" i="1" a="1"/>
  <c r="AM1241" i="1" s="1"/>
  <c r="AM1242" i="1" a="1"/>
  <c r="AM1242" i="1" s="1"/>
  <c r="AM1243" i="1" a="1"/>
  <c r="AM1243" i="1" s="1"/>
  <c r="AM1244" i="1" a="1"/>
  <c r="AM1244" i="1" s="1"/>
  <c r="AM1245" i="1" a="1"/>
  <c r="AM1245" i="1" s="1"/>
  <c r="AM1246" i="1" a="1"/>
  <c r="AM1246" i="1" s="1"/>
  <c r="AM1247" i="1" a="1"/>
  <c r="AM1247" i="1" s="1"/>
  <c r="AM1248" i="1" a="1"/>
  <c r="AM1248" i="1" s="1"/>
  <c r="AM1249" i="1" a="1"/>
  <c r="AM1249" i="1" s="1"/>
  <c r="AM1250" i="1" a="1"/>
  <c r="AM1250" i="1" s="1"/>
  <c r="AM1251" i="1" a="1"/>
  <c r="AM1251" i="1" s="1"/>
  <c r="AM1252" i="1" a="1"/>
  <c r="AM1252" i="1" s="1"/>
  <c r="AM1253" i="1" a="1"/>
  <c r="AM1253" i="1" s="1"/>
  <c r="AM1254" i="1" a="1"/>
  <c r="AM1254" i="1" s="1"/>
  <c r="AM1255" i="1" a="1"/>
  <c r="AM1255" i="1" s="1"/>
  <c r="AM1256" i="1" a="1"/>
  <c r="AM1256" i="1" s="1"/>
  <c r="AM1257" i="1" a="1"/>
  <c r="AM1257" i="1" s="1"/>
  <c r="AM1258" i="1" a="1"/>
  <c r="AM1258" i="1" s="1"/>
  <c r="AM1259" i="1" a="1"/>
  <c r="AM1259" i="1" s="1"/>
  <c r="AM1260" i="1" a="1"/>
  <c r="AM1260" i="1" s="1"/>
  <c r="AM1261" i="1" a="1"/>
  <c r="AM1261" i="1" s="1"/>
  <c r="AM1262" i="1" a="1"/>
  <c r="AM1262" i="1" s="1"/>
  <c r="AM1263" i="1" a="1"/>
  <c r="AM1263" i="1" s="1"/>
  <c r="AM1264" i="1" a="1"/>
  <c r="AM1264" i="1" s="1"/>
  <c r="AM1265" i="1" a="1"/>
  <c r="AM1265" i="1" s="1"/>
  <c r="AM1266" i="1" a="1"/>
  <c r="AM1266" i="1" s="1"/>
  <c r="AM1267" i="1" a="1"/>
  <c r="AM1267" i="1" s="1"/>
  <c r="AM1268" i="1" a="1"/>
  <c r="AM1268" i="1" s="1"/>
  <c r="AM1269" i="1" a="1"/>
  <c r="AM1269" i="1" s="1"/>
  <c r="AM1270" i="1" a="1"/>
  <c r="AM1270" i="1" s="1"/>
  <c r="AM1271" i="1" a="1"/>
  <c r="AM1271" i="1" s="1"/>
  <c r="AM1272" i="1" a="1"/>
  <c r="AM1272" i="1" s="1"/>
  <c r="AM1273" i="1" a="1"/>
  <c r="AM1273" i="1" s="1"/>
  <c r="AM1274" i="1" a="1"/>
  <c r="AM1274" i="1" s="1"/>
  <c r="AM1275" i="1" a="1"/>
  <c r="AM1275" i="1" s="1"/>
  <c r="AM1276" i="1" a="1"/>
  <c r="AM1276" i="1" s="1"/>
  <c r="AM1277" i="1" a="1"/>
  <c r="AM1277" i="1" s="1"/>
  <c r="AM1278" i="1" a="1"/>
  <c r="AM1278" i="1" s="1"/>
  <c r="AM1279" i="1" a="1"/>
  <c r="AM1279" i="1" s="1"/>
  <c r="AM1280" i="1" a="1"/>
  <c r="AM1280" i="1" s="1"/>
  <c r="AM1281" i="1" a="1"/>
  <c r="AM1281" i="1" s="1"/>
  <c r="AM1282" i="1" a="1"/>
  <c r="AM1282" i="1" s="1"/>
  <c r="AM1283" i="1" a="1"/>
  <c r="AM1283" i="1" s="1"/>
  <c r="AM1284" i="1" a="1"/>
  <c r="AM1284" i="1" s="1"/>
  <c r="AM1285" i="1" a="1"/>
  <c r="AM1285" i="1" s="1"/>
  <c r="AM1286" i="1" a="1"/>
  <c r="AM1286" i="1" s="1"/>
  <c r="AM1287" i="1" a="1"/>
  <c r="AM1287" i="1" s="1"/>
  <c r="AM1288" i="1" a="1"/>
  <c r="AM1288" i="1" s="1"/>
  <c r="AM1289" i="1" a="1"/>
  <c r="AM1289" i="1" s="1"/>
  <c r="AM1290" i="1" a="1"/>
  <c r="AM1290" i="1" s="1"/>
  <c r="AM1291" i="1" a="1"/>
  <c r="AM1291" i="1" s="1"/>
  <c r="AM1292" i="1" a="1"/>
  <c r="AM1292" i="1" s="1"/>
  <c r="AM1293" i="1" a="1"/>
  <c r="AM1293" i="1" s="1"/>
  <c r="AM1294" i="1" a="1"/>
  <c r="AM1294" i="1" s="1"/>
  <c r="AM1295" i="1" a="1"/>
  <c r="AM1295" i="1" s="1"/>
  <c r="AM1296" i="1" a="1"/>
  <c r="AM1296" i="1" s="1"/>
  <c r="AM1297" i="1" a="1"/>
  <c r="AM1297" i="1" s="1"/>
  <c r="AM1298" i="1" a="1"/>
  <c r="AM1298" i="1" s="1"/>
  <c r="AM1299" i="1" a="1"/>
  <c r="AM1299" i="1" s="1"/>
  <c r="AM1300" i="1" a="1"/>
  <c r="AM1300" i="1" s="1"/>
  <c r="AM1301" i="1" a="1"/>
  <c r="AM1301" i="1" s="1"/>
  <c r="AM1302" i="1" a="1"/>
  <c r="AM1302" i="1" s="1"/>
  <c r="AM1303" i="1" a="1"/>
  <c r="AM1303" i="1" s="1"/>
  <c r="AM1304" i="1" a="1"/>
  <c r="AM1304" i="1" s="1"/>
  <c r="AM1305" i="1" a="1"/>
  <c r="AM1305" i="1" s="1"/>
  <c r="AM1306" i="1" a="1"/>
  <c r="AM1306" i="1" s="1"/>
  <c r="AM1307" i="1" a="1"/>
  <c r="AM1307" i="1" s="1"/>
  <c r="AM1308" i="1" a="1"/>
  <c r="AM1308" i="1" s="1"/>
  <c r="AM1309" i="1" a="1"/>
  <c r="AM1309" i="1" s="1"/>
  <c r="AM1310" i="1" a="1"/>
  <c r="AM1310" i="1" s="1"/>
  <c r="AM1311" i="1" a="1"/>
  <c r="AM1311" i="1" s="1"/>
  <c r="AM1312" i="1" a="1"/>
  <c r="AM1312" i="1" s="1"/>
  <c r="AM1313" i="1" a="1"/>
  <c r="AM1313" i="1" s="1"/>
  <c r="AM1314" i="1" a="1"/>
  <c r="AM1314" i="1" s="1"/>
  <c r="AM1315" i="1" a="1"/>
  <c r="AM1315" i="1" s="1"/>
  <c r="AM1316" i="1" a="1"/>
  <c r="AM1316" i="1" s="1"/>
  <c r="AM1317" i="1" a="1"/>
  <c r="AM1317" i="1" s="1"/>
  <c r="AM1318" i="1" a="1"/>
  <c r="AM1318" i="1" s="1"/>
  <c r="AM1319" i="1" a="1"/>
  <c r="AM1319" i="1" s="1"/>
  <c r="AM1320" i="1" a="1"/>
  <c r="AM1320" i="1" s="1"/>
  <c r="AM1321" i="1" a="1"/>
  <c r="AM1321" i="1" s="1"/>
  <c r="AM1322" i="1" a="1"/>
  <c r="AM1322" i="1" s="1"/>
  <c r="AM1323" i="1" a="1"/>
  <c r="AM1323" i="1" s="1"/>
  <c r="AM1324" i="1" a="1"/>
  <c r="AM1324" i="1" s="1"/>
  <c r="AM1325" i="1" a="1"/>
  <c r="AM1325" i="1" s="1"/>
  <c r="AM1326" i="1" a="1"/>
  <c r="AM1326" i="1" s="1"/>
  <c r="AM1327" i="1" a="1"/>
  <c r="AM1327" i="1" s="1"/>
  <c r="AM1328" i="1" a="1"/>
  <c r="AM1328" i="1" s="1"/>
  <c r="AM1329" i="1" a="1"/>
  <c r="AM1329" i="1" s="1"/>
  <c r="AM1330" i="1" a="1"/>
  <c r="AM1330" i="1" s="1"/>
  <c r="AM1331" i="1" a="1"/>
  <c r="AM1331" i="1" s="1"/>
  <c r="AM1332" i="1" a="1"/>
  <c r="AM1332" i="1" s="1"/>
  <c r="AM1333" i="1" a="1"/>
  <c r="AM1333" i="1" s="1"/>
  <c r="AM1334" i="1" a="1"/>
  <c r="AM1334" i="1" s="1"/>
  <c r="AM1335" i="1" a="1"/>
  <c r="AM1335" i="1" s="1"/>
  <c r="AM1336" i="1" a="1"/>
  <c r="AM1336" i="1" s="1"/>
  <c r="AM1337" i="1" a="1"/>
  <c r="AM1337" i="1" s="1"/>
  <c r="AM1338" i="1" a="1"/>
  <c r="AM1338" i="1" s="1"/>
  <c r="AM1339" i="1" a="1"/>
  <c r="AM1339" i="1" s="1"/>
  <c r="AM1340" i="1" a="1"/>
  <c r="AM1340" i="1" s="1"/>
  <c r="AM1341" i="1" a="1"/>
  <c r="AM1341" i="1" s="1"/>
  <c r="AM1342" i="1" a="1"/>
  <c r="AM1342" i="1" s="1"/>
  <c r="AM1343" i="1" a="1"/>
  <c r="AM1343" i="1" s="1"/>
  <c r="AM1344" i="1" a="1"/>
  <c r="AM1344" i="1" s="1"/>
  <c r="AM1345" i="1" a="1"/>
  <c r="AM1345" i="1" s="1"/>
  <c r="AM1346" i="1" a="1"/>
  <c r="AM1346" i="1" s="1"/>
  <c r="AM1347" i="1" a="1"/>
  <c r="AM1347" i="1" s="1"/>
  <c r="AM1348" i="1" a="1"/>
  <c r="AM1348" i="1" s="1"/>
  <c r="AM1349" i="1" a="1"/>
  <c r="AM1349" i="1" s="1"/>
  <c r="AM1350" i="1" a="1"/>
  <c r="AM1350" i="1" s="1"/>
  <c r="AM1351" i="1" a="1"/>
  <c r="AM1351" i="1" s="1"/>
  <c r="AM1352" i="1" a="1"/>
  <c r="AM1352" i="1" s="1"/>
  <c r="AM1353" i="1" a="1"/>
  <c r="AM1353" i="1" s="1"/>
  <c r="AM1354" i="1" a="1"/>
  <c r="AM1354" i="1" s="1"/>
  <c r="AM1355" i="1" a="1"/>
  <c r="AM1355" i="1" s="1"/>
  <c r="AM1356" i="1" a="1"/>
  <c r="AM1356" i="1" s="1"/>
  <c r="AM1357" i="1" a="1"/>
  <c r="AM1357" i="1" s="1"/>
  <c r="AM1358" i="1" a="1"/>
  <c r="AM1358" i="1" s="1"/>
  <c r="AM1359" i="1" a="1"/>
  <c r="AM1359" i="1" s="1"/>
  <c r="AM1360" i="1" a="1"/>
  <c r="AM1360" i="1" s="1"/>
  <c r="AM1361" i="1" a="1"/>
  <c r="AM1361" i="1" s="1"/>
  <c r="AM1362" i="1" a="1"/>
  <c r="AM1362" i="1" s="1"/>
  <c r="AM1363" i="1" a="1"/>
  <c r="AM1363" i="1" s="1"/>
  <c r="AM1364" i="1" a="1"/>
  <c r="AM1364" i="1" s="1"/>
  <c r="AM1365" i="1" a="1"/>
  <c r="AM1365" i="1" s="1"/>
  <c r="AM1366" i="1" a="1"/>
  <c r="AM1366" i="1" s="1"/>
  <c r="AM1367" i="1" a="1"/>
  <c r="AM1367" i="1" s="1"/>
  <c r="AM1368" i="1" a="1"/>
  <c r="AM1368" i="1" s="1"/>
  <c r="AM1369" i="1" a="1"/>
  <c r="AM1369" i="1" s="1"/>
  <c r="AM1370" i="1" a="1"/>
  <c r="AM1370" i="1" s="1"/>
  <c r="AM1371" i="1" a="1"/>
  <c r="AM1371" i="1" s="1"/>
  <c r="AM1372" i="1" a="1"/>
  <c r="AM1372" i="1" s="1"/>
  <c r="AM1373" i="1" a="1"/>
  <c r="AM1373" i="1" s="1"/>
  <c r="AM1374" i="1" a="1"/>
  <c r="AM1374" i="1" s="1"/>
  <c r="AM1375" i="1" a="1"/>
  <c r="AM1375" i="1" s="1"/>
  <c r="AM1376" i="1" a="1"/>
  <c r="AM1376" i="1" s="1"/>
  <c r="AM1377" i="1" a="1"/>
  <c r="AM1377" i="1" s="1"/>
  <c r="AM1378" i="1" a="1"/>
  <c r="AM1378" i="1" s="1"/>
  <c r="AM1379" i="1" a="1"/>
  <c r="AM1379" i="1" s="1"/>
  <c r="AM1380" i="1" a="1"/>
  <c r="AM1380" i="1" s="1"/>
  <c r="AM1381" i="1" a="1"/>
  <c r="AM1381" i="1" s="1"/>
  <c r="AM1382" i="1" a="1"/>
  <c r="AM1382" i="1" s="1"/>
  <c r="AM1383" i="1" a="1"/>
  <c r="AM1383" i="1" s="1"/>
  <c r="AM1384" i="1" a="1"/>
  <c r="AM1384" i="1" s="1"/>
  <c r="AM1385" i="1" a="1"/>
  <c r="AM1385" i="1" s="1"/>
  <c r="AM1386" i="1" a="1"/>
  <c r="AM1386" i="1" s="1"/>
  <c r="AM1387" i="1" a="1"/>
  <c r="AM1387" i="1" s="1"/>
  <c r="AM1388" i="1" a="1"/>
  <c r="AM1388" i="1" s="1"/>
  <c r="AM1389" i="1" a="1"/>
  <c r="AM1389" i="1" s="1"/>
  <c r="AM1390" i="1" a="1"/>
  <c r="AM1390" i="1" s="1"/>
  <c r="AM1391" i="1" a="1"/>
  <c r="AM1391" i="1" s="1"/>
  <c r="AM1392" i="1" a="1"/>
  <c r="AM1392" i="1" s="1"/>
  <c r="AM1393" i="1" a="1"/>
  <c r="AM1393" i="1" s="1"/>
  <c r="AM1394" i="1" a="1"/>
  <c r="AM1394" i="1" s="1"/>
  <c r="AM1395" i="1" a="1"/>
  <c r="AM1395" i="1" s="1"/>
  <c r="AM1396" i="1" a="1"/>
  <c r="AM1396" i="1" s="1"/>
  <c r="AM1397" i="1" a="1"/>
  <c r="AM1397" i="1" s="1"/>
  <c r="AM1398" i="1" a="1"/>
  <c r="AM1398" i="1" s="1"/>
  <c r="AM1399" i="1" a="1"/>
  <c r="AM1399" i="1" s="1"/>
  <c r="AM1400" i="1" a="1"/>
  <c r="AM1400" i="1" s="1"/>
  <c r="AM1401" i="1" a="1"/>
  <c r="AM1401" i="1" s="1"/>
  <c r="AM1402" i="1" a="1"/>
  <c r="AM1402" i="1" s="1"/>
  <c r="AM1403" i="1" a="1"/>
  <c r="AM1403" i="1" s="1"/>
  <c r="AM1404" i="1" a="1"/>
  <c r="AM1404" i="1" s="1"/>
  <c r="AM1405" i="1" a="1"/>
  <c r="AM1405" i="1" s="1"/>
  <c r="AM1406" i="1" a="1"/>
  <c r="AM1406" i="1" s="1"/>
  <c r="AM1407" i="1" a="1"/>
  <c r="AM1407" i="1" s="1"/>
  <c r="AM1408" i="1" a="1"/>
  <c r="AM1408" i="1" s="1"/>
  <c r="AM1409" i="1" a="1"/>
  <c r="AM1409" i="1" s="1"/>
  <c r="AM1410" i="1" a="1"/>
  <c r="AM1410" i="1" s="1"/>
  <c r="AM1411" i="1" a="1"/>
  <c r="AM1411" i="1" s="1"/>
  <c r="AM1412" i="1" a="1"/>
  <c r="AM1412" i="1" s="1"/>
  <c r="AM1413" i="1" a="1"/>
  <c r="AM1413" i="1" s="1"/>
  <c r="AM1414" i="1" a="1"/>
  <c r="AM1414" i="1" s="1"/>
  <c r="AM1415" i="1" a="1"/>
  <c r="AM1415" i="1" s="1"/>
  <c r="AM1416" i="1" a="1"/>
  <c r="AM1416" i="1" s="1"/>
  <c r="AM1417" i="1" a="1"/>
  <c r="AM1417" i="1" s="1"/>
  <c r="AM1418" i="1" a="1"/>
  <c r="AM1418" i="1" s="1"/>
  <c r="AM1419" i="1" a="1"/>
  <c r="AM1419" i="1" s="1"/>
  <c r="AM1420" i="1" a="1"/>
  <c r="AM1420" i="1" s="1"/>
  <c r="AM1421" i="1" a="1"/>
  <c r="AM1421" i="1" s="1"/>
  <c r="AM1422" i="1" a="1"/>
  <c r="AM1422" i="1" s="1"/>
  <c r="AM1423" i="1" a="1"/>
  <c r="AM1423" i="1" s="1"/>
  <c r="AM1424" i="1" a="1"/>
  <c r="AM1424" i="1" s="1"/>
  <c r="AM1425" i="1" a="1"/>
  <c r="AM1425" i="1" s="1"/>
  <c r="AM1426" i="1" a="1"/>
  <c r="AM1426" i="1" s="1"/>
  <c r="AM1427" i="1" a="1"/>
  <c r="AM1427" i="1" s="1"/>
  <c r="AM1428" i="1" a="1"/>
  <c r="AM1428" i="1" s="1"/>
  <c r="AM1429" i="1" a="1"/>
  <c r="AM1429" i="1" s="1"/>
  <c r="AM1430" i="1" a="1"/>
  <c r="AM1430" i="1" s="1"/>
  <c r="AM1431" i="1" a="1"/>
  <c r="AM1431" i="1" s="1"/>
  <c r="AM1432" i="1" a="1"/>
  <c r="AM1432" i="1" s="1"/>
  <c r="AM1433" i="1" a="1"/>
  <c r="AM1433" i="1" s="1"/>
  <c r="AM1434" i="1" a="1"/>
  <c r="AM1434" i="1" s="1"/>
  <c r="AM1435" i="1" a="1"/>
  <c r="AM1435" i="1" s="1"/>
  <c r="AM1436" i="1" a="1"/>
  <c r="AM1436" i="1" s="1"/>
  <c r="AM1437" i="1" a="1"/>
  <c r="AM1437" i="1" s="1"/>
  <c r="AM1438" i="1" a="1"/>
  <c r="AM1438" i="1" s="1"/>
  <c r="AM1439" i="1" a="1"/>
  <c r="AM1439" i="1" s="1"/>
  <c r="AM1440" i="1" a="1"/>
  <c r="AM1440" i="1" s="1"/>
  <c r="AM1441" i="1" a="1"/>
  <c r="AM1441" i="1" s="1"/>
  <c r="AM1442" i="1" a="1"/>
  <c r="AM1442" i="1" s="1"/>
  <c r="AM1443" i="1" a="1"/>
  <c r="AM1443" i="1" s="1"/>
  <c r="AM1444" i="1" a="1"/>
  <c r="AM1444" i="1" s="1"/>
  <c r="AM1445" i="1" a="1"/>
  <c r="AM1445" i="1" s="1"/>
  <c r="AM1446" i="1" a="1"/>
  <c r="AM1446" i="1" s="1"/>
  <c r="AM1447" i="1" a="1"/>
  <c r="AM1447" i="1" s="1"/>
  <c r="AM1448" i="1" a="1"/>
  <c r="AM1448" i="1" s="1"/>
  <c r="AM1449" i="1" a="1"/>
  <c r="AM1449" i="1" s="1"/>
  <c r="AM1450" i="1" a="1"/>
  <c r="AM1450" i="1" s="1"/>
  <c r="AM1451" i="1" a="1"/>
  <c r="AM1451" i="1" s="1"/>
  <c r="AM1452" i="1" a="1"/>
  <c r="AM1452" i="1" s="1"/>
  <c r="AM1453" i="1" a="1"/>
  <c r="AM1453" i="1" s="1"/>
  <c r="AM1454" i="1" a="1"/>
  <c r="AM1454" i="1" s="1"/>
  <c r="AM1455" i="1" a="1"/>
  <c r="AM1455" i="1" s="1"/>
  <c r="AM1456" i="1" a="1"/>
  <c r="AM1456" i="1" s="1"/>
  <c r="AM1457" i="1" a="1"/>
  <c r="AM1457" i="1" s="1"/>
  <c r="AM1458" i="1" a="1"/>
  <c r="AM1458" i="1" s="1"/>
  <c r="AM1459" i="1" a="1"/>
  <c r="AM1459" i="1" s="1"/>
  <c r="AM1460" i="1" a="1"/>
  <c r="AM1460" i="1" s="1"/>
  <c r="AM1461" i="1" a="1"/>
  <c r="AM1461" i="1" s="1"/>
  <c r="AM1462" i="1" a="1"/>
  <c r="AM1462" i="1" s="1"/>
  <c r="AM1463" i="1" a="1"/>
  <c r="AM1463" i="1" s="1"/>
  <c r="AM1464" i="1" a="1"/>
  <c r="AM1464" i="1" s="1"/>
  <c r="AM1465" i="1" a="1"/>
  <c r="AM1465" i="1" s="1"/>
  <c r="AM1466" i="1" a="1"/>
  <c r="AM1466" i="1" s="1"/>
  <c r="AM1467" i="1" a="1"/>
  <c r="AM1467" i="1" s="1"/>
  <c r="AM1468" i="1" a="1"/>
  <c r="AM1468" i="1" s="1"/>
  <c r="AM1469" i="1" a="1"/>
  <c r="AM1469" i="1" s="1"/>
  <c r="AM1470" i="1" a="1"/>
  <c r="AM1470" i="1" s="1"/>
  <c r="AM1471" i="1" a="1"/>
  <c r="AM1471" i="1" s="1"/>
  <c r="AK2" i="1" a="1"/>
  <c r="AK2" i="1" s="1"/>
  <c r="AK3" i="1" a="1"/>
  <c r="AK3" i="1" s="1"/>
  <c r="AK4" i="1" a="1"/>
  <c r="AK4" i="1" s="1"/>
  <c r="AK5" i="1" a="1"/>
  <c r="AK5" i="1" s="1"/>
  <c r="AK6" i="1" a="1"/>
  <c r="AK6" i="1" s="1"/>
  <c r="AK7" i="1" a="1"/>
  <c r="AK7" i="1" s="1"/>
  <c r="AK8" i="1" a="1"/>
  <c r="AK8" i="1" s="1"/>
  <c r="AK9" i="1" a="1"/>
  <c r="AK9" i="1" s="1"/>
  <c r="AK10" i="1" a="1"/>
  <c r="AK10" i="1" s="1"/>
  <c r="AK11" i="1" a="1"/>
  <c r="AK11" i="1" s="1"/>
  <c r="AK12" i="1" a="1"/>
  <c r="AK12" i="1" s="1"/>
  <c r="AK13" i="1" a="1"/>
  <c r="AK13" i="1" s="1"/>
  <c r="AK14" i="1" a="1"/>
  <c r="AK14" i="1" s="1"/>
  <c r="AK15" i="1" a="1"/>
  <c r="AK15" i="1" s="1"/>
  <c r="AK16" i="1" a="1"/>
  <c r="AK16" i="1" s="1"/>
  <c r="AK17" i="1" a="1"/>
  <c r="AK17" i="1" s="1"/>
  <c r="AK18" i="1" a="1"/>
  <c r="AK18" i="1" s="1"/>
  <c r="AK19" i="1" a="1"/>
  <c r="AK19" i="1" s="1"/>
  <c r="AK20" i="1" a="1"/>
  <c r="AK20" i="1" s="1"/>
  <c r="AK21" i="1" a="1"/>
  <c r="AK21" i="1" s="1"/>
  <c r="AK22" i="1" a="1"/>
  <c r="AK22" i="1" s="1"/>
  <c r="AK23" i="1" a="1"/>
  <c r="AK23" i="1" s="1"/>
  <c r="AK24" i="1" a="1"/>
  <c r="AK24" i="1" s="1"/>
  <c r="AK25" i="1" a="1"/>
  <c r="AK25" i="1" s="1"/>
  <c r="AK26" i="1" a="1"/>
  <c r="AK26" i="1" s="1"/>
  <c r="AK27" i="1" a="1"/>
  <c r="AK27" i="1" s="1"/>
  <c r="AK28" i="1" a="1"/>
  <c r="AK28" i="1" s="1"/>
  <c r="AK29" i="1" a="1"/>
  <c r="AK29" i="1" s="1"/>
  <c r="AK30" i="1" a="1"/>
  <c r="AK30" i="1" s="1"/>
  <c r="AK31" i="1" a="1"/>
  <c r="AK31" i="1" s="1"/>
  <c r="AK32" i="1" a="1"/>
  <c r="AK32" i="1" s="1"/>
  <c r="AK33" i="1" a="1"/>
  <c r="AK33" i="1" s="1"/>
  <c r="AK34" i="1" a="1"/>
  <c r="AK34" i="1" s="1"/>
  <c r="AK35" i="1" a="1"/>
  <c r="AK35" i="1" s="1"/>
  <c r="AK36" i="1" a="1"/>
  <c r="AK36" i="1" s="1"/>
  <c r="AK37" i="1" a="1"/>
  <c r="AK37" i="1" s="1"/>
  <c r="AK38" i="1" a="1"/>
  <c r="AK38" i="1" s="1"/>
  <c r="AK39" i="1" a="1"/>
  <c r="AK39" i="1" s="1"/>
  <c r="AK40" i="1" a="1"/>
  <c r="AK40" i="1" s="1"/>
  <c r="AK41" i="1" a="1"/>
  <c r="AK41" i="1" s="1"/>
  <c r="AK42" i="1" a="1"/>
  <c r="AK42" i="1" s="1"/>
  <c r="AK43" i="1" a="1"/>
  <c r="AK43" i="1" s="1"/>
  <c r="AK44" i="1" a="1"/>
  <c r="AK44" i="1" s="1"/>
  <c r="AK45" i="1" a="1"/>
  <c r="AK45" i="1" s="1"/>
  <c r="AK46" i="1" a="1"/>
  <c r="AK46" i="1" s="1"/>
  <c r="AK47" i="1" a="1"/>
  <c r="AK47" i="1" s="1"/>
  <c r="AK48" i="1" a="1"/>
  <c r="AK48" i="1" s="1"/>
  <c r="AK49" i="1" a="1"/>
  <c r="AK49" i="1" s="1"/>
  <c r="AK50" i="1" a="1"/>
  <c r="AK50" i="1" s="1"/>
  <c r="AK51" i="1" a="1"/>
  <c r="AK51" i="1" s="1"/>
  <c r="AK52" i="1" a="1"/>
  <c r="AK52" i="1" s="1"/>
  <c r="AK53" i="1" a="1"/>
  <c r="AK53" i="1" s="1"/>
  <c r="AK54" i="1" a="1"/>
  <c r="AK54" i="1" s="1"/>
  <c r="AK55" i="1" a="1"/>
  <c r="AK55" i="1" s="1"/>
  <c r="AK56" i="1" a="1"/>
  <c r="AK56" i="1" s="1"/>
  <c r="AK57" i="1" a="1"/>
  <c r="AK57" i="1" s="1"/>
  <c r="AK58" i="1" a="1"/>
  <c r="AK58" i="1" s="1"/>
  <c r="AK59" i="1" a="1"/>
  <c r="AK59" i="1" s="1"/>
  <c r="AK60" i="1" a="1"/>
  <c r="AK60" i="1" s="1"/>
  <c r="AK61" i="1" a="1"/>
  <c r="AK61" i="1" s="1"/>
  <c r="AK62" i="1" a="1"/>
  <c r="AK62" i="1" s="1"/>
  <c r="AK63" i="1" a="1"/>
  <c r="AK63" i="1" s="1"/>
  <c r="AK64" i="1" a="1"/>
  <c r="AK64" i="1" s="1"/>
  <c r="AK65" i="1" a="1"/>
  <c r="AK65" i="1" s="1"/>
  <c r="AK66" i="1" a="1"/>
  <c r="AK66" i="1" s="1"/>
  <c r="AK67" i="1" a="1"/>
  <c r="AK67" i="1" s="1"/>
  <c r="AK68" i="1" a="1"/>
  <c r="AK68" i="1" s="1"/>
  <c r="AK69" i="1" a="1"/>
  <c r="AK69" i="1" s="1"/>
  <c r="AK70" i="1" a="1"/>
  <c r="AK70" i="1" s="1"/>
  <c r="AK71" i="1" a="1"/>
  <c r="AK71" i="1" s="1"/>
  <c r="AK72" i="1" a="1"/>
  <c r="AK72" i="1" s="1"/>
  <c r="AK73" i="1" a="1"/>
  <c r="AK73" i="1" s="1"/>
  <c r="AK74" i="1" a="1"/>
  <c r="AK74" i="1" s="1"/>
  <c r="AK75" i="1" a="1"/>
  <c r="AK75" i="1" s="1"/>
  <c r="AK76" i="1" a="1"/>
  <c r="AK76" i="1" s="1"/>
  <c r="AK77" i="1" a="1"/>
  <c r="AK77" i="1" s="1"/>
  <c r="AK78" i="1" a="1"/>
  <c r="AK78" i="1" s="1"/>
  <c r="AK79" i="1" a="1"/>
  <c r="AK79" i="1" s="1"/>
  <c r="AK80" i="1" a="1"/>
  <c r="AK80" i="1" s="1"/>
  <c r="AK81" i="1" a="1"/>
  <c r="AK81" i="1" s="1"/>
  <c r="AK82" i="1" a="1"/>
  <c r="AK82" i="1" s="1"/>
  <c r="AK83" i="1" a="1"/>
  <c r="AK83" i="1" s="1"/>
  <c r="AK84" i="1" a="1"/>
  <c r="AK84" i="1" s="1"/>
  <c r="AK85" i="1" a="1"/>
  <c r="AK85" i="1" s="1"/>
  <c r="AK86" i="1" a="1"/>
  <c r="AK86" i="1" s="1"/>
  <c r="AK87" i="1" a="1"/>
  <c r="AK87" i="1" s="1"/>
  <c r="AK88" i="1" a="1"/>
  <c r="AK88" i="1" s="1"/>
  <c r="AK89" i="1" a="1"/>
  <c r="AK89" i="1" s="1"/>
  <c r="AK90" i="1" a="1"/>
  <c r="AK90" i="1" s="1"/>
  <c r="AK91" i="1" a="1"/>
  <c r="AK91" i="1" s="1"/>
  <c r="AK92" i="1" a="1"/>
  <c r="AK92" i="1" s="1"/>
  <c r="AK93" i="1" a="1"/>
  <c r="AK93" i="1" s="1"/>
  <c r="AK94" i="1" a="1"/>
  <c r="AK94" i="1" s="1"/>
  <c r="AK95" i="1" a="1"/>
  <c r="AK95" i="1" s="1"/>
  <c r="AK96" i="1" a="1"/>
  <c r="AK96" i="1" s="1"/>
  <c r="AK97" i="1" a="1"/>
  <c r="AK97" i="1" s="1"/>
  <c r="AK98" i="1" a="1"/>
  <c r="AK98" i="1" s="1"/>
  <c r="AK99" i="1" a="1"/>
  <c r="AK99" i="1" s="1"/>
  <c r="AK100" i="1" a="1"/>
  <c r="AK100" i="1" s="1"/>
  <c r="AK101" i="1" a="1"/>
  <c r="AK101" i="1" s="1"/>
  <c r="AK102" i="1" a="1"/>
  <c r="AK102" i="1" s="1"/>
  <c r="AK103" i="1" a="1"/>
  <c r="AK103" i="1" s="1"/>
  <c r="AK104" i="1" a="1"/>
  <c r="AK104" i="1" s="1"/>
  <c r="AK105" i="1" a="1"/>
  <c r="AK105" i="1" s="1"/>
  <c r="AK106" i="1" a="1"/>
  <c r="AK106" i="1" s="1"/>
  <c r="AK107" i="1" a="1"/>
  <c r="AK107" i="1" s="1"/>
  <c r="AK108" i="1" a="1"/>
  <c r="AK108" i="1" s="1"/>
  <c r="AK109" i="1" a="1"/>
  <c r="AK109" i="1" s="1"/>
  <c r="AK110" i="1" a="1"/>
  <c r="AK110" i="1" s="1"/>
  <c r="AK111" i="1" a="1"/>
  <c r="AK111" i="1" s="1"/>
  <c r="AK112" i="1" a="1"/>
  <c r="AK112" i="1" s="1"/>
  <c r="AK113" i="1" a="1"/>
  <c r="AK113" i="1" s="1"/>
  <c r="AK114" i="1" a="1"/>
  <c r="AK114" i="1" s="1"/>
  <c r="AK115" i="1" a="1"/>
  <c r="AK115" i="1" s="1"/>
  <c r="AK116" i="1" a="1"/>
  <c r="AK116" i="1" s="1"/>
  <c r="AK117" i="1" a="1"/>
  <c r="AK117" i="1" s="1"/>
  <c r="AK118" i="1" a="1"/>
  <c r="AK118" i="1" s="1"/>
  <c r="AK119" i="1" a="1"/>
  <c r="AK119" i="1" s="1"/>
  <c r="AK120" i="1" a="1"/>
  <c r="AK120" i="1" s="1"/>
  <c r="AK121" i="1" a="1"/>
  <c r="AK121" i="1" s="1"/>
  <c r="AK122" i="1" a="1"/>
  <c r="AK122" i="1" s="1"/>
  <c r="AK123" i="1" a="1"/>
  <c r="AK123" i="1" s="1"/>
  <c r="AK124" i="1" a="1"/>
  <c r="AK124" i="1" s="1"/>
  <c r="AK125" i="1" a="1"/>
  <c r="AK125" i="1" s="1"/>
  <c r="AK126" i="1" a="1"/>
  <c r="AK126" i="1" s="1"/>
  <c r="AK127" i="1" a="1"/>
  <c r="AK127" i="1" s="1"/>
  <c r="AK128" i="1" a="1"/>
  <c r="AK128" i="1" s="1"/>
  <c r="AK129" i="1" a="1"/>
  <c r="AK129" i="1" s="1"/>
  <c r="AK130" i="1" a="1"/>
  <c r="AK130" i="1" s="1"/>
  <c r="AK131" i="1" a="1"/>
  <c r="AK131" i="1" s="1"/>
  <c r="AK132" i="1" a="1"/>
  <c r="AK132" i="1" s="1"/>
  <c r="AK133" i="1" a="1"/>
  <c r="AK133" i="1" s="1"/>
  <c r="AK134" i="1" a="1"/>
  <c r="AK134" i="1" s="1"/>
  <c r="AK135" i="1" a="1"/>
  <c r="AK135" i="1" s="1"/>
  <c r="AK136" i="1" a="1"/>
  <c r="AK136" i="1" s="1"/>
  <c r="AK137" i="1" a="1"/>
  <c r="AK137" i="1" s="1"/>
  <c r="AK138" i="1" a="1"/>
  <c r="AK138" i="1" s="1"/>
  <c r="AK139" i="1" a="1"/>
  <c r="AK139" i="1" s="1"/>
  <c r="AK140" i="1" a="1"/>
  <c r="AK140" i="1" s="1"/>
  <c r="AK141" i="1" a="1"/>
  <c r="AK141" i="1" s="1"/>
  <c r="AK142" i="1" a="1"/>
  <c r="AK142" i="1" s="1"/>
  <c r="AK143" i="1" a="1"/>
  <c r="AK143" i="1" s="1"/>
  <c r="AK144" i="1" a="1"/>
  <c r="AK144" i="1" s="1"/>
  <c r="AK145" i="1" a="1"/>
  <c r="AK145" i="1" s="1"/>
  <c r="AK146" i="1" a="1"/>
  <c r="AK146" i="1" s="1"/>
  <c r="AK147" i="1" a="1"/>
  <c r="AK147" i="1" s="1"/>
  <c r="AK148" i="1" a="1"/>
  <c r="AK148" i="1" s="1"/>
  <c r="AK149" i="1" a="1"/>
  <c r="AK149" i="1" s="1"/>
  <c r="AK150" i="1" a="1"/>
  <c r="AK150" i="1" s="1"/>
  <c r="AK151" i="1" a="1"/>
  <c r="AK151" i="1" s="1"/>
  <c r="AK152" i="1" a="1"/>
  <c r="AK152" i="1" s="1"/>
  <c r="AK153" i="1" a="1"/>
  <c r="AK153" i="1" s="1"/>
  <c r="AK154" i="1" a="1"/>
  <c r="AK154" i="1" s="1"/>
  <c r="AK155" i="1" a="1"/>
  <c r="AK155" i="1" s="1"/>
  <c r="AK156" i="1" a="1"/>
  <c r="AK156" i="1" s="1"/>
  <c r="AK157" i="1" a="1"/>
  <c r="AK157" i="1" s="1"/>
  <c r="AK158" i="1" a="1"/>
  <c r="AK158" i="1" s="1"/>
  <c r="AK159" i="1" a="1"/>
  <c r="AK159" i="1" s="1"/>
  <c r="AK160" i="1" a="1"/>
  <c r="AK160" i="1" s="1"/>
  <c r="AK161" i="1" a="1"/>
  <c r="AK161" i="1" s="1"/>
  <c r="AK162" i="1" a="1"/>
  <c r="AK162" i="1" s="1"/>
  <c r="AK163" i="1" a="1"/>
  <c r="AK163" i="1" s="1"/>
  <c r="AK164" i="1" a="1"/>
  <c r="AK164" i="1" s="1"/>
  <c r="AK165" i="1" a="1"/>
  <c r="AK165" i="1" s="1"/>
  <c r="AK166" i="1" a="1"/>
  <c r="AK166" i="1" s="1"/>
  <c r="AK167" i="1" a="1"/>
  <c r="AK167" i="1" s="1"/>
  <c r="AK168" i="1" a="1"/>
  <c r="AK168" i="1" s="1"/>
  <c r="AK169" i="1" a="1"/>
  <c r="AK169" i="1" s="1"/>
  <c r="AK170" i="1" a="1"/>
  <c r="AK170" i="1" s="1"/>
  <c r="AK171" i="1" a="1"/>
  <c r="AK171" i="1" s="1"/>
  <c r="AK172" i="1" a="1"/>
  <c r="AK172" i="1" s="1"/>
  <c r="AK173" i="1" a="1"/>
  <c r="AK173" i="1" s="1"/>
  <c r="AK174" i="1" a="1"/>
  <c r="AK174" i="1" s="1"/>
  <c r="AK175" i="1" a="1"/>
  <c r="AK175" i="1" s="1"/>
  <c r="AK176" i="1" a="1"/>
  <c r="AK176" i="1" s="1"/>
  <c r="AK177" i="1" a="1"/>
  <c r="AK177" i="1" s="1"/>
  <c r="AK178" i="1" a="1"/>
  <c r="AK178" i="1" s="1"/>
  <c r="AK179" i="1" a="1"/>
  <c r="AK179" i="1" s="1"/>
  <c r="AK180" i="1" a="1"/>
  <c r="AK180" i="1" s="1"/>
  <c r="AK181" i="1" a="1"/>
  <c r="AK181" i="1" s="1"/>
  <c r="AK182" i="1" a="1"/>
  <c r="AK182" i="1" s="1"/>
  <c r="AK183" i="1" a="1"/>
  <c r="AK183" i="1" s="1"/>
  <c r="AK184" i="1" a="1"/>
  <c r="AK184" i="1" s="1"/>
  <c r="AK185" i="1" a="1"/>
  <c r="AK185" i="1" s="1"/>
  <c r="AK186" i="1" a="1"/>
  <c r="AK186" i="1" s="1"/>
  <c r="AK187" i="1" a="1"/>
  <c r="AK187" i="1" s="1"/>
  <c r="AK188" i="1" a="1"/>
  <c r="AK188" i="1" s="1"/>
  <c r="AK189" i="1" a="1"/>
  <c r="AK189" i="1" s="1"/>
  <c r="AK190" i="1" a="1"/>
  <c r="AK190" i="1" s="1"/>
  <c r="AK191" i="1" a="1"/>
  <c r="AK191" i="1" s="1"/>
  <c r="AK192" i="1" a="1"/>
  <c r="AK192" i="1" s="1"/>
  <c r="AK193" i="1" a="1"/>
  <c r="AK193" i="1" s="1"/>
  <c r="AK194" i="1" a="1"/>
  <c r="AK194" i="1" s="1"/>
  <c r="AK195" i="1" a="1"/>
  <c r="AK195" i="1" s="1"/>
  <c r="AK196" i="1" a="1"/>
  <c r="AK196" i="1" s="1"/>
  <c r="AK197" i="1" a="1"/>
  <c r="AK197" i="1" s="1"/>
  <c r="AK198" i="1" a="1"/>
  <c r="AK198" i="1" s="1"/>
  <c r="AK199" i="1" a="1"/>
  <c r="AK199" i="1" s="1"/>
  <c r="AK200" i="1" a="1"/>
  <c r="AK200" i="1" s="1"/>
  <c r="AK201" i="1" a="1"/>
  <c r="AK201" i="1" s="1"/>
  <c r="AK202" i="1" a="1"/>
  <c r="AK202" i="1" s="1"/>
  <c r="AK203" i="1" a="1"/>
  <c r="AK203" i="1" s="1"/>
  <c r="AK204" i="1" a="1"/>
  <c r="AK204" i="1" s="1"/>
  <c r="AK205" i="1" a="1"/>
  <c r="AK205" i="1" s="1"/>
  <c r="AK206" i="1" a="1"/>
  <c r="AK206" i="1" s="1"/>
  <c r="AK207" i="1" a="1"/>
  <c r="AK207" i="1" s="1"/>
  <c r="AK208" i="1" a="1"/>
  <c r="AK208" i="1" s="1"/>
  <c r="AK209" i="1" a="1"/>
  <c r="AK209" i="1" s="1"/>
  <c r="AK210" i="1" a="1"/>
  <c r="AK210" i="1" s="1"/>
  <c r="AK211" i="1" a="1"/>
  <c r="AK211" i="1" s="1"/>
  <c r="AK212" i="1" a="1"/>
  <c r="AK212" i="1" s="1"/>
  <c r="AK213" i="1" a="1"/>
  <c r="AK213" i="1" s="1"/>
  <c r="AK214" i="1" a="1"/>
  <c r="AK214" i="1" s="1"/>
  <c r="AK215" i="1" a="1"/>
  <c r="AK215" i="1" s="1"/>
  <c r="AK216" i="1" a="1"/>
  <c r="AK216" i="1" s="1"/>
  <c r="AK217" i="1" a="1"/>
  <c r="AK217" i="1" s="1"/>
  <c r="AK218" i="1" a="1"/>
  <c r="AK218" i="1" s="1"/>
  <c r="AK219" i="1" a="1"/>
  <c r="AK219" i="1" s="1"/>
  <c r="AK220" i="1" a="1"/>
  <c r="AK220" i="1" s="1"/>
  <c r="AK221" i="1" a="1"/>
  <c r="AK221" i="1" s="1"/>
  <c r="AK222" i="1" a="1"/>
  <c r="AK222" i="1" s="1"/>
  <c r="AK223" i="1" a="1"/>
  <c r="AK223" i="1" s="1"/>
  <c r="AK224" i="1" a="1"/>
  <c r="AK224" i="1" s="1"/>
  <c r="AK225" i="1" a="1"/>
  <c r="AK225" i="1" s="1"/>
  <c r="AK226" i="1" a="1"/>
  <c r="AK226" i="1" s="1"/>
  <c r="AK227" i="1" a="1"/>
  <c r="AK227" i="1" s="1"/>
  <c r="AK228" i="1" a="1"/>
  <c r="AK228" i="1" s="1"/>
  <c r="AK229" i="1" a="1"/>
  <c r="AK229" i="1" s="1"/>
  <c r="AK230" i="1" a="1"/>
  <c r="AK230" i="1" s="1"/>
  <c r="AK231" i="1" a="1"/>
  <c r="AK231" i="1" s="1"/>
  <c r="AK232" i="1" a="1"/>
  <c r="AK232" i="1" s="1"/>
  <c r="AK233" i="1" a="1"/>
  <c r="AK233" i="1" s="1"/>
  <c r="AK234" i="1" a="1"/>
  <c r="AK234" i="1" s="1"/>
  <c r="AK235" i="1" a="1"/>
  <c r="AK235" i="1" s="1"/>
  <c r="AK236" i="1" a="1"/>
  <c r="AK236" i="1" s="1"/>
  <c r="AK237" i="1" a="1"/>
  <c r="AK237" i="1" s="1"/>
  <c r="AK238" i="1" a="1"/>
  <c r="AK238" i="1" s="1"/>
  <c r="AK239" i="1" a="1"/>
  <c r="AK239" i="1" s="1"/>
  <c r="AK240" i="1" a="1"/>
  <c r="AK240" i="1" s="1"/>
  <c r="AK241" i="1" a="1"/>
  <c r="AK241" i="1" s="1"/>
  <c r="AK242" i="1" a="1"/>
  <c r="AK242" i="1" s="1"/>
  <c r="AK243" i="1" a="1"/>
  <c r="AK243" i="1" s="1"/>
  <c r="AK244" i="1" a="1"/>
  <c r="AK244" i="1" s="1"/>
  <c r="AK245" i="1" a="1"/>
  <c r="AK245" i="1" s="1"/>
  <c r="AK246" i="1" a="1"/>
  <c r="AK246" i="1" s="1"/>
  <c r="AK247" i="1" a="1"/>
  <c r="AK247" i="1" s="1"/>
  <c r="AK248" i="1" a="1"/>
  <c r="AK248" i="1" s="1"/>
  <c r="AK249" i="1" a="1"/>
  <c r="AK249" i="1" s="1"/>
  <c r="AK250" i="1" a="1"/>
  <c r="AK250" i="1" s="1"/>
  <c r="AK251" i="1" a="1"/>
  <c r="AK251" i="1" s="1"/>
  <c r="AK252" i="1" a="1"/>
  <c r="AK252" i="1" s="1"/>
  <c r="AK253" i="1" a="1"/>
  <c r="AK253" i="1" s="1"/>
  <c r="AK254" i="1" a="1"/>
  <c r="AK254" i="1" s="1"/>
  <c r="AK255" i="1" a="1"/>
  <c r="AK255" i="1" s="1"/>
  <c r="AK256" i="1" a="1"/>
  <c r="AK256" i="1" s="1"/>
  <c r="AK257" i="1" a="1"/>
  <c r="AK257" i="1" s="1"/>
  <c r="AK258" i="1" a="1"/>
  <c r="AK258" i="1" s="1"/>
  <c r="AK259" i="1" a="1"/>
  <c r="AK259" i="1" s="1"/>
  <c r="AK260" i="1" a="1"/>
  <c r="AK260" i="1" s="1"/>
  <c r="AK261" i="1" a="1"/>
  <c r="AK261" i="1" s="1"/>
  <c r="AK262" i="1" a="1"/>
  <c r="AK262" i="1" s="1"/>
  <c r="AK263" i="1" a="1"/>
  <c r="AK263" i="1" s="1"/>
  <c r="AK264" i="1" a="1"/>
  <c r="AK264" i="1" s="1"/>
  <c r="AK265" i="1" a="1"/>
  <c r="AK265" i="1" s="1"/>
  <c r="AK266" i="1" a="1"/>
  <c r="AK266" i="1" s="1"/>
  <c r="AK267" i="1" a="1"/>
  <c r="AK267" i="1" s="1"/>
  <c r="AK268" i="1" a="1"/>
  <c r="AK268" i="1" s="1"/>
  <c r="AK269" i="1" a="1"/>
  <c r="AK269" i="1" s="1"/>
  <c r="AK270" i="1" a="1"/>
  <c r="AK270" i="1" s="1"/>
  <c r="AK271" i="1" a="1"/>
  <c r="AK271" i="1" s="1"/>
  <c r="AK272" i="1" a="1"/>
  <c r="AK272" i="1" s="1"/>
  <c r="AK273" i="1" a="1"/>
  <c r="AK273" i="1" s="1"/>
  <c r="AK274" i="1" a="1"/>
  <c r="AK274" i="1" s="1"/>
  <c r="AK275" i="1" a="1"/>
  <c r="AK275" i="1" s="1"/>
  <c r="AK276" i="1" a="1"/>
  <c r="AK276" i="1" s="1"/>
  <c r="AK277" i="1" a="1"/>
  <c r="AK277" i="1" s="1"/>
  <c r="AK278" i="1" a="1"/>
  <c r="AK278" i="1" s="1"/>
  <c r="AK279" i="1" a="1"/>
  <c r="AK279" i="1" s="1"/>
  <c r="AK280" i="1" a="1"/>
  <c r="AK280" i="1" s="1"/>
  <c r="AK281" i="1" a="1"/>
  <c r="AK281" i="1" s="1"/>
  <c r="AK282" i="1" a="1"/>
  <c r="AK282" i="1" s="1"/>
  <c r="AK283" i="1" a="1"/>
  <c r="AK283" i="1" s="1"/>
  <c r="AK284" i="1" a="1"/>
  <c r="AK284" i="1" s="1"/>
  <c r="AK285" i="1" a="1"/>
  <c r="AK285" i="1" s="1"/>
  <c r="AK286" i="1" a="1"/>
  <c r="AK286" i="1" s="1"/>
  <c r="AK287" i="1" a="1"/>
  <c r="AK287" i="1" s="1"/>
  <c r="AK288" i="1" a="1"/>
  <c r="AK288" i="1" s="1"/>
  <c r="AK289" i="1" a="1"/>
  <c r="AK289" i="1" s="1"/>
  <c r="AK290" i="1" a="1"/>
  <c r="AK290" i="1" s="1"/>
  <c r="AK291" i="1" a="1"/>
  <c r="AK291" i="1" s="1"/>
  <c r="AK292" i="1" a="1"/>
  <c r="AK292" i="1" s="1"/>
  <c r="AK293" i="1" a="1"/>
  <c r="AK293" i="1" s="1"/>
  <c r="AK294" i="1" a="1"/>
  <c r="AK294" i="1" s="1"/>
  <c r="AK295" i="1" a="1"/>
  <c r="AK295" i="1" s="1"/>
  <c r="AK296" i="1" a="1"/>
  <c r="AK296" i="1" s="1"/>
  <c r="AK297" i="1" a="1"/>
  <c r="AK297" i="1" s="1"/>
  <c r="AK298" i="1" a="1"/>
  <c r="AK298" i="1" s="1"/>
  <c r="AK299" i="1" a="1"/>
  <c r="AK299" i="1" s="1"/>
  <c r="AK300" i="1" a="1"/>
  <c r="AK300" i="1" s="1"/>
  <c r="AK301" i="1" a="1"/>
  <c r="AK301" i="1" s="1"/>
  <c r="AK302" i="1" a="1"/>
  <c r="AK302" i="1" s="1"/>
  <c r="AK303" i="1" a="1"/>
  <c r="AK303" i="1" s="1"/>
  <c r="AK304" i="1" a="1"/>
  <c r="AK304" i="1" s="1"/>
  <c r="AK305" i="1" a="1"/>
  <c r="AK305" i="1" s="1"/>
  <c r="AK306" i="1" a="1"/>
  <c r="AK306" i="1" s="1"/>
  <c r="AK307" i="1" a="1"/>
  <c r="AK307" i="1" s="1"/>
  <c r="AK308" i="1" a="1"/>
  <c r="AK308" i="1" s="1"/>
  <c r="AK309" i="1" a="1"/>
  <c r="AK309" i="1" s="1"/>
  <c r="AK310" i="1" a="1"/>
  <c r="AK310" i="1" s="1"/>
  <c r="AK311" i="1" a="1"/>
  <c r="AK311" i="1" s="1"/>
  <c r="AK312" i="1" a="1"/>
  <c r="AK312" i="1" s="1"/>
  <c r="AK313" i="1" a="1"/>
  <c r="AK313" i="1" s="1"/>
  <c r="AK314" i="1" a="1"/>
  <c r="AK314" i="1" s="1"/>
  <c r="AK315" i="1" a="1"/>
  <c r="AK315" i="1" s="1"/>
  <c r="AK316" i="1" a="1"/>
  <c r="AK316" i="1" s="1"/>
  <c r="AK317" i="1" a="1"/>
  <c r="AK317" i="1" s="1"/>
  <c r="AK318" i="1" a="1"/>
  <c r="AK318" i="1" s="1"/>
  <c r="AK319" i="1" a="1"/>
  <c r="AK319" i="1" s="1"/>
  <c r="AK320" i="1" a="1"/>
  <c r="AK320" i="1" s="1"/>
  <c r="AK321" i="1" a="1"/>
  <c r="AK321" i="1" s="1"/>
  <c r="AK322" i="1" a="1"/>
  <c r="AK322" i="1" s="1"/>
  <c r="AK323" i="1" a="1"/>
  <c r="AK323" i="1" s="1"/>
  <c r="AK324" i="1" a="1"/>
  <c r="AK324" i="1" s="1"/>
  <c r="AK325" i="1" a="1"/>
  <c r="AK325" i="1" s="1"/>
  <c r="AK326" i="1" a="1"/>
  <c r="AK326" i="1" s="1"/>
  <c r="AK327" i="1" a="1"/>
  <c r="AK327" i="1" s="1"/>
  <c r="AK328" i="1" a="1"/>
  <c r="AK328" i="1" s="1"/>
  <c r="AK329" i="1" a="1"/>
  <c r="AK329" i="1" s="1"/>
  <c r="AK330" i="1" a="1"/>
  <c r="AK330" i="1" s="1"/>
  <c r="AK331" i="1" a="1"/>
  <c r="AK331" i="1" s="1"/>
  <c r="AK332" i="1" a="1"/>
  <c r="AK332" i="1" s="1"/>
  <c r="AK333" i="1" a="1"/>
  <c r="AK333" i="1" s="1"/>
  <c r="AK334" i="1" a="1"/>
  <c r="AK334" i="1" s="1"/>
  <c r="AK335" i="1" a="1"/>
  <c r="AK335" i="1" s="1"/>
  <c r="AK336" i="1" a="1"/>
  <c r="AK336" i="1" s="1"/>
  <c r="AK337" i="1" a="1"/>
  <c r="AK337" i="1" s="1"/>
  <c r="AK338" i="1" a="1"/>
  <c r="AK338" i="1" s="1"/>
  <c r="AK339" i="1" a="1"/>
  <c r="AK339" i="1" s="1"/>
  <c r="AK340" i="1" a="1"/>
  <c r="AK340" i="1" s="1"/>
  <c r="AK341" i="1" a="1"/>
  <c r="AK341" i="1" s="1"/>
  <c r="AK342" i="1" a="1"/>
  <c r="AK342" i="1" s="1"/>
  <c r="AK343" i="1" a="1"/>
  <c r="AK343" i="1" s="1"/>
  <c r="AK344" i="1" a="1"/>
  <c r="AK344" i="1" s="1"/>
  <c r="AK345" i="1" a="1"/>
  <c r="AK345" i="1" s="1"/>
  <c r="AK346" i="1" a="1"/>
  <c r="AK346" i="1" s="1"/>
  <c r="AK347" i="1" a="1"/>
  <c r="AK347" i="1" s="1"/>
  <c r="AK348" i="1" a="1"/>
  <c r="AK348" i="1" s="1"/>
  <c r="AK349" i="1" a="1"/>
  <c r="AK349" i="1" s="1"/>
  <c r="AK350" i="1" a="1"/>
  <c r="AK350" i="1" s="1"/>
  <c r="AK351" i="1" a="1"/>
  <c r="AK351" i="1" s="1"/>
  <c r="AK352" i="1" a="1"/>
  <c r="AK352" i="1" s="1"/>
  <c r="AK353" i="1" a="1"/>
  <c r="AK353" i="1" s="1"/>
  <c r="AK354" i="1" a="1"/>
  <c r="AK354" i="1" s="1"/>
  <c r="AK355" i="1" a="1"/>
  <c r="AK355" i="1" s="1"/>
  <c r="AK356" i="1" a="1"/>
  <c r="AK356" i="1" s="1"/>
  <c r="AK357" i="1" a="1"/>
  <c r="AK357" i="1" s="1"/>
  <c r="AK358" i="1" a="1"/>
  <c r="AK358" i="1" s="1"/>
  <c r="AK359" i="1" a="1"/>
  <c r="AK359" i="1" s="1"/>
  <c r="AK360" i="1" a="1"/>
  <c r="AK360" i="1" s="1"/>
  <c r="AK361" i="1" a="1"/>
  <c r="AK361" i="1" s="1"/>
  <c r="AK362" i="1" a="1"/>
  <c r="AK362" i="1" s="1"/>
  <c r="AK363" i="1" a="1"/>
  <c r="AK363" i="1" s="1"/>
  <c r="AK364" i="1" a="1"/>
  <c r="AK364" i="1" s="1"/>
  <c r="AK365" i="1" a="1"/>
  <c r="AK365" i="1" s="1"/>
  <c r="AK366" i="1" a="1"/>
  <c r="AK366" i="1" s="1"/>
  <c r="AK367" i="1" a="1"/>
  <c r="AK367" i="1" s="1"/>
  <c r="AK368" i="1" a="1"/>
  <c r="AK368" i="1" s="1"/>
  <c r="AK369" i="1" a="1"/>
  <c r="AK369" i="1" s="1"/>
  <c r="AK370" i="1" a="1"/>
  <c r="AK370" i="1" s="1"/>
  <c r="AK371" i="1" a="1"/>
  <c r="AK371" i="1" s="1"/>
  <c r="AK372" i="1" a="1"/>
  <c r="AK372" i="1" s="1"/>
  <c r="AK373" i="1" a="1"/>
  <c r="AK373" i="1" s="1"/>
  <c r="AK374" i="1" a="1"/>
  <c r="AK374" i="1" s="1"/>
  <c r="AK375" i="1" a="1"/>
  <c r="AK375" i="1" s="1"/>
  <c r="AK376" i="1" a="1"/>
  <c r="AK376" i="1" s="1"/>
  <c r="AK377" i="1" a="1"/>
  <c r="AK377" i="1" s="1"/>
  <c r="AK378" i="1" a="1"/>
  <c r="AK378" i="1" s="1"/>
  <c r="AK379" i="1" a="1"/>
  <c r="AK379" i="1" s="1"/>
  <c r="AK380" i="1" a="1"/>
  <c r="AK380" i="1" s="1"/>
  <c r="AK381" i="1" a="1"/>
  <c r="AK381" i="1" s="1"/>
  <c r="AK382" i="1" a="1"/>
  <c r="AK382" i="1" s="1"/>
  <c r="AK383" i="1" a="1"/>
  <c r="AK383" i="1" s="1"/>
  <c r="AK384" i="1" a="1"/>
  <c r="AK384" i="1" s="1"/>
  <c r="AK385" i="1" a="1"/>
  <c r="AK385" i="1" s="1"/>
  <c r="AK386" i="1" a="1"/>
  <c r="AK386" i="1" s="1"/>
  <c r="AK387" i="1" a="1"/>
  <c r="AK387" i="1" s="1"/>
  <c r="AK388" i="1" a="1"/>
  <c r="AK388" i="1" s="1"/>
  <c r="AK389" i="1" a="1"/>
  <c r="AK389" i="1" s="1"/>
  <c r="AK390" i="1" a="1"/>
  <c r="AK390" i="1" s="1"/>
  <c r="AK391" i="1" a="1"/>
  <c r="AK391" i="1" s="1"/>
  <c r="AK392" i="1" a="1"/>
  <c r="AK392" i="1" s="1"/>
  <c r="AK393" i="1" a="1"/>
  <c r="AK393" i="1" s="1"/>
  <c r="AK394" i="1" a="1"/>
  <c r="AK394" i="1" s="1"/>
  <c r="AK395" i="1" a="1"/>
  <c r="AK395" i="1" s="1"/>
  <c r="AK396" i="1" a="1"/>
  <c r="AK396" i="1" s="1"/>
  <c r="AK397" i="1" a="1"/>
  <c r="AK397" i="1" s="1"/>
  <c r="AK398" i="1" a="1"/>
  <c r="AK398" i="1" s="1"/>
  <c r="AK399" i="1" a="1"/>
  <c r="AK399" i="1" s="1"/>
  <c r="AK400" i="1" a="1"/>
  <c r="AK400" i="1" s="1"/>
  <c r="AK401" i="1" a="1"/>
  <c r="AK401" i="1" s="1"/>
  <c r="AK402" i="1" a="1"/>
  <c r="AK402" i="1" s="1"/>
  <c r="AK403" i="1" a="1"/>
  <c r="AK403" i="1" s="1"/>
  <c r="AK404" i="1" a="1"/>
  <c r="AK404" i="1" s="1"/>
  <c r="AK405" i="1" a="1"/>
  <c r="AK405" i="1" s="1"/>
  <c r="AK406" i="1" a="1"/>
  <c r="AK406" i="1" s="1"/>
  <c r="AK407" i="1" a="1"/>
  <c r="AK407" i="1" s="1"/>
  <c r="AK408" i="1" a="1"/>
  <c r="AK408" i="1" s="1"/>
  <c r="AK409" i="1" a="1"/>
  <c r="AK409" i="1" s="1"/>
  <c r="AK410" i="1" a="1"/>
  <c r="AK410" i="1" s="1"/>
  <c r="AK411" i="1" a="1"/>
  <c r="AK411" i="1" s="1"/>
  <c r="AK412" i="1" a="1"/>
  <c r="AK412" i="1" s="1"/>
  <c r="AK413" i="1" a="1"/>
  <c r="AK413" i="1" s="1"/>
  <c r="AK414" i="1" a="1"/>
  <c r="AK414" i="1" s="1"/>
  <c r="AK415" i="1" a="1"/>
  <c r="AK415" i="1" s="1"/>
  <c r="AK416" i="1" a="1"/>
  <c r="AK416" i="1" s="1"/>
  <c r="AK417" i="1" a="1"/>
  <c r="AK417" i="1" s="1"/>
  <c r="AK418" i="1" a="1"/>
  <c r="AK418" i="1" s="1"/>
  <c r="AK419" i="1" a="1"/>
  <c r="AK419" i="1" s="1"/>
  <c r="AK420" i="1" a="1"/>
  <c r="AK420" i="1" s="1"/>
  <c r="AK421" i="1" a="1"/>
  <c r="AK421" i="1" s="1"/>
  <c r="AK422" i="1" a="1"/>
  <c r="AK422" i="1" s="1"/>
  <c r="AK423" i="1" a="1"/>
  <c r="AK423" i="1" s="1"/>
  <c r="AK424" i="1" a="1"/>
  <c r="AK424" i="1" s="1"/>
  <c r="AK425" i="1" a="1"/>
  <c r="AK425" i="1" s="1"/>
  <c r="AK426" i="1" a="1"/>
  <c r="AK426" i="1" s="1"/>
  <c r="AK427" i="1" a="1"/>
  <c r="AK427" i="1" s="1"/>
  <c r="AK428" i="1" a="1"/>
  <c r="AK428" i="1" s="1"/>
  <c r="AK429" i="1" a="1"/>
  <c r="AK429" i="1" s="1"/>
  <c r="AK430" i="1" a="1"/>
  <c r="AK430" i="1" s="1"/>
  <c r="AK431" i="1" a="1"/>
  <c r="AK431" i="1" s="1"/>
  <c r="AK432" i="1" a="1"/>
  <c r="AK432" i="1" s="1"/>
  <c r="AK433" i="1" a="1"/>
  <c r="AK433" i="1" s="1"/>
  <c r="AK434" i="1" a="1"/>
  <c r="AK434" i="1" s="1"/>
  <c r="AK435" i="1" a="1"/>
  <c r="AK435" i="1" s="1"/>
  <c r="AK436" i="1" a="1"/>
  <c r="AK436" i="1" s="1"/>
  <c r="AK437" i="1" a="1"/>
  <c r="AK437" i="1" s="1"/>
  <c r="AK438" i="1" a="1"/>
  <c r="AK438" i="1" s="1"/>
  <c r="AK439" i="1" a="1"/>
  <c r="AK439" i="1" s="1"/>
  <c r="AK440" i="1" a="1"/>
  <c r="AK440" i="1" s="1"/>
  <c r="AK441" i="1" a="1"/>
  <c r="AK441" i="1" s="1"/>
  <c r="AK442" i="1" a="1"/>
  <c r="AK442" i="1" s="1"/>
  <c r="AK443" i="1" a="1"/>
  <c r="AK443" i="1" s="1"/>
  <c r="AK444" i="1" a="1"/>
  <c r="AK444" i="1" s="1"/>
  <c r="AK445" i="1" a="1"/>
  <c r="AK445" i="1" s="1"/>
  <c r="AK446" i="1" a="1"/>
  <c r="AK446" i="1" s="1"/>
  <c r="AK447" i="1" a="1"/>
  <c r="AK447" i="1" s="1"/>
  <c r="AK448" i="1" a="1"/>
  <c r="AK448" i="1" s="1"/>
  <c r="AK449" i="1" a="1"/>
  <c r="AK449" i="1" s="1"/>
  <c r="AK450" i="1" a="1"/>
  <c r="AK450" i="1" s="1"/>
  <c r="AK451" i="1" a="1"/>
  <c r="AK451" i="1" s="1"/>
  <c r="AK452" i="1" a="1"/>
  <c r="AK452" i="1" s="1"/>
  <c r="AK453" i="1" a="1"/>
  <c r="AK453" i="1" s="1"/>
  <c r="AK454" i="1" a="1"/>
  <c r="AK454" i="1" s="1"/>
  <c r="AK455" i="1" a="1"/>
  <c r="AK455" i="1" s="1"/>
  <c r="AK456" i="1" a="1"/>
  <c r="AK456" i="1" s="1"/>
  <c r="AK457" i="1" a="1"/>
  <c r="AK457" i="1" s="1"/>
  <c r="AK458" i="1" a="1"/>
  <c r="AK458" i="1" s="1"/>
  <c r="AK459" i="1" a="1"/>
  <c r="AK459" i="1" s="1"/>
  <c r="AK460" i="1" a="1"/>
  <c r="AK460" i="1" s="1"/>
  <c r="AK461" i="1" a="1"/>
  <c r="AK461" i="1" s="1"/>
  <c r="AK462" i="1" a="1"/>
  <c r="AK462" i="1" s="1"/>
  <c r="AK463" i="1" a="1"/>
  <c r="AK463" i="1" s="1"/>
  <c r="AK464" i="1" a="1"/>
  <c r="AK464" i="1" s="1"/>
  <c r="AK465" i="1" a="1"/>
  <c r="AK465" i="1" s="1"/>
  <c r="AK466" i="1" a="1"/>
  <c r="AK466" i="1" s="1"/>
  <c r="AK467" i="1" a="1"/>
  <c r="AK467" i="1" s="1"/>
  <c r="AK468" i="1" a="1"/>
  <c r="AK468" i="1" s="1"/>
  <c r="AK469" i="1" a="1"/>
  <c r="AK469" i="1" s="1"/>
  <c r="AK470" i="1" a="1"/>
  <c r="AK470" i="1" s="1"/>
  <c r="AK471" i="1" a="1"/>
  <c r="AK471" i="1" s="1"/>
  <c r="AK472" i="1" a="1"/>
  <c r="AK472" i="1" s="1"/>
  <c r="AK473" i="1" a="1"/>
  <c r="AK473" i="1" s="1"/>
  <c r="AK474" i="1" a="1"/>
  <c r="AK474" i="1" s="1"/>
  <c r="AK475" i="1" a="1"/>
  <c r="AK475" i="1" s="1"/>
  <c r="AK476" i="1" a="1"/>
  <c r="AK476" i="1" s="1"/>
  <c r="AK477" i="1" a="1"/>
  <c r="AK477" i="1" s="1"/>
  <c r="AK478" i="1" a="1"/>
  <c r="AK478" i="1" s="1"/>
  <c r="AK479" i="1" a="1"/>
  <c r="AK479" i="1" s="1"/>
  <c r="AK480" i="1" a="1"/>
  <c r="AK480" i="1" s="1"/>
  <c r="AK481" i="1" a="1"/>
  <c r="AK481" i="1" s="1"/>
  <c r="AK482" i="1" a="1"/>
  <c r="AK482" i="1" s="1"/>
  <c r="AK483" i="1" a="1"/>
  <c r="AK483" i="1" s="1"/>
  <c r="AK484" i="1" a="1"/>
  <c r="AK484" i="1" s="1"/>
  <c r="AK485" i="1" a="1"/>
  <c r="AK485" i="1" s="1"/>
  <c r="AK486" i="1" a="1"/>
  <c r="AK486" i="1" s="1"/>
  <c r="AK487" i="1" a="1"/>
  <c r="AK487" i="1" s="1"/>
  <c r="AK488" i="1" a="1"/>
  <c r="AK488" i="1" s="1"/>
  <c r="AK489" i="1" a="1"/>
  <c r="AK489" i="1" s="1"/>
  <c r="AK490" i="1" a="1"/>
  <c r="AK490" i="1" s="1"/>
  <c r="AK491" i="1" a="1"/>
  <c r="AK491" i="1" s="1"/>
  <c r="AK492" i="1" a="1"/>
  <c r="AK492" i="1" s="1"/>
  <c r="AK493" i="1" a="1"/>
  <c r="AK493" i="1" s="1"/>
  <c r="AK494" i="1" a="1"/>
  <c r="AK494" i="1" s="1"/>
  <c r="AK495" i="1" a="1"/>
  <c r="AK495" i="1" s="1"/>
  <c r="AK496" i="1" a="1"/>
  <c r="AK496" i="1" s="1"/>
  <c r="AK497" i="1" a="1"/>
  <c r="AK497" i="1" s="1"/>
  <c r="AK498" i="1" a="1"/>
  <c r="AK498" i="1" s="1"/>
  <c r="AK499" i="1" a="1"/>
  <c r="AK499" i="1" s="1"/>
  <c r="AK500" i="1" a="1"/>
  <c r="AK500" i="1" s="1"/>
  <c r="AK501" i="1" a="1"/>
  <c r="AK501" i="1" s="1"/>
  <c r="AK502" i="1" a="1"/>
  <c r="AK502" i="1" s="1"/>
  <c r="AK503" i="1" a="1"/>
  <c r="AK503" i="1" s="1"/>
  <c r="AK504" i="1" a="1"/>
  <c r="AK504" i="1" s="1"/>
  <c r="AK505" i="1" a="1"/>
  <c r="AK505" i="1" s="1"/>
  <c r="AK506" i="1" a="1"/>
  <c r="AK506" i="1" s="1"/>
  <c r="AK507" i="1" a="1"/>
  <c r="AK507" i="1" s="1"/>
  <c r="AK508" i="1" a="1"/>
  <c r="AK508" i="1" s="1"/>
  <c r="AK509" i="1" a="1"/>
  <c r="AK509" i="1" s="1"/>
  <c r="AK510" i="1" a="1"/>
  <c r="AK510" i="1" s="1"/>
  <c r="AK511" i="1" a="1"/>
  <c r="AK511" i="1" s="1"/>
  <c r="AK512" i="1" a="1"/>
  <c r="AK512" i="1" s="1"/>
  <c r="AK513" i="1" a="1"/>
  <c r="AK513" i="1" s="1"/>
  <c r="AK514" i="1" a="1"/>
  <c r="AK514" i="1" s="1"/>
  <c r="AK515" i="1" a="1"/>
  <c r="AK515" i="1" s="1"/>
  <c r="AK516" i="1" a="1"/>
  <c r="AK516" i="1" s="1"/>
  <c r="AK517" i="1" a="1"/>
  <c r="AK517" i="1" s="1"/>
  <c r="AK518" i="1" a="1"/>
  <c r="AK518" i="1" s="1"/>
  <c r="AK519" i="1" a="1"/>
  <c r="AK519" i="1" s="1"/>
  <c r="AK520" i="1" a="1"/>
  <c r="AK520" i="1" s="1"/>
  <c r="AK521" i="1" a="1"/>
  <c r="AK521" i="1" s="1"/>
  <c r="AK522" i="1" a="1"/>
  <c r="AK522" i="1" s="1"/>
  <c r="AK523" i="1" a="1"/>
  <c r="AK523" i="1" s="1"/>
  <c r="AK524" i="1" a="1"/>
  <c r="AK524" i="1" s="1"/>
  <c r="AK525" i="1" a="1"/>
  <c r="AK525" i="1" s="1"/>
  <c r="AK526" i="1" a="1"/>
  <c r="AK526" i="1" s="1"/>
  <c r="AK527" i="1" a="1"/>
  <c r="AK527" i="1" s="1"/>
  <c r="AK528" i="1" a="1"/>
  <c r="AK528" i="1" s="1"/>
  <c r="AK529" i="1" a="1"/>
  <c r="AK529" i="1" s="1"/>
  <c r="AK530" i="1" a="1"/>
  <c r="AK530" i="1" s="1"/>
  <c r="AK531" i="1" a="1"/>
  <c r="AK531" i="1" s="1"/>
  <c r="AK532" i="1" a="1"/>
  <c r="AK532" i="1" s="1"/>
  <c r="AK533" i="1" a="1"/>
  <c r="AK533" i="1" s="1"/>
  <c r="AK534" i="1" a="1"/>
  <c r="AK534" i="1" s="1"/>
  <c r="AK535" i="1" a="1"/>
  <c r="AK535" i="1" s="1"/>
  <c r="AK536" i="1" a="1"/>
  <c r="AK536" i="1" s="1"/>
  <c r="AK537" i="1" a="1"/>
  <c r="AK537" i="1" s="1"/>
  <c r="AK538" i="1" a="1"/>
  <c r="AK538" i="1" s="1"/>
  <c r="AK539" i="1" a="1"/>
  <c r="AK539" i="1" s="1"/>
  <c r="AK540" i="1" a="1"/>
  <c r="AK540" i="1" s="1"/>
  <c r="AK541" i="1" a="1"/>
  <c r="AK541" i="1" s="1"/>
  <c r="AK542" i="1" a="1"/>
  <c r="AK542" i="1" s="1"/>
  <c r="AK543" i="1" a="1"/>
  <c r="AK543" i="1" s="1"/>
  <c r="AK544" i="1" a="1"/>
  <c r="AK544" i="1" s="1"/>
  <c r="AK545" i="1" a="1"/>
  <c r="AK545" i="1" s="1"/>
  <c r="AK546" i="1" a="1"/>
  <c r="AK546" i="1" s="1"/>
  <c r="AK547" i="1" a="1"/>
  <c r="AK547" i="1" s="1"/>
  <c r="AK548" i="1" a="1"/>
  <c r="AK548" i="1" s="1"/>
  <c r="AK549" i="1" a="1"/>
  <c r="AK549" i="1" s="1"/>
  <c r="AK550" i="1" a="1"/>
  <c r="AK550" i="1" s="1"/>
  <c r="AK551" i="1" a="1"/>
  <c r="AK551" i="1" s="1"/>
  <c r="AK552" i="1" a="1"/>
  <c r="AK552" i="1" s="1"/>
  <c r="AK553" i="1" a="1"/>
  <c r="AK553" i="1" s="1"/>
  <c r="AK554" i="1" a="1"/>
  <c r="AK554" i="1" s="1"/>
  <c r="AK555" i="1" a="1"/>
  <c r="AK555" i="1" s="1"/>
  <c r="AK556" i="1" a="1"/>
  <c r="AK556" i="1" s="1"/>
  <c r="AK557" i="1" a="1"/>
  <c r="AK557" i="1" s="1"/>
  <c r="AK558" i="1" a="1"/>
  <c r="AK558" i="1" s="1"/>
  <c r="AK559" i="1" a="1"/>
  <c r="AK559" i="1" s="1"/>
  <c r="AK560" i="1" a="1"/>
  <c r="AK560" i="1" s="1"/>
  <c r="AK561" i="1" a="1"/>
  <c r="AK561" i="1" s="1"/>
  <c r="AK562" i="1" a="1"/>
  <c r="AK562" i="1" s="1"/>
  <c r="AK563" i="1" a="1"/>
  <c r="AK563" i="1" s="1"/>
  <c r="AK564" i="1" a="1"/>
  <c r="AK564" i="1" s="1"/>
  <c r="AK565" i="1" a="1"/>
  <c r="AK565" i="1" s="1"/>
  <c r="AK566" i="1" a="1"/>
  <c r="AK566" i="1" s="1"/>
  <c r="AK567" i="1" a="1"/>
  <c r="AK567" i="1" s="1"/>
  <c r="AK568" i="1" a="1"/>
  <c r="AK568" i="1" s="1"/>
  <c r="AK569" i="1" a="1"/>
  <c r="AK569" i="1" s="1"/>
  <c r="AK570" i="1" a="1"/>
  <c r="AK570" i="1" s="1"/>
  <c r="AK571" i="1" a="1"/>
  <c r="AK571" i="1" s="1"/>
  <c r="AK572" i="1" a="1"/>
  <c r="AK572" i="1" s="1"/>
  <c r="AK573" i="1" a="1"/>
  <c r="AK573" i="1" s="1"/>
  <c r="AK574" i="1" a="1"/>
  <c r="AK574" i="1" s="1"/>
  <c r="AK575" i="1" a="1"/>
  <c r="AK575" i="1" s="1"/>
  <c r="AK576" i="1" a="1"/>
  <c r="AK576" i="1" s="1"/>
  <c r="AK577" i="1" a="1"/>
  <c r="AK577" i="1" s="1"/>
  <c r="AK578" i="1" a="1"/>
  <c r="AK578" i="1" s="1"/>
  <c r="AK579" i="1" a="1"/>
  <c r="AK579" i="1" s="1"/>
  <c r="AK580" i="1" a="1"/>
  <c r="AK580" i="1" s="1"/>
  <c r="AK581" i="1" a="1"/>
  <c r="AK581" i="1" s="1"/>
  <c r="AK582" i="1" a="1"/>
  <c r="AK582" i="1" s="1"/>
  <c r="AK583" i="1" a="1"/>
  <c r="AK583" i="1" s="1"/>
  <c r="AK584" i="1" a="1"/>
  <c r="AK584" i="1" s="1"/>
  <c r="AK585" i="1" a="1"/>
  <c r="AK585" i="1" s="1"/>
  <c r="AK586" i="1" a="1"/>
  <c r="AK586" i="1" s="1"/>
  <c r="AK587" i="1" a="1"/>
  <c r="AK587" i="1" s="1"/>
  <c r="AK588" i="1" a="1"/>
  <c r="AK588" i="1" s="1"/>
  <c r="AK589" i="1" a="1"/>
  <c r="AK589" i="1" s="1"/>
  <c r="AK590" i="1" a="1"/>
  <c r="AK590" i="1" s="1"/>
  <c r="AK591" i="1" a="1"/>
  <c r="AK591" i="1" s="1"/>
  <c r="AK592" i="1" a="1"/>
  <c r="AK592" i="1" s="1"/>
  <c r="AK593" i="1" a="1"/>
  <c r="AK593" i="1" s="1"/>
  <c r="AK594" i="1" a="1"/>
  <c r="AK594" i="1" s="1"/>
  <c r="AK595" i="1" a="1"/>
  <c r="AK595" i="1" s="1"/>
  <c r="AK596" i="1" a="1"/>
  <c r="AK596" i="1" s="1"/>
  <c r="AK597" i="1" a="1"/>
  <c r="AK597" i="1" s="1"/>
  <c r="AK598" i="1" a="1"/>
  <c r="AK598" i="1" s="1"/>
  <c r="AK599" i="1" a="1"/>
  <c r="AK599" i="1" s="1"/>
  <c r="AK600" i="1" a="1"/>
  <c r="AK600" i="1" s="1"/>
  <c r="AK601" i="1" a="1"/>
  <c r="AK601" i="1" s="1"/>
  <c r="AK602" i="1" a="1"/>
  <c r="AK602" i="1" s="1"/>
  <c r="AK603" i="1" a="1"/>
  <c r="AK603" i="1" s="1"/>
  <c r="AK604" i="1" a="1"/>
  <c r="AK604" i="1" s="1"/>
  <c r="AK605" i="1" a="1"/>
  <c r="AK605" i="1" s="1"/>
  <c r="AK606" i="1" a="1"/>
  <c r="AK606" i="1" s="1"/>
  <c r="AK607" i="1" a="1"/>
  <c r="AK607" i="1" s="1"/>
  <c r="AK608" i="1" a="1"/>
  <c r="AK608" i="1" s="1"/>
  <c r="AK609" i="1" a="1"/>
  <c r="AK609" i="1" s="1"/>
  <c r="AK610" i="1" a="1"/>
  <c r="AK610" i="1" s="1"/>
  <c r="AK611" i="1" a="1"/>
  <c r="AK611" i="1" s="1"/>
  <c r="AK612" i="1" a="1"/>
  <c r="AK612" i="1" s="1"/>
  <c r="AK613" i="1" a="1"/>
  <c r="AK613" i="1" s="1"/>
  <c r="AK614" i="1" a="1"/>
  <c r="AK614" i="1" s="1"/>
  <c r="AK615" i="1" a="1"/>
  <c r="AK615" i="1" s="1"/>
  <c r="AK616" i="1" a="1"/>
  <c r="AK616" i="1" s="1"/>
  <c r="AK617" i="1" a="1"/>
  <c r="AK617" i="1" s="1"/>
  <c r="AK618" i="1" a="1"/>
  <c r="AK618" i="1" s="1"/>
  <c r="AK619" i="1" a="1"/>
  <c r="AK619" i="1" s="1"/>
  <c r="AK620" i="1" a="1"/>
  <c r="AK620" i="1" s="1"/>
  <c r="AK621" i="1" a="1"/>
  <c r="AK621" i="1" s="1"/>
  <c r="AK622" i="1" a="1"/>
  <c r="AK622" i="1" s="1"/>
  <c r="AK623" i="1" a="1"/>
  <c r="AK623" i="1" s="1"/>
  <c r="AK624" i="1" a="1"/>
  <c r="AK624" i="1" s="1"/>
  <c r="AK625" i="1" a="1"/>
  <c r="AK625" i="1" s="1"/>
  <c r="AK626" i="1" a="1"/>
  <c r="AK626" i="1" s="1"/>
  <c r="AK627" i="1" a="1"/>
  <c r="AK627" i="1" s="1"/>
  <c r="AK628" i="1" a="1"/>
  <c r="AK628" i="1" s="1"/>
  <c r="AK629" i="1" a="1"/>
  <c r="AK629" i="1" s="1"/>
  <c r="AK630" i="1" a="1"/>
  <c r="AK630" i="1" s="1"/>
  <c r="AK631" i="1" a="1"/>
  <c r="AK631" i="1" s="1"/>
  <c r="AK632" i="1" a="1"/>
  <c r="AK632" i="1" s="1"/>
  <c r="AK633" i="1" a="1"/>
  <c r="AK633" i="1" s="1"/>
  <c r="AK634" i="1" a="1"/>
  <c r="AK634" i="1" s="1"/>
  <c r="AK635" i="1" a="1"/>
  <c r="AK635" i="1" s="1"/>
  <c r="AK636" i="1" a="1"/>
  <c r="AK636" i="1" s="1"/>
  <c r="AK637" i="1" a="1"/>
  <c r="AK637" i="1" s="1"/>
  <c r="AK638" i="1" a="1"/>
  <c r="AK638" i="1" s="1"/>
  <c r="AK639" i="1" a="1"/>
  <c r="AK639" i="1" s="1"/>
  <c r="AK640" i="1" a="1"/>
  <c r="AK640" i="1" s="1"/>
  <c r="AK641" i="1" a="1"/>
  <c r="AK641" i="1" s="1"/>
  <c r="AK642" i="1" a="1"/>
  <c r="AK642" i="1" s="1"/>
  <c r="AK643" i="1" a="1"/>
  <c r="AK643" i="1" s="1"/>
  <c r="AK644" i="1" a="1"/>
  <c r="AK644" i="1" s="1"/>
  <c r="AK645" i="1" a="1"/>
  <c r="AK645" i="1" s="1"/>
  <c r="AK646" i="1" a="1"/>
  <c r="AK646" i="1" s="1"/>
  <c r="AK647" i="1" a="1"/>
  <c r="AK647" i="1" s="1"/>
  <c r="AK648" i="1" a="1"/>
  <c r="AK648" i="1" s="1"/>
  <c r="AK649" i="1" a="1"/>
  <c r="AK649" i="1" s="1"/>
  <c r="AK650" i="1" a="1"/>
  <c r="AK650" i="1" s="1"/>
  <c r="AK651" i="1" a="1"/>
  <c r="AK651" i="1" s="1"/>
  <c r="AK652" i="1" a="1"/>
  <c r="AK652" i="1" s="1"/>
  <c r="AK653" i="1" a="1"/>
  <c r="AK653" i="1" s="1"/>
  <c r="AK654" i="1" a="1"/>
  <c r="AK654" i="1" s="1"/>
  <c r="AK655" i="1" a="1"/>
  <c r="AK655" i="1" s="1"/>
  <c r="AK656" i="1" a="1"/>
  <c r="AK656" i="1" s="1"/>
  <c r="AK657" i="1" a="1"/>
  <c r="AK657" i="1" s="1"/>
  <c r="AK658" i="1" a="1"/>
  <c r="AK658" i="1" s="1"/>
  <c r="AK659" i="1" a="1"/>
  <c r="AK659" i="1" s="1"/>
  <c r="AK660" i="1" a="1"/>
  <c r="AK660" i="1" s="1"/>
  <c r="AK661" i="1" a="1"/>
  <c r="AK661" i="1" s="1"/>
  <c r="AK662" i="1" a="1"/>
  <c r="AK662" i="1" s="1"/>
  <c r="AK663" i="1" a="1"/>
  <c r="AK663" i="1" s="1"/>
  <c r="AK664" i="1" a="1"/>
  <c r="AK664" i="1" s="1"/>
  <c r="AK665" i="1" a="1"/>
  <c r="AK665" i="1" s="1"/>
  <c r="AK666" i="1" a="1"/>
  <c r="AK666" i="1" s="1"/>
  <c r="AK667" i="1" a="1"/>
  <c r="AK667" i="1" s="1"/>
  <c r="AK668" i="1" a="1"/>
  <c r="AK668" i="1" s="1"/>
  <c r="AK669" i="1" a="1"/>
  <c r="AK669" i="1" s="1"/>
  <c r="AK670" i="1" a="1"/>
  <c r="AK670" i="1" s="1"/>
  <c r="AK671" i="1" a="1"/>
  <c r="AK671" i="1" s="1"/>
  <c r="AK672" i="1" a="1"/>
  <c r="AK672" i="1" s="1"/>
  <c r="AK673" i="1" a="1"/>
  <c r="AK673" i="1" s="1"/>
  <c r="AK674" i="1" a="1"/>
  <c r="AK674" i="1" s="1"/>
  <c r="AK675" i="1" a="1"/>
  <c r="AK675" i="1" s="1"/>
  <c r="AK676" i="1" a="1"/>
  <c r="AK676" i="1" s="1"/>
  <c r="AK677" i="1" a="1"/>
  <c r="AK677" i="1" s="1"/>
  <c r="AK678" i="1" a="1"/>
  <c r="AK678" i="1" s="1"/>
  <c r="AK679" i="1" a="1"/>
  <c r="AK679" i="1" s="1"/>
  <c r="AK680" i="1" a="1"/>
  <c r="AK680" i="1" s="1"/>
  <c r="AK681" i="1" a="1"/>
  <c r="AK681" i="1" s="1"/>
  <c r="AK682" i="1" a="1"/>
  <c r="AK682" i="1" s="1"/>
  <c r="AK683" i="1" a="1"/>
  <c r="AK683" i="1" s="1"/>
  <c r="AK684" i="1" a="1"/>
  <c r="AK684" i="1" s="1"/>
  <c r="AK685" i="1" a="1"/>
  <c r="AK685" i="1" s="1"/>
  <c r="AK686" i="1" a="1"/>
  <c r="AK686" i="1" s="1"/>
  <c r="AK687" i="1" a="1"/>
  <c r="AK687" i="1" s="1"/>
  <c r="AK688" i="1" a="1"/>
  <c r="AK688" i="1" s="1"/>
  <c r="AK689" i="1" a="1"/>
  <c r="AK689" i="1" s="1"/>
  <c r="AK690" i="1" a="1"/>
  <c r="AK690" i="1" s="1"/>
  <c r="AK691" i="1" a="1"/>
  <c r="AK691" i="1" s="1"/>
  <c r="AK692" i="1" a="1"/>
  <c r="AK692" i="1" s="1"/>
  <c r="AK693" i="1" a="1"/>
  <c r="AK693" i="1" s="1"/>
  <c r="AK694" i="1" a="1"/>
  <c r="AK694" i="1" s="1"/>
  <c r="AK695" i="1" a="1"/>
  <c r="AK695" i="1" s="1"/>
  <c r="AK696" i="1" a="1"/>
  <c r="AK696" i="1" s="1"/>
  <c r="AK697" i="1" a="1"/>
  <c r="AK697" i="1" s="1"/>
  <c r="AK698" i="1" a="1"/>
  <c r="AK698" i="1" s="1"/>
  <c r="AK699" i="1" a="1"/>
  <c r="AK699" i="1" s="1"/>
  <c r="AK700" i="1" a="1"/>
  <c r="AK700" i="1" s="1"/>
  <c r="AK701" i="1" a="1"/>
  <c r="AK701" i="1" s="1"/>
  <c r="AK702" i="1" a="1"/>
  <c r="AK702" i="1" s="1"/>
  <c r="AK703" i="1" a="1"/>
  <c r="AK703" i="1" s="1"/>
  <c r="AK704" i="1" a="1"/>
  <c r="AK704" i="1" s="1"/>
  <c r="AK705" i="1" a="1"/>
  <c r="AK705" i="1" s="1"/>
  <c r="AK706" i="1" a="1"/>
  <c r="AK706" i="1" s="1"/>
  <c r="AK707" i="1" a="1"/>
  <c r="AK707" i="1" s="1"/>
  <c r="AK708" i="1" a="1"/>
  <c r="AK708" i="1" s="1"/>
  <c r="AK709" i="1" a="1"/>
  <c r="AK709" i="1" s="1"/>
  <c r="AK710" i="1" a="1"/>
  <c r="AK710" i="1" s="1"/>
  <c r="AK711" i="1" a="1"/>
  <c r="AK711" i="1" s="1"/>
  <c r="AK712" i="1" a="1"/>
  <c r="AK712" i="1" s="1"/>
  <c r="AK713" i="1" a="1"/>
  <c r="AK713" i="1" s="1"/>
  <c r="AK714" i="1" a="1"/>
  <c r="AK714" i="1" s="1"/>
  <c r="AK715" i="1" a="1"/>
  <c r="AK715" i="1" s="1"/>
  <c r="AK716" i="1" a="1"/>
  <c r="AK716" i="1" s="1"/>
  <c r="AK717" i="1" a="1"/>
  <c r="AK717" i="1" s="1"/>
  <c r="AK718" i="1" a="1"/>
  <c r="AK718" i="1" s="1"/>
  <c r="AK719" i="1" a="1"/>
  <c r="AK719" i="1" s="1"/>
  <c r="AK720" i="1" a="1"/>
  <c r="AK720" i="1" s="1"/>
  <c r="AK721" i="1" a="1"/>
  <c r="AK721" i="1" s="1"/>
  <c r="AK722" i="1" a="1"/>
  <c r="AK722" i="1" s="1"/>
  <c r="AK723" i="1" a="1"/>
  <c r="AK723" i="1" s="1"/>
  <c r="AK724" i="1" a="1"/>
  <c r="AK724" i="1" s="1"/>
  <c r="AK725" i="1" a="1"/>
  <c r="AK725" i="1" s="1"/>
  <c r="AK726" i="1" a="1"/>
  <c r="AK726" i="1" s="1"/>
  <c r="AK727" i="1" a="1"/>
  <c r="AK727" i="1" s="1"/>
  <c r="AK728" i="1" a="1"/>
  <c r="AK728" i="1" s="1"/>
  <c r="AK729" i="1" a="1"/>
  <c r="AK729" i="1" s="1"/>
  <c r="AK730" i="1" a="1"/>
  <c r="AK730" i="1" s="1"/>
  <c r="AK731" i="1" a="1"/>
  <c r="AK731" i="1" s="1"/>
  <c r="AK732" i="1" a="1"/>
  <c r="AK732" i="1" s="1"/>
  <c r="AK733" i="1" a="1"/>
  <c r="AK733" i="1" s="1"/>
  <c r="AK734" i="1" a="1"/>
  <c r="AK734" i="1" s="1"/>
  <c r="AK735" i="1" a="1"/>
  <c r="AK735" i="1" s="1"/>
  <c r="AK736" i="1" a="1"/>
  <c r="AK736" i="1" s="1"/>
  <c r="AK737" i="1" a="1"/>
  <c r="AK737" i="1" s="1"/>
  <c r="AK738" i="1" a="1"/>
  <c r="AK738" i="1" s="1"/>
  <c r="AK739" i="1" a="1"/>
  <c r="AK739" i="1" s="1"/>
  <c r="AK740" i="1" a="1"/>
  <c r="AK740" i="1" s="1"/>
  <c r="AK741" i="1" a="1"/>
  <c r="AK741" i="1" s="1"/>
  <c r="AK742" i="1" a="1"/>
  <c r="AK742" i="1" s="1"/>
  <c r="AK743" i="1" a="1"/>
  <c r="AK743" i="1" s="1"/>
  <c r="AK744" i="1" a="1"/>
  <c r="AK744" i="1" s="1"/>
  <c r="AK745" i="1" a="1"/>
  <c r="AK745" i="1" s="1"/>
  <c r="AK746" i="1" a="1"/>
  <c r="AK746" i="1" s="1"/>
  <c r="AK747" i="1" a="1"/>
  <c r="AK747" i="1" s="1"/>
  <c r="AK748" i="1" a="1"/>
  <c r="AK748" i="1" s="1"/>
  <c r="AK749" i="1" a="1"/>
  <c r="AK749" i="1" s="1"/>
  <c r="AK750" i="1" a="1"/>
  <c r="AK750" i="1" s="1"/>
  <c r="AK751" i="1" a="1"/>
  <c r="AK751" i="1" s="1"/>
  <c r="AK752" i="1" a="1"/>
  <c r="AK752" i="1" s="1"/>
  <c r="AK753" i="1" a="1"/>
  <c r="AK753" i="1" s="1"/>
  <c r="AK754" i="1" a="1"/>
  <c r="AK754" i="1" s="1"/>
  <c r="AK755" i="1" a="1"/>
  <c r="AK755" i="1" s="1"/>
  <c r="AK756" i="1" a="1"/>
  <c r="AK756" i="1" s="1"/>
  <c r="AK757" i="1" a="1"/>
  <c r="AK757" i="1" s="1"/>
  <c r="AK758" i="1" a="1"/>
  <c r="AK758" i="1" s="1"/>
  <c r="AK759" i="1" a="1"/>
  <c r="AK759" i="1" s="1"/>
  <c r="AK760" i="1" a="1"/>
  <c r="AK760" i="1" s="1"/>
  <c r="AK761" i="1" a="1"/>
  <c r="AK761" i="1" s="1"/>
  <c r="AK762" i="1" a="1"/>
  <c r="AK762" i="1" s="1"/>
  <c r="AK763" i="1" a="1"/>
  <c r="AK763" i="1" s="1"/>
  <c r="AK764" i="1" a="1"/>
  <c r="AK764" i="1" s="1"/>
  <c r="AK765" i="1" a="1"/>
  <c r="AK765" i="1" s="1"/>
  <c r="AK766" i="1" a="1"/>
  <c r="AK766" i="1" s="1"/>
  <c r="AK767" i="1" a="1"/>
  <c r="AK767" i="1" s="1"/>
  <c r="AK768" i="1" a="1"/>
  <c r="AK768" i="1" s="1"/>
  <c r="AK769" i="1" a="1"/>
  <c r="AK769" i="1" s="1"/>
  <c r="AK770" i="1" a="1"/>
  <c r="AK770" i="1" s="1"/>
  <c r="AK771" i="1" a="1"/>
  <c r="AK771" i="1" s="1"/>
  <c r="AK772" i="1" a="1"/>
  <c r="AK772" i="1" s="1"/>
  <c r="AK773" i="1" a="1"/>
  <c r="AK773" i="1" s="1"/>
  <c r="AK774" i="1" a="1"/>
  <c r="AK774" i="1" s="1"/>
  <c r="AK775" i="1" a="1"/>
  <c r="AK775" i="1" s="1"/>
  <c r="AK776" i="1" a="1"/>
  <c r="AK776" i="1" s="1"/>
  <c r="AK777" i="1" a="1"/>
  <c r="AK777" i="1" s="1"/>
  <c r="AK778" i="1" a="1"/>
  <c r="AK778" i="1" s="1"/>
  <c r="AK779" i="1" a="1"/>
  <c r="AK779" i="1" s="1"/>
  <c r="AK780" i="1" a="1"/>
  <c r="AK780" i="1" s="1"/>
  <c r="AK781" i="1" a="1"/>
  <c r="AK781" i="1" s="1"/>
  <c r="AK782" i="1" a="1"/>
  <c r="AK782" i="1" s="1"/>
  <c r="AK783" i="1" a="1"/>
  <c r="AK783" i="1" s="1"/>
  <c r="AK784" i="1" a="1"/>
  <c r="AK784" i="1" s="1"/>
  <c r="AK785" i="1" a="1"/>
  <c r="AK785" i="1" s="1"/>
  <c r="AK786" i="1" a="1"/>
  <c r="AK786" i="1" s="1"/>
  <c r="AK787" i="1" a="1"/>
  <c r="AK787" i="1" s="1"/>
  <c r="AK788" i="1" a="1"/>
  <c r="AK788" i="1" s="1"/>
  <c r="AK789" i="1" a="1"/>
  <c r="AK789" i="1" s="1"/>
  <c r="AK790" i="1" a="1"/>
  <c r="AK790" i="1" s="1"/>
  <c r="AK791" i="1" a="1"/>
  <c r="AK791" i="1" s="1"/>
  <c r="AK792" i="1" a="1"/>
  <c r="AK792" i="1" s="1"/>
  <c r="AK793" i="1" a="1"/>
  <c r="AK793" i="1" s="1"/>
  <c r="AK794" i="1" a="1"/>
  <c r="AK794" i="1" s="1"/>
  <c r="AK795" i="1" a="1"/>
  <c r="AK795" i="1" s="1"/>
  <c r="AK796" i="1" a="1"/>
  <c r="AK796" i="1" s="1"/>
  <c r="AK797" i="1" a="1"/>
  <c r="AK797" i="1" s="1"/>
  <c r="AK798" i="1" a="1"/>
  <c r="AK798" i="1" s="1"/>
  <c r="AK799" i="1" a="1"/>
  <c r="AK799" i="1" s="1"/>
  <c r="AK800" i="1" a="1"/>
  <c r="AK800" i="1" s="1"/>
  <c r="AK801" i="1" a="1"/>
  <c r="AK801" i="1" s="1"/>
  <c r="AK802" i="1" a="1"/>
  <c r="AK802" i="1" s="1"/>
  <c r="AK803" i="1" a="1"/>
  <c r="AK803" i="1" s="1"/>
  <c r="AK804" i="1" a="1"/>
  <c r="AK804" i="1" s="1"/>
  <c r="AK805" i="1" a="1"/>
  <c r="AK805" i="1" s="1"/>
  <c r="AK806" i="1" a="1"/>
  <c r="AK806" i="1" s="1"/>
  <c r="AK807" i="1" a="1"/>
  <c r="AK807" i="1" s="1"/>
  <c r="AK808" i="1" a="1"/>
  <c r="AK808" i="1" s="1"/>
  <c r="AK809" i="1" a="1"/>
  <c r="AK809" i="1" s="1"/>
  <c r="AK810" i="1" a="1"/>
  <c r="AK810" i="1" s="1"/>
  <c r="AK811" i="1" a="1"/>
  <c r="AK811" i="1" s="1"/>
  <c r="AK812" i="1" a="1"/>
  <c r="AK812" i="1" s="1"/>
  <c r="AK813" i="1" a="1"/>
  <c r="AK813" i="1" s="1"/>
  <c r="AK814" i="1" a="1"/>
  <c r="AK814" i="1" s="1"/>
  <c r="AK815" i="1" a="1"/>
  <c r="AK815" i="1" s="1"/>
  <c r="AK816" i="1" a="1"/>
  <c r="AK816" i="1" s="1"/>
  <c r="AK817" i="1" a="1"/>
  <c r="AK817" i="1" s="1"/>
  <c r="AK818" i="1" a="1"/>
  <c r="AK818" i="1" s="1"/>
  <c r="AK819" i="1" a="1"/>
  <c r="AK819" i="1" s="1"/>
  <c r="AK820" i="1" a="1"/>
  <c r="AK820" i="1" s="1"/>
  <c r="AK821" i="1" a="1"/>
  <c r="AK821" i="1" s="1"/>
  <c r="AK822" i="1" a="1"/>
  <c r="AK822" i="1" s="1"/>
  <c r="AK823" i="1" a="1"/>
  <c r="AK823" i="1" s="1"/>
  <c r="AK824" i="1" a="1"/>
  <c r="AK824" i="1" s="1"/>
  <c r="AK825" i="1" a="1"/>
  <c r="AK825" i="1" s="1"/>
  <c r="AK826" i="1" a="1"/>
  <c r="AK826" i="1" s="1"/>
  <c r="AK827" i="1" a="1"/>
  <c r="AK827" i="1" s="1"/>
  <c r="AK828" i="1" a="1"/>
  <c r="AK828" i="1" s="1"/>
  <c r="AK829" i="1" a="1"/>
  <c r="AK829" i="1" s="1"/>
  <c r="AK830" i="1" a="1"/>
  <c r="AK830" i="1" s="1"/>
  <c r="AK831" i="1" a="1"/>
  <c r="AK831" i="1" s="1"/>
  <c r="AK832" i="1" a="1"/>
  <c r="AK832" i="1" s="1"/>
  <c r="AK833" i="1" a="1"/>
  <c r="AK833" i="1" s="1"/>
  <c r="AK834" i="1" a="1"/>
  <c r="AK834" i="1" s="1"/>
  <c r="AK835" i="1" a="1"/>
  <c r="AK835" i="1" s="1"/>
  <c r="AK836" i="1" a="1"/>
  <c r="AK836" i="1" s="1"/>
  <c r="AK837" i="1" a="1"/>
  <c r="AK837" i="1" s="1"/>
  <c r="AK838" i="1" a="1"/>
  <c r="AK838" i="1" s="1"/>
  <c r="AK839" i="1" a="1"/>
  <c r="AK839" i="1" s="1"/>
  <c r="AK840" i="1" a="1"/>
  <c r="AK840" i="1" s="1"/>
  <c r="AK841" i="1" a="1"/>
  <c r="AK841" i="1" s="1"/>
  <c r="AK842" i="1" a="1"/>
  <c r="AK842" i="1" s="1"/>
  <c r="AK843" i="1" a="1"/>
  <c r="AK843" i="1" s="1"/>
  <c r="AK844" i="1" a="1"/>
  <c r="AK844" i="1" s="1"/>
  <c r="AK845" i="1" a="1"/>
  <c r="AK845" i="1" s="1"/>
  <c r="AK846" i="1" a="1"/>
  <c r="AK846" i="1" s="1"/>
  <c r="AK847" i="1" a="1"/>
  <c r="AK847" i="1" s="1"/>
  <c r="AK848" i="1" a="1"/>
  <c r="AK848" i="1" s="1"/>
  <c r="AK849" i="1" a="1"/>
  <c r="AK849" i="1" s="1"/>
  <c r="AK850" i="1" a="1"/>
  <c r="AK850" i="1" s="1"/>
  <c r="AK851" i="1" a="1"/>
  <c r="AK851" i="1" s="1"/>
  <c r="AK852" i="1" a="1"/>
  <c r="AK852" i="1" s="1"/>
  <c r="AK853" i="1" a="1"/>
  <c r="AK853" i="1" s="1"/>
  <c r="AK854" i="1" a="1"/>
  <c r="AK854" i="1" s="1"/>
  <c r="AK855" i="1" a="1"/>
  <c r="AK855" i="1" s="1"/>
  <c r="AK856" i="1" a="1"/>
  <c r="AK856" i="1" s="1"/>
  <c r="AK857" i="1" a="1"/>
  <c r="AK857" i="1" s="1"/>
  <c r="AK858" i="1" a="1"/>
  <c r="AK858" i="1" s="1"/>
  <c r="AK859" i="1" a="1"/>
  <c r="AK859" i="1" s="1"/>
  <c r="AK860" i="1" a="1"/>
  <c r="AK860" i="1" s="1"/>
  <c r="AK861" i="1" a="1"/>
  <c r="AK861" i="1" s="1"/>
  <c r="AK862" i="1" a="1"/>
  <c r="AK862" i="1" s="1"/>
  <c r="AK863" i="1" a="1"/>
  <c r="AK863" i="1" s="1"/>
  <c r="AK864" i="1" a="1"/>
  <c r="AK864" i="1" s="1"/>
  <c r="AK865" i="1" a="1"/>
  <c r="AK865" i="1" s="1"/>
  <c r="AK866" i="1" a="1"/>
  <c r="AK866" i="1" s="1"/>
  <c r="AK867" i="1" a="1"/>
  <c r="AK867" i="1" s="1"/>
  <c r="AK868" i="1" a="1"/>
  <c r="AK868" i="1" s="1"/>
  <c r="AK869" i="1" a="1"/>
  <c r="AK869" i="1" s="1"/>
  <c r="AK870" i="1" a="1"/>
  <c r="AK870" i="1" s="1"/>
  <c r="AK871" i="1" a="1"/>
  <c r="AK871" i="1" s="1"/>
  <c r="AK872" i="1" a="1"/>
  <c r="AK872" i="1" s="1"/>
  <c r="AK873" i="1" a="1"/>
  <c r="AK873" i="1" s="1"/>
  <c r="AK874" i="1" a="1"/>
  <c r="AK874" i="1" s="1"/>
  <c r="AK875" i="1" a="1"/>
  <c r="AK875" i="1" s="1"/>
  <c r="AK876" i="1" a="1"/>
  <c r="AK876" i="1" s="1"/>
  <c r="AK877" i="1" a="1"/>
  <c r="AK877" i="1" s="1"/>
  <c r="AK878" i="1" a="1"/>
  <c r="AK878" i="1" s="1"/>
  <c r="AK879" i="1" a="1"/>
  <c r="AK879" i="1" s="1"/>
  <c r="AK880" i="1" a="1"/>
  <c r="AK880" i="1" s="1"/>
  <c r="AK881" i="1" a="1"/>
  <c r="AK881" i="1" s="1"/>
  <c r="AK882" i="1" a="1"/>
  <c r="AK882" i="1" s="1"/>
  <c r="AK883" i="1" a="1"/>
  <c r="AK883" i="1" s="1"/>
  <c r="AK884" i="1" a="1"/>
  <c r="AK884" i="1" s="1"/>
  <c r="AK885" i="1" a="1"/>
  <c r="AK885" i="1" s="1"/>
  <c r="AK886" i="1" a="1"/>
  <c r="AK886" i="1" s="1"/>
  <c r="AK887" i="1" a="1"/>
  <c r="AK887" i="1" s="1"/>
  <c r="AK888" i="1" a="1"/>
  <c r="AK888" i="1" s="1"/>
  <c r="AK889" i="1" a="1"/>
  <c r="AK889" i="1" s="1"/>
  <c r="AK890" i="1" a="1"/>
  <c r="AK890" i="1" s="1"/>
  <c r="AK891" i="1" a="1"/>
  <c r="AK891" i="1" s="1"/>
  <c r="AK892" i="1" a="1"/>
  <c r="AK892" i="1" s="1"/>
  <c r="AK893" i="1" a="1"/>
  <c r="AK893" i="1" s="1"/>
  <c r="AK894" i="1" a="1"/>
  <c r="AK894" i="1" s="1"/>
  <c r="AK895" i="1" a="1"/>
  <c r="AK895" i="1" s="1"/>
  <c r="AK896" i="1" a="1"/>
  <c r="AK896" i="1" s="1"/>
  <c r="AK897" i="1" a="1"/>
  <c r="AK897" i="1" s="1"/>
  <c r="AK898" i="1" a="1"/>
  <c r="AK898" i="1" s="1"/>
  <c r="AK899" i="1" a="1"/>
  <c r="AK899" i="1" s="1"/>
  <c r="AK900" i="1" a="1"/>
  <c r="AK900" i="1" s="1"/>
  <c r="AK901" i="1" a="1"/>
  <c r="AK901" i="1" s="1"/>
  <c r="AK902" i="1" a="1"/>
  <c r="AK902" i="1" s="1"/>
  <c r="AK903" i="1" a="1"/>
  <c r="AK903" i="1" s="1"/>
  <c r="AK904" i="1" a="1"/>
  <c r="AK904" i="1" s="1"/>
  <c r="AK905" i="1" a="1"/>
  <c r="AK905" i="1" s="1"/>
  <c r="AK906" i="1" a="1"/>
  <c r="AK906" i="1" s="1"/>
  <c r="AK907" i="1" a="1"/>
  <c r="AK907" i="1" s="1"/>
  <c r="AK908" i="1" a="1"/>
  <c r="AK908" i="1" s="1"/>
  <c r="AK909" i="1" a="1"/>
  <c r="AK909" i="1" s="1"/>
  <c r="AK910" i="1" a="1"/>
  <c r="AK910" i="1" s="1"/>
  <c r="AK911" i="1" a="1"/>
  <c r="AK911" i="1" s="1"/>
  <c r="AK912" i="1" a="1"/>
  <c r="AK912" i="1" s="1"/>
  <c r="AK913" i="1" a="1"/>
  <c r="AK913" i="1" s="1"/>
  <c r="AK914" i="1" a="1"/>
  <c r="AK914" i="1" s="1"/>
  <c r="AK915" i="1" a="1"/>
  <c r="AK915" i="1" s="1"/>
  <c r="AK916" i="1" a="1"/>
  <c r="AK916" i="1" s="1"/>
  <c r="AK917" i="1" a="1"/>
  <c r="AK917" i="1" s="1"/>
  <c r="AK918" i="1" a="1"/>
  <c r="AK918" i="1" s="1"/>
  <c r="AK919" i="1" a="1"/>
  <c r="AK919" i="1" s="1"/>
  <c r="AK920" i="1" a="1"/>
  <c r="AK920" i="1" s="1"/>
  <c r="AK921" i="1" a="1"/>
  <c r="AK921" i="1" s="1"/>
  <c r="AK922" i="1" a="1"/>
  <c r="AK922" i="1" s="1"/>
  <c r="AK923" i="1" a="1"/>
  <c r="AK923" i="1" s="1"/>
  <c r="AK924" i="1" a="1"/>
  <c r="AK924" i="1" s="1"/>
  <c r="AK925" i="1" a="1"/>
  <c r="AK925" i="1" s="1"/>
  <c r="AK926" i="1" a="1"/>
  <c r="AK926" i="1" s="1"/>
  <c r="AK927" i="1" a="1"/>
  <c r="AK927" i="1" s="1"/>
  <c r="AK928" i="1" a="1"/>
  <c r="AK928" i="1" s="1"/>
  <c r="AK929" i="1" a="1"/>
  <c r="AK929" i="1" s="1"/>
  <c r="AK930" i="1" a="1"/>
  <c r="AK930" i="1" s="1"/>
  <c r="AK931" i="1" a="1"/>
  <c r="AK931" i="1" s="1"/>
  <c r="AK932" i="1" a="1"/>
  <c r="AK932" i="1" s="1"/>
  <c r="AK933" i="1" a="1"/>
  <c r="AK933" i="1" s="1"/>
  <c r="AK934" i="1" a="1"/>
  <c r="AK934" i="1" s="1"/>
  <c r="AK935" i="1" a="1"/>
  <c r="AK935" i="1" s="1"/>
  <c r="AK936" i="1" a="1"/>
  <c r="AK936" i="1" s="1"/>
  <c r="AK937" i="1" a="1"/>
  <c r="AK937" i="1" s="1"/>
  <c r="AK938" i="1" a="1"/>
  <c r="AK938" i="1" s="1"/>
  <c r="AK939" i="1" a="1"/>
  <c r="AK939" i="1" s="1"/>
  <c r="AK940" i="1" a="1"/>
  <c r="AK940" i="1" s="1"/>
  <c r="AK941" i="1" a="1"/>
  <c r="AK941" i="1" s="1"/>
  <c r="AK942" i="1" a="1"/>
  <c r="AK942" i="1" s="1"/>
  <c r="AK943" i="1" a="1"/>
  <c r="AK943" i="1" s="1"/>
  <c r="AK944" i="1" a="1"/>
  <c r="AK944" i="1" s="1"/>
  <c r="AK945" i="1" a="1"/>
  <c r="AK945" i="1" s="1"/>
  <c r="AK946" i="1" a="1"/>
  <c r="AK946" i="1" s="1"/>
  <c r="AK947" i="1" a="1"/>
  <c r="AK947" i="1" s="1"/>
  <c r="AK948" i="1" a="1"/>
  <c r="AK948" i="1" s="1"/>
  <c r="AK949" i="1" a="1"/>
  <c r="AK949" i="1" s="1"/>
  <c r="AK950" i="1" a="1"/>
  <c r="AK950" i="1" s="1"/>
  <c r="AK951" i="1" a="1"/>
  <c r="AK951" i="1" s="1"/>
  <c r="AK952" i="1" a="1"/>
  <c r="AK952" i="1" s="1"/>
  <c r="AK953" i="1" a="1"/>
  <c r="AK953" i="1" s="1"/>
  <c r="AK954" i="1" a="1"/>
  <c r="AK954" i="1" s="1"/>
  <c r="AK955" i="1" a="1"/>
  <c r="AK955" i="1" s="1"/>
  <c r="AK956" i="1" a="1"/>
  <c r="AK956" i="1" s="1"/>
  <c r="AK957" i="1" a="1"/>
  <c r="AK957" i="1" s="1"/>
  <c r="AK958" i="1" a="1"/>
  <c r="AK958" i="1" s="1"/>
  <c r="AK959" i="1" a="1"/>
  <c r="AK959" i="1" s="1"/>
  <c r="AK960" i="1" a="1"/>
  <c r="AK960" i="1" s="1"/>
  <c r="AK961" i="1" a="1"/>
  <c r="AK961" i="1" s="1"/>
  <c r="AK962" i="1" a="1"/>
  <c r="AK962" i="1" s="1"/>
  <c r="AK963" i="1" a="1"/>
  <c r="AK963" i="1" s="1"/>
  <c r="AK964" i="1" a="1"/>
  <c r="AK964" i="1" s="1"/>
  <c r="AK965" i="1" a="1"/>
  <c r="AK965" i="1" s="1"/>
  <c r="AK966" i="1" a="1"/>
  <c r="AK966" i="1" s="1"/>
  <c r="AK967" i="1" a="1"/>
  <c r="AK967" i="1" s="1"/>
  <c r="AK968" i="1" a="1"/>
  <c r="AK968" i="1" s="1"/>
  <c r="AK969" i="1" a="1"/>
  <c r="AK969" i="1" s="1"/>
  <c r="AK970" i="1" a="1"/>
  <c r="AK970" i="1" s="1"/>
  <c r="AK971" i="1" a="1"/>
  <c r="AK971"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981" i="1" a="1"/>
  <c r="AK981" i="1" s="1"/>
  <c r="AK982" i="1" a="1"/>
  <c r="AK982" i="1" s="1"/>
  <c r="AK983" i="1" a="1"/>
  <c r="AK983" i="1" s="1"/>
  <c r="AK984" i="1" a="1"/>
  <c r="AK984" i="1" s="1"/>
  <c r="AK985" i="1" a="1"/>
  <c r="AK985" i="1" s="1"/>
  <c r="AK986" i="1" a="1"/>
  <c r="AK986" i="1" s="1"/>
  <c r="AK987" i="1" a="1"/>
  <c r="AK987" i="1" s="1"/>
  <c r="AK988" i="1" a="1"/>
  <c r="AK988" i="1" s="1"/>
  <c r="AK989" i="1" a="1"/>
  <c r="AK989" i="1" s="1"/>
  <c r="AK990" i="1" a="1"/>
  <c r="AK990" i="1" s="1"/>
  <c r="AK991" i="1" a="1"/>
  <c r="AK991" i="1" s="1"/>
  <c r="AK992" i="1" a="1"/>
  <c r="AK992" i="1" s="1"/>
  <c r="AK993" i="1" a="1"/>
  <c r="AK993" i="1" s="1"/>
  <c r="AK994" i="1" a="1"/>
  <c r="AK994" i="1" s="1"/>
  <c r="AK995" i="1" a="1"/>
  <c r="AK995" i="1" s="1"/>
  <c r="AK996" i="1" a="1"/>
  <c r="AK996" i="1" s="1"/>
  <c r="AK997" i="1" a="1"/>
  <c r="AK997" i="1" s="1"/>
  <c r="AK998" i="1" a="1"/>
  <c r="AK998" i="1" s="1"/>
  <c r="AK999" i="1" a="1"/>
  <c r="AK999" i="1" s="1"/>
  <c r="AK1000" i="1" a="1"/>
  <c r="AK1000" i="1" s="1"/>
  <c r="AK1001" i="1" a="1"/>
  <c r="AK1001" i="1" s="1"/>
  <c r="AK1002" i="1" a="1"/>
  <c r="AK1002" i="1" s="1"/>
  <c r="AK1003" i="1" a="1"/>
  <c r="AK1003" i="1" s="1"/>
  <c r="AK1004" i="1" a="1"/>
  <c r="AK1004" i="1" s="1"/>
  <c r="AK1005" i="1" a="1"/>
  <c r="AK1005" i="1" s="1"/>
  <c r="AK1006" i="1" a="1"/>
  <c r="AK1006" i="1" s="1"/>
  <c r="AK1007" i="1" a="1"/>
  <c r="AK1007" i="1" s="1"/>
  <c r="AK1008" i="1" a="1"/>
  <c r="AK1008" i="1" s="1"/>
  <c r="AK1009" i="1" a="1"/>
  <c r="AK1009" i="1" s="1"/>
  <c r="AK1010" i="1" a="1"/>
  <c r="AK1010" i="1" s="1"/>
  <c r="AK1011" i="1" a="1"/>
  <c r="AK1011" i="1" s="1"/>
  <c r="AK1012" i="1" a="1"/>
  <c r="AK1012" i="1" s="1"/>
  <c r="AK1013" i="1" a="1"/>
  <c r="AK1013" i="1" s="1"/>
  <c r="AK1014" i="1" a="1"/>
  <c r="AK1014" i="1" s="1"/>
  <c r="AK1015" i="1" a="1"/>
  <c r="AK1015" i="1" s="1"/>
  <c r="AK1016" i="1" a="1"/>
  <c r="AK1016" i="1" s="1"/>
  <c r="AK1017" i="1" a="1"/>
  <c r="AK1017" i="1" s="1"/>
  <c r="AK1018" i="1" a="1"/>
  <c r="AK1018" i="1" s="1"/>
  <c r="AK1019" i="1" a="1"/>
  <c r="AK1019" i="1" s="1"/>
  <c r="AK1020" i="1" a="1"/>
  <c r="AK1020" i="1" s="1"/>
  <c r="AK1021" i="1" a="1"/>
  <c r="AK1021" i="1" s="1"/>
  <c r="AK1022" i="1" a="1"/>
  <c r="AK1022" i="1" s="1"/>
  <c r="AK1023" i="1" a="1"/>
  <c r="AK1023" i="1" s="1"/>
  <c r="AK1024" i="1" a="1"/>
  <c r="AK1024" i="1" s="1"/>
  <c r="AK1025" i="1" a="1"/>
  <c r="AK1025" i="1" s="1"/>
  <c r="AK1026" i="1" a="1"/>
  <c r="AK1026" i="1" s="1"/>
  <c r="AK1027" i="1" a="1"/>
  <c r="AK1027" i="1" s="1"/>
  <c r="AK1028" i="1" a="1"/>
  <c r="AK1028" i="1" s="1"/>
  <c r="AK1029" i="1" a="1"/>
  <c r="AK1029" i="1" s="1"/>
  <c r="AK1030" i="1" a="1"/>
  <c r="AK1030" i="1" s="1"/>
  <c r="AK1031" i="1" a="1"/>
  <c r="AK1031" i="1" s="1"/>
  <c r="AK1032" i="1" a="1"/>
  <c r="AK1032" i="1" s="1"/>
  <c r="AK1033" i="1" a="1"/>
  <c r="AK1033" i="1" s="1"/>
  <c r="AK1034" i="1" a="1"/>
  <c r="AK1034" i="1" s="1"/>
  <c r="AK1035" i="1" a="1"/>
  <c r="AK1035" i="1" s="1"/>
  <c r="AK1036" i="1" a="1"/>
  <c r="AK1036" i="1" s="1"/>
  <c r="AK1037" i="1" a="1"/>
  <c r="AK1037" i="1" s="1"/>
  <c r="AK1038" i="1" a="1"/>
  <c r="AK1038" i="1" s="1"/>
  <c r="AK1039" i="1" a="1"/>
  <c r="AK1039" i="1" s="1"/>
  <c r="AK1040" i="1" a="1"/>
  <c r="AK1040" i="1" s="1"/>
  <c r="AK1041" i="1" a="1"/>
  <c r="AK1041" i="1" s="1"/>
  <c r="AK1042" i="1" a="1"/>
  <c r="AK1042" i="1" s="1"/>
  <c r="AK1043" i="1" a="1"/>
  <c r="AK1043" i="1" s="1"/>
  <c r="AK1044" i="1" a="1"/>
  <c r="AK1044" i="1" s="1"/>
  <c r="AK1045" i="1" a="1"/>
  <c r="AK1045" i="1" s="1"/>
  <c r="AK1046" i="1" a="1"/>
  <c r="AK1046" i="1" s="1"/>
  <c r="AK1047" i="1" a="1"/>
  <c r="AK1047" i="1" s="1"/>
  <c r="AK1048" i="1" a="1"/>
  <c r="AK1048" i="1" s="1"/>
  <c r="AK1049" i="1" a="1"/>
  <c r="AK1049" i="1" s="1"/>
  <c r="AK1050" i="1" a="1"/>
  <c r="AK1050" i="1" s="1"/>
  <c r="AK1051" i="1" a="1"/>
  <c r="AK1051" i="1" s="1"/>
  <c r="AK1052" i="1" a="1"/>
  <c r="AK1052" i="1" s="1"/>
  <c r="AK1053" i="1" a="1"/>
  <c r="AK1053" i="1" s="1"/>
  <c r="AK1054" i="1" a="1"/>
  <c r="AK1054" i="1" s="1"/>
  <c r="AK1055" i="1" a="1"/>
  <c r="AK1055" i="1" s="1"/>
  <c r="AK1056" i="1" a="1"/>
  <c r="AK1056" i="1" s="1"/>
  <c r="AK1057" i="1" a="1"/>
  <c r="AK1057" i="1" s="1"/>
  <c r="AK1058" i="1" a="1"/>
  <c r="AK1058" i="1" s="1"/>
  <c r="AK1059" i="1" a="1"/>
  <c r="AK1059" i="1" s="1"/>
  <c r="AK1060" i="1" a="1"/>
  <c r="AK1060" i="1" s="1"/>
  <c r="AK1061" i="1" a="1"/>
  <c r="AK1061" i="1" s="1"/>
  <c r="AK1062" i="1" a="1"/>
  <c r="AK1062" i="1" s="1"/>
  <c r="AK1063" i="1" a="1"/>
  <c r="AK1063" i="1" s="1"/>
  <c r="AK1064" i="1" a="1"/>
  <c r="AK1064" i="1" s="1"/>
  <c r="AK1065" i="1" a="1"/>
  <c r="AK1065" i="1" s="1"/>
  <c r="AK1066" i="1" a="1"/>
  <c r="AK1066" i="1" s="1"/>
  <c r="AK1067" i="1" a="1"/>
  <c r="AK1067" i="1" s="1"/>
  <c r="AK1068" i="1" a="1"/>
  <c r="AK1068" i="1" s="1"/>
  <c r="AK1069" i="1" a="1"/>
  <c r="AK1069" i="1" s="1"/>
  <c r="AK1070" i="1" a="1"/>
  <c r="AK1070" i="1" s="1"/>
  <c r="AK1071" i="1" a="1"/>
  <c r="AK1071" i="1" s="1"/>
  <c r="AK1072" i="1" a="1"/>
  <c r="AK1072" i="1" s="1"/>
  <c r="AK1073" i="1" a="1"/>
  <c r="AK1073" i="1" s="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s="1"/>
  <c r="AK1083" i="1" a="1"/>
  <c r="AK1083" i="1" s="1"/>
  <c r="AK1084" i="1" a="1"/>
  <c r="AK1084" i="1" s="1"/>
  <c r="AK1085" i="1" a="1"/>
  <c r="AK1085" i="1" s="1"/>
  <c r="AK1086" i="1" a="1"/>
  <c r="AK1086" i="1" s="1"/>
  <c r="AK1087" i="1" a="1"/>
  <c r="AK1087" i="1" s="1"/>
  <c r="AK1088" i="1" a="1"/>
  <c r="AK1088" i="1" s="1"/>
  <c r="AK1089" i="1" a="1"/>
  <c r="AK1089" i="1" s="1"/>
  <c r="AK1090" i="1" a="1"/>
  <c r="AK1090" i="1" s="1"/>
  <c r="AK1091" i="1" a="1"/>
  <c r="AK1091" i="1" s="1"/>
  <c r="AK1092" i="1" a="1"/>
  <c r="AK1092" i="1" s="1"/>
  <c r="AK1093" i="1" a="1"/>
  <c r="AK1093" i="1" s="1"/>
  <c r="AK1094" i="1" a="1"/>
  <c r="AK1094" i="1" s="1"/>
  <c r="AK1095" i="1" a="1"/>
  <c r="AK1095" i="1" s="1"/>
  <c r="AK1096" i="1" a="1"/>
  <c r="AK1096" i="1" s="1"/>
  <c r="AK1097" i="1" a="1"/>
  <c r="AK1097" i="1" s="1"/>
  <c r="AK1098" i="1" a="1"/>
  <c r="AK1098" i="1" s="1"/>
  <c r="AK1099" i="1" a="1"/>
  <c r="AK1099" i="1" s="1"/>
  <c r="AK1100" i="1" a="1"/>
  <c r="AK1100" i="1" s="1"/>
  <c r="AK1101" i="1" a="1"/>
  <c r="AK1101" i="1" s="1"/>
  <c r="AK1102" i="1" a="1"/>
  <c r="AK1102" i="1" s="1"/>
  <c r="AK1103" i="1" a="1"/>
  <c r="AK1103" i="1" s="1"/>
  <c r="AK1104" i="1" a="1"/>
  <c r="AK1104" i="1" s="1"/>
  <c r="AK1105" i="1" a="1"/>
  <c r="AK1105" i="1" s="1"/>
  <c r="AK1106" i="1" a="1"/>
  <c r="AK1106" i="1" s="1"/>
  <c r="AK1107" i="1" a="1"/>
  <c r="AK1107" i="1" s="1"/>
  <c r="AK1108" i="1" a="1"/>
  <c r="AK1108" i="1" s="1"/>
  <c r="AK1109" i="1" a="1"/>
  <c r="AK1109" i="1" s="1"/>
  <c r="AK1110" i="1" a="1"/>
  <c r="AK1110" i="1" s="1"/>
  <c r="AK1111" i="1" a="1"/>
  <c r="AK1111" i="1" s="1"/>
  <c r="AK1112" i="1" a="1"/>
  <c r="AK1112" i="1" s="1"/>
  <c r="AK1113" i="1" a="1"/>
  <c r="AK1113" i="1" s="1"/>
  <c r="AK1114" i="1" a="1"/>
  <c r="AK1114" i="1" s="1"/>
  <c r="AK1115" i="1" a="1"/>
  <c r="AK1115" i="1" s="1"/>
  <c r="AK1116" i="1" a="1"/>
  <c r="AK1116" i="1" s="1"/>
  <c r="AK1117" i="1" a="1"/>
  <c r="AK1117" i="1" s="1"/>
  <c r="AK1118" i="1" a="1"/>
  <c r="AK1118" i="1" s="1"/>
  <c r="AK1119" i="1" a="1"/>
  <c r="AK1119" i="1" s="1"/>
  <c r="AK1120" i="1" a="1"/>
  <c r="AK1120" i="1" s="1"/>
  <c r="AK1121" i="1" a="1"/>
  <c r="AK1121" i="1" s="1"/>
  <c r="AK1122" i="1" a="1"/>
  <c r="AK1122" i="1" s="1"/>
  <c r="AK1123" i="1" a="1"/>
  <c r="AK1123" i="1" s="1"/>
  <c r="AK1124" i="1" a="1"/>
  <c r="AK1124" i="1" s="1"/>
  <c r="AK1125" i="1" a="1"/>
  <c r="AK1125" i="1" s="1"/>
  <c r="AK1126" i="1" a="1"/>
  <c r="AK1126" i="1" s="1"/>
  <c r="AK1127" i="1" a="1"/>
  <c r="AK1127" i="1" s="1"/>
  <c r="AK1128" i="1" a="1"/>
  <c r="AK1128" i="1" s="1"/>
  <c r="AK1129" i="1" a="1"/>
  <c r="AK1129" i="1" s="1"/>
  <c r="AK1130" i="1" a="1"/>
  <c r="AK1130" i="1" s="1"/>
  <c r="AK1131" i="1" a="1"/>
  <c r="AK1131" i="1" s="1"/>
  <c r="AK1132" i="1" a="1"/>
  <c r="AK1132" i="1" s="1"/>
  <c r="AK1133" i="1" a="1"/>
  <c r="AK1133" i="1" s="1"/>
  <c r="AK1134" i="1" a="1"/>
  <c r="AK1134" i="1" s="1"/>
  <c r="AK1135" i="1" a="1"/>
  <c r="AK1135" i="1" s="1"/>
  <c r="AK1136" i="1" a="1"/>
  <c r="AK1136" i="1" s="1"/>
  <c r="AK1137" i="1" a="1"/>
  <c r="AK1137" i="1" s="1"/>
  <c r="AK1138" i="1" a="1"/>
  <c r="AK1138" i="1" s="1"/>
  <c r="AK1139" i="1" a="1"/>
  <c r="AK1139" i="1" s="1"/>
  <c r="AK1140" i="1" a="1"/>
  <c r="AK1140" i="1" s="1"/>
  <c r="AK1141" i="1" a="1"/>
  <c r="AK1141" i="1" s="1"/>
  <c r="AK1142" i="1" a="1"/>
  <c r="AK1142" i="1" s="1"/>
  <c r="AK1143" i="1" a="1"/>
  <c r="AK1143" i="1" s="1"/>
  <c r="AK1144" i="1" a="1"/>
  <c r="AK1144" i="1" s="1"/>
  <c r="AK1145" i="1" a="1"/>
  <c r="AK1145" i="1" s="1"/>
  <c r="AK1146" i="1" a="1"/>
  <c r="AK1146" i="1" s="1"/>
  <c r="AK1147" i="1" a="1"/>
  <c r="AK1147" i="1" s="1"/>
  <c r="AK1148" i="1" a="1"/>
  <c r="AK1148" i="1" s="1"/>
  <c r="AK1149" i="1" a="1"/>
  <c r="AK1149" i="1" s="1"/>
  <c r="AK1150" i="1" a="1"/>
  <c r="AK1150" i="1" s="1"/>
  <c r="AK1151" i="1" a="1"/>
  <c r="AK1151" i="1" s="1"/>
  <c r="AK1152" i="1" a="1"/>
  <c r="AK1152" i="1" s="1"/>
  <c r="AK1153" i="1" a="1"/>
  <c r="AK1153" i="1" s="1"/>
  <c r="AK1154" i="1" a="1"/>
  <c r="AK1154" i="1" s="1"/>
  <c r="AK1155" i="1" a="1"/>
  <c r="AK1155" i="1" s="1"/>
  <c r="AK1156" i="1" a="1"/>
  <c r="AK1156" i="1" s="1"/>
  <c r="AK1157" i="1" a="1"/>
  <c r="AK1157" i="1" s="1"/>
  <c r="AK1158" i="1" a="1"/>
  <c r="AK1158" i="1" s="1"/>
  <c r="AK1159" i="1" a="1"/>
  <c r="AK1159" i="1" s="1"/>
  <c r="AK1160" i="1" a="1"/>
  <c r="AK1160" i="1" s="1"/>
  <c r="AK1161" i="1" a="1"/>
  <c r="AK1161" i="1" s="1"/>
  <c r="AK1162" i="1" a="1"/>
  <c r="AK1162" i="1" s="1"/>
  <c r="AK1163" i="1" a="1"/>
  <c r="AK1163" i="1" s="1"/>
  <c r="AK1164" i="1" a="1"/>
  <c r="AK1164" i="1" s="1"/>
  <c r="AK1165" i="1" a="1"/>
  <c r="AK1165" i="1" s="1"/>
  <c r="AK1166" i="1" a="1"/>
  <c r="AK1166" i="1" s="1"/>
  <c r="AK1167" i="1" a="1"/>
  <c r="AK1167" i="1" s="1"/>
  <c r="AK1168" i="1" a="1"/>
  <c r="AK1168" i="1" s="1"/>
  <c r="AK1169" i="1" a="1"/>
  <c r="AK1169" i="1" s="1"/>
  <c r="AK1170" i="1" a="1"/>
  <c r="AK1170" i="1" s="1"/>
  <c r="AK1171" i="1" a="1"/>
  <c r="AK1171" i="1" s="1"/>
  <c r="AK1172" i="1" a="1"/>
  <c r="AK1172" i="1" s="1"/>
  <c r="AK1173" i="1" a="1"/>
  <c r="AK1173" i="1" s="1"/>
  <c r="AK1174" i="1" a="1"/>
  <c r="AK1174" i="1" s="1"/>
  <c r="AK1175" i="1" a="1"/>
  <c r="AK1175" i="1" s="1"/>
  <c r="AK1176" i="1" a="1"/>
  <c r="AK1176" i="1" s="1"/>
  <c r="AK1177" i="1" a="1"/>
  <c r="AK1177" i="1" s="1"/>
  <c r="AK1178" i="1" a="1"/>
  <c r="AK1178" i="1" s="1"/>
  <c r="AK1179" i="1" a="1"/>
  <c r="AK1179" i="1" s="1"/>
  <c r="AK1180" i="1" a="1"/>
  <c r="AK1180" i="1" s="1"/>
  <c r="AK1181" i="1" a="1"/>
  <c r="AK1181" i="1" s="1"/>
  <c r="AK1182" i="1" a="1"/>
  <c r="AK1182" i="1" s="1"/>
  <c r="AK1183" i="1" a="1"/>
  <c r="AK1183" i="1" s="1"/>
  <c r="AK1184" i="1" a="1"/>
  <c r="AK1184" i="1" s="1"/>
  <c r="AK1185" i="1" a="1"/>
  <c r="AK1185" i="1" s="1"/>
  <c r="AK1186" i="1" a="1"/>
  <c r="AK1186" i="1" s="1"/>
  <c r="AK1187" i="1" a="1"/>
  <c r="AK1187" i="1" s="1"/>
  <c r="AK1188" i="1" a="1"/>
  <c r="AK1188" i="1" s="1"/>
  <c r="AK1189" i="1" a="1"/>
  <c r="AK1189" i="1" s="1"/>
  <c r="AK1190" i="1" a="1"/>
  <c r="AK1190" i="1" s="1"/>
  <c r="AK1191" i="1" a="1"/>
  <c r="AK1191" i="1" s="1"/>
  <c r="AK1192" i="1" a="1"/>
  <c r="AK1192" i="1" s="1"/>
  <c r="AK1193" i="1" a="1"/>
  <c r="AK1193" i="1" s="1"/>
  <c r="AK1194" i="1" a="1"/>
  <c r="AK1194" i="1" s="1"/>
  <c r="AK1195" i="1" a="1"/>
  <c r="AK1195" i="1" s="1"/>
  <c r="AK1196" i="1" a="1"/>
  <c r="AK1196" i="1" s="1"/>
  <c r="AK1197" i="1" a="1"/>
  <c r="AK1197" i="1" s="1"/>
  <c r="AK1198" i="1" a="1"/>
  <c r="AK1198" i="1" s="1"/>
  <c r="AK1199" i="1" a="1"/>
  <c r="AK1199" i="1" s="1"/>
  <c r="AK1200" i="1" a="1"/>
  <c r="AK1200" i="1" s="1"/>
  <c r="AK1201" i="1" a="1"/>
  <c r="AK1201" i="1" s="1"/>
  <c r="AK1202" i="1" a="1"/>
  <c r="AK1202" i="1" s="1"/>
  <c r="AK1203" i="1" a="1"/>
  <c r="AK1203" i="1" s="1"/>
  <c r="AK1204" i="1" a="1"/>
  <c r="AK1204" i="1" s="1"/>
  <c r="AK1205" i="1" a="1"/>
  <c r="AK1205" i="1" s="1"/>
  <c r="AK1206" i="1" a="1"/>
  <c r="AK1206" i="1" s="1"/>
  <c r="AK1207" i="1" a="1"/>
  <c r="AK1207" i="1" s="1"/>
  <c r="AK1208" i="1" a="1"/>
  <c r="AK1208" i="1" s="1"/>
  <c r="AK1209" i="1" a="1"/>
  <c r="AK1209" i="1" s="1"/>
  <c r="AK1210" i="1" a="1"/>
  <c r="AK1210" i="1" s="1"/>
  <c r="AK1211" i="1" a="1"/>
  <c r="AK1211" i="1" s="1"/>
  <c r="AK1212" i="1" a="1"/>
  <c r="AK1212" i="1" s="1"/>
  <c r="AK1213" i="1" a="1"/>
  <c r="AK1213" i="1" s="1"/>
  <c r="AK1214" i="1" a="1"/>
  <c r="AK1214" i="1" s="1"/>
  <c r="AK1215" i="1" a="1"/>
  <c r="AK1215" i="1" s="1"/>
  <c r="AK1216" i="1" a="1"/>
  <c r="AK1216" i="1" s="1"/>
  <c r="AK1217" i="1" a="1"/>
  <c r="AK1217" i="1" s="1"/>
  <c r="AK1218" i="1" a="1"/>
  <c r="AK1218" i="1" s="1"/>
  <c r="AK1219" i="1" a="1"/>
  <c r="AK1219" i="1" s="1"/>
  <c r="AK1220" i="1" a="1"/>
  <c r="AK1220" i="1" s="1"/>
  <c r="AK1221" i="1" a="1"/>
  <c r="AK1221" i="1" s="1"/>
  <c r="AK1222" i="1" a="1"/>
  <c r="AK1222" i="1" s="1"/>
  <c r="AK1223" i="1" a="1"/>
  <c r="AK1223" i="1" s="1"/>
  <c r="AK1224" i="1" a="1"/>
  <c r="AK1224" i="1" s="1"/>
  <c r="AK1225" i="1" a="1"/>
  <c r="AK1225" i="1" s="1"/>
  <c r="AK1226" i="1" a="1"/>
  <c r="AK1226" i="1" s="1"/>
  <c r="AK1227" i="1" a="1"/>
  <c r="AK1227" i="1" s="1"/>
  <c r="AK1228" i="1" a="1"/>
  <c r="AK1228" i="1" s="1"/>
  <c r="AK1229" i="1" a="1"/>
  <c r="AK1229" i="1" s="1"/>
  <c r="AK1230" i="1" a="1"/>
  <c r="AK1230" i="1" s="1"/>
  <c r="AK1231" i="1" a="1"/>
  <c r="AK1231" i="1" s="1"/>
  <c r="AK1232" i="1" a="1"/>
  <c r="AK1232" i="1" s="1"/>
  <c r="AK1233" i="1" a="1"/>
  <c r="AK1233" i="1" s="1"/>
  <c r="AK1234" i="1" a="1"/>
  <c r="AK1234" i="1" s="1"/>
  <c r="AK1235" i="1" a="1"/>
  <c r="AK1235" i="1" s="1"/>
  <c r="AK1236" i="1" a="1"/>
  <c r="AK1236" i="1" s="1"/>
  <c r="AK1237" i="1" a="1"/>
  <c r="AK1237" i="1" s="1"/>
  <c r="AK1238" i="1" a="1"/>
  <c r="AK1238" i="1" s="1"/>
  <c r="AK1239" i="1" a="1"/>
  <c r="AK1239" i="1" s="1"/>
  <c r="AK1240" i="1" a="1"/>
  <c r="AK1240" i="1" s="1"/>
  <c r="AK1241" i="1" a="1"/>
  <c r="AK1241" i="1" s="1"/>
  <c r="AK1242" i="1" a="1"/>
  <c r="AK1242" i="1" s="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s="1"/>
  <c r="AK1253" i="1" a="1"/>
  <c r="AK1253" i="1" s="1"/>
  <c r="AK1254" i="1" a="1"/>
  <c r="AK1254" i="1" s="1"/>
  <c r="AK1255" i="1" a="1"/>
  <c r="AK1255" i="1" s="1"/>
  <c r="AK1256" i="1" a="1"/>
  <c r="AK1256" i="1" s="1"/>
  <c r="AK1257" i="1" a="1"/>
  <c r="AK1257" i="1" s="1"/>
  <c r="AK1258" i="1" a="1"/>
  <c r="AK1258" i="1" s="1"/>
  <c r="AK1259" i="1" a="1"/>
  <c r="AK1259" i="1" s="1"/>
  <c r="AK1260" i="1" a="1"/>
  <c r="AK1260" i="1" s="1"/>
  <c r="AK1261" i="1" a="1"/>
  <c r="AK1261" i="1" s="1"/>
  <c r="AK1262" i="1" a="1"/>
  <c r="AK1262" i="1" s="1"/>
  <c r="AK1263" i="1" a="1"/>
  <c r="AK1263" i="1" s="1"/>
  <c r="AK1264" i="1" a="1"/>
  <c r="AK1264" i="1" s="1"/>
  <c r="AK1265" i="1" a="1"/>
  <c r="AK1265" i="1" s="1"/>
  <c r="AK1266" i="1" a="1"/>
  <c r="AK1266" i="1" s="1"/>
  <c r="AK1267" i="1" a="1"/>
  <c r="AK1267" i="1" s="1"/>
  <c r="AK1268" i="1" a="1"/>
  <c r="AK1268" i="1" s="1"/>
  <c r="AK1269" i="1" a="1"/>
  <c r="AK1269" i="1" s="1"/>
  <c r="AK1270" i="1" a="1"/>
  <c r="AK1270" i="1" s="1"/>
  <c r="AK1271" i="1" a="1"/>
  <c r="AK1271" i="1" s="1"/>
  <c r="AK1272" i="1" a="1"/>
  <c r="AK1272" i="1" s="1"/>
  <c r="AK1273" i="1" a="1"/>
  <c r="AK1273" i="1" s="1"/>
  <c r="AK1274" i="1" a="1"/>
  <c r="AK1274" i="1" s="1"/>
  <c r="AK1275" i="1" a="1"/>
  <c r="AK1275" i="1" s="1"/>
  <c r="AK1276" i="1" a="1"/>
  <c r="AK1276" i="1" s="1"/>
  <c r="AK1277" i="1" a="1"/>
  <c r="AK1277" i="1" s="1"/>
  <c r="AK1278" i="1" a="1"/>
  <c r="AK1278" i="1" s="1"/>
  <c r="AK1279" i="1" a="1"/>
  <c r="AK1279" i="1" s="1"/>
  <c r="AK1280" i="1" a="1"/>
  <c r="AK1280" i="1" s="1"/>
  <c r="AK1281" i="1" a="1"/>
  <c r="AK1281" i="1" s="1"/>
  <c r="AK1282" i="1" a="1"/>
  <c r="AK1282" i="1" s="1"/>
  <c r="AK1283" i="1" a="1"/>
  <c r="AK1283" i="1" s="1"/>
  <c r="AK1284" i="1" a="1"/>
  <c r="AK1284" i="1" s="1"/>
  <c r="AK1285" i="1" a="1"/>
  <c r="AK1285" i="1" s="1"/>
  <c r="AK1286" i="1" a="1"/>
  <c r="AK1286" i="1" s="1"/>
  <c r="AK1287" i="1" a="1"/>
  <c r="AK1287" i="1" s="1"/>
  <c r="AK1288" i="1" a="1"/>
  <c r="AK1288" i="1" s="1"/>
  <c r="AK1289" i="1" a="1"/>
  <c r="AK1289" i="1" s="1"/>
  <c r="AK1290" i="1" a="1"/>
  <c r="AK1290" i="1" s="1"/>
  <c r="AK1291" i="1" a="1"/>
  <c r="AK1291" i="1" s="1"/>
  <c r="AK1292" i="1" a="1"/>
  <c r="AK1292" i="1" s="1"/>
  <c r="AK1293" i="1" a="1"/>
  <c r="AK1293" i="1" s="1"/>
  <c r="AK1294" i="1" a="1"/>
  <c r="AK1294" i="1" s="1"/>
  <c r="AK1295" i="1" a="1"/>
  <c r="AK1295" i="1" s="1"/>
  <c r="AK1296" i="1" a="1"/>
  <c r="AK1296" i="1" s="1"/>
  <c r="AK1297" i="1" a="1"/>
  <c r="AK1297" i="1" s="1"/>
  <c r="AK1298" i="1" a="1"/>
  <c r="AK1298" i="1" s="1"/>
  <c r="AK1299" i="1" a="1"/>
  <c r="AK1299" i="1" s="1"/>
  <c r="AK1300" i="1" a="1"/>
  <c r="AK1300" i="1" s="1"/>
  <c r="AK1301" i="1" a="1"/>
  <c r="AK1301" i="1" s="1"/>
  <c r="AK1302" i="1" a="1"/>
  <c r="AK1302" i="1" s="1"/>
  <c r="AK1303" i="1" a="1"/>
  <c r="AK1303" i="1" s="1"/>
  <c r="AK1304" i="1" a="1"/>
  <c r="AK1304" i="1" s="1"/>
  <c r="AK1305" i="1" a="1"/>
  <c r="AK1305" i="1" s="1"/>
  <c r="AK1306" i="1" a="1"/>
  <c r="AK1306" i="1" s="1"/>
  <c r="AK1307" i="1" a="1"/>
  <c r="AK1307" i="1" s="1"/>
  <c r="AK1308" i="1" a="1"/>
  <c r="AK1308" i="1" s="1"/>
  <c r="AK1309" i="1" a="1"/>
  <c r="AK1309" i="1" s="1"/>
  <c r="AK1310" i="1" a="1"/>
  <c r="AK1310" i="1" s="1"/>
  <c r="AK1311" i="1" a="1"/>
  <c r="AK1311" i="1" s="1"/>
  <c r="AK1312" i="1" a="1"/>
  <c r="AK1312" i="1" s="1"/>
  <c r="AK1313" i="1" a="1"/>
  <c r="AK1313" i="1" s="1"/>
  <c r="AK1314" i="1" a="1"/>
  <c r="AK1314" i="1" s="1"/>
  <c r="AK1315" i="1" a="1"/>
  <c r="AK1315" i="1" s="1"/>
  <c r="AK1316" i="1" a="1"/>
  <c r="AK1316" i="1" s="1"/>
  <c r="AK1317" i="1" a="1"/>
  <c r="AK1317" i="1" s="1"/>
  <c r="AK1318" i="1" a="1"/>
  <c r="AK1318" i="1" s="1"/>
  <c r="AK1319" i="1" a="1"/>
  <c r="AK1319" i="1" s="1"/>
  <c r="AK1320" i="1" a="1"/>
  <c r="AK1320" i="1" s="1"/>
  <c r="AK1321" i="1" a="1"/>
  <c r="AK1321" i="1" s="1"/>
  <c r="AK1322" i="1" a="1"/>
  <c r="AK1322" i="1" s="1"/>
  <c r="AK1323" i="1" a="1"/>
  <c r="AK1323" i="1" s="1"/>
  <c r="AK1324" i="1" a="1"/>
  <c r="AK1324" i="1" s="1"/>
  <c r="AK1325" i="1" a="1"/>
  <c r="AK1325" i="1" s="1"/>
  <c r="AK1326" i="1" a="1"/>
  <c r="AK1326" i="1" s="1"/>
  <c r="AK1327" i="1" a="1"/>
  <c r="AK1327" i="1" s="1"/>
  <c r="AK1328" i="1" a="1"/>
  <c r="AK1328" i="1" s="1"/>
  <c r="AK1329" i="1" a="1"/>
  <c r="AK1329" i="1" s="1"/>
  <c r="AK1330" i="1" a="1"/>
  <c r="AK1330" i="1" s="1"/>
  <c r="AK1331" i="1" a="1"/>
  <c r="AK1331" i="1" s="1"/>
  <c r="AK1332" i="1" a="1"/>
  <c r="AK1332" i="1" s="1"/>
  <c r="AK1333" i="1" a="1"/>
  <c r="AK1333" i="1" s="1"/>
  <c r="AK1334" i="1" a="1"/>
  <c r="AK1334" i="1" s="1"/>
  <c r="AK1335" i="1" a="1"/>
  <c r="AK1335" i="1" s="1"/>
  <c r="AK1336" i="1" a="1"/>
  <c r="AK1336" i="1" s="1"/>
  <c r="AK1337" i="1" a="1"/>
  <c r="AK1337" i="1" s="1"/>
  <c r="AK1338" i="1" a="1"/>
  <c r="AK1338" i="1" s="1"/>
  <c r="AK1339" i="1" a="1"/>
  <c r="AK1339" i="1" s="1"/>
  <c r="AK1340" i="1" a="1"/>
  <c r="AK1340" i="1" s="1"/>
  <c r="AK1341" i="1" a="1"/>
  <c r="AK1341" i="1" s="1"/>
  <c r="AK1342" i="1" a="1"/>
  <c r="AK1342" i="1" s="1"/>
  <c r="AK1343" i="1" a="1"/>
  <c r="AK1343" i="1" s="1"/>
  <c r="AK1344" i="1" a="1"/>
  <c r="AK1344" i="1" s="1"/>
  <c r="AK1345" i="1" a="1"/>
  <c r="AK1345" i="1" s="1"/>
  <c r="AK1346" i="1" a="1"/>
  <c r="AK1346" i="1" s="1"/>
  <c r="AK1347" i="1" a="1"/>
  <c r="AK1347" i="1" s="1"/>
  <c r="AK1348" i="1" a="1"/>
  <c r="AK1348" i="1" s="1"/>
  <c r="AK1349" i="1" a="1"/>
  <c r="AK1349" i="1" s="1"/>
  <c r="AK1350" i="1" a="1"/>
  <c r="AK1350" i="1" s="1"/>
  <c r="AK1351" i="1" a="1"/>
  <c r="AK1351" i="1" s="1"/>
  <c r="AK1352" i="1" a="1"/>
  <c r="AK1352" i="1" s="1"/>
  <c r="AK1353" i="1" a="1"/>
  <c r="AK1353" i="1" s="1"/>
  <c r="AK1354" i="1" a="1"/>
  <c r="AK1354" i="1" s="1"/>
  <c r="AK1355" i="1" a="1"/>
  <c r="AK1355" i="1" s="1"/>
  <c r="AK1356" i="1" a="1"/>
  <c r="AK1356" i="1" s="1"/>
  <c r="AK1357" i="1" a="1"/>
  <c r="AK1357" i="1" s="1"/>
  <c r="AK1358" i="1" a="1"/>
  <c r="AK1358" i="1" s="1"/>
  <c r="AK1359" i="1" a="1"/>
  <c r="AK1359" i="1" s="1"/>
  <c r="AK1360" i="1" a="1"/>
  <c r="AK1360" i="1" s="1"/>
  <c r="AK1361" i="1" a="1"/>
  <c r="AK1361" i="1" s="1"/>
  <c r="AK1362" i="1" a="1"/>
  <c r="AK1362" i="1" s="1"/>
  <c r="AK1363" i="1" a="1"/>
  <c r="AK1363" i="1" s="1"/>
  <c r="AK1364" i="1" a="1"/>
  <c r="AK1364" i="1" s="1"/>
  <c r="AK1365" i="1" a="1"/>
  <c r="AK1365" i="1" s="1"/>
  <c r="AK1366" i="1" a="1"/>
  <c r="AK1366" i="1" s="1"/>
  <c r="AK1367" i="1" a="1"/>
  <c r="AK1367" i="1" s="1"/>
  <c r="AK1368" i="1" a="1"/>
  <c r="AK1368" i="1" s="1"/>
  <c r="AK1369" i="1" a="1"/>
  <c r="AK1369" i="1" s="1"/>
  <c r="AK1370" i="1" a="1"/>
  <c r="AK1370" i="1" s="1"/>
  <c r="AK1371" i="1" a="1"/>
  <c r="AK1371" i="1" s="1"/>
  <c r="AK1372" i="1" a="1"/>
  <c r="AK1372" i="1" s="1"/>
  <c r="AK1373" i="1" a="1"/>
  <c r="AK1373" i="1" s="1"/>
  <c r="AK1374" i="1" a="1"/>
  <c r="AK1374" i="1" s="1"/>
  <c r="AK1375" i="1" a="1"/>
  <c r="AK1375" i="1" s="1"/>
  <c r="AK1376" i="1" a="1"/>
  <c r="AK1376" i="1" s="1"/>
  <c r="AK1377" i="1" a="1"/>
  <c r="AK1377" i="1" s="1"/>
  <c r="AK1378" i="1" a="1"/>
  <c r="AK1378" i="1" s="1"/>
  <c r="AK1379" i="1" a="1"/>
  <c r="AK1379" i="1" s="1"/>
  <c r="AK1380" i="1" a="1"/>
  <c r="AK1380" i="1" s="1"/>
  <c r="AK1381" i="1" a="1"/>
  <c r="AK1381" i="1" s="1"/>
  <c r="AK1382" i="1" a="1"/>
  <c r="AK1382" i="1" s="1"/>
  <c r="AK1383" i="1" a="1"/>
  <c r="AK1383" i="1" s="1"/>
  <c r="AK1384" i="1" a="1"/>
  <c r="AK1384" i="1" s="1"/>
  <c r="AK1385" i="1" a="1"/>
  <c r="AK1385" i="1" s="1"/>
  <c r="AK1386" i="1" a="1"/>
  <c r="AK1386" i="1" s="1"/>
  <c r="AK1387" i="1" a="1"/>
  <c r="AK1387" i="1" s="1"/>
  <c r="AK1388" i="1" a="1"/>
  <c r="AK1388" i="1" s="1"/>
  <c r="AK1389" i="1" a="1"/>
  <c r="AK1389" i="1" s="1"/>
  <c r="AK1390" i="1" a="1"/>
  <c r="AK1390" i="1" s="1"/>
  <c r="AK1391" i="1" a="1"/>
  <c r="AK1391" i="1" s="1"/>
  <c r="AK1392" i="1" a="1"/>
  <c r="AK1392" i="1" s="1"/>
  <c r="AK1393" i="1" a="1"/>
  <c r="AK1393" i="1" s="1"/>
  <c r="AK1394" i="1" a="1"/>
  <c r="AK1394" i="1" s="1"/>
  <c r="AK1395" i="1" a="1"/>
  <c r="AK1395" i="1" s="1"/>
  <c r="AK1396" i="1" a="1"/>
  <c r="AK1396" i="1" s="1"/>
  <c r="AK1397" i="1" a="1"/>
  <c r="AK1397" i="1" s="1"/>
  <c r="AK1398" i="1" a="1"/>
  <c r="AK1398" i="1" s="1"/>
  <c r="AK1399" i="1" a="1"/>
  <c r="AK1399" i="1" s="1"/>
  <c r="AK1400" i="1" a="1"/>
  <c r="AK1400" i="1" s="1"/>
  <c r="AK1401" i="1" a="1"/>
  <c r="AK1401" i="1" s="1"/>
  <c r="AK1402" i="1" a="1"/>
  <c r="AK1402" i="1" s="1"/>
  <c r="AK1403" i="1" a="1"/>
  <c r="AK1403" i="1" s="1"/>
  <c r="AK1404" i="1" a="1"/>
  <c r="AK1404" i="1" s="1"/>
  <c r="AK1405" i="1" a="1"/>
  <c r="AK1405" i="1" s="1"/>
  <c r="AK1406" i="1" a="1"/>
  <c r="AK1406" i="1" s="1"/>
  <c r="AK1407" i="1" a="1"/>
  <c r="AK1407" i="1" s="1"/>
  <c r="AK1408" i="1" a="1"/>
  <c r="AK1408" i="1" s="1"/>
  <c r="AK1409" i="1" a="1"/>
  <c r="AK1409" i="1" s="1"/>
  <c r="AK1410" i="1" a="1"/>
  <c r="AK1410" i="1" s="1"/>
  <c r="AK1411" i="1" a="1"/>
  <c r="AK1411" i="1" s="1"/>
  <c r="AK1412" i="1" a="1"/>
  <c r="AK1412" i="1" s="1"/>
  <c r="AK1413" i="1" a="1"/>
  <c r="AK1413" i="1" s="1"/>
  <c r="AK1414" i="1" a="1"/>
  <c r="AK1414" i="1" s="1"/>
  <c r="AK1415" i="1" a="1"/>
  <c r="AK1415" i="1" s="1"/>
  <c r="AK1416" i="1" a="1"/>
  <c r="AK1416" i="1" s="1"/>
  <c r="AK1417" i="1" a="1"/>
  <c r="AK1417" i="1" s="1"/>
  <c r="AK1418" i="1" a="1"/>
  <c r="AK1418" i="1" s="1"/>
  <c r="AK1419" i="1" a="1"/>
  <c r="AK1419" i="1" s="1"/>
  <c r="AK1420" i="1" a="1"/>
  <c r="AK1420" i="1" s="1"/>
  <c r="AK1421" i="1" a="1"/>
  <c r="AK1421" i="1" s="1"/>
  <c r="AK1422" i="1" a="1"/>
  <c r="AK1422" i="1" s="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s="1"/>
  <c r="AK1432" i="1" a="1"/>
  <c r="AK1432" i="1" s="1"/>
  <c r="AK1433" i="1" a="1"/>
  <c r="AK1433" i="1" s="1"/>
  <c r="AK1434" i="1" a="1"/>
  <c r="AK1434" i="1" s="1"/>
  <c r="AK1435" i="1" a="1"/>
  <c r="AK1435" i="1" s="1"/>
  <c r="AK1436" i="1" a="1"/>
  <c r="AK1436" i="1" s="1"/>
  <c r="AK1437" i="1" a="1"/>
  <c r="AK1437" i="1" s="1"/>
  <c r="AK1438" i="1" a="1"/>
  <c r="AK1438" i="1" s="1"/>
  <c r="AK1439" i="1" a="1"/>
  <c r="AK1439" i="1" s="1"/>
  <c r="AK1440" i="1" a="1"/>
  <c r="AK1440" i="1" s="1"/>
  <c r="AK1441" i="1" a="1"/>
  <c r="AK1441" i="1" s="1"/>
  <c r="AK1442" i="1" a="1"/>
  <c r="AK1442" i="1" s="1"/>
  <c r="AK1443" i="1" a="1"/>
  <c r="AK1443" i="1" s="1"/>
  <c r="AK1444" i="1" a="1"/>
  <c r="AK1444" i="1" s="1"/>
  <c r="AK1445" i="1" a="1"/>
  <c r="AK1445" i="1" s="1"/>
  <c r="AK1446" i="1" a="1"/>
  <c r="AK1446" i="1" s="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s="1"/>
  <c r="AK1456" i="1" a="1"/>
  <c r="AK1456" i="1" s="1"/>
  <c r="AK1457" i="1" a="1"/>
  <c r="AK1457" i="1" s="1"/>
  <c r="AK1458" i="1" a="1"/>
  <c r="AK1458" i="1" s="1"/>
  <c r="AK1459" i="1" a="1"/>
  <c r="AK1459" i="1" s="1"/>
  <c r="AK1460" i="1" a="1"/>
  <c r="AK1460" i="1" s="1"/>
  <c r="AK1461" i="1" a="1"/>
  <c r="AK1461" i="1" s="1"/>
  <c r="AK1462" i="1" a="1"/>
  <c r="AK1462" i="1" s="1"/>
  <c r="AK1463" i="1" a="1"/>
  <c r="AK1463" i="1" s="1"/>
  <c r="AK1464" i="1" a="1"/>
  <c r="AK1464" i="1" s="1"/>
  <c r="AK1465" i="1" a="1"/>
  <c r="AK1465" i="1" s="1"/>
  <c r="AK1466" i="1" a="1"/>
  <c r="AK1466" i="1" s="1"/>
  <c r="AK1467" i="1" a="1"/>
  <c r="AK1467" i="1" s="1"/>
  <c r="AK1468" i="1" a="1"/>
  <c r="AK1468" i="1" s="1"/>
  <c r="AK1469" i="1" a="1"/>
  <c r="AK1469" i="1" s="1"/>
  <c r="AK1470" i="1" a="1"/>
  <c r="AK1470" i="1" s="1"/>
  <c r="AK1471" i="1" a="1"/>
  <c r="AK1471" i="1" s="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F3" i="13" l="1"/>
  <c r="H3"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<sst xmlns="http://schemas.openxmlformats.org/spreadsheetml/2006/main" count="13312" uniqueCount="92">
  <si>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</si>
  <si>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</si>
  <si>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</si>
  <si>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</si>
  <si>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</si>
  <si>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</si>
  <si>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</si>
  <si>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</si>
  <si>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</si>
  <si>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</si>
  <si>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</si>
  <si>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</si>
  <si>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</si>
  <si>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</si>
  <si>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</si>
  <si>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</si>
  <si>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</si>
  <si>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</si>
  <si>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</si>
  <si>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</si>
  <si>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</si>
  <si>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</si>
  <si>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</si>
  <si>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</si>
  <si>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</si>
  <si>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</si>
  <si>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</si>
  <si>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</si>
  <si>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</si>
  <si>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</si>
  <si>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</si>
  <si>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</si>
  <si>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</si>
  <si>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</si>
  <si>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</si>
  <si>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</si>
  <si>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Sales</t>
  </si>
  <si>
    <t>Life Sciences</t>
  </si>
  <si>
    <t>Female</t>
  </si>
  <si>
    <t>Sales Executive</t>
  </si>
  <si>
    <t>Single</t>
  </si>
  <si>
    <t>Y</t>
  </si>
  <si>
    <t>No</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</si>
  <si>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</si>
  <si>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</si>
  <si>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</si>
  <si>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</si>
  <si>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</si>
  <si>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</si>
  <si>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</si>
  <si>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</si>
  <si>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</si>
  <si>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</si>
  <si>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</si>
  <si>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</si>
  <si>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</si>
  <si>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</si>
  <si>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</si>
  <si>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</si>
  <si>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</si>
  <si>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AttritionFlag</t>
  </si>
  <si>
    <t>AgeGroup</t>
  </si>
  <si>
    <t>DistanceGroup</t>
  </si>
  <si>
    <t>SalaryBand</t>
  </si>
  <si>
    <t>TenureGroup</t>
  </si>
  <si>
    <t>PerformanceGroup</t>
  </si>
  <si>
    <t>Grand Total</t>
  </si>
  <si>
    <t>0-10</t>
  </si>
  <si>
    <t>11-20</t>
  </si>
  <si>
    <t>20+</t>
  </si>
  <si>
    <t>18-30</t>
  </si>
  <si>
    <t>31-45</t>
  </si>
  <si>
    <t>46-60</t>
  </si>
  <si>
    <t>Average of MonthlyIncome</t>
  </si>
  <si>
    <t>Average of AttritionFlag</t>
  </si>
  <si>
    <t>DistangeGroup</t>
  </si>
  <si>
    <t>10-20</t>
  </si>
  <si>
    <t>20-30</t>
  </si>
  <si>
    <t>30+</t>
  </si>
  <si>
    <t>JobSatisfactionGroup</t>
  </si>
  <si>
    <t>Attrited Employees</t>
  </si>
  <si>
    <t>Attrition Rate</t>
  </si>
  <si>
    <t>Low</t>
  </si>
  <si>
    <t>Medium</t>
  </si>
  <si>
    <t>High</t>
  </si>
  <si>
    <t>Very High</t>
  </si>
  <si>
    <t>Good</t>
  </si>
  <si>
    <t>Excellent</t>
  </si>
  <si>
    <t>Average Salary</t>
  </si>
  <si>
    <t>Total Employees</t>
  </si>
  <si>
    <t>Travel Rarely</t>
  </si>
  <si>
    <t>Travel Frequently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</si>
</sst>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33" borderId="0" xfId="0" applyFill="1"/>
    <xf numFmtId="10" fontId="0" fillId="33" borderId="0" xfId="42" applyNumberFormat="1" applyFont="1" applyFill="1" applyBorder="1"/>
    <xf numFmtId="164" fontId="0" fillId="33" borderId="0" xfId="0" applyNumberFormat="1" applyFill="1"/>
    <xf numFmtId="0" fontId="18" fillId="34" borderId="0" xfId="0" applyFont="1" applyFill="1"/>
    <xf numFmtId="0" fontId="19" fillId="33" borderId="0" xfId="0" applyFont="1" applyFill="1"/>
    <xf numFmtId="164" fontId="19" fillId="33" borderId="0" xfId="0" applyNumberFormat="1" applyFont="1" applyFill="1"/>
    <xf numFmtId="10" fontId="19" fillId="33" borderId="0" xfId="0" applyNumberFormat="1" applyFont="1" applyFill="1"/>
    <xf numFmtId="0" fontId="0" fillId="33" borderId="0" xfId="0" applyFill="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9">
    <dxf>
      <numFmt numFmtId="14" formatCode="0.00%"/>
    </dxf>
    <dxf>
      <numFmt numFmtId="14" formatCode="0.00%"/>
    </dxf>
    <dxf>
      <numFmt numFmtId="14" formatCode="0.00%"/>
    </dxf>
    <dxf>
      <numFmt numFmtId="14" formatCode="0.00%"/>
    </dxf>
    <dxf>
      <numFmt numFmtId="164" formatCode="&quot;₹&quot;\ #,##0.00"/>
    </dxf>
    <dxf>
      <numFmt numFmtId="164" formatCode="&quot;₹&quot;\ #,##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quot;₹&quot;\ #,##0.00"/>
    </dxf>
    <dxf>
      <numFmt numFmtId="164" formatCode="&quot;₹&quot;\ #,##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64" formatCode="&quot;₹&quot;\ #,##0.00"/>
    </dxf>
    <dxf>
      <numFmt numFmtId="164" formatCode="&quot;₹&quot;\ #,##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A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-Binned-Dashboard.xlsx]Q1_Age_Attrition!PivotTable1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Q1_Age_Attrition!$B$3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Q1_Age_Attrition!$A$4:$A$7</c:f>
              <c:strCache>
                <c:ptCount val="3"/>
                <c:pt idx="0">
                  <c:v>18-30</c:v>
                </c:pt>
                <c:pt idx="1">
                  <c:v>31-45</c:v>
                </c:pt>
                <c:pt idx="2">
                  <c:v>46-60</c:v>
                </c:pt>
              </c:strCache>
            </c:strRef>
          </c:cat>
          <c:val>
            <c:numRef>
              <c:f>Q1_Age_Attrition!$B$4:$B$7</c:f>
              <c:numCache>
                <c:formatCode>0.00%</c:formatCode>
                <c:ptCount val="3"/>
                <c:pt idx="0">
                  <c:v>0.25906735751295334</c:v>
                </c:pt>
                <c:pt idx="1">
                  <c:v>0.12700369913686807</c:v>
                </c:pt>
                <c:pt idx="2">
                  <c:v>0.12454212454212454</c:v>
                </c:pt>
              </c:numCache>
            </c:numRef>
          </c:val>
          <c:extLst>
            <c:ext xmlns:c16="http://schemas.microsoft.com/office/drawing/2014/chart" uri="{C3380CC4-5D6E-409C-BE32-E72D297353CC}">
              <c16:uniqueId val="{00000000-F0AD-431D-A394-4BB874F8AD1D}"/>
            </c:ext>
          </c:extLst>
        </c:ser>
        <c:dLbls>
          <c:showLegendKey val="0"/>
          <c:showVal val="0"/>
          <c:showCatName val="0"/>
          <c:showSerName val="0"/>
          <c:showPercent val="0"/>
          <c:showBubbleSize val="0"/>
        </c:dLbls>
        <c:gapWidth val="219"/>
        <c:axId val="1246316287"/>
        <c:axId val="1246321087"/>
      </c:barChart>
      <c:valAx>
        <c:axId val="12463210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16287"/>
        <c:crosses val="max"/>
        <c:crossBetween val="between"/>
      </c:valAx>
      <c:catAx>
        <c:axId val="1246316287"/>
        <c:scaling>
          <c:orientation val="minMax"/>
        </c:scaling>
        <c:delete val="1"/>
        <c:axPos val="b"/>
        <c:numFmt formatCode="General" sourceLinked="1"/>
        <c:majorTickMark val="out"/>
        <c:minorTickMark val="none"/>
        <c:tickLblPos val="nextTo"/>
        <c:crossAx val="1246321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-Binned-Dashboard.xlsx]Q2_Commute_Attrition!PivotTable1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Q2_Commute_Attrition!$B$3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Q2_Commute_Attrition!$A$4:$A$7</c:f>
              <c:strCache>
                <c:ptCount val="3"/>
                <c:pt idx="0">
                  <c:v>0-10</c:v>
                </c:pt>
                <c:pt idx="1">
                  <c:v>11-20</c:v>
                </c:pt>
                <c:pt idx="2">
                  <c:v>20+</c:v>
                </c:pt>
              </c:strCache>
            </c:strRef>
          </c:cat>
          <c:val>
            <c:numRef>
              <c:f>Q2_Commute_Attrition!$B$4:$B$7</c:f>
              <c:numCache>
                <c:formatCode>0.00%</c:formatCode>
                <c:ptCount val="3"/>
                <c:pt idx="0">
                  <c:v>0.14035087719298245</c:v>
                </c:pt>
                <c:pt idx="1">
                  <c:v>0.2</c:v>
                </c:pt>
                <c:pt idx="2">
                  <c:v>0.22058823529411764</c:v>
                </c:pt>
              </c:numCache>
            </c:numRef>
          </c:val>
          <c:extLst>
            <c:ext xmlns:c16="http://schemas.microsoft.com/office/drawing/2014/chart" uri="{C3380CC4-5D6E-409C-BE32-E72D297353CC}">
              <c16:uniqueId val="{00000000-89C8-4833-A64D-FCE9EB3F2351}"/>
            </c:ext>
          </c:extLst>
        </c:ser>
        <c:dLbls>
          <c:showLegendKey val="0"/>
          <c:showVal val="0"/>
          <c:showCatName val="0"/>
          <c:showSerName val="0"/>
          <c:showPercent val="0"/>
          <c:showBubbleSize val="0"/>
        </c:dLbls>
        <c:gapWidth val="219"/>
        <c:axId val="1235386463"/>
        <c:axId val="1235382143"/>
      </c:barChart>
      <c:valAx>
        <c:axId val="12353821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6463"/>
        <c:crosses val="max"/>
        <c:crossBetween val="between"/>
      </c:valAx>
      <c:catAx>
        <c:axId val="1235386463"/>
        <c:scaling>
          <c:orientation val="minMax"/>
        </c:scaling>
        <c:delete val="1"/>
        <c:axPos val="b"/>
        <c:numFmt formatCode="General" sourceLinked="1"/>
        <c:majorTickMark val="out"/>
        <c:minorTickMark val="none"/>
        <c:tickLblPos val="nextTo"/>
        <c:crossAx val="12353821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-Binned-Dashboard.xlsx]Q3_Performance_Tenure_Attrition!PivotTable2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Q3_Performance_Tenure_Attrition!$C$3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Q3_Performance_Tenure_Attrition!$A$4:$B$12</c:f>
              <c:multiLvlStrCache>
                <c:ptCount val="8"/>
                <c:lvl>
                  <c:pt idx="0">
                    <c:v>0-10</c:v>
                  </c:pt>
                  <c:pt idx="1">
                    <c:v>10-20</c:v>
                  </c:pt>
                  <c:pt idx="2">
                    <c:v>20-30</c:v>
                  </c:pt>
                  <c:pt idx="3">
                    <c:v>30+</c:v>
                  </c:pt>
                  <c:pt idx="4">
                    <c:v>0-10</c:v>
                  </c:pt>
                  <c:pt idx="5">
                    <c:v>10-20</c:v>
                  </c:pt>
                  <c:pt idx="6">
                    <c:v>20-30</c:v>
                  </c:pt>
                  <c:pt idx="7">
                    <c:v>30+</c:v>
                  </c:pt>
                </c:lvl>
                <c:lvl>
                  <c:pt idx="0">
                    <c:v>Excellent</c:v>
                  </c:pt>
                  <c:pt idx="4">
                    <c:v>Good</c:v>
                  </c:pt>
                </c:lvl>
              </c:multiLvlStrCache>
            </c:multiLvlStrRef>
          </c:cat>
          <c:val>
            <c:numRef>
              <c:f>Q3_Performance_Tenure_Attrition!$C$4:$C$12</c:f>
              <c:numCache>
                <c:formatCode>0.00%</c:formatCode>
                <c:ptCount val="8"/>
                <c:pt idx="0">
                  <c:v>0.18681318681318682</c:v>
                </c:pt>
                <c:pt idx="1">
                  <c:v>8.3333333333333329E-2</c:v>
                </c:pt>
                <c:pt idx="2">
                  <c:v>0</c:v>
                </c:pt>
                <c:pt idx="3">
                  <c:v>0</c:v>
                </c:pt>
                <c:pt idx="4">
                  <c:v>0.17562380038387715</c:v>
                </c:pt>
                <c:pt idx="5">
                  <c:v>6.25E-2</c:v>
                </c:pt>
                <c:pt idx="6">
                  <c:v>9.3023255813953487E-2</c:v>
                </c:pt>
                <c:pt idx="7">
                  <c:v>0.26666666666666666</c:v>
                </c:pt>
              </c:numCache>
            </c:numRef>
          </c:val>
          <c:extLst>
            <c:ext xmlns:c16="http://schemas.microsoft.com/office/drawing/2014/chart" uri="{C3380CC4-5D6E-409C-BE32-E72D297353CC}">
              <c16:uniqueId val="{00000000-38E1-4B60-88A4-D667BF57A028}"/>
            </c:ext>
          </c:extLst>
        </c:ser>
        <c:dLbls>
          <c:showLegendKey val="0"/>
          <c:showVal val="0"/>
          <c:showCatName val="0"/>
          <c:showSerName val="0"/>
          <c:showPercent val="0"/>
          <c:showBubbleSize val="0"/>
        </c:dLbls>
        <c:gapWidth val="219"/>
        <c:overlap val="-27"/>
        <c:axId val="1238364831"/>
        <c:axId val="1238379231"/>
      </c:barChart>
      <c:catAx>
        <c:axId val="123836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79231"/>
        <c:crosses val="autoZero"/>
        <c:auto val="1"/>
        <c:lblAlgn val="ctr"/>
        <c:lblOffset val="100"/>
        <c:noMultiLvlLbl val="0"/>
      </c:catAx>
      <c:valAx>
        <c:axId val="1238379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-Binned-Dashboard.xlsx]Q5_Satisfaction_Attrition!PivotTable3</c:name>
    <c:fmtId val="0"/>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Q5_Satisfaction_Attrition!$B$3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Q5_Satisfaction_Attrition!$A$4:$A$8</c:f>
              <c:strCache>
                <c:ptCount val="4"/>
                <c:pt idx="0">
                  <c:v>High</c:v>
                </c:pt>
                <c:pt idx="1">
                  <c:v>Low</c:v>
                </c:pt>
                <c:pt idx="2">
                  <c:v>Medium</c:v>
                </c:pt>
                <c:pt idx="3">
                  <c:v>Very High</c:v>
                </c:pt>
              </c:strCache>
            </c:strRef>
          </c:cat>
          <c:val>
            <c:numRef>
              <c:f>Q5_Satisfaction_Attrition!$B$4:$B$8</c:f>
              <c:numCache>
                <c:formatCode>0.00%</c:formatCode>
                <c:ptCount val="4"/>
                <c:pt idx="0">
                  <c:v>0.16515837104072398</c:v>
                </c:pt>
                <c:pt idx="1">
                  <c:v>0.22837370242214533</c:v>
                </c:pt>
                <c:pt idx="2">
                  <c:v>0.16428571428571428</c:v>
                </c:pt>
                <c:pt idx="3">
                  <c:v>0.11328976034858387</c:v>
                </c:pt>
              </c:numCache>
            </c:numRef>
          </c:val>
          <c:extLst>
            <c:ext xmlns:c16="http://schemas.microsoft.com/office/drawing/2014/chart" uri="{C3380CC4-5D6E-409C-BE32-E72D297353CC}">
              <c16:uniqueId val="{00000000-714F-4BB4-AD65-0999A4B09BC3}"/>
            </c:ext>
          </c:extLst>
        </c:ser>
        <c:dLbls>
          <c:showLegendKey val="0"/>
          <c:showVal val="1"/>
          <c:showCatName val="0"/>
          <c:showSerName val="0"/>
          <c:showPercent val="0"/>
          <c:showBubbleSize val="0"/>
        </c:dLbls>
        <c:gapWidth val="269"/>
        <c:axId val="682363919"/>
        <c:axId val="682362959"/>
      </c:barChart>
      <c:valAx>
        <c:axId val="68236295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63919"/>
        <c:crosses val="max"/>
        <c:crossBetween val="between"/>
      </c:valAx>
      <c:catAx>
        <c:axId val="682363919"/>
        <c:scaling>
          <c:orientation val="minMax"/>
        </c:scaling>
        <c:delete val="1"/>
        <c:axPos val="b"/>
        <c:numFmt formatCode="General" sourceLinked="1"/>
        <c:majorTickMark val="none"/>
        <c:minorTickMark val="none"/>
        <c:tickLblPos val="nextTo"/>
        <c:crossAx val="682362959"/>
        <c:crosses val="autoZero"/>
        <c:auto val="1"/>
        <c:lblAlgn val="ctr"/>
        <c:lblOffset val="100"/>
        <c:noMultiLvlLbl val="0"/>
      </c:catAx>
      <c:spPr>
        <a:noFill/>
        <a:ln>
          <a:noFill/>
        </a:ln>
        <a:effectLst/>
      </c:spPr>
    </c:plotArea>
    <c:legend>
      <c:legendPos val="r"/>
      <c:layout>
        <c:manualLayout>
          <c:xMode val="edge"/>
          <c:yMode val="edge"/>
          <c:x val="0.74705380577427816"/>
          <c:y val="5.5485928842228069E-2"/>
          <c:w val="0.23627952755905518"/>
          <c:h val="0.48625000000000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-Binned-Dashboard.xlsx]Q5_Satisfaction_Attrition!PivotTable3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 by Job</a:t>
            </a:r>
            <a:r>
              <a:rPr lang="en-GB" baseline="0"/>
              <a:t>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02020"/>
          </a:solidFill>
          <a:ln>
            <a:noFill/>
          </a:ln>
          <a:effectLst/>
        </c:spPr>
      </c:pivotFmt>
    </c:pivotFmts>
    <c:plotArea>
      <c:layout/>
      <c:barChart>
        <c:barDir val="col"/>
        <c:grouping val="clustered"/>
        <c:varyColors val="0"/>
        <c:ser>
          <c:idx val="0"/>
          <c:order val="0"/>
          <c:tx>
            <c:strRef>
              <c:f>Q5_Satisfaction_Attrition!$B$3</c:f>
              <c:strCache>
                <c:ptCount val="1"/>
                <c:pt idx="0">
                  <c:v>Total</c:v>
                </c:pt>
              </c:strCache>
            </c:strRef>
          </c:tx>
          <c:spPr>
            <a:solidFill>
              <a:schemeClr val="accent1"/>
            </a:solidFill>
            <a:ln>
              <a:noFill/>
            </a:ln>
            <a:effectLst/>
          </c:spPr>
          <c:invertIfNegative val="0"/>
          <c:dPt>
            <c:idx val="1"/>
            <c:invertIfNegative val="0"/>
            <c:bubble3D val="0"/>
            <c:spPr>
              <a:solidFill>
                <a:srgbClr val="A02020"/>
              </a:solidFill>
              <a:ln>
                <a:noFill/>
              </a:ln>
              <a:effectLst/>
            </c:spPr>
            <c:extLst>
              <c:ext xmlns:c16="http://schemas.microsoft.com/office/drawing/2014/chart" uri="{C3380CC4-5D6E-409C-BE32-E72D297353CC}">
                <c16:uniqueId val="{00000008-1156-450A-9AD8-6B7161A628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Q5_Satisfaction_Attrition!$A$4:$A$8</c:f>
              <c:strCache>
                <c:ptCount val="4"/>
                <c:pt idx="0">
                  <c:v>High</c:v>
                </c:pt>
                <c:pt idx="1">
                  <c:v>Low</c:v>
                </c:pt>
                <c:pt idx="2">
                  <c:v>Medium</c:v>
                </c:pt>
                <c:pt idx="3">
                  <c:v>Very High</c:v>
                </c:pt>
              </c:strCache>
            </c:strRef>
          </c:cat>
          <c:val>
            <c:numRef>
              <c:f>Q5_Satisfaction_Attrition!$B$4:$B$8</c:f>
              <c:numCache>
                <c:formatCode>0.00%</c:formatCode>
                <c:ptCount val="4"/>
                <c:pt idx="0">
                  <c:v>0.16515837104072398</c:v>
                </c:pt>
                <c:pt idx="1">
                  <c:v>0.22837370242214533</c:v>
                </c:pt>
                <c:pt idx="2">
                  <c:v>0.16428571428571428</c:v>
                </c:pt>
                <c:pt idx="3">
                  <c:v>0.11328976034858387</c:v>
                </c:pt>
              </c:numCache>
            </c:numRef>
          </c:val>
          <c:extLst>
            <c:ext xmlns:c16="http://schemas.microsoft.com/office/drawing/2014/chart" uri="{C3380CC4-5D6E-409C-BE32-E72D297353CC}">
              <c16:uniqueId val="{00000001-1156-450A-9AD8-6B7161A628A4}"/>
            </c:ext>
          </c:extLst>
        </c:ser>
        <c:dLbls>
          <c:showLegendKey val="0"/>
          <c:showVal val="1"/>
          <c:showCatName val="0"/>
          <c:showSerName val="0"/>
          <c:showPercent val="0"/>
          <c:showBubbleSize val="0"/>
        </c:dLbls>
        <c:gapWidth val="150"/>
        <c:overlap val="-25"/>
        <c:axId val="963925055"/>
        <c:axId val="963926015"/>
      </c:barChart>
      <c:catAx>
        <c:axId val="9639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26015"/>
        <c:crosses val="autoZero"/>
        <c:auto val="1"/>
        <c:lblAlgn val="ctr"/>
        <c:lblOffset val="100"/>
        <c:noMultiLvlLbl val="0"/>
      </c:catAx>
      <c:valAx>
        <c:axId val="963926015"/>
        <c:scaling>
          <c:orientation val="minMax"/>
        </c:scaling>
        <c:delete val="1"/>
        <c:axPos val="l"/>
        <c:numFmt formatCode="0.00%" sourceLinked="1"/>
        <c:majorTickMark val="none"/>
        <c:minorTickMark val="none"/>
        <c:tickLblPos val="nextTo"/>
        <c:crossAx val="9639250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-Binned-Dashboard.xlsx]Q3_Performance_Tenure_Attrition!PivotTable2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 by</a:t>
            </a:r>
            <a:r>
              <a:rPr lang="en-GB" baseline="0"/>
              <a:t> </a:t>
            </a:r>
            <a:r>
              <a:rPr lang="en-GB"/>
              <a:t>Performance</a:t>
            </a:r>
            <a:r>
              <a:rPr lang="en-GB" baseline="0"/>
              <a:t> and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1"/>
          <c:showPercent val="0"/>
          <c:showBubbleSize val="0"/>
          <c:extLst>
            <c:ext xmlns:c15="http://schemas.microsoft.com/office/drawing/2012/chart" uri="{CE6537A1-D6FC-4f65-9D91-7224C49458BB}"/>
          </c:extLst>
        </c:dLbl>
      </c:pivotFmt>
      <c:pivotFmt>
        <c:idx val="4"/>
        <c:spPr>
          <a:solidFill>
            <a:srgbClr val="A02020"/>
          </a:solidFill>
          <a:ln>
            <a:noFill/>
          </a:ln>
          <a:effectLst/>
        </c:spPr>
      </c:pivotFmt>
    </c:pivotFmts>
    <c:plotArea>
      <c:layout/>
      <c:barChart>
        <c:barDir val="col"/>
        <c:grouping val="clustered"/>
        <c:varyColors val="0"/>
        <c:ser>
          <c:idx val="0"/>
          <c:order val="0"/>
          <c:tx>
            <c:strRef>
              <c:f>Q3_Performance_Tenure_Attrition!$C$3</c:f>
              <c:strCache>
                <c:ptCount val="1"/>
                <c:pt idx="0">
                  <c:v>Total</c:v>
                </c:pt>
              </c:strCache>
            </c:strRef>
          </c:tx>
          <c:spPr>
            <a:solidFill>
              <a:schemeClr val="accent1"/>
            </a:solidFill>
            <a:ln>
              <a:noFill/>
            </a:ln>
            <a:effectLst/>
          </c:spPr>
          <c:invertIfNegative val="0"/>
          <c:dPt>
            <c:idx val="7"/>
            <c:invertIfNegative val="0"/>
            <c:bubble3D val="0"/>
            <c:spPr>
              <a:solidFill>
                <a:srgbClr val="A02020"/>
              </a:solidFill>
              <a:ln>
                <a:noFill/>
              </a:ln>
              <a:effectLst/>
            </c:spPr>
            <c:extLst>
              <c:ext xmlns:c16="http://schemas.microsoft.com/office/drawing/2014/chart" uri="{C3380CC4-5D6E-409C-BE32-E72D297353CC}">
                <c16:uniqueId val="{00000001-3A36-4221-80DA-B84D891FA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Q3_Performance_Tenure_Attrition!$A$4:$B$12</c:f>
              <c:multiLvlStrCache>
                <c:ptCount val="8"/>
                <c:lvl>
                  <c:pt idx="0">
                    <c:v>0-10</c:v>
                  </c:pt>
                  <c:pt idx="1">
                    <c:v>10-20</c:v>
                  </c:pt>
                  <c:pt idx="2">
                    <c:v>20-30</c:v>
                  </c:pt>
                  <c:pt idx="3">
                    <c:v>30+</c:v>
                  </c:pt>
                  <c:pt idx="4">
                    <c:v>0-10</c:v>
                  </c:pt>
                  <c:pt idx="5">
                    <c:v>10-20</c:v>
                  </c:pt>
                  <c:pt idx="6">
                    <c:v>20-30</c:v>
                  </c:pt>
                  <c:pt idx="7">
                    <c:v>30+</c:v>
                  </c:pt>
                </c:lvl>
                <c:lvl>
                  <c:pt idx="0">
                    <c:v>Excellent</c:v>
                  </c:pt>
                  <c:pt idx="4">
                    <c:v>Good</c:v>
                  </c:pt>
                </c:lvl>
              </c:multiLvlStrCache>
            </c:multiLvlStrRef>
          </c:cat>
          <c:val>
            <c:numRef>
              <c:f>Q3_Performance_Tenure_Attrition!$C$4:$C$12</c:f>
              <c:numCache>
                <c:formatCode>0.00%</c:formatCode>
                <c:ptCount val="8"/>
                <c:pt idx="0">
                  <c:v>0.18681318681318682</c:v>
                </c:pt>
                <c:pt idx="1">
                  <c:v>8.3333333333333329E-2</c:v>
                </c:pt>
                <c:pt idx="2">
                  <c:v>0</c:v>
                </c:pt>
                <c:pt idx="3">
                  <c:v>0</c:v>
                </c:pt>
                <c:pt idx="4">
                  <c:v>0.17562380038387715</c:v>
                </c:pt>
                <c:pt idx="5">
                  <c:v>6.25E-2</c:v>
                </c:pt>
                <c:pt idx="6">
                  <c:v>9.3023255813953487E-2</c:v>
                </c:pt>
                <c:pt idx="7">
                  <c:v>0.26666666666666666</c:v>
                </c:pt>
              </c:numCache>
            </c:numRef>
          </c:val>
          <c:extLst>
            <c:ext xmlns:c16="http://schemas.microsoft.com/office/drawing/2014/chart" uri="{C3380CC4-5D6E-409C-BE32-E72D297353CC}">
              <c16:uniqueId val="{00000000-3A36-4221-80DA-B84D891FACF4}"/>
            </c:ext>
          </c:extLst>
        </c:ser>
        <c:dLbls>
          <c:showLegendKey val="0"/>
          <c:showVal val="1"/>
          <c:showCatName val="0"/>
          <c:showSerName val="0"/>
          <c:showPercent val="0"/>
          <c:showBubbleSize val="0"/>
        </c:dLbls>
        <c:gapWidth val="75"/>
        <c:axId val="1238364831"/>
        <c:axId val="1238379231"/>
      </c:barChart>
      <c:catAx>
        <c:axId val="123836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79231"/>
        <c:crosses val="autoZero"/>
        <c:auto val="1"/>
        <c:lblAlgn val="ctr"/>
        <c:lblOffset val="100"/>
        <c:noMultiLvlLbl val="0"/>
      </c:catAx>
      <c:valAx>
        <c:axId val="1238379231"/>
        <c:scaling>
          <c:orientation val="minMax"/>
        </c:scaling>
        <c:delete val="1"/>
        <c:axPos val="l"/>
        <c:numFmt formatCode="0.00%" sourceLinked="1"/>
        <c:majorTickMark val="out"/>
        <c:minorTickMark val="none"/>
        <c:tickLblPos val="nextTo"/>
        <c:crossAx val="12383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-Binned-Dashboard.xlsx]Q2_Commute_Attrition!PivotTable1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by </a:t>
            </a: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02020"/>
          </a:solidFill>
          <a:ln>
            <a:noFill/>
          </a:ln>
          <a:effectLst/>
        </c:spPr>
      </c:pivotFmt>
    </c:pivotFmts>
    <c:plotArea>
      <c:layout/>
      <c:barChart>
        <c:barDir val="col"/>
        <c:grouping val="clustered"/>
        <c:varyColors val="0"/>
        <c:ser>
          <c:idx val="0"/>
          <c:order val="0"/>
          <c:tx>
            <c:strRef>
              <c:f>Q2_Commute_Attrition!$B$3</c:f>
              <c:strCache>
                <c:ptCount val="1"/>
                <c:pt idx="0">
                  <c:v>Total</c:v>
                </c:pt>
              </c:strCache>
            </c:strRef>
          </c:tx>
          <c:spPr>
            <a:solidFill>
              <a:schemeClr val="accent1"/>
            </a:solidFill>
            <a:ln>
              <a:noFill/>
            </a:ln>
            <a:effectLst/>
          </c:spPr>
          <c:invertIfNegative val="0"/>
          <c:dPt>
            <c:idx val="2"/>
            <c:invertIfNegative val="0"/>
            <c:bubble3D val="0"/>
            <c:spPr>
              <a:solidFill>
                <a:srgbClr val="A02020"/>
              </a:solidFill>
              <a:ln>
                <a:noFill/>
              </a:ln>
              <a:effectLst/>
            </c:spPr>
            <c:extLst>
              <c:ext xmlns:c16="http://schemas.microsoft.com/office/drawing/2014/chart" uri="{C3380CC4-5D6E-409C-BE32-E72D297353CC}">
                <c16:uniqueId val="{00000003-BC9D-4E03-A04D-2C953A830C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Q2_Commute_Attrition!$A$4:$A$7</c:f>
              <c:strCache>
                <c:ptCount val="3"/>
                <c:pt idx="0">
                  <c:v>0-10</c:v>
                </c:pt>
                <c:pt idx="1">
                  <c:v>11-20</c:v>
                </c:pt>
                <c:pt idx="2">
                  <c:v>20+</c:v>
                </c:pt>
              </c:strCache>
            </c:strRef>
          </c:cat>
          <c:val>
            <c:numRef>
              <c:f>Q2_Commute_Attrition!$B$4:$B$7</c:f>
              <c:numCache>
                <c:formatCode>0.00%</c:formatCode>
                <c:ptCount val="3"/>
                <c:pt idx="0">
                  <c:v>0.14035087719298245</c:v>
                </c:pt>
                <c:pt idx="1">
                  <c:v>0.2</c:v>
                </c:pt>
                <c:pt idx="2">
                  <c:v>0.22058823529411764</c:v>
                </c:pt>
              </c:numCache>
            </c:numRef>
          </c:val>
          <c:extLst>
            <c:ext xmlns:c16="http://schemas.microsoft.com/office/drawing/2014/chart" uri="{C3380CC4-5D6E-409C-BE32-E72D297353CC}">
              <c16:uniqueId val="{00000001-BC9D-4E03-A04D-2C953A830CCF}"/>
            </c:ext>
          </c:extLst>
        </c:ser>
        <c:dLbls>
          <c:showLegendKey val="0"/>
          <c:showVal val="0"/>
          <c:showCatName val="0"/>
          <c:showSerName val="0"/>
          <c:showPercent val="0"/>
          <c:showBubbleSize val="0"/>
        </c:dLbls>
        <c:gapWidth val="219"/>
        <c:axId val="1235385503"/>
        <c:axId val="1235381183"/>
      </c:barChart>
      <c:catAx>
        <c:axId val="123538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1183"/>
        <c:crosses val="autoZero"/>
        <c:auto val="1"/>
        <c:lblAlgn val="ctr"/>
        <c:lblOffset val="100"/>
        <c:noMultiLvlLbl val="0"/>
      </c:catAx>
      <c:valAx>
        <c:axId val="12353811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 -Binned-Dashboard.xlsx]Q1_Age_Attrition!PivotTable1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r>
              <a:rPr lang="en-US" baseline="0"/>
              <a:t>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02020"/>
          </a:solidFill>
          <a:ln>
            <a:noFill/>
          </a:ln>
          <a:effectLst/>
        </c:spPr>
      </c:pivotFmt>
    </c:pivotFmts>
    <c:plotArea>
      <c:layout/>
      <c:barChart>
        <c:barDir val="col"/>
        <c:grouping val="clustered"/>
        <c:varyColors val="0"/>
        <c:ser>
          <c:idx val="0"/>
          <c:order val="0"/>
          <c:tx>
            <c:strRef>
              <c:f>Q1_Age_Attrition!$B$3</c:f>
              <c:strCache>
                <c:ptCount val="1"/>
                <c:pt idx="0">
                  <c:v>Total</c:v>
                </c:pt>
              </c:strCache>
            </c:strRef>
          </c:tx>
          <c:spPr>
            <a:solidFill>
              <a:schemeClr val="accent1"/>
            </a:solidFill>
            <a:ln>
              <a:noFill/>
            </a:ln>
            <a:effectLst/>
          </c:spPr>
          <c:invertIfNegative val="0"/>
          <c:dPt>
            <c:idx val="0"/>
            <c:invertIfNegative val="0"/>
            <c:bubble3D val="0"/>
            <c:spPr>
              <a:solidFill>
                <a:srgbClr val="A02020"/>
              </a:solidFill>
              <a:ln>
                <a:noFill/>
              </a:ln>
              <a:effectLst/>
            </c:spPr>
            <c:extLst>
              <c:ext xmlns:c16="http://schemas.microsoft.com/office/drawing/2014/chart" uri="{C3380CC4-5D6E-409C-BE32-E72D297353CC}">
                <c16:uniqueId val="{00000003-BD84-47D1-804A-C989386D8E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Q1_Age_Attrition!$A$4:$A$7</c:f>
              <c:strCache>
                <c:ptCount val="3"/>
                <c:pt idx="0">
                  <c:v>18-30</c:v>
                </c:pt>
                <c:pt idx="1">
                  <c:v>31-45</c:v>
                </c:pt>
                <c:pt idx="2">
                  <c:v>46-60</c:v>
                </c:pt>
              </c:strCache>
            </c:strRef>
          </c:cat>
          <c:val>
            <c:numRef>
              <c:f>Q1_Age_Attrition!$B$4:$B$7</c:f>
              <c:numCache>
                <c:formatCode>0.00%</c:formatCode>
                <c:ptCount val="3"/>
                <c:pt idx="0">
                  <c:v>0.25906735751295334</c:v>
                </c:pt>
                <c:pt idx="1">
                  <c:v>0.12700369913686807</c:v>
                </c:pt>
                <c:pt idx="2">
                  <c:v>0.12454212454212454</c:v>
                </c:pt>
              </c:numCache>
            </c:numRef>
          </c:val>
          <c:extLst>
            <c:ext xmlns:c16="http://schemas.microsoft.com/office/drawing/2014/chart" uri="{C3380CC4-5D6E-409C-BE32-E72D297353CC}">
              <c16:uniqueId val="{00000000-BD84-47D1-804A-C989386D8E31}"/>
            </c:ext>
          </c:extLst>
        </c:ser>
        <c:dLbls>
          <c:showLegendKey val="0"/>
          <c:showVal val="1"/>
          <c:showCatName val="0"/>
          <c:showSerName val="0"/>
          <c:showPercent val="0"/>
          <c:showBubbleSize val="0"/>
        </c:dLbls>
        <c:gapWidth val="150"/>
        <c:overlap val="-25"/>
        <c:axId val="1246316287"/>
        <c:axId val="1246321087"/>
      </c:barChart>
      <c:valAx>
        <c:axId val="1246321087"/>
        <c:scaling>
          <c:orientation val="minMax"/>
        </c:scaling>
        <c:delete val="1"/>
        <c:axPos val="r"/>
        <c:numFmt formatCode="0.00%" sourceLinked="1"/>
        <c:majorTickMark val="out"/>
        <c:minorTickMark val="none"/>
        <c:tickLblPos val="nextTo"/>
        <c:crossAx val="1246316287"/>
        <c:crosses val="max"/>
        <c:crossBetween val="between"/>
      </c:valAx>
      <c:catAx>
        <c:axId val="124631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210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1514475</xdr:colOff>
      <xdr:row>3</xdr:row>
      <xdr:rowOff>128587</xdr:rowOff>
    </xdr:from>
    <xdr:to>
      <xdr:col>8</xdr:col>
      <xdr:colOff>38100</xdr:colOff>
      <xdr:row>18</xdr:row>
      <xdr:rowOff>14287</xdr:rowOff>
    </xdr:to>
    <xdr:graphicFrame macro="">
      <xdr:nvGraphicFramePr>
        <xdr:cNvPr id="2" name="Chart 1">
          <a:extLst>
            <a:ext uri="{FF2B5EF4-FFF2-40B4-BE49-F238E27FC236}">
              <a16:creationId xmlns:a16="http://schemas.microsoft.com/office/drawing/2014/main" id="{90B18FBE-4206-E6B7-7DEC-ED9AC247D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1190625</xdr:colOff>
      <xdr:row>3</xdr:row>
      <xdr:rowOff>128587</xdr:rowOff>
    </xdr:from>
    <xdr:to>
      <xdr:col>7</xdr:col>
      <xdr:colOff>152400</xdr:colOff>
      <xdr:row>18</xdr:row>
      <xdr:rowOff>14287</xdr:rowOff>
    </xdr:to>
    <xdr:graphicFrame macro="">
      <xdr:nvGraphicFramePr>
        <xdr:cNvPr id="2" name="Chart 1">
          <a:extLst>
            <a:ext uri="{FF2B5EF4-FFF2-40B4-BE49-F238E27FC236}">
              <a16:creationId xmlns:a16="http://schemas.microsoft.com/office/drawing/2014/main" id="{E7198B9D-3855-DACF-D582-5C21BA6BF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3</xdr:row>
      <xdr:rowOff>128587</xdr:rowOff>
    </xdr:from>
    <xdr:to>
      <xdr:col>8</xdr:col>
      <xdr:colOff>457200</xdr:colOff>
      <xdr:row>18</xdr:row>
      <xdr:rowOff>14287</xdr:rowOff>
    </xdr:to>
    <xdr:graphicFrame macro="">
      <xdr:nvGraphicFramePr>
        <xdr:cNvPr id="2" name="Chart 1">
          <a:extLst>
            <a:ext uri="{FF2B5EF4-FFF2-40B4-BE49-F238E27FC236}">
              <a16:creationId xmlns:a16="http://schemas.microsoft.com/office/drawing/2014/main" id="{DBB7D787-D30E-05EF-E0F7-5110F38CD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781050</xdr:colOff>
      <xdr:row>3</xdr:row>
      <xdr:rowOff>171449</xdr:rowOff>
    </xdr:from>
    <xdr:to>
      <xdr:col>7</xdr:col>
      <xdr:colOff>533400</xdr:colOff>
      <xdr:row>18</xdr:row>
      <xdr:rowOff>14286</xdr:rowOff>
    </xdr:to>
    <xdr:graphicFrame macro="">
      <xdr:nvGraphicFramePr>
        <xdr:cNvPr id="2" name="Chart 1">
          <a:extLst>
            <a:ext uri="{FF2B5EF4-FFF2-40B4-BE49-F238E27FC236}">
              <a16:creationId xmlns:a16="http://schemas.microsoft.com/office/drawing/2014/main" id="{0E6AA4FD-236D-2B2E-B113-985763FF8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42</xdr:col>
      <xdr:colOff>0</xdr:colOff>
      <xdr:row>1450</xdr:row>
      <xdr:rowOff>180975</xdr:rowOff>
    </xdr:from>
    <xdr:to>
      <xdr:col>45</xdr:col>
      <xdr:colOff>0</xdr:colOff>
      <xdr:row>1464</xdr:row>
      <xdr:rowOff>180975</xdr:rowOff>
    </xdr:to>
    <mc:AlternateContent xmlns:mc="http://schemas.openxmlformats.org/markup-compatibility/2006" xmlns:sle15="http://schemas.microsoft.com/office/drawing/2012/slicer">
      <mc:Choice Requires="sle15">
        <xdr:graphicFrame macro="">
          <xdr:nvGraphicFramePr>
            <xdr:cNvPr id="2" name="BusinessTravel">
              <a:extLst>
                <a:ext uri="{FF2B5EF4-FFF2-40B4-BE49-F238E27FC236}">
                  <a16:creationId xmlns:a16="http://schemas.microsoft.com/office/drawing/2014/main" id="{289503E7-7950-0DF0-A302-363E8B6197BE}"/>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48151676" y="276405975"/>
              <a:ext cx="1815353" cy="2667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44</xdr:col>
      <xdr:colOff>600075</xdr:colOff>
      <xdr:row>1450</xdr:row>
      <xdr:rowOff>171450</xdr:rowOff>
    </xdr:from>
    <xdr:to>
      <xdr:col>47</xdr:col>
      <xdr:colOff>600075</xdr:colOff>
      <xdr:row>1464</xdr:row>
      <xdr:rowOff>171450</xdr:rowOff>
    </xdr:to>
    <mc:AlternateContent xmlns:mc="http://schemas.openxmlformats.org/markup-compatibility/2006" xmlns:sle15="http://schemas.microsoft.com/office/drawing/2012/slicer">
      <mc:Choice Requires="sle15">
        <xdr:graphicFrame macro="">
          <xdr:nvGraphicFramePr>
            <xdr:cNvPr id="3" name="Department">
              <a:extLst>
                <a:ext uri="{FF2B5EF4-FFF2-40B4-BE49-F238E27FC236}">
                  <a16:creationId xmlns:a16="http://schemas.microsoft.com/office/drawing/2014/main" id="{CFD138D5-5E25-8253-B681-18B42A75826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9961987" y="276396450"/>
              <a:ext cx="1815353" cy="2667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48</xdr:col>
      <xdr:colOff>9525</xdr:colOff>
      <xdr:row>1450</xdr:row>
      <xdr:rowOff>161925</xdr:rowOff>
    </xdr:from>
    <xdr:to>
      <xdr:col>51</xdr:col>
      <xdr:colOff>9525</xdr:colOff>
      <xdr:row>1464</xdr:row>
      <xdr:rowOff>161925</xdr:rowOff>
    </xdr:to>
    <mc:AlternateContent xmlns:mc="http://schemas.openxmlformats.org/markup-compatibility/2006" xmlns:sle15="http://schemas.microsoft.com/office/drawing/2012/slicer">
      <mc:Choice Requires="sle15">
        <xdr:graphicFrame macro="">
          <xdr:nvGraphicFramePr>
            <xdr:cNvPr id="4" name="Gender">
              <a:extLst>
                <a:ext uri="{FF2B5EF4-FFF2-40B4-BE49-F238E27FC236}">
                  <a16:creationId xmlns:a16="http://schemas.microsoft.com/office/drawing/2014/main" id="{FD3F8311-F4FF-7570-760D-D51F2ADA21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791907" y="276386925"/>
              <a:ext cx="1815353" cy="2667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285750</xdr:colOff>
      <xdr:row>5</xdr:row>
      <xdr:rowOff>15875</xdr:rowOff>
    </xdr:from>
    <xdr:to>
      <xdr:col>5</xdr:col>
      <xdr:colOff>756228</xdr:colOff>
      <xdr:row>19</xdr:row>
      <xdr:rowOff>44450</xdr:rowOff>
    </xdr:to>
    <xdr:graphicFrame macro="">
      <xdr:nvGraphicFramePr>
        <xdr:cNvPr id="2" name="Chart 1">
          <a:extLst>
            <a:ext uri="{FF2B5EF4-FFF2-40B4-BE49-F238E27FC236}">
              <a16:creationId xmlns:a16="http://schemas.microsoft.com/office/drawing/2014/main" id="{AAC31320-2E10-4110-87D8-57D0C8055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285750</xdr:colOff>
      <xdr:row>20</xdr:row>
      <xdr:rowOff>47625</xdr:rowOff>
    </xdr:from>
    <xdr:to>
      <xdr:col>5</xdr:col>
      <xdr:colOff>756228</xdr:colOff>
      <xdr:row>34</xdr:row>
      <xdr:rowOff>123825</xdr:rowOff>
    </xdr:to>
    <xdr:graphicFrame macro="">
      <xdr:nvGraphicFramePr>
        <xdr:cNvPr id="4" name="Chart 3">
          <a:extLst>
            <a:ext uri="{FF2B5EF4-FFF2-40B4-BE49-F238E27FC236}">
              <a16:creationId xmlns:a16="http://schemas.microsoft.com/office/drawing/2014/main" id="{BB3FE7BD-088E-41FD-87DA-383BB587B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1004455</xdr:colOff>
      <xdr:row>20</xdr:row>
      <xdr:rowOff>34925</xdr:rowOff>
    </xdr:from>
    <xdr:to>
      <xdr:col>10</xdr:col>
      <xdr:colOff>381000</xdr:colOff>
      <xdr:row>34</xdr:row>
      <xdr:rowOff>92075</xdr:rowOff>
    </xdr:to>
    <xdr:graphicFrame macro="">
      <xdr:nvGraphicFramePr>
        <xdr:cNvPr id="5" name="Chart 4">
          <a:extLst>
            <a:ext uri="{FF2B5EF4-FFF2-40B4-BE49-F238E27FC236}">
              <a16:creationId xmlns:a16="http://schemas.microsoft.com/office/drawing/2014/main" id="{DB925B53-3595-41F7-AA99-56404DEE3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1004455</xdr:colOff>
      <xdr:row>5</xdr:row>
      <xdr:rowOff>17318</xdr:rowOff>
    </xdr:from>
    <xdr:to>
      <xdr:col>10</xdr:col>
      <xdr:colOff>367722</xdr:colOff>
      <xdr:row>19</xdr:row>
      <xdr:rowOff>45893</xdr:rowOff>
    </xdr:to>
    <xdr:graphicFrame macro="">
      <xdr:nvGraphicFramePr>
        <xdr:cNvPr id="6" name="Chart 5">
          <a:extLst>
            <a:ext uri="{FF2B5EF4-FFF2-40B4-BE49-F238E27FC236}">
              <a16:creationId xmlns:a16="http://schemas.microsoft.com/office/drawing/2014/main" id="{25F87DB0-AE20-4D8E-88C3-9B4BFCB03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99001</xdr:colOff>
      <xdr:row>12</xdr:row>
      <xdr:rowOff>23093</xdr:rowOff>
    </xdr:from>
    <xdr:to>
      <xdr:col>14</xdr:col>
      <xdr:colOff>109392</xdr:colOff>
      <xdr:row>19</xdr:row>
      <xdr:rowOff>36080</xdr:rowOff>
    </xdr:to>
    <mc:AlternateContent xmlns:mc="http://schemas.openxmlformats.org/markup-compatibility/2006">
      <mc:Choice xmlns:a14="http://schemas.microsoft.com/office/drawing/2010/main" Requires="a14">
        <xdr:graphicFrame macro="">
          <xdr:nvGraphicFramePr>
            <xdr:cNvPr id="15" name="Department 1">
              <a:extLst>
                <a:ext uri="{FF2B5EF4-FFF2-40B4-BE49-F238E27FC236}">
                  <a16:creationId xmlns:a16="http://schemas.microsoft.com/office/drawing/2014/main" id="{937AC661-2131-537F-3907-24989EE1240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878126" y="3372718"/>
              <a:ext cx="1820141" cy="13464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124978</xdr:colOff>
      <xdr:row>20</xdr:row>
      <xdr:rowOff>34638</xdr:rowOff>
    </xdr:from>
    <xdr:to>
      <xdr:col>14</xdr:col>
      <xdr:colOff>135369</xdr:colOff>
      <xdr:row>26</xdr:row>
      <xdr:rowOff>21649</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EA0301BE-391D-12B9-B24F-6C7D290129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904103" y="4908263"/>
              <a:ext cx="1820141" cy="11300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294410</xdr:colOff>
      <xdr:row>0</xdr:row>
      <xdr:rowOff>398317</xdr:rowOff>
    </xdr:from>
    <xdr:ext cx="12469090" cy="405432"/>
    <xdr:sp macro="" textlink="">
      <xdr:nvSpPr>
        <xdr:cNvPr id="17" name="TextBox 16">
          <a:extLst>
            <a:ext uri="{FF2B5EF4-FFF2-40B4-BE49-F238E27FC236}">
              <a16:creationId xmlns:a16="http://schemas.microsoft.com/office/drawing/2014/main" id="{B16C739F-560F-A316-B1A2-B9235565B989}"/>
            </a:ext>
          </a:extLst>
        </xdr:cNvPr>
        <xdr:cNvSpPr txBox="1"/>
      </xdr:nvSpPr>
      <xdr:spPr>
        <a:xfrm>
          <a:off x="294410" y="398317"/>
          <a:ext cx="1246909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000" b="1"/>
            <a:t>HR Employee Attrition Dashboard</a:t>
          </a:r>
        </a:p>
      </xdr:txBody>
    </xdr:sp>
    <xdr:clientData/>
  </xdr:oneCellAnchor>
  <xdr:twoCellAnchor editAs="oneCell">
    <xdr:from>
      <xdr:col>11</xdr:col>
      <xdr:colOff>94095</xdr:colOff>
      <xdr:row>5</xdr:row>
      <xdr:rowOff>37523</xdr:rowOff>
    </xdr:from>
    <xdr:to>
      <xdr:col>14</xdr:col>
      <xdr:colOff>104486</xdr:colOff>
      <xdr:row>11</xdr:row>
      <xdr:rowOff>119784</xdr:rowOff>
    </xdr:to>
    <mc:AlternateContent xmlns:mc="http://schemas.openxmlformats.org/markup-compatibility/2006">
      <mc:Choice xmlns:a14="http://schemas.microsoft.com/office/drawing/2010/main" Requires="a14">
        <xdr:graphicFrame macro="">
          <xdr:nvGraphicFramePr>
            <xdr:cNvPr id="20" name="BusinessTravel 1">
              <a:extLst>
                <a:ext uri="{FF2B5EF4-FFF2-40B4-BE49-F238E27FC236}">
                  <a16:creationId xmlns:a16="http://schemas.microsoft.com/office/drawing/2014/main" id="{3F085F29-0E32-253D-B32C-E5BF1E14C5A8}"/>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0873220" y="2053648"/>
              <a:ext cx="1820141" cy="12252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 refreshedDate="46100.522485995367" createdVersion="8" refreshedVersion="8" minRefreshableVersion="3" recordCount="1470" xr:uid="{233699EB-39E9-4168-B829-05D65579DFC9}">
  <cacheSource type="worksheet">
    <worksheetSource name="Table1"/>
  </cacheSource>
  <cacheFields count="42">
    <cacheField name="Age" numFmtId="0">
      <sharedItems containsSemiMixedTypes="0" containsString="0" containsNumber="1" containsInteger="1" minValue="18" maxValue="60"/>
    </cacheField>
    <cacheField name="Attrition" numFmtId="0">
      <sharedItems/>
    </cacheField>
    <cacheField name="BusinessTravel" numFmtId="0">
      <sharedItems count="5">
        <s v="Travel Rarely"/>
        <s v="Travel Frequently"/>
        <s v="Non-Travel"/>
        <s v="Travel_Rarely" u="1"/>
        <s v="Travel_Frequently" u="1"/>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AgeGroup" numFmtId="0">
      <sharedItems count="3">
        <s v="31-45"/>
        <s v="46-60"/>
        <s v="18-30"/>
      </sharedItems>
    </cacheField>
    <cacheField name="DistanceGroup" numFmtId="0">
      <sharedItems count="3">
        <s v="0-10"/>
        <s v="20+"/>
        <s v="11-20"/>
      </sharedItems>
    </cacheField>
    <cacheField name="SalaryBand" numFmtId="0">
      <sharedItems/>
    </cacheField>
    <cacheField name="TenureGroup" numFmtId="0">
      <sharedItems count="4">
        <s v="0-10"/>
        <s v="20-30"/>
        <s v="10-20"/>
        <s v="30+"/>
      </sharedItems>
    </cacheField>
    <cacheField name="PerformanceGroup" numFmtId="0">
      <sharedItems count="2">
        <s v="Good"/>
        <s v="Excellent"/>
      </sharedItems>
    </cacheField>
    <cacheField name="JobSatisfactionGroup" numFmtId="0">
      <sharedItems count="4">
        <s v="Very High"/>
        <s v="Medium"/>
        <s v="High"/>
        <s v="Low"/>
      </sharedItems>
    </cacheField>
  </cacheFields>
  <extLst>
    <ext xmlns:x14="http://schemas.microsoft.com/office/spreadsheetml/2009/9/main" uri="{725AE2AE-9491-48be-B2B4-4EB974FC3084}">
      <x14:pivotCacheDefinition pivotCacheId="59057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 Sciences"/>
    <n v="1"/>
    <n v="1"/>
    <n v="2"/>
    <x v="0"/>
    <n v="94"/>
    <n v="3"/>
    <n v="2"/>
    <s v="Sales Executive"/>
    <n v="4"/>
    <s v="Single"/>
    <n v="5993"/>
    <n v="19479"/>
    <n v="8"/>
    <s v="Y"/>
    <s v="Yes"/>
    <n v="11"/>
    <x v="0"/>
    <n v="1"/>
    <n v="80"/>
    <n v="0"/>
    <n v="8"/>
    <n v="0"/>
    <n v="1"/>
    <n v="6"/>
    <n v="4"/>
    <n v="0"/>
    <n v="5"/>
    <n v="1"/>
    <x v="0"/>
    <x v="0"/>
    <s v="5k-10k"/>
    <x v="0"/>
    <x v="0"/>
    <x v="0"/>
  </r>
  <r>
    <n v="49"/>
    <s v="No"/>
    <x v="1"/>
    <n v="279"/>
    <x v="1"/>
    <n v="8"/>
    <n v="1"/>
    <s v="Life Sciences"/>
    <n v="1"/>
    <n v="2"/>
    <n v="3"/>
    <x v="1"/>
    <n v="61"/>
    <n v="2"/>
    <n v="2"/>
    <s v="Research Scientist"/>
    <n v="2"/>
    <s v="Married"/>
    <n v="5130"/>
    <n v="24907"/>
    <n v="1"/>
    <s v="Y"/>
    <s v="No"/>
    <n v="23"/>
    <x v="1"/>
    <n v="4"/>
    <n v="80"/>
    <n v="1"/>
    <n v="10"/>
    <n v="3"/>
    <n v="3"/>
    <n v="10"/>
    <n v="7"/>
    <n v="1"/>
    <n v="7"/>
    <n v="0"/>
    <x v="1"/>
    <x v="0"/>
    <s v="5k-10k"/>
    <x v="0"/>
    <x v="1"/>
    <x v="1"/>
  </r>
  <r>
    <n v="37"/>
    <s v="Yes"/>
    <x v="0"/>
    <n v="1373"/>
    <x v="1"/>
    <n v="2"/>
    <n v="2"/>
    <s v="Other"/>
    <n v="1"/>
    <n v="4"/>
    <n v="4"/>
    <x v="1"/>
    <n v="92"/>
    <n v="2"/>
    <n v="1"/>
    <s v="Laboratory Technician"/>
    <n v="3"/>
    <s v="Single"/>
    <n v="2090"/>
    <n v="2396"/>
    <n v="6"/>
    <s v="Y"/>
    <s v="Yes"/>
    <n v="15"/>
    <x v="0"/>
    <n v="2"/>
    <n v="80"/>
    <n v="0"/>
    <n v="7"/>
    <n v="3"/>
    <n v="3"/>
    <n v="0"/>
    <n v="0"/>
    <n v="0"/>
    <n v="0"/>
    <n v="1"/>
    <x v="0"/>
    <x v="0"/>
    <s v="0-5k"/>
    <x v="0"/>
    <x v="0"/>
    <x v="2"/>
  </r>
  <r>
    <n v="33"/>
    <s v="No"/>
    <x v="1"/>
    <n v="1392"/>
    <x v="1"/>
    <n v="3"/>
    <n v="4"/>
    <s v="Life Sciences"/>
    <n v="1"/>
    <n v="5"/>
    <n v="4"/>
    <x v="0"/>
    <n v="56"/>
    <n v="3"/>
    <n v="1"/>
    <s v="Research Scientist"/>
    <n v="3"/>
    <s v="Married"/>
    <n v="2909"/>
    <n v="23159"/>
    <n v="1"/>
    <s v="Y"/>
    <s v="Yes"/>
    <n v="11"/>
    <x v="0"/>
    <n v="3"/>
    <n v="80"/>
    <n v="0"/>
    <n v="8"/>
    <n v="3"/>
    <n v="3"/>
    <n v="8"/>
    <n v="7"/>
    <n v="3"/>
    <n v="0"/>
    <n v="0"/>
    <x v="0"/>
    <x v="0"/>
    <s v="0-5k"/>
    <x v="0"/>
    <x v="0"/>
    <x v="2"/>
  </r>
  <r>
    <n v="27"/>
    <s v="No"/>
    <x v="0"/>
    <n v="591"/>
    <x v="1"/>
    <n v="2"/>
    <n v="1"/>
    <s v="Medical"/>
    <n v="1"/>
    <n v="7"/>
    <n v="1"/>
    <x v="1"/>
    <n v="40"/>
    <n v="3"/>
    <n v="1"/>
    <s v="Laboratory Technician"/>
    <n v="2"/>
    <s v="Married"/>
    <n v="3468"/>
    <n v="16632"/>
    <n v="9"/>
    <s v="Y"/>
    <s v="No"/>
    <n v="12"/>
    <x v="0"/>
    <n v="4"/>
    <n v="80"/>
    <n v="1"/>
    <n v="6"/>
    <n v="3"/>
    <n v="3"/>
    <n v="2"/>
    <n v="2"/>
    <n v="2"/>
    <n v="2"/>
    <n v="0"/>
    <x v="2"/>
    <x v="0"/>
    <s v="0-5k"/>
    <x v="0"/>
    <x v="0"/>
    <x v="1"/>
  </r>
  <r>
    <n v="32"/>
    <s v="No"/>
    <x v="1"/>
    <n v="1005"/>
    <x v="1"/>
    <n v="2"/>
    <n v="2"/>
    <s v="Life Sciences"/>
    <n v="1"/>
    <n v="8"/>
    <n v="4"/>
    <x v="1"/>
    <n v="79"/>
    <n v="3"/>
    <n v="1"/>
    <s v="Laboratory Technician"/>
    <n v="4"/>
    <s v="Single"/>
    <n v="3068"/>
    <n v="11864"/>
    <n v="0"/>
    <s v="Y"/>
    <s v="No"/>
    <n v="13"/>
    <x v="0"/>
    <n v="3"/>
    <n v="80"/>
    <n v="0"/>
    <n v="8"/>
    <n v="2"/>
    <n v="2"/>
    <n v="7"/>
    <n v="7"/>
    <n v="3"/>
    <n v="6"/>
    <n v="0"/>
    <x v="0"/>
    <x v="0"/>
    <s v="0-5k"/>
    <x v="0"/>
    <x v="0"/>
    <x v="0"/>
  </r>
  <r>
    <n v="59"/>
    <s v="No"/>
    <x v="0"/>
    <n v="1324"/>
    <x v="1"/>
    <n v="3"/>
    <n v="3"/>
    <s v="Medical"/>
    <n v="1"/>
    <n v="10"/>
    <n v="3"/>
    <x v="0"/>
    <n v="81"/>
    <n v="4"/>
    <n v="1"/>
    <s v="Laboratory Technician"/>
    <n v="1"/>
    <s v="Married"/>
    <n v="2670"/>
    <n v="9964"/>
    <n v="4"/>
    <s v="Y"/>
    <s v="Yes"/>
    <n v="20"/>
    <x v="1"/>
    <n v="1"/>
    <n v="80"/>
    <n v="3"/>
    <n v="12"/>
    <n v="3"/>
    <n v="2"/>
    <n v="1"/>
    <n v="0"/>
    <n v="0"/>
    <n v="0"/>
    <n v="0"/>
    <x v="1"/>
    <x v="0"/>
    <s v="0-5k"/>
    <x v="0"/>
    <x v="1"/>
    <x v="3"/>
  </r>
  <r>
    <n v="30"/>
    <s v="No"/>
    <x v="0"/>
    <n v="1358"/>
    <x v="1"/>
    <n v="24"/>
    <n v="1"/>
    <s v="Life Sciences"/>
    <n v="1"/>
    <n v="11"/>
    <n v="4"/>
    <x v="1"/>
    <n v="67"/>
    <n v="3"/>
    <n v="1"/>
    <s v="Laboratory Technician"/>
    <n v="3"/>
    <s v="Divorced"/>
    <n v="2693"/>
    <n v="13335"/>
    <n v="1"/>
    <s v="Y"/>
    <s v="No"/>
    <n v="22"/>
    <x v="1"/>
    <n v="2"/>
    <n v="80"/>
    <n v="1"/>
    <n v="1"/>
    <n v="2"/>
    <n v="3"/>
    <n v="1"/>
    <n v="0"/>
    <n v="0"/>
    <n v="0"/>
    <n v="0"/>
    <x v="2"/>
    <x v="1"/>
    <s v="0-5k"/>
    <x v="0"/>
    <x v="1"/>
    <x v="2"/>
  </r>
  <r>
    <n v="38"/>
    <s v="No"/>
    <x v="1"/>
    <n v="216"/>
    <x v="1"/>
    <n v="23"/>
    <n v="3"/>
    <s v="Life Sciences"/>
    <n v="1"/>
    <n v="12"/>
    <n v="4"/>
    <x v="1"/>
    <n v="44"/>
    <n v="2"/>
    <n v="3"/>
    <s v="Manufacturing Director"/>
    <n v="3"/>
    <s v="Single"/>
    <n v="9526"/>
    <n v="8787"/>
    <n v="0"/>
    <s v="Y"/>
    <s v="No"/>
    <n v="21"/>
    <x v="1"/>
    <n v="2"/>
    <n v="80"/>
    <n v="0"/>
    <n v="10"/>
    <n v="2"/>
    <n v="3"/>
    <n v="9"/>
    <n v="7"/>
    <n v="1"/>
    <n v="8"/>
    <n v="0"/>
    <x v="0"/>
    <x v="1"/>
    <s v="5k-10k"/>
    <x v="0"/>
    <x v="1"/>
    <x v="2"/>
  </r>
  <r>
    <n v="36"/>
    <s v="No"/>
    <x v="0"/>
    <n v="1299"/>
    <x v="1"/>
    <n v="27"/>
    <n v="3"/>
    <s v="Medical"/>
    <n v="1"/>
    <n v="13"/>
    <n v="3"/>
    <x v="1"/>
    <n v="94"/>
    <n v="3"/>
    <n v="2"/>
    <s v="Healthcare Representative"/>
    <n v="3"/>
    <s v="Married"/>
    <n v="5237"/>
    <n v="16577"/>
    <n v="6"/>
    <s v="Y"/>
    <s v="No"/>
    <n v="13"/>
    <x v="0"/>
    <n v="2"/>
    <n v="80"/>
    <n v="2"/>
    <n v="17"/>
    <n v="3"/>
    <n v="2"/>
    <n v="7"/>
    <n v="7"/>
    <n v="7"/>
    <n v="7"/>
    <n v="0"/>
    <x v="0"/>
    <x v="1"/>
    <s v="5k-10k"/>
    <x v="0"/>
    <x v="0"/>
    <x v="2"/>
  </r>
  <r>
    <n v="35"/>
    <s v="No"/>
    <x v="0"/>
    <n v="809"/>
    <x v="1"/>
    <n v="16"/>
    <n v="3"/>
    <s v="Medical"/>
    <n v="1"/>
    <n v="14"/>
    <n v="1"/>
    <x v="1"/>
    <n v="84"/>
    <n v="4"/>
    <n v="1"/>
    <s v="Laboratory Technician"/>
    <n v="2"/>
    <s v="Married"/>
    <n v="2426"/>
    <n v="16479"/>
    <n v="0"/>
    <s v="Y"/>
    <s v="No"/>
    <n v="13"/>
    <x v="0"/>
    <n v="3"/>
    <n v="80"/>
    <n v="1"/>
    <n v="6"/>
    <n v="5"/>
    <n v="3"/>
    <n v="5"/>
    <n v="4"/>
    <n v="0"/>
    <n v="3"/>
    <n v="0"/>
    <x v="0"/>
    <x v="2"/>
    <s v="0-5k"/>
    <x v="0"/>
    <x v="0"/>
    <x v="1"/>
  </r>
  <r>
    <n v="29"/>
    <s v="No"/>
    <x v="0"/>
    <n v="153"/>
    <x v="1"/>
    <n v="15"/>
    <n v="2"/>
    <s v="Life Sciences"/>
    <n v="1"/>
    <n v="15"/>
    <n v="4"/>
    <x v="0"/>
    <n v="49"/>
    <n v="2"/>
    <n v="2"/>
    <s v="Laboratory Technician"/>
    <n v="3"/>
    <s v="Single"/>
    <n v="4193"/>
    <n v="12682"/>
    <n v="0"/>
    <s v="Y"/>
    <s v="Yes"/>
    <n v="12"/>
    <x v="0"/>
    <n v="4"/>
    <n v="80"/>
    <n v="0"/>
    <n v="10"/>
    <n v="3"/>
    <n v="3"/>
    <n v="9"/>
    <n v="5"/>
    <n v="0"/>
    <n v="8"/>
    <n v="0"/>
    <x v="2"/>
    <x v="2"/>
    <s v="0-5k"/>
    <x v="0"/>
    <x v="0"/>
    <x v="2"/>
  </r>
  <r>
    <n v="31"/>
    <s v="No"/>
    <x v="0"/>
    <n v="670"/>
    <x v="1"/>
    <n v="26"/>
    <n v="1"/>
    <s v="Life Sciences"/>
    <n v="1"/>
    <n v="16"/>
    <n v="1"/>
    <x v="1"/>
    <n v="31"/>
    <n v="3"/>
    <n v="1"/>
    <s v="Research Scientist"/>
    <n v="3"/>
    <s v="Divorced"/>
    <n v="2911"/>
    <n v="15170"/>
    <n v="1"/>
    <s v="Y"/>
    <s v="No"/>
    <n v="17"/>
    <x v="0"/>
    <n v="4"/>
    <n v="80"/>
    <n v="1"/>
    <n v="5"/>
    <n v="1"/>
    <n v="2"/>
    <n v="5"/>
    <n v="2"/>
    <n v="4"/>
    <n v="3"/>
    <n v="0"/>
    <x v="0"/>
    <x v="1"/>
    <s v="0-5k"/>
    <x v="0"/>
    <x v="0"/>
    <x v="2"/>
  </r>
  <r>
    <n v="34"/>
    <s v="No"/>
    <x v="0"/>
    <n v="1346"/>
    <x v="1"/>
    <n v="19"/>
    <n v="2"/>
    <s v="Medical"/>
    <n v="1"/>
    <n v="18"/>
    <n v="2"/>
    <x v="1"/>
    <n v="93"/>
    <n v="3"/>
    <n v="1"/>
    <s v="Laboratory Technician"/>
    <n v="4"/>
    <s v="Divorced"/>
    <n v="2661"/>
    <n v="8758"/>
    <n v="0"/>
    <s v="Y"/>
    <s v="No"/>
    <n v="11"/>
    <x v="0"/>
    <n v="3"/>
    <n v="80"/>
    <n v="1"/>
    <n v="3"/>
    <n v="2"/>
    <n v="3"/>
    <n v="2"/>
    <n v="2"/>
    <n v="1"/>
    <n v="2"/>
    <n v="0"/>
    <x v="0"/>
    <x v="2"/>
    <s v="0-5k"/>
    <x v="0"/>
    <x v="0"/>
    <x v="0"/>
  </r>
  <r>
    <n v="28"/>
    <s v="Yes"/>
    <x v="0"/>
    <n v="103"/>
    <x v="1"/>
    <n v="24"/>
    <n v="3"/>
    <s v="Life Sciences"/>
    <n v="1"/>
    <n v="19"/>
    <n v="3"/>
    <x v="1"/>
    <n v="50"/>
    <n v="2"/>
    <n v="1"/>
    <s v="Laboratory Technician"/>
    <n v="3"/>
    <s v="Single"/>
    <n v="2028"/>
    <n v="12947"/>
    <n v="5"/>
    <s v="Y"/>
    <s v="Yes"/>
    <n v="14"/>
    <x v="0"/>
    <n v="2"/>
    <n v="80"/>
    <n v="0"/>
    <n v="6"/>
    <n v="4"/>
    <n v="3"/>
    <n v="4"/>
    <n v="2"/>
    <n v="0"/>
    <n v="3"/>
    <n v="1"/>
    <x v="2"/>
    <x v="1"/>
    <s v="0-5k"/>
    <x v="0"/>
    <x v="0"/>
    <x v="2"/>
  </r>
  <r>
    <n v="29"/>
    <s v="No"/>
    <x v="0"/>
    <n v="1389"/>
    <x v="1"/>
    <n v="21"/>
    <n v="4"/>
    <s v="Life Sciences"/>
    <n v="1"/>
    <n v="20"/>
    <n v="2"/>
    <x v="0"/>
    <n v="51"/>
    <n v="4"/>
    <n v="3"/>
    <s v="Manufacturing Director"/>
    <n v="1"/>
    <s v="Divorced"/>
    <n v="9980"/>
    <n v="10195"/>
    <n v="1"/>
    <s v="Y"/>
    <s v="No"/>
    <n v="11"/>
    <x v="0"/>
    <n v="3"/>
    <n v="80"/>
    <n v="1"/>
    <n v="10"/>
    <n v="1"/>
    <n v="3"/>
    <n v="10"/>
    <n v="9"/>
    <n v="8"/>
    <n v="8"/>
    <n v="0"/>
    <x v="2"/>
    <x v="1"/>
    <s v="5k-10k"/>
    <x v="0"/>
    <x v="0"/>
    <x v="3"/>
  </r>
  <r>
    <n v="32"/>
    <s v="No"/>
    <x v="0"/>
    <n v="334"/>
    <x v="1"/>
    <n v="5"/>
    <n v="2"/>
    <s v="Life Sciences"/>
    <n v="1"/>
    <n v="21"/>
    <n v="1"/>
    <x v="1"/>
    <n v="80"/>
    <n v="4"/>
    <n v="1"/>
    <s v="Research Scientist"/>
    <n v="2"/>
    <s v="Divorced"/>
    <n v="3298"/>
    <n v="15053"/>
    <n v="0"/>
    <s v="Y"/>
    <s v="Yes"/>
    <n v="12"/>
    <x v="0"/>
    <n v="4"/>
    <n v="80"/>
    <n v="2"/>
    <n v="7"/>
    <n v="5"/>
    <n v="2"/>
    <n v="6"/>
    <n v="2"/>
    <n v="0"/>
    <n v="5"/>
    <n v="0"/>
    <x v="0"/>
    <x v="0"/>
    <s v="0-5k"/>
    <x v="0"/>
    <x v="0"/>
    <x v="1"/>
  </r>
  <r>
    <n v="22"/>
    <s v="No"/>
    <x v="2"/>
    <n v="1123"/>
    <x v="1"/>
    <n v="16"/>
    <n v="2"/>
    <s v="Medical"/>
    <n v="1"/>
    <n v="22"/>
    <n v="4"/>
    <x v="1"/>
    <n v="96"/>
    <n v="4"/>
    <n v="1"/>
    <s v="Laboratory Technician"/>
    <n v="4"/>
    <s v="Divorced"/>
    <n v="2935"/>
    <n v="7324"/>
    <n v="1"/>
    <s v="Y"/>
    <s v="Yes"/>
    <n v="13"/>
    <x v="0"/>
    <n v="2"/>
    <n v="80"/>
    <n v="2"/>
    <n v="1"/>
    <n v="2"/>
    <n v="2"/>
    <n v="1"/>
    <n v="0"/>
    <n v="0"/>
    <n v="0"/>
    <n v="0"/>
    <x v="2"/>
    <x v="2"/>
    <s v="0-5k"/>
    <x v="0"/>
    <x v="0"/>
    <x v="0"/>
  </r>
  <r>
    <n v="53"/>
    <s v="No"/>
    <x v="0"/>
    <n v="1219"/>
    <x v="0"/>
    <n v="2"/>
    <n v="4"/>
    <s v="Life Sciences"/>
    <n v="1"/>
    <n v="23"/>
    <n v="1"/>
    <x v="0"/>
    <n v="78"/>
    <n v="2"/>
    <n v="4"/>
    <s v="Manager"/>
    <n v="4"/>
    <s v="Married"/>
    <n v="15427"/>
    <n v="22021"/>
    <n v="2"/>
    <s v="Y"/>
    <s v="No"/>
    <n v="16"/>
    <x v="0"/>
    <n v="3"/>
    <n v="80"/>
    <n v="0"/>
    <n v="31"/>
    <n v="3"/>
    <n v="3"/>
    <n v="25"/>
    <n v="8"/>
    <n v="3"/>
    <n v="7"/>
    <n v="0"/>
    <x v="1"/>
    <x v="0"/>
    <s v="15k+"/>
    <x v="1"/>
    <x v="0"/>
    <x v="0"/>
  </r>
  <r>
    <n v="38"/>
    <s v="No"/>
    <x v="0"/>
    <n v="371"/>
    <x v="1"/>
    <n v="2"/>
    <n v="3"/>
    <s v="Life Sciences"/>
    <n v="1"/>
    <n v="24"/>
    <n v="4"/>
    <x v="1"/>
    <n v="45"/>
    <n v="3"/>
    <n v="1"/>
    <s v="Research Scientist"/>
    <n v="4"/>
    <s v="Single"/>
    <n v="3944"/>
    <n v="4306"/>
    <n v="5"/>
    <s v="Y"/>
    <s v="Yes"/>
    <n v="11"/>
    <x v="0"/>
    <n v="3"/>
    <n v="80"/>
    <n v="0"/>
    <n v="6"/>
    <n v="3"/>
    <n v="3"/>
    <n v="3"/>
    <n v="2"/>
    <n v="1"/>
    <n v="2"/>
    <n v="0"/>
    <x v="0"/>
    <x v="0"/>
    <s v="0-5k"/>
    <x v="0"/>
    <x v="0"/>
    <x v="0"/>
  </r>
  <r>
    <n v="24"/>
    <s v="No"/>
    <x v="2"/>
    <n v="673"/>
    <x v="1"/>
    <n v="11"/>
    <n v="2"/>
    <s v="Other"/>
    <n v="1"/>
    <n v="26"/>
    <n v="1"/>
    <x v="0"/>
    <n v="96"/>
    <n v="4"/>
    <n v="2"/>
    <s v="Manufacturing Director"/>
    <n v="3"/>
    <s v="Divorced"/>
    <n v="4011"/>
    <n v="8232"/>
    <n v="0"/>
    <s v="Y"/>
    <s v="No"/>
    <n v="18"/>
    <x v="0"/>
    <n v="4"/>
    <n v="80"/>
    <n v="1"/>
    <n v="5"/>
    <n v="5"/>
    <n v="2"/>
    <n v="4"/>
    <n v="2"/>
    <n v="1"/>
    <n v="3"/>
    <n v="0"/>
    <x v="2"/>
    <x v="2"/>
    <s v="0-5k"/>
    <x v="0"/>
    <x v="0"/>
    <x v="2"/>
  </r>
  <r>
    <n v="36"/>
    <s v="Yes"/>
    <x v="0"/>
    <n v="1218"/>
    <x v="0"/>
    <n v="9"/>
    <n v="4"/>
    <s v="Life Sciences"/>
    <n v="1"/>
    <n v="27"/>
    <n v="3"/>
    <x v="1"/>
    <n v="82"/>
    <n v="2"/>
    <n v="1"/>
    <s v="Sales Representative"/>
    <n v="1"/>
    <s v="Single"/>
    <n v="3407"/>
    <n v="6986"/>
    <n v="7"/>
    <s v="Y"/>
    <s v="No"/>
    <n v="23"/>
    <x v="1"/>
    <n v="2"/>
    <n v="80"/>
    <n v="0"/>
    <n v="10"/>
    <n v="4"/>
    <n v="3"/>
    <n v="5"/>
    <n v="3"/>
    <n v="0"/>
    <n v="3"/>
    <n v="1"/>
    <x v="0"/>
    <x v="0"/>
    <s v="0-5k"/>
    <x v="0"/>
    <x v="1"/>
    <x v="3"/>
  </r>
  <r>
    <n v="34"/>
    <s v="No"/>
    <x v="0"/>
    <n v="419"/>
    <x v="1"/>
    <n v="7"/>
    <n v="4"/>
    <s v="Life Sciences"/>
    <n v="1"/>
    <n v="28"/>
    <n v="1"/>
    <x v="0"/>
    <n v="53"/>
    <n v="3"/>
    <n v="3"/>
    <s v="Research Director"/>
    <n v="2"/>
    <s v="Single"/>
    <n v="11994"/>
    <n v="21293"/>
    <n v="0"/>
    <s v="Y"/>
    <s v="No"/>
    <n v="11"/>
    <x v="0"/>
    <n v="3"/>
    <n v="80"/>
    <n v="0"/>
    <n v="13"/>
    <n v="4"/>
    <n v="3"/>
    <n v="12"/>
    <n v="6"/>
    <n v="2"/>
    <n v="11"/>
    <n v="0"/>
    <x v="0"/>
    <x v="0"/>
    <s v="10k-15k"/>
    <x v="2"/>
    <x v="0"/>
    <x v="1"/>
  </r>
  <r>
    <n v="21"/>
    <s v="No"/>
    <x v="0"/>
    <n v="391"/>
    <x v="1"/>
    <n v="15"/>
    <n v="2"/>
    <s v="Life Sciences"/>
    <n v="1"/>
    <n v="30"/>
    <n v="3"/>
    <x v="1"/>
    <n v="96"/>
    <n v="3"/>
    <n v="1"/>
    <s v="Research Scientist"/>
    <n v="4"/>
    <s v="Single"/>
    <n v="1232"/>
    <n v="19281"/>
    <n v="1"/>
    <s v="Y"/>
    <s v="No"/>
    <n v="14"/>
    <x v="0"/>
    <n v="4"/>
    <n v="80"/>
    <n v="0"/>
    <n v="0"/>
    <n v="6"/>
    <n v="3"/>
    <n v="0"/>
    <n v="0"/>
    <n v="0"/>
    <n v="0"/>
    <n v="0"/>
    <x v="2"/>
    <x v="2"/>
    <s v="0-5k"/>
    <x v="0"/>
    <x v="0"/>
    <x v="0"/>
  </r>
  <r>
    <n v="34"/>
    <s v="Yes"/>
    <x v="0"/>
    <n v="699"/>
    <x v="1"/>
    <n v="6"/>
    <n v="1"/>
    <s v="Medical"/>
    <n v="1"/>
    <n v="31"/>
    <n v="2"/>
    <x v="1"/>
    <n v="83"/>
    <n v="3"/>
    <n v="1"/>
    <s v="Research Scientist"/>
    <n v="1"/>
    <s v="Single"/>
    <n v="2960"/>
    <n v="17102"/>
    <n v="2"/>
    <s v="Y"/>
    <s v="No"/>
    <n v="11"/>
    <x v="0"/>
    <n v="3"/>
    <n v="80"/>
    <n v="0"/>
    <n v="8"/>
    <n v="2"/>
    <n v="3"/>
    <n v="4"/>
    <n v="2"/>
    <n v="1"/>
    <n v="3"/>
    <n v="1"/>
    <x v="0"/>
    <x v="0"/>
    <s v="0-5k"/>
    <x v="0"/>
    <x v="0"/>
    <x v="3"/>
  </r>
  <r>
    <n v="53"/>
    <s v="No"/>
    <x v="0"/>
    <n v="1282"/>
    <x v="1"/>
    <n v="5"/>
    <n v="3"/>
    <s v="Other"/>
    <n v="1"/>
    <n v="32"/>
    <n v="3"/>
    <x v="0"/>
    <n v="58"/>
    <n v="3"/>
    <n v="5"/>
    <s v="Manager"/>
    <n v="3"/>
    <s v="Divorced"/>
    <n v="19094"/>
    <n v="10735"/>
    <n v="4"/>
    <s v="Y"/>
    <s v="No"/>
    <n v="11"/>
    <x v="0"/>
    <n v="4"/>
    <n v="80"/>
    <n v="1"/>
    <n v="26"/>
    <n v="3"/>
    <n v="2"/>
    <n v="14"/>
    <n v="13"/>
    <n v="4"/>
    <n v="8"/>
    <n v="0"/>
    <x v="1"/>
    <x v="0"/>
    <s v="15k+"/>
    <x v="2"/>
    <x v="0"/>
    <x v="2"/>
  </r>
  <r>
    <n v="32"/>
    <s v="Yes"/>
    <x v="1"/>
    <n v="1125"/>
    <x v="1"/>
    <n v="16"/>
    <n v="1"/>
    <s v="Life Sciences"/>
    <n v="1"/>
    <n v="33"/>
    <n v="2"/>
    <x v="0"/>
    <n v="72"/>
    <n v="1"/>
    <n v="1"/>
    <s v="Research Scientist"/>
    <n v="1"/>
    <s v="Single"/>
    <n v="3919"/>
    <n v="4681"/>
    <n v="1"/>
    <s v="Y"/>
    <s v="Yes"/>
    <n v="22"/>
    <x v="1"/>
    <n v="2"/>
    <n v="80"/>
    <n v="0"/>
    <n v="10"/>
    <n v="5"/>
    <n v="3"/>
    <n v="10"/>
    <n v="2"/>
    <n v="6"/>
    <n v="7"/>
    <n v="1"/>
    <x v="0"/>
    <x v="2"/>
    <s v="0-5k"/>
    <x v="0"/>
    <x v="1"/>
    <x v="3"/>
  </r>
  <r>
    <n v="42"/>
    <s v="No"/>
    <x v="0"/>
    <n v="691"/>
    <x v="0"/>
    <n v="8"/>
    <n v="4"/>
    <s v="Marketing"/>
    <n v="1"/>
    <n v="35"/>
    <n v="3"/>
    <x v="1"/>
    <n v="48"/>
    <n v="3"/>
    <n v="2"/>
    <s v="Sales Executive"/>
    <n v="2"/>
    <s v="Married"/>
    <n v="6825"/>
    <n v="21173"/>
    <n v="0"/>
    <s v="Y"/>
    <s v="No"/>
    <n v="11"/>
    <x v="0"/>
    <n v="4"/>
    <n v="80"/>
    <n v="1"/>
    <n v="10"/>
    <n v="2"/>
    <n v="3"/>
    <n v="9"/>
    <n v="7"/>
    <n v="4"/>
    <n v="2"/>
    <n v="0"/>
    <x v="0"/>
    <x v="0"/>
    <s v="5k-10k"/>
    <x v="0"/>
    <x v="0"/>
    <x v="1"/>
  </r>
  <r>
    <n v="44"/>
    <s v="No"/>
    <x v="0"/>
    <n v="477"/>
    <x v="1"/>
    <n v="7"/>
    <n v="4"/>
    <s v="Medical"/>
    <n v="1"/>
    <n v="36"/>
    <n v="1"/>
    <x v="0"/>
    <n v="42"/>
    <n v="2"/>
    <n v="3"/>
    <s v="Healthcare Representative"/>
    <n v="4"/>
    <s v="Married"/>
    <n v="10248"/>
    <n v="2094"/>
    <n v="3"/>
    <s v="Y"/>
    <s v="No"/>
    <n v="14"/>
    <x v="0"/>
    <n v="4"/>
    <n v="80"/>
    <n v="1"/>
    <n v="24"/>
    <n v="4"/>
    <n v="3"/>
    <n v="22"/>
    <n v="6"/>
    <n v="5"/>
    <n v="17"/>
    <n v="0"/>
    <x v="0"/>
    <x v="0"/>
    <s v="10k-15k"/>
    <x v="1"/>
    <x v="0"/>
    <x v="0"/>
  </r>
  <r>
    <n v="46"/>
    <s v="No"/>
    <x v="0"/>
    <n v="705"/>
    <x v="0"/>
    <n v="2"/>
    <n v="4"/>
    <s v="Marketing"/>
    <n v="1"/>
    <n v="38"/>
    <n v="2"/>
    <x v="0"/>
    <n v="83"/>
    <n v="3"/>
    <n v="5"/>
    <s v="Manager"/>
    <n v="1"/>
    <s v="Single"/>
    <n v="18947"/>
    <n v="22822"/>
    <n v="3"/>
    <s v="Y"/>
    <s v="No"/>
    <n v="12"/>
    <x v="0"/>
    <n v="4"/>
    <n v="80"/>
    <n v="0"/>
    <n v="22"/>
    <n v="2"/>
    <n v="2"/>
    <n v="2"/>
    <n v="2"/>
    <n v="2"/>
    <n v="1"/>
    <n v="0"/>
    <x v="1"/>
    <x v="0"/>
    <s v="15k+"/>
    <x v="0"/>
    <x v="0"/>
    <x v="3"/>
  </r>
  <r>
    <n v="33"/>
    <s v="No"/>
    <x v="0"/>
    <n v="924"/>
    <x v="1"/>
    <n v="2"/>
    <n v="3"/>
    <s v="Medical"/>
    <n v="1"/>
    <n v="39"/>
    <n v="3"/>
    <x v="1"/>
    <n v="78"/>
    <n v="3"/>
    <n v="1"/>
    <s v="Laboratory Technician"/>
    <n v="4"/>
    <s v="Single"/>
    <n v="2496"/>
    <n v="6670"/>
    <n v="4"/>
    <s v="Y"/>
    <s v="No"/>
    <n v="11"/>
    <x v="0"/>
    <n v="4"/>
    <n v="80"/>
    <n v="0"/>
    <n v="7"/>
    <n v="3"/>
    <n v="3"/>
    <n v="1"/>
    <n v="1"/>
    <n v="0"/>
    <n v="0"/>
    <n v="0"/>
    <x v="0"/>
    <x v="0"/>
    <s v="0-5k"/>
    <x v="0"/>
    <x v="0"/>
    <x v="0"/>
  </r>
  <r>
    <n v="44"/>
    <s v="No"/>
    <x v="0"/>
    <n v="1459"/>
    <x v="1"/>
    <n v="10"/>
    <n v="4"/>
    <s v="Other"/>
    <n v="1"/>
    <n v="40"/>
    <n v="4"/>
    <x v="1"/>
    <n v="41"/>
    <n v="3"/>
    <n v="2"/>
    <s v="Healthcare Representative"/>
    <n v="4"/>
    <s v="Married"/>
    <n v="6465"/>
    <n v="19121"/>
    <n v="2"/>
    <s v="Y"/>
    <s v="Yes"/>
    <n v="13"/>
    <x v="0"/>
    <n v="4"/>
    <n v="80"/>
    <n v="0"/>
    <n v="9"/>
    <n v="5"/>
    <n v="4"/>
    <n v="4"/>
    <n v="2"/>
    <n v="1"/>
    <n v="3"/>
    <n v="0"/>
    <x v="0"/>
    <x v="0"/>
    <s v="5k-10k"/>
    <x v="0"/>
    <x v="0"/>
    <x v="0"/>
  </r>
  <r>
    <n v="30"/>
    <s v="No"/>
    <x v="0"/>
    <n v="125"/>
    <x v="1"/>
    <n v="9"/>
    <n v="2"/>
    <s v="Medical"/>
    <n v="1"/>
    <n v="41"/>
    <n v="4"/>
    <x v="1"/>
    <n v="83"/>
    <n v="2"/>
    <n v="1"/>
    <s v="Laboratory Technician"/>
    <n v="3"/>
    <s v="Single"/>
    <n v="2206"/>
    <n v="16117"/>
    <n v="1"/>
    <s v="Y"/>
    <s v="No"/>
    <n v="13"/>
    <x v="0"/>
    <n v="1"/>
    <n v="80"/>
    <n v="0"/>
    <n v="10"/>
    <n v="5"/>
    <n v="3"/>
    <n v="10"/>
    <n v="0"/>
    <n v="1"/>
    <n v="8"/>
    <n v="0"/>
    <x v="2"/>
    <x v="0"/>
    <s v="0-5k"/>
    <x v="0"/>
    <x v="0"/>
    <x v="2"/>
  </r>
  <r>
    <n v="39"/>
    <s v="Yes"/>
    <x v="0"/>
    <n v="895"/>
    <x v="0"/>
    <n v="5"/>
    <n v="3"/>
    <s v="Technical Degree"/>
    <n v="1"/>
    <n v="42"/>
    <n v="4"/>
    <x v="1"/>
    <n v="56"/>
    <n v="3"/>
    <n v="2"/>
    <s v="Sales Representative"/>
    <n v="4"/>
    <s v="Married"/>
    <n v="2086"/>
    <n v="3335"/>
    <n v="3"/>
    <s v="Y"/>
    <s v="No"/>
    <n v="14"/>
    <x v="0"/>
    <n v="3"/>
    <n v="80"/>
    <n v="1"/>
    <n v="19"/>
    <n v="6"/>
    <n v="4"/>
    <n v="1"/>
    <n v="0"/>
    <n v="0"/>
    <n v="0"/>
    <n v="1"/>
    <x v="0"/>
    <x v="0"/>
    <s v="0-5k"/>
    <x v="0"/>
    <x v="0"/>
    <x v="0"/>
  </r>
  <r>
    <n v="24"/>
    <s v="Yes"/>
    <x v="0"/>
    <n v="813"/>
    <x v="1"/>
    <n v="1"/>
    <n v="3"/>
    <s v="Medical"/>
    <n v="1"/>
    <n v="45"/>
    <n v="2"/>
    <x v="1"/>
    <n v="61"/>
    <n v="3"/>
    <n v="1"/>
    <s v="Research Scientist"/>
    <n v="4"/>
    <s v="Married"/>
    <n v="2293"/>
    <n v="3020"/>
    <n v="2"/>
    <s v="Y"/>
    <s v="Yes"/>
    <n v="16"/>
    <x v="0"/>
    <n v="1"/>
    <n v="80"/>
    <n v="1"/>
    <n v="6"/>
    <n v="2"/>
    <n v="2"/>
    <n v="2"/>
    <n v="0"/>
    <n v="2"/>
    <n v="0"/>
    <n v="1"/>
    <x v="2"/>
    <x v="0"/>
    <s v="0-5k"/>
    <x v="0"/>
    <x v="0"/>
    <x v="0"/>
  </r>
  <r>
    <n v="43"/>
    <s v="No"/>
    <x v="0"/>
    <n v="1273"/>
    <x v="1"/>
    <n v="2"/>
    <n v="2"/>
    <s v="Medical"/>
    <n v="1"/>
    <n v="46"/>
    <n v="4"/>
    <x v="0"/>
    <n v="72"/>
    <n v="4"/>
    <n v="1"/>
    <s v="Research Scientist"/>
    <n v="3"/>
    <s v="Divorced"/>
    <n v="2645"/>
    <n v="21923"/>
    <n v="1"/>
    <s v="Y"/>
    <s v="No"/>
    <n v="12"/>
    <x v="0"/>
    <n v="4"/>
    <n v="80"/>
    <n v="2"/>
    <n v="6"/>
    <n v="3"/>
    <n v="2"/>
    <n v="5"/>
    <n v="3"/>
    <n v="1"/>
    <n v="4"/>
    <n v="0"/>
    <x v="0"/>
    <x v="0"/>
    <s v="0-5k"/>
    <x v="0"/>
    <x v="0"/>
    <x v="2"/>
  </r>
  <r>
    <n v="50"/>
    <s v="Yes"/>
    <x v="0"/>
    <n v="869"/>
    <x v="0"/>
    <n v="3"/>
    <n v="2"/>
    <s v="Marketing"/>
    <n v="1"/>
    <n v="47"/>
    <n v="1"/>
    <x v="1"/>
    <n v="86"/>
    <n v="2"/>
    <n v="1"/>
    <s v="Sales Representative"/>
    <n v="3"/>
    <s v="Married"/>
    <n v="2683"/>
    <n v="3810"/>
    <n v="1"/>
    <s v="Y"/>
    <s v="Yes"/>
    <n v="14"/>
    <x v="0"/>
    <n v="3"/>
    <n v="80"/>
    <n v="0"/>
    <n v="3"/>
    <n v="2"/>
    <n v="3"/>
    <n v="3"/>
    <n v="2"/>
    <n v="0"/>
    <n v="2"/>
    <n v="1"/>
    <x v="1"/>
    <x v="0"/>
    <s v="0-5k"/>
    <x v="0"/>
    <x v="0"/>
    <x v="2"/>
  </r>
  <r>
    <n v="35"/>
    <s v="No"/>
    <x v="0"/>
    <n v="890"/>
    <x v="0"/>
    <n v="2"/>
    <n v="3"/>
    <s v="Marketing"/>
    <n v="1"/>
    <n v="49"/>
    <n v="4"/>
    <x v="0"/>
    <n v="97"/>
    <n v="3"/>
    <n v="1"/>
    <s v="Sales Representative"/>
    <n v="4"/>
    <s v="Married"/>
    <n v="2014"/>
    <n v="9687"/>
    <n v="1"/>
    <s v="Y"/>
    <s v="No"/>
    <n v="13"/>
    <x v="0"/>
    <n v="1"/>
    <n v="80"/>
    <n v="0"/>
    <n v="2"/>
    <n v="3"/>
    <n v="3"/>
    <n v="2"/>
    <n v="2"/>
    <n v="2"/>
    <n v="2"/>
    <n v="0"/>
    <x v="0"/>
    <x v="0"/>
    <s v="0-5k"/>
    <x v="0"/>
    <x v="0"/>
    <x v="0"/>
  </r>
  <r>
    <n v="36"/>
    <s v="No"/>
    <x v="0"/>
    <n v="852"/>
    <x v="1"/>
    <n v="5"/>
    <n v="4"/>
    <s v="Life Sciences"/>
    <n v="1"/>
    <n v="51"/>
    <n v="2"/>
    <x v="0"/>
    <n v="82"/>
    <n v="2"/>
    <n v="1"/>
    <s v="Research Scientist"/>
    <n v="1"/>
    <s v="Married"/>
    <n v="3419"/>
    <n v="13072"/>
    <n v="9"/>
    <s v="Y"/>
    <s v="Yes"/>
    <n v="14"/>
    <x v="0"/>
    <n v="4"/>
    <n v="80"/>
    <n v="1"/>
    <n v="6"/>
    <n v="3"/>
    <n v="4"/>
    <n v="1"/>
    <n v="1"/>
    <n v="0"/>
    <n v="0"/>
    <n v="0"/>
    <x v="0"/>
    <x v="0"/>
    <s v="0-5k"/>
    <x v="0"/>
    <x v="0"/>
    <x v="3"/>
  </r>
  <r>
    <n v="33"/>
    <s v="No"/>
    <x v="1"/>
    <n v="1141"/>
    <x v="0"/>
    <n v="1"/>
    <n v="3"/>
    <s v="Life Sciences"/>
    <n v="1"/>
    <n v="52"/>
    <n v="3"/>
    <x v="0"/>
    <n v="42"/>
    <n v="4"/>
    <n v="2"/>
    <s v="Sales Executive"/>
    <n v="1"/>
    <s v="Married"/>
    <n v="5376"/>
    <n v="3193"/>
    <n v="2"/>
    <s v="Y"/>
    <s v="No"/>
    <n v="19"/>
    <x v="0"/>
    <n v="1"/>
    <n v="80"/>
    <n v="2"/>
    <n v="10"/>
    <n v="3"/>
    <n v="3"/>
    <n v="5"/>
    <n v="3"/>
    <n v="1"/>
    <n v="3"/>
    <n v="0"/>
    <x v="0"/>
    <x v="0"/>
    <s v="5k-10k"/>
    <x v="0"/>
    <x v="0"/>
    <x v="3"/>
  </r>
  <r>
    <n v="35"/>
    <s v="No"/>
    <x v="0"/>
    <n v="464"/>
    <x v="1"/>
    <n v="4"/>
    <n v="2"/>
    <s v="Other"/>
    <n v="1"/>
    <n v="53"/>
    <n v="3"/>
    <x v="1"/>
    <n v="75"/>
    <n v="3"/>
    <n v="1"/>
    <s v="Laboratory Technician"/>
    <n v="4"/>
    <s v="Divorced"/>
    <n v="1951"/>
    <n v="10910"/>
    <n v="1"/>
    <s v="Y"/>
    <s v="No"/>
    <n v="12"/>
    <x v="0"/>
    <n v="3"/>
    <n v="80"/>
    <n v="1"/>
    <n v="1"/>
    <n v="3"/>
    <n v="3"/>
    <n v="1"/>
    <n v="0"/>
    <n v="0"/>
    <n v="0"/>
    <n v="0"/>
    <x v="0"/>
    <x v="0"/>
    <s v="0-5k"/>
    <x v="0"/>
    <x v="0"/>
    <x v="0"/>
  </r>
  <r>
    <n v="27"/>
    <s v="No"/>
    <x v="0"/>
    <n v="1240"/>
    <x v="1"/>
    <n v="2"/>
    <n v="4"/>
    <s v="Life Sciences"/>
    <n v="1"/>
    <n v="54"/>
    <n v="4"/>
    <x v="0"/>
    <n v="33"/>
    <n v="3"/>
    <n v="1"/>
    <s v="Laboratory Technician"/>
    <n v="1"/>
    <s v="Divorced"/>
    <n v="2341"/>
    <n v="19715"/>
    <n v="1"/>
    <s v="Y"/>
    <s v="No"/>
    <n v="13"/>
    <x v="0"/>
    <n v="4"/>
    <n v="80"/>
    <n v="1"/>
    <n v="1"/>
    <n v="6"/>
    <n v="3"/>
    <n v="1"/>
    <n v="0"/>
    <n v="0"/>
    <n v="0"/>
    <n v="0"/>
    <x v="2"/>
    <x v="0"/>
    <s v="0-5k"/>
    <x v="0"/>
    <x v="0"/>
    <x v="3"/>
  </r>
  <r>
    <n v="26"/>
    <s v="Yes"/>
    <x v="0"/>
    <n v="1357"/>
    <x v="1"/>
    <n v="25"/>
    <n v="3"/>
    <s v="Life Sciences"/>
    <n v="1"/>
    <n v="55"/>
    <n v="1"/>
    <x v="1"/>
    <n v="48"/>
    <n v="1"/>
    <n v="1"/>
    <s v="Laboratory Technician"/>
    <n v="3"/>
    <s v="Single"/>
    <n v="2293"/>
    <n v="10558"/>
    <n v="1"/>
    <s v="Y"/>
    <s v="No"/>
    <n v="12"/>
    <x v="0"/>
    <n v="3"/>
    <n v="80"/>
    <n v="0"/>
    <n v="1"/>
    <n v="2"/>
    <n v="2"/>
    <n v="1"/>
    <n v="0"/>
    <n v="0"/>
    <n v="1"/>
    <n v="1"/>
    <x v="2"/>
    <x v="1"/>
    <s v="0-5k"/>
    <x v="0"/>
    <x v="0"/>
    <x v="2"/>
  </r>
  <r>
    <n v="27"/>
    <s v="No"/>
    <x v="1"/>
    <n v="994"/>
    <x v="0"/>
    <n v="8"/>
    <n v="3"/>
    <s v="Life Sciences"/>
    <n v="1"/>
    <n v="56"/>
    <n v="4"/>
    <x v="1"/>
    <n v="37"/>
    <n v="3"/>
    <n v="3"/>
    <s v="Sales Executive"/>
    <n v="3"/>
    <s v="Single"/>
    <n v="8726"/>
    <n v="2975"/>
    <n v="1"/>
    <s v="Y"/>
    <s v="No"/>
    <n v="15"/>
    <x v="0"/>
    <n v="4"/>
    <n v="80"/>
    <n v="0"/>
    <n v="9"/>
    <n v="0"/>
    <n v="3"/>
    <n v="9"/>
    <n v="8"/>
    <n v="1"/>
    <n v="7"/>
    <n v="0"/>
    <x v="2"/>
    <x v="0"/>
    <s v="5k-10k"/>
    <x v="0"/>
    <x v="0"/>
    <x v="2"/>
  </r>
  <r>
    <n v="30"/>
    <s v="No"/>
    <x v="1"/>
    <n v="721"/>
    <x v="1"/>
    <n v="1"/>
    <n v="2"/>
    <s v="Medical"/>
    <n v="1"/>
    <n v="57"/>
    <n v="3"/>
    <x v="0"/>
    <n v="58"/>
    <n v="3"/>
    <n v="2"/>
    <s v="Laboratory Technician"/>
    <n v="4"/>
    <s v="Single"/>
    <n v="4011"/>
    <n v="10781"/>
    <n v="1"/>
    <s v="Y"/>
    <s v="No"/>
    <n v="23"/>
    <x v="1"/>
    <n v="4"/>
    <n v="80"/>
    <n v="0"/>
    <n v="12"/>
    <n v="2"/>
    <n v="3"/>
    <n v="12"/>
    <n v="8"/>
    <n v="3"/>
    <n v="7"/>
    <n v="0"/>
    <x v="2"/>
    <x v="0"/>
    <s v="0-5k"/>
    <x v="2"/>
    <x v="1"/>
    <x v="0"/>
  </r>
  <r>
    <n v="41"/>
    <s v="Yes"/>
    <x v="0"/>
    <n v="1360"/>
    <x v="1"/>
    <n v="12"/>
    <n v="3"/>
    <s v="Technical Degree"/>
    <n v="1"/>
    <n v="58"/>
    <n v="2"/>
    <x v="0"/>
    <n v="49"/>
    <n v="3"/>
    <n v="5"/>
    <s v="Research Director"/>
    <n v="3"/>
    <s v="Married"/>
    <n v="19545"/>
    <n v="16280"/>
    <n v="1"/>
    <s v="Y"/>
    <s v="No"/>
    <n v="12"/>
    <x v="0"/>
    <n v="4"/>
    <n v="80"/>
    <n v="0"/>
    <n v="23"/>
    <n v="0"/>
    <n v="3"/>
    <n v="22"/>
    <n v="15"/>
    <n v="15"/>
    <n v="8"/>
    <n v="1"/>
    <x v="0"/>
    <x v="2"/>
    <s v="15k+"/>
    <x v="1"/>
    <x v="0"/>
    <x v="2"/>
  </r>
  <r>
    <n v="34"/>
    <s v="No"/>
    <x v="2"/>
    <n v="1065"/>
    <x v="0"/>
    <n v="23"/>
    <n v="4"/>
    <s v="Marketing"/>
    <n v="1"/>
    <n v="60"/>
    <n v="2"/>
    <x v="1"/>
    <n v="72"/>
    <n v="3"/>
    <n v="2"/>
    <s v="Sales Executive"/>
    <n v="3"/>
    <s v="Single"/>
    <n v="4568"/>
    <n v="10034"/>
    <n v="0"/>
    <s v="Y"/>
    <s v="No"/>
    <n v="20"/>
    <x v="1"/>
    <n v="3"/>
    <n v="80"/>
    <n v="0"/>
    <n v="10"/>
    <n v="2"/>
    <n v="3"/>
    <n v="9"/>
    <n v="5"/>
    <n v="8"/>
    <n v="7"/>
    <n v="0"/>
    <x v="0"/>
    <x v="1"/>
    <s v="0-5k"/>
    <x v="0"/>
    <x v="1"/>
    <x v="2"/>
  </r>
  <r>
    <n v="37"/>
    <s v="No"/>
    <x v="0"/>
    <n v="408"/>
    <x v="1"/>
    <n v="19"/>
    <n v="2"/>
    <s v="Life Sciences"/>
    <n v="1"/>
    <n v="61"/>
    <n v="2"/>
    <x v="1"/>
    <n v="73"/>
    <n v="3"/>
    <n v="1"/>
    <s v="Research Scientist"/>
    <n v="2"/>
    <s v="Married"/>
    <n v="3022"/>
    <n v="10227"/>
    <n v="4"/>
    <s v="Y"/>
    <s v="No"/>
    <n v="21"/>
    <x v="1"/>
    <n v="1"/>
    <n v="80"/>
    <n v="0"/>
    <n v="8"/>
    <n v="1"/>
    <n v="3"/>
    <n v="1"/>
    <n v="0"/>
    <n v="0"/>
    <n v="0"/>
    <n v="0"/>
    <x v="0"/>
    <x v="2"/>
    <s v="0-5k"/>
    <x v="0"/>
    <x v="1"/>
    <x v="1"/>
  </r>
  <r>
    <n v="46"/>
    <s v="No"/>
    <x v="1"/>
    <n v="1211"/>
    <x v="0"/>
    <n v="5"/>
    <n v="4"/>
    <s v="Marketing"/>
    <n v="1"/>
    <n v="62"/>
    <n v="1"/>
    <x v="1"/>
    <n v="98"/>
    <n v="3"/>
    <n v="2"/>
    <s v="Sales Executive"/>
    <n v="4"/>
    <s v="Single"/>
    <n v="5772"/>
    <n v="20445"/>
    <n v="4"/>
    <s v="Y"/>
    <s v="Yes"/>
    <n v="21"/>
    <x v="1"/>
    <n v="3"/>
    <n v="80"/>
    <n v="0"/>
    <n v="14"/>
    <n v="4"/>
    <n v="3"/>
    <n v="9"/>
    <n v="6"/>
    <n v="0"/>
    <n v="8"/>
    <n v="0"/>
    <x v="1"/>
    <x v="0"/>
    <s v="5k-10k"/>
    <x v="0"/>
    <x v="1"/>
    <x v="0"/>
  </r>
  <r>
    <n v="35"/>
    <s v="No"/>
    <x v="0"/>
    <n v="1229"/>
    <x v="1"/>
    <n v="8"/>
    <n v="1"/>
    <s v="Life Sciences"/>
    <n v="1"/>
    <n v="63"/>
    <n v="4"/>
    <x v="1"/>
    <n v="36"/>
    <n v="4"/>
    <n v="1"/>
    <s v="Laboratory Technician"/>
    <n v="4"/>
    <s v="Married"/>
    <n v="2269"/>
    <n v="4892"/>
    <n v="1"/>
    <s v="Y"/>
    <s v="No"/>
    <n v="19"/>
    <x v="0"/>
    <n v="4"/>
    <n v="80"/>
    <n v="0"/>
    <n v="1"/>
    <n v="2"/>
    <n v="3"/>
    <n v="1"/>
    <n v="0"/>
    <n v="0"/>
    <n v="1"/>
    <n v="0"/>
    <x v="0"/>
    <x v="0"/>
    <s v="0-5k"/>
    <x v="0"/>
    <x v="0"/>
    <x v="0"/>
  </r>
  <r>
    <n v="48"/>
    <s v="Yes"/>
    <x v="0"/>
    <n v="626"/>
    <x v="1"/>
    <n v="1"/>
    <n v="2"/>
    <s v="Life Sciences"/>
    <n v="1"/>
    <n v="64"/>
    <n v="1"/>
    <x v="1"/>
    <n v="98"/>
    <n v="2"/>
    <n v="3"/>
    <s v="Laboratory Technician"/>
    <n v="3"/>
    <s v="Single"/>
    <n v="5381"/>
    <n v="19294"/>
    <n v="9"/>
    <s v="Y"/>
    <s v="Yes"/>
    <n v="13"/>
    <x v="0"/>
    <n v="4"/>
    <n v="80"/>
    <n v="0"/>
    <n v="23"/>
    <n v="2"/>
    <n v="3"/>
    <n v="1"/>
    <n v="0"/>
    <n v="0"/>
    <n v="0"/>
    <n v="1"/>
    <x v="1"/>
    <x v="0"/>
    <s v="5k-10k"/>
    <x v="0"/>
    <x v="0"/>
    <x v="2"/>
  </r>
  <r>
    <n v="28"/>
    <s v="Yes"/>
    <x v="0"/>
    <n v="1434"/>
    <x v="1"/>
    <n v="5"/>
    <n v="4"/>
    <s v="Technical Degree"/>
    <n v="1"/>
    <n v="65"/>
    <n v="3"/>
    <x v="1"/>
    <n v="50"/>
    <n v="3"/>
    <n v="1"/>
    <s v="Laboratory Technician"/>
    <n v="3"/>
    <s v="Single"/>
    <n v="3441"/>
    <n v="11179"/>
    <n v="1"/>
    <s v="Y"/>
    <s v="Yes"/>
    <n v="13"/>
    <x v="0"/>
    <n v="3"/>
    <n v="80"/>
    <n v="0"/>
    <n v="2"/>
    <n v="3"/>
    <n v="2"/>
    <n v="2"/>
    <n v="2"/>
    <n v="2"/>
    <n v="2"/>
    <n v="1"/>
    <x v="2"/>
    <x v="0"/>
    <s v="0-5k"/>
    <x v="0"/>
    <x v="0"/>
    <x v="2"/>
  </r>
  <r>
    <n v="44"/>
    <s v="No"/>
    <x v="0"/>
    <n v="1488"/>
    <x v="0"/>
    <n v="1"/>
    <n v="5"/>
    <s v="Marketing"/>
    <n v="1"/>
    <n v="68"/>
    <n v="2"/>
    <x v="0"/>
    <n v="75"/>
    <n v="3"/>
    <n v="2"/>
    <s v="Sales Executive"/>
    <n v="1"/>
    <s v="Divorced"/>
    <n v="5454"/>
    <n v="4009"/>
    <n v="5"/>
    <s v="Y"/>
    <s v="Yes"/>
    <n v="21"/>
    <x v="1"/>
    <n v="3"/>
    <n v="80"/>
    <n v="1"/>
    <n v="9"/>
    <n v="2"/>
    <n v="2"/>
    <n v="4"/>
    <n v="3"/>
    <n v="1"/>
    <n v="3"/>
    <n v="0"/>
    <x v="0"/>
    <x v="0"/>
    <s v="5k-10k"/>
    <x v="0"/>
    <x v="1"/>
    <x v="3"/>
  </r>
  <r>
    <n v="35"/>
    <s v="No"/>
    <x v="2"/>
    <n v="1097"/>
    <x v="1"/>
    <n v="11"/>
    <n v="2"/>
    <s v="Medical"/>
    <n v="1"/>
    <n v="70"/>
    <n v="3"/>
    <x v="1"/>
    <n v="79"/>
    <n v="2"/>
    <n v="3"/>
    <s v="Healthcare Representative"/>
    <n v="1"/>
    <s v="Married"/>
    <n v="9884"/>
    <n v="8302"/>
    <n v="2"/>
    <s v="Y"/>
    <s v="Yes"/>
    <n v="13"/>
    <x v="0"/>
    <n v="3"/>
    <n v="80"/>
    <n v="1"/>
    <n v="10"/>
    <n v="3"/>
    <n v="3"/>
    <n v="4"/>
    <n v="0"/>
    <n v="2"/>
    <n v="3"/>
    <n v="0"/>
    <x v="0"/>
    <x v="2"/>
    <s v="5k-10k"/>
    <x v="0"/>
    <x v="0"/>
    <x v="3"/>
  </r>
  <r>
    <n v="26"/>
    <s v="No"/>
    <x v="0"/>
    <n v="1443"/>
    <x v="0"/>
    <n v="23"/>
    <n v="3"/>
    <s v="Marketing"/>
    <n v="1"/>
    <n v="72"/>
    <n v="3"/>
    <x v="0"/>
    <n v="47"/>
    <n v="2"/>
    <n v="2"/>
    <s v="Sales Executive"/>
    <n v="4"/>
    <s v="Married"/>
    <n v="4157"/>
    <n v="21436"/>
    <n v="7"/>
    <s v="Y"/>
    <s v="Yes"/>
    <n v="19"/>
    <x v="0"/>
    <n v="3"/>
    <n v="80"/>
    <n v="1"/>
    <n v="5"/>
    <n v="2"/>
    <n v="2"/>
    <n v="2"/>
    <n v="2"/>
    <n v="0"/>
    <n v="0"/>
    <n v="0"/>
    <x v="2"/>
    <x v="1"/>
    <s v="0-5k"/>
    <x v="0"/>
    <x v="0"/>
    <x v="0"/>
  </r>
  <r>
    <n v="33"/>
    <s v="No"/>
    <x v="1"/>
    <n v="515"/>
    <x v="1"/>
    <n v="1"/>
    <n v="2"/>
    <s v="Life Sciences"/>
    <n v="1"/>
    <n v="73"/>
    <n v="1"/>
    <x v="0"/>
    <n v="98"/>
    <n v="3"/>
    <n v="3"/>
    <s v="Research Director"/>
    <n v="4"/>
    <s v="Single"/>
    <n v="13458"/>
    <n v="15146"/>
    <n v="1"/>
    <s v="Y"/>
    <s v="Yes"/>
    <n v="12"/>
    <x v="0"/>
    <n v="3"/>
    <n v="80"/>
    <n v="0"/>
    <n v="15"/>
    <n v="1"/>
    <n v="3"/>
    <n v="15"/>
    <n v="14"/>
    <n v="8"/>
    <n v="12"/>
    <n v="0"/>
    <x v="0"/>
    <x v="0"/>
    <s v="10k-15k"/>
    <x v="2"/>
    <x v="0"/>
    <x v="0"/>
  </r>
  <r>
    <n v="35"/>
    <s v="No"/>
    <x v="1"/>
    <n v="853"/>
    <x v="0"/>
    <n v="18"/>
    <n v="5"/>
    <s v="Life Sciences"/>
    <n v="1"/>
    <n v="74"/>
    <n v="2"/>
    <x v="1"/>
    <n v="71"/>
    <n v="3"/>
    <n v="3"/>
    <s v="Sales Executive"/>
    <n v="1"/>
    <s v="Married"/>
    <n v="9069"/>
    <n v="11031"/>
    <n v="1"/>
    <s v="Y"/>
    <s v="No"/>
    <n v="22"/>
    <x v="1"/>
    <n v="4"/>
    <n v="80"/>
    <n v="1"/>
    <n v="9"/>
    <n v="3"/>
    <n v="2"/>
    <n v="9"/>
    <n v="8"/>
    <n v="1"/>
    <n v="8"/>
    <n v="0"/>
    <x v="0"/>
    <x v="2"/>
    <s v="5k-10k"/>
    <x v="0"/>
    <x v="1"/>
    <x v="3"/>
  </r>
  <r>
    <n v="35"/>
    <s v="No"/>
    <x v="0"/>
    <n v="1142"/>
    <x v="1"/>
    <n v="23"/>
    <n v="4"/>
    <s v="Medical"/>
    <n v="1"/>
    <n v="75"/>
    <n v="3"/>
    <x v="0"/>
    <n v="30"/>
    <n v="3"/>
    <n v="1"/>
    <s v="Laboratory Technician"/>
    <n v="1"/>
    <s v="Married"/>
    <n v="4014"/>
    <n v="16002"/>
    <n v="3"/>
    <s v="Y"/>
    <s v="Yes"/>
    <n v="15"/>
    <x v="0"/>
    <n v="3"/>
    <n v="80"/>
    <n v="1"/>
    <n v="4"/>
    <n v="3"/>
    <n v="3"/>
    <n v="2"/>
    <n v="2"/>
    <n v="2"/>
    <n v="2"/>
    <n v="0"/>
    <x v="0"/>
    <x v="1"/>
    <s v="0-5k"/>
    <x v="0"/>
    <x v="0"/>
    <x v="3"/>
  </r>
  <r>
    <n v="31"/>
    <s v="No"/>
    <x v="0"/>
    <n v="655"/>
    <x v="1"/>
    <n v="7"/>
    <n v="4"/>
    <s v="Life Sciences"/>
    <n v="1"/>
    <n v="76"/>
    <n v="4"/>
    <x v="1"/>
    <n v="48"/>
    <n v="3"/>
    <n v="2"/>
    <s v="Laboratory Technician"/>
    <n v="4"/>
    <s v="Divorced"/>
    <n v="5915"/>
    <n v="9528"/>
    <n v="3"/>
    <s v="Y"/>
    <s v="No"/>
    <n v="22"/>
    <x v="1"/>
    <n v="4"/>
    <n v="80"/>
    <n v="1"/>
    <n v="10"/>
    <n v="3"/>
    <n v="2"/>
    <n v="7"/>
    <n v="7"/>
    <n v="1"/>
    <n v="7"/>
    <n v="0"/>
    <x v="0"/>
    <x v="0"/>
    <s v="5k-10k"/>
    <x v="0"/>
    <x v="1"/>
    <x v="0"/>
  </r>
  <r>
    <n v="37"/>
    <s v="No"/>
    <x v="0"/>
    <n v="1115"/>
    <x v="1"/>
    <n v="1"/>
    <n v="4"/>
    <s v="Life Sciences"/>
    <n v="1"/>
    <n v="77"/>
    <n v="1"/>
    <x v="1"/>
    <n v="51"/>
    <n v="2"/>
    <n v="2"/>
    <s v="Manufacturing Director"/>
    <n v="3"/>
    <s v="Divorced"/>
    <n v="5993"/>
    <n v="2689"/>
    <n v="1"/>
    <s v="Y"/>
    <s v="No"/>
    <n v="18"/>
    <x v="0"/>
    <n v="3"/>
    <n v="80"/>
    <n v="1"/>
    <n v="7"/>
    <n v="2"/>
    <n v="4"/>
    <n v="7"/>
    <n v="5"/>
    <n v="0"/>
    <n v="7"/>
    <n v="0"/>
    <x v="0"/>
    <x v="0"/>
    <s v="5k-10k"/>
    <x v="0"/>
    <x v="0"/>
    <x v="2"/>
  </r>
  <r>
    <n v="32"/>
    <s v="No"/>
    <x v="0"/>
    <n v="427"/>
    <x v="1"/>
    <n v="1"/>
    <n v="3"/>
    <s v="Medical"/>
    <n v="1"/>
    <n v="78"/>
    <n v="1"/>
    <x v="1"/>
    <n v="33"/>
    <n v="3"/>
    <n v="2"/>
    <s v="Manufacturing Director"/>
    <n v="4"/>
    <s v="Married"/>
    <n v="6162"/>
    <n v="10877"/>
    <n v="1"/>
    <s v="Y"/>
    <s v="Yes"/>
    <n v="22"/>
    <x v="1"/>
    <n v="2"/>
    <n v="80"/>
    <n v="1"/>
    <n v="9"/>
    <n v="3"/>
    <n v="3"/>
    <n v="9"/>
    <n v="8"/>
    <n v="7"/>
    <n v="8"/>
    <n v="0"/>
    <x v="0"/>
    <x v="0"/>
    <s v="5k-10k"/>
    <x v="0"/>
    <x v="1"/>
    <x v="0"/>
  </r>
  <r>
    <n v="38"/>
    <s v="No"/>
    <x v="1"/>
    <n v="653"/>
    <x v="1"/>
    <n v="29"/>
    <n v="5"/>
    <s v="Life Sciences"/>
    <n v="1"/>
    <n v="79"/>
    <n v="4"/>
    <x v="0"/>
    <n v="50"/>
    <n v="3"/>
    <n v="2"/>
    <s v="Laboratory Technician"/>
    <n v="4"/>
    <s v="Single"/>
    <n v="2406"/>
    <n v="5456"/>
    <n v="1"/>
    <s v="Y"/>
    <s v="No"/>
    <n v="11"/>
    <x v="0"/>
    <n v="4"/>
    <n v="80"/>
    <n v="0"/>
    <n v="10"/>
    <n v="2"/>
    <n v="3"/>
    <n v="10"/>
    <n v="3"/>
    <n v="9"/>
    <n v="9"/>
    <n v="0"/>
    <x v="0"/>
    <x v="1"/>
    <s v="0-5k"/>
    <x v="0"/>
    <x v="0"/>
    <x v="0"/>
  </r>
  <r>
    <n v="50"/>
    <s v="No"/>
    <x v="0"/>
    <n v="989"/>
    <x v="1"/>
    <n v="7"/>
    <n v="2"/>
    <s v="Medical"/>
    <n v="1"/>
    <n v="80"/>
    <n v="2"/>
    <x v="0"/>
    <n v="43"/>
    <n v="2"/>
    <n v="5"/>
    <s v="Research Director"/>
    <n v="3"/>
    <s v="Divorced"/>
    <n v="18740"/>
    <n v="16701"/>
    <n v="5"/>
    <s v="Y"/>
    <s v="Yes"/>
    <n v="12"/>
    <x v="0"/>
    <n v="4"/>
    <n v="80"/>
    <n v="1"/>
    <n v="29"/>
    <n v="2"/>
    <n v="2"/>
    <n v="27"/>
    <n v="3"/>
    <n v="13"/>
    <n v="8"/>
    <n v="0"/>
    <x v="1"/>
    <x v="0"/>
    <s v="15k+"/>
    <x v="1"/>
    <x v="0"/>
    <x v="2"/>
  </r>
  <r>
    <n v="59"/>
    <s v="No"/>
    <x v="0"/>
    <n v="1435"/>
    <x v="0"/>
    <n v="25"/>
    <n v="3"/>
    <s v="Life Sciences"/>
    <n v="1"/>
    <n v="81"/>
    <n v="1"/>
    <x v="0"/>
    <n v="99"/>
    <n v="3"/>
    <n v="3"/>
    <s v="Sales Executive"/>
    <n v="1"/>
    <s v="Single"/>
    <n v="7637"/>
    <n v="2354"/>
    <n v="7"/>
    <s v="Y"/>
    <s v="No"/>
    <n v="11"/>
    <x v="0"/>
    <n v="4"/>
    <n v="80"/>
    <n v="0"/>
    <n v="28"/>
    <n v="3"/>
    <n v="2"/>
    <n v="21"/>
    <n v="16"/>
    <n v="7"/>
    <n v="9"/>
    <n v="0"/>
    <x v="1"/>
    <x v="1"/>
    <s v="5k-10k"/>
    <x v="1"/>
    <x v="0"/>
    <x v="3"/>
  </r>
  <r>
    <n v="36"/>
    <s v="No"/>
    <x v="0"/>
    <n v="1223"/>
    <x v="1"/>
    <n v="8"/>
    <n v="3"/>
    <s v="Technical Degree"/>
    <n v="1"/>
    <n v="83"/>
    <n v="3"/>
    <x v="0"/>
    <n v="59"/>
    <n v="3"/>
    <n v="3"/>
    <s v="Healthcare Representative"/>
    <n v="3"/>
    <s v="Divorced"/>
    <n v="10096"/>
    <n v="8202"/>
    <n v="1"/>
    <s v="Y"/>
    <s v="No"/>
    <n v="13"/>
    <x v="0"/>
    <n v="2"/>
    <n v="80"/>
    <n v="3"/>
    <n v="17"/>
    <n v="2"/>
    <n v="3"/>
    <n v="17"/>
    <n v="14"/>
    <n v="12"/>
    <n v="8"/>
    <n v="0"/>
    <x v="0"/>
    <x v="0"/>
    <s v="10k-15k"/>
    <x v="2"/>
    <x v="0"/>
    <x v="2"/>
  </r>
  <r>
    <n v="55"/>
    <s v="No"/>
    <x v="0"/>
    <n v="836"/>
    <x v="1"/>
    <n v="8"/>
    <n v="3"/>
    <s v="Medical"/>
    <n v="1"/>
    <n v="84"/>
    <n v="4"/>
    <x v="0"/>
    <n v="33"/>
    <n v="3"/>
    <n v="4"/>
    <s v="Manager"/>
    <n v="3"/>
    <s v="Divorced"/>
    <n v="14756"/>
    <n v="19730"/>
    <n v="2"/>
    <s v="Y"/>
    <s v="Yes"/>
    <n v="14"/>
    <x v="0"/>
    <n v="3"/>
    <n v="80"/>
    <n v="3"/>
    <n v="21"/>
    <n v="2"/>
    <n v="3"/>
    <n v="5"/>
    <n v="0"/>
    <n v="0"/>
    <n v="2"/>
    <n v="0"/>
    <x v="1"/>
    <x v="0"/>
    <s v="10k-15k"/>
    <x v="0"/>
    <x v="0"/>
    <x v="2"/>
  </r>
  <r>
    <n v="36"/>
    <s v="No"/>
    <x v="1"/>
    <n v="1195"/>
    <x v="1"/>
    <n v="11"/>
    <n v="3"/>
    <s v="Life Sciences"/>
    <n v="1"/>
    <n v="85"/>
    <n v="2"/>
    <x v="1"/>
    <n v="95"/>
    <n v="2"/>
    <n v="2"/>
    <s v="Manufacturing Director"/>
    <n v="2"/>
    <s v="Single"/>
    <n v="6499"/>
    <n v="22656"/>
    <n v="1"/>
    <s v="Y"/>
    <s v="No"/>
    <n v="13"/>
    <x v="0"/>
    <n v="3"/>
    <n v="80"/>
    <n v="0"/>
    <n v="6"/>
    <n v="3"/>
    <n v="3"/>
    <n v="6"/>
    <n v="5"/>
    <n v="0"/>
    <n v="3"/>
    <n v="0"/>
    <x v="0"/>
    <x v="2"/>
    <s v="5k-10k"/>
    <x v="0"/>
    <x v="0"/>
    <x v="1"/>
  </r>
  <r>
    <n v="45"/>
    <s v="No"/>
    <x v="0"/>
    <n v="1339"/>
    <x v="1"/>
    <n v="7"/>
    <n v="3"/>
    <s v="Life Sciences"/>
    <n v="1"/>
    <n v="86"/>
    <n v="2"/>
    <x v="1"/>
    <n v="59"/>
    <n v="3"/>
    <n v="3"/>
    <s v="Research Scientist"/>
    <n v="1"/>
    <s v="Divorced"/>
    <n v="9724"/>
    <n v="18787"/>
    <n v="2"/>
    <s v="Y"/>
    <s v="No"/>
    <n v="17"/>
    <x v="0"/>
    <n v="3"/>
    <n v="80"/>
    <n v="1"/>
    <n v="25"/>
    <n v="2"/>
    <n v="3"/>
    <n v="1"/>
    <n v="0"/>
    <n v="0"/>
    <n v="0"/>
    <n v="0"/>
    <x v="0"/>
    <x v="0"/>
    <s v="5k-10k"/>
    <x v="0"/>
    <x v="0"/>
    <x v="3"/>
  </r>
  <r>
    <n v="35"/>
    <s v="No"/>
    <x v="1"/>
    <n v="664"/>
    <x v="1"/>
    <n v="1"/>
    <n v="3"/>
    <s v="Medical"/>
    <n v="1"/>
    <n v="88"/>
    <n v="2"/>
    <x v="1"/>
    <n v="79"/>
    <n v="3"/>
    <n v="1"/>
    <s v="Research Scientist"/>
    <n v="1"/>
    <s v="Married"/>
    <n v="2194"/>
    <n v="5868"/>
    <n v="4"/>
    <s v="Y"/>
    <s v="No"/>
    <n v="13"/>
    <x v="0"/>
    <n v="4"/>
    <n v="80"/>
    <n v="1"/>
    <n v="5"/>
    <n v="2"/>
    <n v="2"/>
    <n v="3"/>
    <n v="2"/>
    <n v="1"/>
    <n v="2"/>
    <n v="0"/>
    <x v="0"/>
    <x v="0"/>
    <s v="0-5k"/>
    <x v="0"/>
    <x v="0"/>
    <x v="3"/>
  </r>
  <r>
    <n v="36"/>
    <s v="Yes"/>
    <x v="0"/>
    <n v="318"/>
    <x v="1"/>
    <n v="9"/>
    <n v="3"/>
    <s v="Medical"/>
    <n v="1"/>
    <n v="90"/>
    <n v="4"/>
    <x v="1"/>
    <n v="79"/>
    <n v="2"/>
    <n v="1"/>
    <s v="Research Scientist"/>
    <n v="3"/>
    <s v="Married"/>
    <n v="3388"/>
    <n v="21777"/>
    <n v="0"/>
    <s v="Y"/>
    <s v="Yes"/>
    <n v="17"/>
    <x v="0"/>
    <n v="1"/>
    <n v="80"/>
    <n v="1"/>
    <n v="2"/>
    <n v="0"/>
    <n v="2"/>
    <n v="1"/>
    <n v="0"/>
    <n v="0"/>
    <n v="0"/>
    <n v="1"/>
    <x v="0"/>
    <x v="0"/>
    <s v="0-5k"/>
    <x v="0"/>
    <x v="0"/>
    <x v="2"/>
  </r>
  <r>
    <n v="59"/>
    <s v="No"/>
    <x v="1"/>
    <n v="1225"/>
    <x v="0"/>
    <n v="1"/>
    <n v="1"/>
    <s v="Life Sciences"/>
    <n v="1"/>
    <n v="91"/>
    <n v="1"/>
    <x v="0"/>
    <n v="57"/>
    <n v="2"/>
    <n v="2"/>
    <s v="Sales Executive"/>
    <n v="3"/>
    <s v="Single"/>
    <n v="5473"/>
    <n v="24668"/>
    <n v="7"/>
    <s v="Y"/>
    <s v="No"/>
    <n v="11"/>
    <x v="0"/>
    <n v="4"/>
    <n v="80"/>
    <n v="0"/>
    <n v="20"/>
    <n v="2"/>
    <n v="2"/>
    <n v="4"/>
    <n v="3"/>
    <n v="1"/>
    <n v="3"/>
    <n v="0"/>
    <x v="1"/>
    <x v="0"/>
    <s v="5k-10k"/>
    <x v="0"/>
    <x v="0"/>
    <x v="2"/>
  </r>
  <r>
    <n v="29"/>
    <s v="No"/>
    <x v="0"/>
    <n v="1328"/>
    <x v="1"/>
    <n v="2"/>
    <n v="3"/>
    <s v="Life Sciences"/>
    <n v="1"/>
    <n v="94"/>
    <n v="3"/>
    <x v="1"/>
    <n v="76"/>
    <n v="3"/>
    <n v="1"/>
    <s v="Research Scientist"/>
    <n v="2"/>
    <s v="Married"/>
    <n v="2703"/>
    <n v="4956"/>
    <n v="0"/>
    <s v="Y"/>
    <s v="No"/>
    <n v="23"/>
    <x v="1"/>
    <n v="4"/>
    <n v="80"/>
    <n v="1"/>
    <n v="6"/>
    <n v="3"/>
    <n v="3"/>
    <n v="5"/>
    <n v="4"/>
    <n v="0"/>
    <n v="4"/>
    <n v="0"/>
    <x v="2"/>
    <x v="0"/>
    <s v="0-5k"/>
    <x v="0"/>
    <x v="1"/>
    <x v="1"/>
  </r>
  <r>
    <n v="31"/>
    <s v="No"/>
    <x v="0"/>
    <n v="1082"/>
    <x v="1"/>
    <n v="1"/>
    <n v="4"/>
    <s v="Medical"/>
    <n v="1"/>
    <n v="95"/>
    <n v="3"/>
    <x v="1"/>
    <n v="87"/>
    <n v="3"/>
    <n v="1"/>
    <s v="Research Scientist"/>
    <n v="2"/>
    <s v="Single"/>
    <n v="2501"/>
    <n v="18775"/>
    <n v="1"/>
    <s v="Y"/>
    <s v="No"/>
    <n v="17"/>
    <x v="0"/>
    <n v="2"/>
    <n v="80"/>
    <n v="0"/>
    <n v="1"/>
    <n v="4"/>
    <n v="3"/>
    <n v="1"/>
    <n v="1"/>
    <n v="1"/>
    <n v="0"/>
    <n v="0"/>
    <x v="0"/>
    <x v="0"/>
    <s v="0-5k"/>
    <x v="0"/>
    <x v="0"/>
    <x v="1"/>
  </r>
  <r>
    <n v="32"/>
    <s v="No"/>
    <x v="0"/>
    <n v="548"/>
    <x v="1"/>
    <n v="1"/>
    <n v="3"/>
    <s v="Life Sciences"/>
    <n v="1"/>
    <n v="96"/>
    <n v="2"/>
    <x v="1"/>
    <n v="66"/>
    <n v="3"/>
    <n v="2"/>
    <s v="Research Scientist"/>
    <n v="2"/>
    <s v="Married"/>
    <n v="6220"/>
    <n v="7346"/>
    <n v="1"/>
    <s v="Y"/>
    <s v="No"/>
    <n v="17"/>
    <x v="0"/>
    <n v="2"/>
    <n v="80"/>
    <n v="2"/>
    <n v="10"/>
    <n v="3"/>
    <n v="3"/>
    <n v="10"/>
    <n v="4"/>
    <n v="0"/>
    <n v="9"/>
    <n v="0"/>
    <x v="0"/>
    <x v="0"/>
    <s v="5k-10k"/>
    <x v="0"/>
    <x v="0"/>
    <x v="1"/>
  </r>
  <r>
    <n v="36"/>
    <s v="No"/>
    <x v="0"/>
    <n v="132"/>
    <x v="1"/>
    <n v="6"/>
    <n v="3"/>
    <s v="Life Sciences"/>
    <n v="1"/>
    <n v="97"/>
    <n v="2"/>
    <x v="0"/>
    <n v="55"/>
    <n v="4"/>
    <n v="1"/>
    <s v="Laboratory Technician"/>
    <n v="4"/>
    <s v="Married"/>
    <n v="3038"/>
    <n v="22002"/>
    <n v="3"/>
    <s v="Y"/>
    <s v="No"/>
    <n v="12"/>
    <x v="0"/>
    <n v="2"/>
    <n v="80"/>
    <n v="0"/>
    <n v="5"/>
    <n v="3"/>
    <n v="3"/>
    <n v="1"/>
    <n v="0"/>
    <n v="0"/>
    <n v="0"/>
    <n v="0"/>
    <x v="0"/>
    <x v="0"/>
    <s v="0-5k"/>
    <x v="0"/>
    <x v="0"/>
    <x v="0"/>
  </r>
  <r>
    <n v="31"/>
    <s v="No"/>
    <x v="0"/>
    <n v="746"/>
    <x v="1"/>
    <n v="8"/>
    <n v="4"/>
    <s v="Life Sciences"/>
    <n v="1"/>
    <n v="98"/>
    <n v="3"/>
    <x v="0"/>
    <n v="61"/>
    <n v="3"/>
    <n v="2"/>
    <s v="Manufacturing Director"/>
    <n v="4"/>
    <s v="Single"/>
    <n v="4424"/>
    <n v="20682"/>
    <n v="1"/>
    <s v="Y"/>
    <s v="No"/>
    <n v="23"/>
    <x v="1"/>
    <n v="4"/>
    <n v="80"/>
    <n v="0"/>
    <n v="11"/>
    <n v="2"/>
    <n v="3"/>
    <n v="11"/>
    <n v="7"/>
    <n v="1"/>
    <n v="8"/>
    <n v="0"/>
    <x v="0"/>
    <x v="0"/>
    <s v="0-5k"/>
    <x v="2"/>
    <x v="1"/>
    <x v="0"/>
  </r>
  <r>
    <n v="35"/>
    <s v="No"/>
    <x v="0"/>
    <n v="776"/>
    <x v="0"/>
    <n v="1"/>
    <n v="4"/>
    <s v="Marketing"/>
    <n v="1"/>
    <n v="100"/>
    <n v="3"/>
    <x v="1"/>
    <n v="32"/>
    <n v="2"/>
    <n v="2"/>
    <s v="Sales Executive"/>
    <n v="1"/>
    <s v="Single"/>
    <n v="4312"/>
    <n v="23016"/>
    <n v="0"/>
    <s v="Y"/>
    <s v="No"/>
    <n v="14"/>
    <x v="0"/>
    <n v="2"/>
    <n v="80"/>
    <n v="0"/>
    <n v="16"/>
    <n v="2"/>
    <n v="3"/>
    <n v="15"/>
    <n v="13"/>
    <n v="2"/>
    <n v="8"/>
    <n v="0"/>
    <x v="0"/>
    <x v="0"/>
    <s v="0-5k"/>
    <x v="2"/>
    <x v="0"/>
    <x v="3"/>
  </r>
  <r>
    <n v="45"/>
    <s v="No"/>
    <x v="0"/>
    <n v="193"/>
    <x v="1"/>
    <n v="6"/>
    <n v="4"/>
    <s v="Other"/>
    <n v="1"/>
    <n v="101"/>
    <n v="4"/>
    <x v="1"/>
    <n v="52"/>
    <n v="3"/>
    <n v="3"/>
    <s v="Research Director"/>
    <n v="1"/>
    <s v="Married"/>
    <n v="13245"/>
    <n v="15067"/>
    <n v="4"/>
    <s v="Y"/>
    <s v="Yes"/>
    <n v="14"/>
    <x v="0"/>
    <n v="2"/>
    <n v="80"/>
    <n v="0"/>
    <n v="17"/>
    <n v="3"/>
    <n v="4"/>
    <n v="0"/>
    <n v="0"/>
    <n v="0"/>
    <n v="0"/>
    <n v="0"/>
    <x v="0"/>
    <x v="0"/>
    <s v="10k-15k"/>
    <x v="0"/>
    <x v="0"/>
    <x v="3"/>
  </r>
  <r>
    <n v="37"/>
    <s v="No"/>
    <x v="0"/>
    <n v="397"/>
    <x v="1"/>
    <n v="7"/>
    <n v="4"/>
    <s v="Medical"/>
    <n v="1"/>
    <n v="102"/>
    <n v="1"/>
    <x v="1"/>
    <n v="30"/>
    <n v="3"/>
    <n v="3"/>
    <s v="Research Director"/>
    <n v="3"/>
    <s v="Single"/>
    <n v="13664"/>
    <n v="25258"/>
    <n v="4"/>
    <s v="Y"/>
    <s v="No"/>
    <n v="13"/>
    <x v="0"/>
    <n v="1"/>
    <n v="80"/>
    <n v="0"/>
    <n v="16"/>
    <n v="3"/>
    <n v="4"/>
    <n v="5"/>
    <n v="2"/>
    <n v="0"/>
    <n v="2"/>
    <n v="0"/>
    <x v="0"/>
    <x v="0"/>
    <s v="10k-15k"/>
    <x v="0"/>
    <x v="0"/>
    <x v="2"/>
  </r>
  <r>
    <n v="46"/>
    <s v="No"/>
    <x v="0"/>
    <n v="945"/>
    <x v="2"/>
    <n v="5"/>
    <n v="2"/>
    <s v="Medical"/>
    <n v="1"/>
    <n v="103"/>
    <n v="2"/>
    <x v="1"/>
    <n v="80"/>
    <n v="3"/>
    <n v="2"/>
    <s v="Human Resources"/>
    <n v="2"/>
    <s v="Divorced"/>
    <n v="5021"/>
    <n v="10425"/>
    <n v="8"/>
    <s v="Y"/>
    <s v="Yes"/>
    <n v="22"/>
    <x v="1"/>
    <n v="4"/>
    <n v="80"/>
    <n v="1"/>
    <n v="16"/>
    <n v="2"/>
    <n v="3"/>
    <n v="4"/>
    <n v="2"/>
    <n v="0"/>
    <n v="2"/>
    <n v="0"/>
    <x v="1"/>
    <x v="0"/>
    <s v="5k-10k"/>
    <x v="0"/>
    <x v="1"/>
    <x v="1"/>
  </r>
  <r>
    <n v="30"/>
    <s v="No"/>
    <x v="0"/>
    <n v="852"/>
    <x v="1"/>
    <n v="1"/>
    <n v="1"/>
    <s v="Life Sciences"/>
    <n v="1"/>
    <n v="104"/>
    <n v="4"/>
    <x v="1"/>
    <n v="55"/>
    <n v="2"/>
    <n v="2"/>
    <s v="Laboratory Technician"/>
    <n v="4"/>
    <s v="Married"/>
    <n v="5126"/>
    <n v="15998"/>
    <n v="1"/>
    <s v="Y"/>
    <s v="Yes"/>
    <n v="12"/>
    <x v="0"/>
    <n v="3"/>
    <n v="80"/>
    <n v="2"/>
    <n v="10"/>
    <n v="1"/>
    <n v="2"/>
    <n v="10"/>
    <n v="8"/>
    <n v="3"/>
    <n v="0"/>
    <n v="0"/>
    <x v="2"/>
    <x v="0"/>
    <s v="5k-10k"/>
    <x v="0"/>
    <x v="0"/>
    <x v="0"/>
  </r>
  <r>
    <n v="35"/>
    <s v="No"/>
    <x v="0"/>
    <n v="1214"/>
    <x v="1"/>
    <n v="1"/>
    <n v="3"/>
    <s v="Medical"/>
    <n v="1"/>
    <n v="105"/>
    <n v="2"/>
    <x v="1"/>
    <n v="30"/>
    <n v="2"/>
    <n v="1"/>
    <s v="Research Scientist"/>
    <n v="3"/>
    <s v="Single"/>
    <n v="2859"/>
    <n v="26278"/>
    <n v="1"/>
    <s v="Y"/>
    <s v="No"/>
    <n v="18"/>
    <x v="0"/>
    <n v="1"/>
    <n v="80"/>
    <n v="0"/>
    <n v="6"/>
    <n v="3"/>
    <n v="3"/>
    <n v="6"/>
    <n v="4"/>
    <n v="0"/>
    <n v="4"/>
    <n v="0"/>
    <x v="0"/>
    <x v="0"/>
    <s v="0-5k"/>
    <x v="0"/>
    <x v="0"/>
    <x v="2"/>
  </r>
  <r>
    <n v="55"/>
    <s v="No"/>
    <x v="0"/>
    <n v="111"/>
    <x v="0"/>
    <n v="1"/>
    <n v="2"/>
    <s v="Life Sciences"/>
    <n v="1"/>
    <n v="106"/>
    <n v="1"/>
    <x v="1"/>
    <n v="70"/>
    <n v="3"/>
    <n v="3"/>
    <s v="Sales Executive"/>
    <n v="4"/>
    <s v="Married"/>
    <n v="10239"/>
    <n v="18092"/>
    <n v="3"/>
    <s v="Y"/>
    <s v="No"/>
    <n v="14"/>
    <x v="0"/>
    <n v="4"/>
    <n v="80"/>
    <n v="1"/>
    <n v="24"/>
    <n v="4"/>
    <n v="3"/>
    <n v="1"/>
    <n v="0"/>
    <n v="1"/>
    <n v="0"/>
    <n v="0"/>
    <x v="1"/>
    <x v="0"/>
    <s v="10k-15k"/>
    <x v="0"/>
    <x v="0"/>
    <x v="0"/>
  </r>
  <r>
    <n v="38"/>
    <s v="No"/>
    <x v="2"/>
    <n v="573"/>
    <x v="1"/>
    <n v="6"/>
    <n v="3"/>
    <s v="Medical"/>
    <n v="1"/>
    <n v="107"/>
    <n v="2"/>
    <x v="0"/>
    <n v="79"/>
    <n v="1"/>
    <n v="2"/>
    <s v="Research Scientist"/>
    <n v="4"/>
    <s v="Divorced"/>
    <n v="5329"/>
    <n v="15717"/>
    <n v="7"/>
    <s v="Y"/>
    <s v="Yes"/>
    <n v="12"/>
    <x v="0"/>
    <n v="4"/>
    <n v="80"/>
    <n v="3"/>
    <n v="17"/>
    <n v="3"/>
    <n v="3"/>
    <n v="13"/>
    <n v="11"/>
    <n v="1"/>
    <n v="9"/>
    <n v="0"/>
    <x v="0"/>
    <x v="0"/>
    <s v="5k-10k"/>
    <x v="2"/>
    <x v="0"/>
    <x v="0"/>
  </r>
  <r>
    <n v="34"/>
    <s v="No"/>
    <x v="0"/>
    <n v="1153"/>
    <x v="1"/>
    <n v="1"/>
    <n v="2"/>
    <s v="Medical"/>
    <n v="1"/>
    <n v="110"/>
    <n v="1"/>
    <x v="1"/>
    <n v="94"/>
    <n v="3"/>
    <n v="2"/>
    <s v="Manufacturing Director"/>
    <n v="2"/>
    <s v="Married"/>
    <n v="4325"/>
    <n v="17736"/>
    <n v="1"/>
    <s v="Y"/>
    <s v="No"/>
    <n v="15"/>
    <x v="0"/>
    <n v="3"/>
    <n v="80"/>
    <n v="0"/>
    <n v="5"/>
    <n v="2"/>
    <n v="3"/>
    <n v="5"/>
    <n v="2"/>
    <n v="1"/>
    <n v="3"/>
    <n v="0"/>
    <x v="0"/>
    <x v="0"/>
    <s v="0-5k"/>
    <x v="0"/>
    <x v="0"/>
    <x v="1"/>
  </r>
  <r>
    <n v="56"/>
    <s v="No"/>
    <x v="0"/>
    <n v="1400"/>
    <x v="1"/>
    <n v="7"/>
    <n v="3"/>
    <s v="Life Sciences"/>
    <n v="1"/>
    <n v="112"/>
    <n v="4"/>
    <x v="1"/>
    <n v="49"/>
    <n v="1"/>
    <n v="3"/>
    <s v="Manufacturing Director"/>
    <n v="4"/>
    <s v="Single"/>
    <n v="7260"/>
    <n v="21698"/>
    <n v="4"/>
    <s v="Y"/>
    <s v="No"/>
    <n v="11"/>
    <x v="0"/>
    <n v="1"/>
    <n v="80"/>
    <n v="0"/>
    <n v="37"/>
    <n v="3"/>
    <n v="2"/>
    <n v="6"/>
    <n v="4"/>
    <n v="0"/>
    <n v="2"/>
    <n v="0"/>
    <x v="1"/>
    <x v="0"/>
    <s v="5k-10k"/>
    <x v="0"/>
    <x v="0"/>
    <x v="0"/>
  </r>
  <r>
    <n v="23"/>
    <s v="No"/>
    <x v="0"/>
    <n v="541"/>
    <x v="0"/>
    <n v="2"/>
    <n v="1"/>
    <s v="Technical Degree"/>
    <n v="1"/>
    <n v="113"/>
    <n v="3"/>
    <x v="1"/>
    <n v="62"/>
    <n v="3"/>
    <n v="1"/>
    <s v="Sales Representative"/>
    <n v="1"/>
    <s v="Divorced"/>
    <n v="2322"/>
    <n v="9518"/>
    <n v="3"/>
    <s v="Y"/>
    <s v="No"/>
    <n v="13"/>
    <x v="0"/>
    <n v="3"/>
    <n v="80"/>
    <n v="1"/>
    <n v="3"/>
    <n v="3"/>
    <n v="3"/>
    <n v="0"/>
    <n v="0"/>
    <n v="0"/>
    <n v="0"/>
    <n v="0"/>
    <x v="2"/>
    <x v="0"/>
    <s v="0-5k"/>
    <x v="0"/>
    <x v="0"/>
    <x v="3"/>
  </r>
  <r>
    <n v="51"/>
    <s v="No"/>
    <x v="0"/>
    <n v="432"/>
    <x v="1"/>
    <n v="9"/>
    <n v="4"/>
    <s v="Life Sciences"/>
    <n v="1"/>
    <n v="116"/>
    <n v="4"/>
    <x v="1"/>
    <n v="96"/>
    <n v="3"/>
    <n v="1"/>
    <s v="Laboratory Technician"/>
    <n v="4"/>
    <s v="Married"/>
    <n v="2075"/>
    <n v="18725"/>
    <n v="3"/>
    <s v="Y"/>
    <s v="No"/>
    <n v="23"/>
    <x v="1"/>
    <n v="2"/>
    <n v="80"/>
    <n v="2"/>
    <n v="10"/>
    <n v="4"/>
    <n v="3"/>
    <n v="4"/>
    <n v="2"/>
    <n v="0"/>
    <n v="3"/>
    <n v="0"/>
    <x v="1"/>
    <x v="0"/>
    <s v="0-5k"/>
    <x v="0"/>
    <x v="1"/>
    <x v="0"/>
  </r>
  <r>
    <n v="30"/>
    <s v="No"/>
    <x v="0"/>
    <n v="288"/>
    <x v="1"/>
    <n v="2"/>
    <n v="3"/>
    <s v="Life Sciences"/>
    <n v="1"/>
    <n v="117"/>
    <n v="3"/>
    <x v="1"/>
    <n v="99"/>
    <n v="2"/>
    <n v="2"/>
    <s v="Healthcare Representative"/>
    <n v="4"/>
    <s v="Married"/>
    <n v="4152"/>
    <n v="15830"/>
    <n v="1"/>
    <s v="Y"/>
    <s v="No"/>
    <n v="19"/>
    <x v="0"/>
    <n v="1"/>
    <n v="80"/>
    <n v="3"/>
    <n v="11"/>
    <n v="3"/>
    <n v="3"/>
    <n v="11"/>
    <n v="10"/>
    <n v="10"/>
    <n v="8"/>
    <n v="0"/>
    <x v="2"/>
    <x v="0"/>
    <s v="0-5k"/>
    <x v="2"/>
    <x v="0"/>
    <x v="0"/>
  </r>
  <r>
    <n v="46"/>
    <s v="Yes"/>
    <x v="0"/>
    <n v="669"/>
    <x v="0"/>
    <n v="9"/>
    <n v="2"/>
    <s v="Medical"/>
    <n v="1"/>
    <n v="118"/>
    <n v="3"/>
    <x v="1"/>
    <n v="64"/>
    <n v="2"/>
    <n v="3"/>
    <s v="Sales Executive"/>
    <n v="4"/>
    <s v="Single"/>
    <n v="9619"/>
    <n v="13596"/>
    <n v="1"/>
    <s v="Y"/>
    <s v="No"/>
    <n v="16"/>
    <x v="0"/>
    <n v="4"/>
    <n v="80"/>
    <n v="0"/>
    <n v="9"/>
    <n v="3"/>
    <n v="3"/>
    <n v="9"/>
    <n v="8"/>
    <n v="4"/>
    <n v="7"/>
    <n v="1"/>
    <x v="1"/>
    <x v="0"/>
    <s v="5k-10k"/>
    <x v="0"/>
    <x v="0"/>
    <x v="0"/>
  </r>
  <r>
    <n v="40"/>
    <s v="No"/>
    <x v="1"/>
    <n v="530"/>
    <x v="1"/>
    <n v="1"/>
    <n v="4"/>
    <s v="Life Sciences"/>
    <n v="1"/>
    <n v="119"/>
    <n v="3"/>
    <x v="1"/>
    <n v="78"/>
    <n v="2"/>
    <n v="4"/>
    <s v="Healthcare Representative"/>
    <n v="2"/>
    <s v="Married"/>
    <n v="13503"/>
    <n v="14115"/>
    <n v="1"/>
    <s v="Y"/>
    <s v="No"/>
    <n v="22"/>
    <x v="1"/>
    <n v="4"/>
    <n v="80"/>
    <n v="1"/>
    <n v="22"/>
    <n v="3"/>
    <n v="2"/>
    <n v="22"/>
    <n v="3"/>
    <n v="11"/>
    <n v="11"/>
    <n v="0"/>
    <x v="0"/>
    <x v="0"/>
    <s v="10k-15k"/>
    <x v="1"/>
    <x v="1"/>
    <x v="1"/>
  </r>
  <r>
    <n v="51"/>
    <s v="No"/>
    <x v="0"/>
    <n v="632"/>
    <x v="0"/>
    <n v="21"/>
    <n v="4"/>
    <s v="Marketing"/>
    <n v="1"/>
    <n v="120"/>
    <n v="3"/>
    <x v="1"/>
    <n v="71"/>
    <n v="3"/>
    <n v="2"/>
    <s v="Sales Executive"/>
    <n v="4"/>
    <s v="Single"/>
    <n v="5441"/>
    <n v="8423"/>
    <n v="0"/>
    <s v="Y"/>
    <s v="Yes"/>
    <n v="22"/>
    <x v="1"/>
    <n v="4"/>
    <n v="80"/>
    <n v="0"/>
    <n v="11"/>
    <n v="2"/>
    <n v="1"/>
    <n v="10"/>
    <n v="7"/>
    <n v="1"/>
    <n v="0"/>
    <n v="0"/>
    <x v="1"/>
    <x v="1"/>
    <s v="5k-10k"/>
    <x v="0"/>
    <x v="1"/>
    <x v="0"/>
  </r>
  <r>
    <n v="30"/>
    <s v="No"/>
    <x v="0"/>
    <n v="1334"/>
    <x v="0"/>
    <n v="4"/>
    <n v="2"/>
    <s v="Medical"/>
    <n v="1"/>
    <n v="121"/>
    <n v="3"/>
    <x v="0"/>
    <n v="63"/>
    <n v="2"/>
    <n v="2"/>
    <s v="Sales Executive"/>
    <n v="2"/>
    <s v="Divorced"/>
    <n v="5209"/>
    <n v="19760"/>
    <n v="1"/>
    <s v="Y"/>
    <s v="Yes"/>
    <n v="12"/>
    <x v="0"/>
    <n v="2"/>
    <n v="80"/>
    <n v="3"/>
    <n v="11"/>
    <n v="4"/>
    <n v="2"/>
    <n v="11"/>
    <n v="8"/>
    <n v="2"/>
    <n v="7"/>
    <n v="0"/>
    <x v="2"/>
    <x v="0"/>
    <s v="5k-10k"/>
    <x v="2"/>
    <x v="0"/>
    <x v="1"/>
  </r>
  <r>
    <n v="46"/>
    <s v="No"/>
    <x v="1"/>
    <n v="638"/>
    <x v="1"/>
    <n v="1"/>
    <n v="3"/>
    <s v="Medical"/>
    <n v="1"/>
    <n v="124"/>
    <n v="3"/>
    <x v="1"/>
    <n v="40"/>
    <n v="2"/>
    <n v="3"/>
    <s v="Healthcare Representative"/>
    <n v="1"/>
    <s v="Married"/>
    <n v="10673"/>
    <n v="3142"/>
    <n v="2"/>
    <s v="Y"/>
    <s v="Yes"/>
    <n v="13"/>
    <x v="0"/>
    <n v="3"/>
    <n v="80"/>
    <n v="1"/>
    <n v="21"/>
    <n v="5"/>
    <n v="2"/>
    <n v="10"/>
    <n v="9"/>
    <n v="9"/>
    <n v="5"/>
    <n v="0"/>
    <x v="1"/>
    <x v="0"/>
    <s v="10k-15k"/>
    <x v="0"/>
    <x v="0"/>
    <x v="3"/>
  </r>
  <r>
    <n v="32"/>
    <s v="No"/>
    <x v="0"/>
    <n v="1093"/>
    <x v="0"/>
    <n v="6"/>
    <n v="4"/>
    <s v="Medical"/>
    <n v="1"/>
    <n v="125"/>
    <n v="2"/>
    <x v="1"/>
    <n v="87"/>
    <n v="3"/>
    <n v="2"/>
    <s v="Sales Executive"/>
    <n v="3"/>
    <s v="Single"/>
    <n v="5010"/>
    <n v="24301"/>
    <n v="1"/>
    <s v="Y"/>
    <s v="No"/>
    <n v="16"/>
    <x v="0"/>
    <n v="1"/>
    <n v="80"/>
    <n v="0"/>
    <n v="12"/>
    <n v="0"/>
    <n v="3"/>
    <n v="11"/>
    <n v="8"/>
    <n v="5"/>
    <n v="7"/>
    <n v="0"/>
    <x v="0"/>
    <x v="0"/>
    <s v="5k-10k"/>
    <x v="2"/>
    <x v="0"/>
    <x v="2"/>
  </r>
  <r>
    <n v="54"/>
    <s v="No"/>
    <x v="0"/>
    <n v="1217"/>
    <x v="1"/>
    <n v="2"/>
    <n v="4"/>
    <s v="Technical Degree"/>
    <n v="1"/>
    <n v="126"/>
    <n v="1"/>
    <x v="0"/>
    <n v="60"/>
    <n v="3"/>
    <n v="3"/>
    <s v="Research Director"/>
    <n v="3"/>
    <s v="Married"/>
    <n v="13549"/>
    <n v="24001"/>
    <n v="9"/>
    <s v="Y"/>
    <s v="No"/>
    <n v="12"/>
    <x v="0"/>
    <n v="1"/>
    <n v="80"/>
    <n v="1"/>
    <n v="16"/>
    <n v="5"/>
    <n v="1"/>
    <n v="4"/>
    <n v="3"/>
    <n v="0"/>
    <n v="3"/>
    <n v="0"/>
    <x v="1"/>
    <x v="0"/>
    <s v="10k-15k"/>
    <x v="0"/>
    <x v="0"/>
    <x v="2"/>
  </r>
  <r>
    <n v="24"/>
    <s v="No"/>
    <x v="0"/>
    <n v="1353"/>
    <x v="0"/>
    <n v="3"/>
    <n v="2"/>
    <s v="Other"/>
    <n v="1"/>
    <n v="128"/>
    <n v="1"/>
    <x v="0"/>
    <n v="33"/>
    <n v="3"/>
    <n v="2"/>
    <s v="Sales Executive"/>
    <n v="3"/>
    <s v="Married"/>
    <n v="4999"/>
    <n v="17519"/>
    <n v="0"/>
    <s v="Y"/>
    <s v="No"/>
    <n v="21"/>
    <x v="1"/>
    <n v="1"/>
    <n v="80"/>
    <n v="1"/>
    <n v="4"/>
    <n v="2"/>
    <n v="2"/>
    <n v="3"/>
    <n v="2"/>
    <n v="0"/>
    <n v="2"/>
    <n v="0"/>
    <x v="2"/>
    <x v="0"/>
    <s v="0-5k"/>
    <x v="0"/>
    <x v="1"/>
    <x v="2"/>
  </r>
  <r>
    <n v="28"/>
    <s v="No"/>
    <x v="2"/>
    <n v="120"/>
    <x v="0"/>
    <n v="4"/>
    <n v="3"/>
    <s v="Medical"/>
    <n v="1"/>
    <n v="129"/>
    <n v="2"/>
    <x v="1"/>
    <n v="43"/>
    <n v="3"/>
    <n v="2"/>
    <s v="Sales Executive"/>
    <n v="3"/>
    <s v="Married"/>
    <n v="4221"/>
    <n v="8863"/>
    <n v="1"/>
    <s v="Y"/>
    <s v="No"/>
    <n v="15"/>
    <x v="0"/>
    <n v="2"/>
    <n v="80"/>
    <n v="0"/>
    <n v="5"/>
    <n v="3"/>
    <n v="4"/>
    <n v="5"/>
    <n v="4"/>
    <n v="0"/>
    <n v="4"/>
    <n v="0"/>
    <x v="2"/>
    <x v="0"/>
    <s v="0-5k"/>
    <x v="0"/>
    <x v="0"/>
    <x v="2"/>
  </r>
  <r>
    <n v="58"/>
    <s v="No"/>
    <x v="0"/>
    <n v="682"/>
    <x v="0"/>
    <n v="10"/>
    <n v="4"/>
    <s v="Medical"/>
    <n v="1"/>
    <n v="131"/>
    <n v="4"/>
    <x v="1"/>
    <n v="37"/>
    <n v="3"/>
    <n v="4"/>
    <s v="Sales Executive"/>
    <n v="3"/>
    <s v="Single"/>
    <n v="13872"/>
    <n v="24409"/>
    <n v="0"/>
    <s v="Y"/>
    <s v="No"/>
    <n v="13"/>
    <x v="0"/>
    <n v="3"/>
    <n v="80"/>
    <n v="0"/>
    <n v="38"/>
    <n v="1"/>
    <n v="2"/>
    <n v="37"/>
    <n v="10"/>
    <n v="1"/>
    <n v="8"/>
    <n v="0"/>
    <x v="1"/>
    <x v="0"/>
    <s v="10k-15k"/>
    <x v="3"/>
    <x v="0"/>
    <x v="2"/>
  </r>
  <r>
    <n v="44"/>
    <s v="No"/>
    <x v="2"/>
    <n v="489"/>
    <x v="1"/>
    <n v="23"/>
    <n v="3"/>
    <s v="Medical"/>
    <n v="1"/>
    <n v="132"/>
    <n v="2"/>
    <x v="1"/>
    <n v="67"/>
    <n v="3"/>
    <n v="2"/>
    <s v="Laboratory Technician"/>
    <n v="2"/>
    <s v="Married"/>
    <n v="2042"/>
    <n v="25043"/>
    <n v="4"/>
    <s v="Y"/>
    <s v="No"/>
    <n v="12"/>
    <x v="0"/>
    <n v="3"/>
    <n v="80"/>
    <n v="1"/>
    <n v="17"/>
    <n v="3"/>
    <n v="4"/>
    <n v="3"/>
    <n v="2"/>
    <n v="1"/>
    <n v="2"/>
    <n v="0"/>
    <x v="0"/>
    <x v="1"/>
    <s v="0-5k"/>
    <x v="0"/>
    <x v="0"/>
    <x v="1"/>
  </r>
  <r>
    <n v="37"/>
    <s v="Yes"/>
    <x v="0"/>
    <n v="807"/>
    <x v="2"/>
    <n v="6"/>
    <n v="4"/>
    <s v="Human Resources"/>
    <n v="1"/>
    <n v="133"/>
    <n v="3"/>
    <x v="1"/>
    <n v="63"/>
    <n v="3"/>
    <n v="1"/>
    <s v="Human Resources"/>
    <n v="1"/>
    <s v="Divorced"/>
    <n v="2073"/>
    <n v="23648"/>
    <n v="4"/>
    <s v="Y"/>
    <s v="Yes"/>
    <n v="22"/>
    <x v="1"/>
    <n v="4"/>
    <n v="80"/>
    <n v="0"/>
    <n v="7"/>
    <n v="3"/>
    <n v="3"/>
    <n v="3"/>
    <n v="2"/>
    <n v="0"/>
    <n v="2"/>
    <n v="1"/>
    <x v="0"/>
    <x v="0"/>
    <s v="0-5k"/>
    <x v="0"/>
    <x v="1"/>
    <x v="3"/>
  </r>
  <r>
    <n v="32"/>
    <s v="No"/>
    <x v="0"/>
    <n v="827"/>
    <x v="1"/>
    <n v="1"/>
    <n v="1"/>
    <s v="Life Sciences"/>
    <n v="1"/>
    <n v="134"/>
    <n v="4"/>
    <x v="1"/>
    <n v="71"/>
    <n v="3"/>
    <n v="1"/>
    <s v="Research Scientist"/>
    <n v="1"/>
    <s v="Single"/>
    <n v="2956"/>
    <n v="15178"/>
    <n v="1"/>
    <s v="Y"/>
    <s v="No"/>
    <n v="13"/>
    <x v="0"/>
    <n v="4"/>
    <n v="80"/>
    <n v="0"/>
    <n v="1"/>
    <n v="2"/>
    <n v="3"/>
    <n v="1"/>
    <n v="0"/>
    <n v="0"/>
    <n v="0"/>
    <n v="0"/>
    <x v="0"/>
    <x v="0"/>
    <s v="0-5k"/>
    <x v="0"/>
    <x v="0"/>
    <x v="3"/>
  </r>
  <r>
    <n v="20"/>
    <s v="Yes"/>
    <x v="1"/>
    <n v="871"/>
    <x v="1"/>
    <n v="6"/>
    <n v="3"/>
    <s v="Life Sciences"/>
    <n v="1"/>
    <n v="137"/>
    <n v="4"/>
    <x v="0"/>
    <n v="66"/>
    <n v="2"/>
    <n v="1"/>
    <s v="Laboratory Technician"/>
    <n v="4"/>
    <s v="Single"/>
    <n v="2926"/>
    <n v="19783"/>
    <n v="1"/>
    <s v="Y"/>
    <s v="Yes"/>
    <n v="18"/>
    <x v="0"/>
    <n v="2"/>
    <n v="80"/>
    <n v="0"/>
    <n v="1"/>
    <n v="5"/>
    <n v="3"/>
    <n v="1"/>
    <n v="0"/>
    <n v="1"/>
    <n v="0"/>
    <n v="1"/>
    <x v="2"/>
    <x v="0"/>
    <s v="0-5k"/>
    <x v="0"/>
    <x v="0"/>
    <x v="0"/>
  </r>
  <r>
    <n v="34"/>
    <s v="No"/>
    <x v="0"/>
    <n v="665"/>
    <x v="1"/>
    <n v="6"/>
    <n v="4"/>
    <s v="Other"/>
    <n v="1"/>
    <n v="138"/>
    <n v="1"/>
    <x v="0"/>
    <n v="41"/>
    <n v="3"/>
    <n v="2"/>
    <s v="Research Scientist"/>
    <n v="3"/>
    <s v="Single"/>
    <n v="4809"/>
    <n v="12482"/>
    <n v="1"/>
    <s v="Y"/>
    <s v="No"/>
    <n v="14"/>
    <x v="0"/>
    <n v="3"/>
    <n v="80"/>
    <n v="0"/>
    <n v="16"/>
    <n v="3"/>
    <n v="3"/>
    <n v="16"/>
    <n v="13"/>
    <n v="2"/>
    <n v="10"/>
    <n v="0"/>
    <x v="0"/>
    <x v="0"/>
    <s v="0-5k"/>
    <x v="2"/>
    <x v="0"/>
    <x v="2"/>
  </r>
  <r>
    <n v="37"/>
    <s v="No"/>
    <x v="2"/>
    <n v="1040"/>
    <x v="1"/>
    <n v="2"/>
    <n v="2"/>
    <s v="Life Sciences"/>
    <n v="1"/>
    <n v="139"/>
    <n v="3"/>
    <x v="1"/>
    <n v="100"/>
    <n v="2"/>
    <n v="2"/>
    <s v="Healthcare Representative"/>
    <n v="4"/>
    <s v="Divorced"/>
    <n v="5163"/>
    <n v="15850"/>
    <n v="5"/>
    <s v="Y"/>
    <s v="No"/>
    <n v="14"/>
    <x v="0"/>
    <n v="4"/>
    <n v="80"/>
    <n v="1"/>
    <n v="17"/>
    <n v="2"/>
    <n v="4"/>
    <n v="1"/>
    <n v="0"/>
    <n v="0"/>
    <n v="0"/>
    <n v="0"/>
    <x v="0"/>
    <x v="0"/>
    <s v="5k-10k"/>
    <x v="0"/>
    <x v="0"/>
    <x v="0"/>
  </r>
  <r>
    <n v="59"/>
    <s v="No"/>
    <x v="2"/>
    <n v="1420"/>
    <x v="2"/>
    <n v="2"/>
    <n v="4"/>
    <s v="Human Resources"/>
    <n v="1"/>
    <n v="140"/>
    <n v="3"/>
    <x v="0"/>
    <n v="32"/>
    <n v="2"/>
    <n v="5"/>
    <s v="Manager"/>
    <n v="4"/>
    <s v="Married"/>
    <n v="18844"/>
    <n v="21922"/>
    <n v="9"/>
    <s v="Y"/>
    <s v="No"/>
    <n v="21"/>
    <x v="1"/>
    <n v="4"/>
    <n v="80"/>
    <n v="1"/>
    <n v="30"/>
    <n v="3"/>
    <n v="3"/>
    <n v="3"/>
    <n v="2"/>
    <n v="2"/>
    <n v="2"/>
    <n v="0"/>
    <x v="1"/>
    <x v="0"/>
    <s v="15k+"/>
    <x v="0"/>
    <x v="1"/>
    <x v="0"/>
  </r>
  <r>
    <n v="50"/>
    <s v="No"/>
    <x v="1"/>
    <n v="1115"/>
    <x v="1"/>
    <n v="1"/>
    <n v="3"/>
    <s v="Life Sciences"/>
    <n v="1"/>
    <n v="141"/>
    <n v="1"/>
    <x v="0"/>
    <n v="73"/>
    <n v="3"/>
    <n v="5"/>
    <s v="Research Director"/>
    <n v="2"/>
    <s v="Married"/>
    <n v="18172"/>
    <n v="9755"/>
    <n v="3"/>
    <s v="Y"/>
    <s v="Yes"/>
    <n v="19"/>
    <x v="0"/>
    <n v="1"/>
    <n v="80"/>
    <n v="0"/>
    <n v="28"/>
    <n v="1"/>
    <n v="2"/>
    <n v="8"/>
    <n v="3"/>
    <n v="0"/>
    <n v="7"/>
    <n v="0"/>
    <x v="1"/>
    <x v="0"/>
    <s v="15k+"/>
    <x v="0"/>
    <x v="0"/>
    <x v="1"/>
  </r>
  <r>
    <n v="25"/>
    <s v="Yes"/>
    <x v="0"/>
    <n v="240"/>
    <x v="0"/>
    <n v="5"/>
    <n v="3"/>
    <s v="Marketing"/>
    <n v="1"/>
    <n v="142"/>
    <n v="3"/>
    <x v="1"/>
    <n v="46"/>
    <n v="2"/>
    <n v="2"/>
    <s v="Sales Executive"/>
    <n v="3"/>
    <s v="Single"/>
    <n v="5744"/>
    <n v="26959"/>
    <n v="1"/>
    <s v="Y"/>
    <s v="Yes"/>
    <n v="11"/>
    <x v="0"/>
    <n v="4"/>
    <n v="80"/>
    <n v="0"/>
    <n v="6"/>
    <n v="1"/>
    <n v="3"/>
    <n v="6"/>
    <n v="4"/>
    <n v="0"/>
    <n v="3"/>
    <n v="1"/>
    <x v="2"/>
    <x v="0"/>
    <s v="5k-10k"/>
    <x v="0"/>
    <x v="0"/>
    <x v="2"/>
  </r>
  <r>
    <n v="25"/>
    <s v="No"/>
    <x v="0"/>
    <n v="1280"/>
    <x v="1"/>
    <n v="7"/>
    <n v="1"/>
    <s v="Medical"/>
    <n v="1"/>
    <n v="143"/>
    <n v="4"/>
    <x v="1"/>
    <n v="64"/>
    <n v="2"/>
    <n v="1"/>
    <s v="Research Scientist"/>
    <n v="4"/>
    <s v="Married"/>
    <n v="2889"/>
    <n v="26897"/>
    <n v="1"/>
    <s v="Y"/>
    <s v="No"/>
    <n v="11"/>
    <x v="0"/>
    <n v="3"/>
    <n v="80"/>
    <n v="2"/>
    <n v="2"/>
    <n v="2"/>
    <n v="3"/>
    <n v="2"/>
    <n v="2"/>
    <n v="2"/>
    <n v="1"/>
    <n v="0"/>
    <x v="2"/>
    <x v="0"/>
    <s v="0-5k"/>
    <x v="0"/>
    <x v="0"/>
    <x v="0"/>
  </r>
  <r>
    <n v="22"/>
    <s v="No"/>
    <x v="0"/>
    <n v="534"/>
    <x v="1"/>
    <n v="15"/>
    <n v="3"/>
    <s v="Medical"/>
    <n v="1"/>
    <n v="144"/>
    <n v="2"/>
    <x v="0"/>
    <n v="59"/>
    <n v="3"/>
    <n v="1"/>
    <s v="Laboratory Technician"/>
    <n v="4"/>
    <s v="Single"/>
    <n v="2871"/>
    <n v="23785"/>
    <n v="1"/>
    <s v="Y"/>
    <s v="No"/>
    <n v="15"/>
    <x v="0"/>
    <n v="3"/>
    <n v="80"/>
    <n v="0"/>
    <n v="1"/>
    <n v="5"/>
    <n v="3"/>
    <n v="0"/>
    <n v="0"/>
    <n v="0"/>
    <n v="0"/>
    <n v="0"/>
    <x v="2"/>
    <x v="2"/>
    <s v="0-5k"/>
    <x v="0"/>
    <x v="0"/>
    <x v="0"/>
  </r>
  <r>
    <n v="51"/>
    <s v="No"/>
    <x v="1"/>
    <n v="1456"/>
    <x v="1"/>
    <n v="1"/>
    <n v="4"/>
    <s v="Medical"/>
    <n v="1"/>
    <n v="145"/>
    <n v="1"/>
    <x v="0"/>
    <n v="30"/>
    <n v="2"/>
    <n v="3"/>
    <s v="Healthcare Representative"/>
    <n v="1"/>
    <s v="Single"/>
    <n v="7484"/>
    <n v="25796"/>
    <n v="3"/>
    <s v="Y"/>
    <s v="No"/>
    <n v="20"/>
    <x v="1"/>
    <n v="3"/>
    <n v="80"/>
    <n v="0"/>
    <n v="23"/>
    <n v="1"/>
    <n v="2"/>
    <n v="13"/>
    <n v="12"/>
    <n v="12"/>
    <n v="8"/>
    <n v="0"/>
    <x v="1"/>
    <x v="0"/>
    <s v="5k-10k"/>
    <x v="2"/>
    <x v="1"/>
    <x v="3"/>
  </r>
  <r>
    <n v="34"/>
    <s v="Yes"/>
    <x v="1"/>
    <n v="658"/>
    <x v="1"/>
    <n v="7"/>
    <n v="3"/>
    <s v="Life Sciences"/>
    <n v="1"/>
    <n v="147"/>
    <n v="1"/>
    <x v="1"/>
    <n v="66"/>
    <n v="1"/>
    <n v="2"/>
    <s v="Laboratory Technician"/>
    <n v="3"/>
    <s v="Single"/>
    <n v="6074"/>
    <n v="22887"/>
    <n v="1"/>
    <s v="Y"/>
    <s v="Yes"/>
    <n v="24"/>
    <x v="1"/>
    <n v="4"/>
    <n v="80"/>
    <n v="0"/>
    <n v="9"/>
    <n v="3"/>
    <n v="3"/>
    <n v="9"/>
    <n v="7"/>
    <n v="0"/>
    <n v="6"/>
    <n v="1"/>
    <x v="0"/>
    <x v="0"/>
    <s v="5k-10k"/>
    <x v="0"/>
    <x v="1"/>
    <x v="2"/>
  </r>
  <r>
    <n v="54"/>
    <s v="No"/>
    <x v="2"/>
    <n v="142"/>
    <x v="2"/>
    <n v="26"/>
    <n v="3"/>
    <s v="Human Resources"/>
    <n v="1"/>
    <n v="148"/>
    <n v="4"/>
    <x v="0"/>
    <n v="30"/>
    <n v="4"/>
    <n v="4"/>
    <s v="Manager"/>
    <n v="4"/>
    <s v="Single"/>
    <n v="17328"/>
    <n v="13871"/>
    <n v="2"/>
    <s v="Y"/>
    <s v="Yes"/>
    <n v="12"/>
    <x v="0"/>
    <n v="3"/>
    <n v="80"/>
    <n v="0"/>
    <n v="23"/>
    <n v="3"/>
    <n v="3"/>
    <n v="5"/>
    <n v="3"/>
    <n v="4"/>
    <n v="4"/>
    <n v="0"/>
    <x v="1"/>
    <x v="1"/>
    <s v="15k+"/>
    <x v="0"/>
    <x v="0"/>
    <x v="0"/>
  </r>
  <r>
    <n v="24"/>
    <s v="No"/>
    <x v="0"/>
    <n v="1127"/>
    <x v="1"/>
    <n v="18"/>
    <n v="1"/>
    <s v="Life Sciences"/>
    <n v="1"/>
    <n v="150"/>
    <n v="2"/>
    <x v="1"/>
    <n v="52"/>
    <n v="3"/>
    <n v="1"/>
    <s v="Laboratory Technician"/>
    <n v="3"/>
    <s v="Married"/>
    <n v="2774"/>
    <n v="13257"/>
    <n v="0"/>
    <s v="Y"/>
    <s v="No"/>
    <n v="12"/>
    <x v="0"/>
    <n v="3"/>
    <n v="80"/>
    <n v="1"/>
    <n v="6"/>
    <n v="2"/>
    <n v="3"/>
    <n v="5"/>
    <n v="3"/>
    <n v="1"/>
    <n v="2"/>
    <n v="0"/>
    <x v="2"/>
    <x v="2"/>
    <s v="0-5k"/>
    <x v="0"/>
    <x v="0"/>
    <x v="2"/>
  </r>
  <r>
    <n v="34"/>
    <s v="No"/>
    <x v="0"/>
    <n v="1031"/>
    <x v="1"/>
    <n v="6"/>
    <n v="4"/>
    <s v="Life Sciences"/>
    <n v="1"/>
    <n v="151"/>
    <n v="3"/>
    <x v="0"/>
    <n v="45"/>
    <n v="2"/>
    <n v="2"/>
    <s v="Research Scientist"/>
    <n v="2"/>
    <s v="Divorced"/>
    <n v="4505"/>
    <n v="15000"/>
    <n v="6"/>
    <s v="Y"/>
    <s v="No"/>
    <n v="15"/>
    <x v="0"/>
    <n v="3"/>
    <n v="80"/>
    <n v="1"/>
    <n v="12"/>
    <n v="3"/>
    <n v="3"/>
    <n v="1"/>
    <n v="0"/>
    <n v="0"/>
    <n v="0"/>
    <n v="0"/>
    <x v="0"/>
    <x v="0"/>
    <s v="0-5k"/>
    <x v="0"/>
    <x v="0"/>
    <x v="1"/>
  </r>
  <r>
    <n v="37"/>
    <s v="No"/>
    <x v="0"/>
    <n v="1189"/>
    <x v="0"/>
    <n v="3"/>
    <n v="3"/>
    <s v="Life Sciences"/>
    <n v="1"/>
    <n v="152"/>
    <n v="3"/>
    <x v="1"/>
    <n v="87"/>
    <n v="3"/>
    <n v="3"/>
    <s v="Sales Executive"/>
    <n v="4"/>
    <s v="Single"/>
    <n v="7428"/>
    <n v="14506"/>
    <n v="2"/>
    <s v="Y"/>
    <s v="No"/>
    <n v="12"/>
    <x v="0"/>
    <n v="1"/>
    <n v="80"/>
    <n v="0"/>
    <n v="12"/>
    <n v="3"/>
    <n v="3"/>
    <n v="5"/>
    <n v="3"/>
    <n v="1"/>
    <n v="3"/>
    <n v="0"/>
    <x v="0"/>
    <x v="0"/>
    <s v="5k-10k"/>
    <x v="0"/>
    <x v="0"/>
    <x v="0"/>
  </r>
  <r>
    <n v="34"/>
    <s v="No"/>
    <x v="0"/>
    <n v="1354"/>
    <x v="1"/>
    <n v="5"/>
    <n v="3"/>
    <s v="Medical"/>
    <n v="1"/>
    <n v="153"/>
    <n v="3"/>
    <x v="0"/>
    <n v="45"/>
    <n v="2"/>
    <n v="3"/>
    <s v="Manager"/>
    <n v="1"/>
    <s v="Single"/>
    <n v="11631"/>
    <n v="5615"/>
    <n v="2"/>
    <s v="Y"/>
    <s v="No"/>
    <n v="12"/>
    <x v="0"/>
    <n v="4"/>
    <n v="80"/>
    <n v="0"/>
    <n v="14"/>
    <n v="6"/>
    <n v="3"/>
    <n v="11"/>
    <n v="10"/>
    <n v="5"/>
    <n v="8"/>
    <n v="0"/>
    <x v="0"/>
    <x v="0"/>
    <s v="10k-15k"/>
    <x v="2"/>
    <x v="0"/>
    <x v="3"/>
  </r>
  <r>
    <n v="36"/>
    <s v="No"/>
    <x v="1"/>
    <n v="1467"/>
    <x v="0"/>
    <n v="11"/>
    <n v="2"/>
    <s v="Technical Degree"/>
    <n v="1"/>
    <n v="154"/>
    <n v="2"/>
    <x v="0"/>
    <n v="92"/>
    <n v="3"/>
    <n v="3"/>
    <s v="Sales Executive"/>
    <n v="4"/>
    <s v="Married"/>
    <n v="9738"/>
    <n v="22952"/>
    <n v="0"/>
    <s v="Y"/>
    <s v="No"/>
    <n v="14"/>
    <x v="0"/>
    <n v="3"/>
    <n v="80"/>
    <n v="1"/>
    <n v="10"/>
    <n v="6"/>
    <n v="3"/>
    <n v="9"/>
    <n v="7"/>
    <n v="2"/>
    <n v="8"/>
    <n v="0"/>
    <x v="0"/>
    <x v="2"/>
    <s v="5k-10k"/>
    <x v="0"/>
    <x v="0"/>
    <x v="0"/>
  </r>
  <r>
    <n v="36"/>
    <s v="No"/>
    <x v="0"/>
    <n v="922"/>
    <x v="1"/>
    <n v="3"/>
    <n v="2"/>
    <s v="Life Sciences"/>
    <n v="1"/>
    <n v="155"/>
    <n v="1"/>
    <x v="0"/>
    <n v="39"/>
    <n v="3"/>
    <n v="1"/>
    <s v="Laboratory Technician"/>
    <n v="4"/>
    <s v="Divorced"/>
    <n v="2835"/>
    <n v="2561"/>
    <n v="5"/>
    <s v="Y"/>
    <s v="No"/>
    <n v="22"/>
    <x v="1"/>
    <n v="1"/>
    <n v="80"/>
    <n v="1"/>
    <n v="7"/>
    <n v="2"/>
    <n v="3"/>
    <n v="1"/>
    <n v="0"/>
    <n v="0"/>
    <n v="0"/>
    <n v="0"/>
    <x v="0"/>
    <x v="0"/>
    <s v="0-5k"/>
    <x v="0"/>
    <x v="1"/>
    <x v="0"/>
  </r>
  <r>
    <n v="43"/>
    <s v="No"/>
    <x v="1"/>
    <n v="394"/>
    <x v="0"/>
    <n v="26"/>
    <n v="2"/>
    <s v="Life Sciences"/>
    <n v="1"/>
    <n v="158"/>
    <n v="3"/>
    <x v="1"/>
    <n v="92"/>
    <n v="3"/>
    <n v="4"/>
    <s v="Manager"/>
    <n v="4"/>
    <s v="Married"/>
    <n v="16959"/>
    <n v="19494"/>
    <n v="1"/>
    <s v="Y"/>
    <s v="Yes"/>
    <n v="12"/>
    <x v="0"/>
    <n v="4"/>
    <n v="80"/>
    <n v="2"/>
    <n v="25"/>
    <n v="3"/>
    <n v="4"/>
    <n v="25"/>
    <n v="12"/>
    <n v="4"/>
    <n v="12"/>
    <n v="0"/>
    <x v="0"/>
    <x v="1"/>
    <s v="15k+"/>
    <x v="1"/>
    <x v="0"/>
    <x v="0"/>
  </r>
  <r>
    <n v="30"/>
    <s v="No"/>
    <x v="1"/>
    <n v="1312"/>
    <x v="1"/>
    <n v="23"/>
    <n v="3"/>
    <s v="Life Sciences"/>
    <n v="1"/>
    <n v="159"/>
    <n v="1"/>
    <x v="1"/>
    <n v="96"/>
    <n v="1"/>
    <n v="1"/>
    <s v="Research Scientist"/>
    <n v="3"/>
    <s v="Divorced"/>
    <n v="2613"/>
    <n v="22310"/>
    <n v="1"/>
    <s v="Y"/>
    <s v="No"/>
    <n v="25"/>
    <x v="1"/>
    <n v="3"/>
    <n v="80"/>
    <n v="3"/>
    <n v="10"/>
    <n v="2"/>
    <n v="2"/>
    <n v="10"/>
    <n v="7"/>
    <n v="0"/>
    <n v="9"/>
    <n v="0"/>
    <x v="2"/>
    <x v="1"/>
    <s v="0-5k"/>
    <x v="0"/>
    <x v="1"/>
    <x v="2"/>
  </r>
  <r>
    <n v="33"/>
    <s v="No"/>
    <x v="2"/>
    <n v="750"/>
    <x v="0"/>
    <n v="22"/>
    <n v="2"/>
    <s v="Marketing"/>
    <n v="1"/>
    <n v="160"/>
    <n v="3"/>
    <x v="1"/>
    <n v="95"/>
    <n v="3"/>
    <n v="2"/>
    <s v="Sales Executive"/>
    <n v="2"/>
    <s v="Married"/>
    <n v="6146"/>
    <n v="15480"/>
    <n v="0"/>
    <s v="Y"/>
    <s v="No"/>
    <n v="13"/>
    <x v="0"/>
    <n v="1"/>
    <n v="80"/>
    <n v="1"/>
    <n v="8"/>
    <n v="2"/>
    <n v="4"/>
    <n v="7"/>
    <n v="7"/>
    <n v="0"/>
    <n v="7"/>
    <n v="0"/>
    <x v="0"/>
    <x v="1"/>
    <s v="5k-10k"/>
    <x v="0"/>
    <x v="0"/>
    <x v="1"/>
  </r>
  <r>
    <n v="56"/>
    <s v="Yes"/>
    <x v="0"/>
    <n v="441"/>
    <x v="1"/>
    <n v="14"/>
    <n v="4"/>
    <s v="Life Sciences"/>
    <n v="1"/>
    <n v="161"/>
    <n v="2"/>
    <x v="0"/>
    <n v="72"/>
    <n v="3"/>
    <n v="1"/>
    <s v="Research Scientist"/>
    <n v="2"/>
    <s v="Married"/>
    <n v="4963"/>
    <n v="4510"/>
    <n v="9"/>
    <s v="Y"/>
    <s v="Yes"/>
    <n v="18"/>
    <x v="0"/>
    <n v="1"/>
    <n v="80"/>
    <n v="3"/>
    <n v="7"/>
    <n v="2"/>
    <n v="3"/>
    <n v="5"/>
    <n v="4"/>
    <n v="4"/>
    <n v="3"/>
    <n v="1"/>
    <x v="1"/>
    <x v="2"/>
    <s v="0-5k"/>
    <x v="0"/>
    <x v="0"/>
    <x v="1"/>
  </r>
  <r>
    <n v="51"/>
    <s v="No"/>
    <x v="0"/>
    <n v="684"/>
    <x v="1"/>
    <n v="6"/>
    <n v="3"/>
    <s v="Life Sciences"/>
    <n v="1"/>
    <n v="162"/>
    <n v="1"/>
    <x v="1"/>
    <n v="51"/>
    <n v="3"/>
    <n v="5"/>
    <s v="Research Director"/>
    <n v="3"/>
    <s v="Single"/>
    <n v="19537"/>
    <n v="6462"/>
    <n v="7"/>
    <s v="Y"/>
    <s v="No"/>
    <n v="13"/>
    <x v="0"/>
    <n v="3"/>
    <n v="80"/>
    <n v="0"/>
    <n v="23"/>
    <n v="5"/>
    <n v="3"/>
    <n v="20"/>
    <n v="18"/>
    <n v="15"/>
    <n v="15"/>
    <n v="0"/>
    <x v="1"/>
    <x v="0"/>
    <s v="15k+"/>
    <x v="2"/>
    <x v="0"/>
    <x v="2"/>
  </r>
  <r>
    <n v="31"/>
    <s v="Yes"/>
    <x v="0"/>
    <n v="249"/>
    <x v="0"/>
    <n v="6"/>
    <n v="4"/>
    <s v="Life Sciences"/>
    <n v="1"/>
    <n v="163"/>
    <n v="2"/>
    <x v="1"/>
    <n v="76"/>
    <n v="1"/>
    <n v="2"/>
    <s v="Sales Executive"/>
    <n v="3"/>
    <s v="Married"/>
    <n v="6172"/>
    <n v="20739"/>
    <n v="4"/>
    <s v="Y"/>
    <s v="Yes"/>
    <n v="18"/>
    <x v="0"/>
    <n v="2"/>
    <n v="80"/>
    <n v="0"/>
    <n v="12"/>
    <n v="3"/>
    <n v="2"/>
    <n v="7"/>
    <n v="7"/>
    <n v="7"/>
    <n v="7"/>
    <n v="1"/>
    <x v="0"/>
    <x v="0"/>
    <s v="5k-10k"/>
    <x v="0"/>
    <x v="0"/>
    <x v="2"/>
  </r>
  <r>
    <n v="26"/>
    <s v="No"/>
    <x v="0"/>
    <n v="841"/>
    <x v="1"/>
    <n v="6"/>
    <n v="3"/>
    <s v="Other"/>
    <n v="1"/>
    <n v="164"/>
    <n v="3"/>
    <x v="0"/>
    <n v="46"/>
    <n v="2"/>
    <n v="1"/>
    <s v="Research Scientist"/>
    <n v="2"/>
    <s v="Married"/>
    <n v="2368"/>
    <n v="23300"/>
    <n v="1"/>
    <s v="Y"/>
    <s v="No"/>
    <n v="19"/>
    <x v="0"/>
    <n v="3"/>
    <n v="80"/>
    <n v="0"/>
    <n v="5"/>
    <n v="3"/>
    <n v="2"/>
    <n v="5"/>
    <n v="4"/>
    <n v="4"/>
    <n v="3"/>
    <n v="0"/>
    <x v="2"/>
    <x v="0"/>
    <s v="0-5k"/>
    <x v="0"/>
    <x v="0"/>
    <x v="1"/>
  </r>
  <r>
    <n v="58"/>
    <s v="Yes"/>
    <x v="0"/>
    <n v="147"/>
    <x v="1"/>
    <n v="23"/>
    <n v="4"/>
    <s v="Medical"/>
    <n v="1"/>
    <n v="165"/>
    <n v="4"/>
    <x v="0"/>
    <n v="94"/>
    <n v="3"/>
    <n v="3"/>
    <s v="Healthcare Representative"/>
    <n v="4"/>
    <s v="Married"/>
    <n v="10312"/>
    <n v="3465"/>
    <n v="1"/>
    <s v="Y"/>
    <s v="No"/>
    <n v="12"/>
    <x v="0"/>
    <n v="4"/>
    <n v="80"/>
    <n v="1"/>
    <n v="40"/>
    <n v="3"/>
    <n v="2"/>
    <n v="40"/>
    <n v="10"/>
    <n v="15"/>
    <n v="6"/>
    <n v="1"/>
    <x v="1"/>
    <x v="1"/>
    <s v="10k-15k"/>
    <x v="3"/>
    <x v="0"/>
    <x v="0"/>
  </r>
  <r>
    <n v="19"/>
    <s v="Yes"/>
    <x v="0"/>
    <n v="528"/>
    <x v="0"/>
    <n v="22"/>
    <n v="1"/>
    <s v="Marketing"/>
    <n v="1"/>
    <n v="167"/>
    <n v="4"/>
    <x v="1"/>
    <n v="50"/>
    <n v="3"/>
    <n v="1"/>
    <s v="Sales Representative"/>
    <n v="3"/>
    <s v="Single"/>
    <n v="1675"/>
    <n v="26820"/>
    <n v="1"/>
    <s v="Y"/>
    <s v="Yes"/>
    <n v="19"/>
    <x v="0"/>
    <n v="4"/>
    <n v="80"/>
    <n v="0"/>
    <n v="0"/>
    <n v="2"/>
    <n v="2"/>
    <n v="0"/>
    <n v="0"/>
    <n v="0"/>
    <n v="0"/>
    <n v="1"/>
    <x v="2"/>
    <x v="1"/>
    <s v="0-5k"/>
    <x v="0"/>
    <x v="0"/>
    <x v="2"/>
  </r>
  <r>
    <n v="22"/>
    <s v="No"/>
    <x v="0"/>
    <n v="594"/>
    <x v="1"/>
    <n v="2"/>
    <n v="1"/>
    <s v="Technical Degree"/>
    <n v="1"/>
    <n v="169"/>
    <n v="3"/>
    <x v="1"/>
    <n v="100"/>
    <n v="3"/>
    <n v="1"/>
    <s v="Laboratory Technician"/>
    <n v="4"/>
    <s v="Married"/>
    <n v="2523"/>
    <n v="19299"/>
    <n v="0"/>
    <s v="Y"/>
    <s v="No"/>
    <n v="14"/>
    <x v="0"/>
    <n v="3"/>
    <n v="80"/>
    <n v="1"/>
    <n v="3"/>
    <n v="2"/>
    <n v="3"/>
    <n v="2"/>
    <n v="1"/>
    <n v="2"/>
    <n v="1"/>
    <n v="0"/>
    <x v="2"/>
    <x v="0"/>
    <s v="0-5k"/>
    <x v="0"/>
    <x v="0"/>
    <x v="0"/>
  </r>
  <r>
    <n v="49"/>
    <s v="No"/>
    <x v="0"/>
    <n v="470"/>
    <x v="1"/>
    <n v="20"/>
    <n v="4"/>
    <s v="Medical"/>
    <n v="1"/>
    <n v="170"/>
    <n v="3"/>
    <x v="0"/>
    <n v="96"/>
    <n v="3"/>
    <n v="2"/>
    <s v="Manufacturing Director"/>
    <n v="1"/>
    <s v="Married"/>
    <n v="6567"/>
    <n v="5549"/>
    <n v="1"/>
    <s v="Y"/>
    <s v="No"/>
    <n v="14"/>
    <x v="0"/>
    <n v="3"/>
    <n v="80"/>
    <n v="0"/>
    <n v="16"/>
    <n v="2"/>
    <n v="2"/>
    <n v="15"/>
    <n v="11"/>
    <n v="5"/>
    <n v="11"/>
    <n v="0"/>
    <x v="1"/>
    <x v="2"/>
    <s v="5k-10k"/>
    <x v="2"/>
    <x v="0"/>
    <x v="3"/>
  </r>
  <r>
    <n v="43"/>
    <s v="No"/>
    <x v="1"/>
    <n v="957"/>
    <x v="1"/>
    <n v="28"/>
    <n v="3"/>
    <s v="Medical"/>
    <n v="1"/>
    <n v="171"/>
    <n v="2"/>
    <x v="0"/>
    <n v="72"/>
    <n v="4"/>
    <n v="1"/>
    <s v="Research Scientist"/>
    <n v="3"/>
    <s v="Single"/>
    <n v="4739"/>
    <n v="16090"/>
    <n v="4"/>
    <s v="Y"/>
    <s v="No"/>
    <n v="12"/>
    <x v="0"/>
    <n v="4"/>
    <n v="80"/>
    <n v="0"/>
    <n v="18"/>
    <n v="2"/>
    <n v="3"/>
    <n v="3"/>
    <n v="2"/>
    <n v="1"/>
    <n v="2"/>
    <n v="0"/>
    <x v="0"/>
    <x v="1"/>
    <s v="0-5k"/>
    <x v="0"/>
    <x v="0"/>
    <x v="2"/>
  </r>
  <r>
    <n v="50"/>
    <s v="No"/>
    <x v="1"/>
    <n v="809"/>
    <x v="0"/>
    <n v="12"/>
    <n v="3"/>
    <s v="Marketing"/>
    <n v="1"/>
    <n v="174"/>
    <n v="3"/>
    <x v="0"/>
    <n v="77"/>
    <n v="3"/>
    <n v="3"/>
    <s v="Sales Executive"/>
    <n v="4"/>
    <s v="Single"/>
    <n v="9208"/>
    <n v="6645"/>
    <n v="4"/>
    <s v="Y"/>
    <s v="No"/>
    <n v="11"/>
    <x v="0"/>
    <n v="4"/>
    <n v="80"/>
    <n v="0"/>
    <n v="16"/>
    <n v="3"/>
    <n v="3"/>
    <n v="2"/>
    <n v="2"/>
    <n v="2"/>
    <n v="1"/>
    <n v="0"/>
    <x v="1"/>
    <x v="2"/>
    <s v="5k-10k"/>
    <x v="0"/>
    <x v="0"/>
    <x v="0"/>
  </r>
  <r>
    <n v="31"/>
    <s v="Yes"/>
    <x v="0"/>
    <n v="542"/>
    <x v="0"/>
    <n v="20"/>
    <n v="3"/>
    <s v="Life Sciences"/>
    <n v="1"/>
    <n v="175"/>
    <n v="2"/>
    <x v="0"/>
    <n v="71"/>
    <n v="1"/>
    <n v="2"/>
    <s v="Sales Executive"/>
    <n v="3"/>
    <s v="Married"/>
    <n v="4559"/>
    <n v="24788"/>
    <n v="3"/>
    <s v="Y"/>
    <s v="Yes"/>
    <n v="11"/>
    <x v="0"/>
    <n v="3"/>
    <n v="80"/>
    <n v="1"/>
    <n v="4"/>
    <n v="2"/>
    <n v="3"/>
    <n v="2"/>
    <n v="2"/>
    <n v="2"/>
    <n v="2"/>
    <n v="1"/>
    <x v="0"/>
    <x v="2"/>
    <s v="0-5k"/>
    <x v="0"/>
    <x v="0"/>
    <x v="2"/>
  </r>
  <r>
    <n v="41"/>
    <s v="No"/>
    <x v="0"/>
    <n v="802"/>
    <x v="0"/>
    <n v="9"/>
    <n v="1"/>
    <s v="Life Sciences"/>
    <n v="1"/>
    <n v="176"/>
    <n v="3"/>
    <x v="1"/>
    <n v="96"/>
    <n v="3"/>
    <n v="3"/>
    <s v="Sales Executive"/>
    <n v="3"/>
    <s v="Divorced"/>
    <n v="8189"/>
    <n v="21196"/>
    <n v="3"/>
    <s v="Y"/>
    <s v="Yes"/>
    <n v="13"/>
    <x v="0"/>
    <n v="3"/>
    <n v="80"/>
    <n v="1"/>
    <n v="12"/>
    <n v="2"/>
    <n v="3"/>
    <n v="9"/>
    <n v="7"/>
    <n v="0"/>
    <n v="7"/>
    <n v="0"/>
    <x v="0"/>
    <x v="0"/>
    <s v="5k-10k"/>
    <x v="0"/>
    <x v="0"/>
    <x v="2"/>
  </r>
  <r>
    <n v="26"/>
    <s v="No"/>
    <x v="0"/>
    <n v="1355"/>
    <x v="2"/>
    <n v="25"/>
    <n v="1"/>
    <s v="Life Sciences"/>
    <n v="1"/>
    <n v="177"/>
    <n v="3"/>
    <x v="0"/>
    <n v="61"/>
    <n v="3"/>
    <n v="1"/>
    <s v="Human Resources"/>
    <n v="3"/>
    <s v="Married"/>
    <n v="2942"/>
    <n v="8916"/>
    <n v="1"/>
    <s v="Y"/>
    <s v="No"/>
    <n v="23"/>
    <x v="1"/>
    <n v="4"/>
    <n v="80"/>
    <n v="1"/>
    <n v="8"/>
    <n v="3"/>
    <n v="3"/>
    <n v="8"/>
    <n v="7"/>
    <n v="5"/>
    <n v="7"/>
    <n v="0"/>
    <x v="2"/>
    <x v="1"/>
    <s v="0-5k"/>
    <x v="0"/>
    <x v="1"/>
    <x v="2"/>
  </r>
  <r>
    <n v="36"/>
    <s v="No"/>
    <x v="0"/>
    <n v="216"/>
    <x v="1"/>
    <n v="6"/>
    <n v="2"/>
    <s v="Medical"/>
    <n v="1"/>
    <n v="178"/>
    <n v="2"/>
    <x v="1"/>
    <n v="84"/>
    <n v="3"/>
    <n v="2"/>
    <s v="Manufacturing Director"/>
    <n v="2"/>
    <s v="Divorced"/>
    <n v="4941"/>
    <n v="2819"/>
    <n v="6"/>
    <s v="Y"/>
    <s v="No"/>
    <n v="20"/>
    <x v="1"/>
    <n v="4"/>
    <n v="80"/>
    <n v="2"/>
    <n v="7"/>
    <n v="0"/>
    <n v="3"/>
    <n v="3"/>
    <n v="2"/>
    <n v="0"/>
    <n v="1"/>
    <n v="0"/>
    <x v="0"/>
    <x v="0"/>
    <s v="0-5k"/>
    <x v="0"/>
    <x v="1"/>
    <x v="1"/>
  </r>
  <r>
    <n v="51"/>
    <s v="Yes"/>
    <x v="1"/>
    <n v="1150"/>
    <x v="1"/>
    <n v="8"/>
    <n v="4"/>
    <s v="Life Sciences"/>
    <n v="1"/>
    <n v="179"/>
    <n v="1"/>
    <x v="1"/>
    <n v="53"/>
    <n v="1"/>
    <n v="3"/>
    <s v="Manufacturing Director"/>
    <n v="4"/>
    <s v="Single"/>
    <n v="10650"/>
    <n v="25150"/>
    <n v="2"/>
    <s v="Y"/>
    <s v="No"/>
    <n v="15"/>
    <x v="0"/>
    <n v="4"/>
    <n v="80"/>
    <n v="0"/>
    <n v="18"/>
    <n v="2"/>
    <n v="3"/>
    <n v="4"/>
    <n v="2"/>
    <n v="0"/>
    <n v="3"/>
    <n v="1"/>
    <x v="1"/>
    <x v="0"/>
    <s v="10k-15k"/>
    <x v="0"/>
    <x v="0"/>
    <x v="0"/>
  </r>
  <r>
    <n v="39"/>
    <s v="No"/>
    <x v="0"/>
    <n v="1329"/>
    <x v="0"/>
    <n v="4"/>
    <n v="4"/>
    <s v="Life Sciences"/>
    <n v="1"/>
    <n v="182"/>
    <n v="4"/>
    <x v="0"/>
    <n v="47"/>
    <n v="2"/>
    <n v="2"/>
    <s v="Sales Executive"/>
    <n v="3"/>
    <s v="Married"/>
    <n v="5902"/>
    <n v="14590"/>
    <n v="4"/>
    <s v="Y"/>
    <s v="No"/>
    <n v="14"/>
    <x v="0"/>
    <n v="3"/>
    <n v="80"/>
    <n v="1"/>
    <n v="17"/>
    <n v="1"/>
    <n v="4"/>
    <n v="15"/>
    <n v="11"/>
    <n v="5"/>
    <n v="9"/>
    <n v="0"/>
    <x v="0"/>
    <x v="0"/>
    <s v="5k-10k"/>
    <x v="2"/>
    <x v="0"/>
    <x v="2"/>
  </r>
  <r>
    <n v="25"/>
    <s v="No"/>
    <x v="0"/>
    <n v="959"/>
    <x v="0"/>
    <n v="28"/>
    <n v="3"/>
    <s v="Life Sciences"/>
    <n v="1"/>
    <n v="183"/>
    <n v="1"/>
    <x v="1"/>
    <n v="41"/>
    <n v="2"/>
    <n v="2"/>
    <s v="Sales Executive"/>
    <n v="3"/>
    <s v="Married"/>
    <n v="8639"/>
    <n v="24835"/>
    <n v="2"/>
    <s v="Y"/>
    <s v="No"/>
    <n v="18"/>
    <x v="0"/>
    <n v="4"/>
    <n v="80"/>
    <n v="0"/>
    <n v="6"/>
    <n v="3"/>
    <n v="3"/>
    <n v="2"/>
    <n v="2"/>
    <n v="2"/>
    <n v="2"/>
    <n v="0"/>
    <x v="2"/>
    <x v="1"/>
    <s v="5k-10k"/>
    <x v="0"/>
    <x v="0"/>
    <x v="2"/>
  </r>
  <r>
    <n v="30"/>
    <s v="No"/>
    <x v="0"/>
    <n v="1240"/>
    <x v="2"/>
    <n v="9"/>
    <n v="3"/>
    <s v="Human Resources"/>
    <n v="1"/>
    <n v="184"/>
    <n v="3"/>
    <x v="1"/>
    <n v="48"/>
    <n v="3"/>
    <n v="2"/>
    <s v="Human Resources"/>
    <n v="4"/>
    <s v="Married"/>
    <n v="6347"/>
    <n v="13982"/>
    <n v="0"/>
    <s v="Y"/>
    <s v="Yes"/>
    <n v="19"/>
    <x v="0"/>
    <n v="4"/>
    <n v="80"/>
    <n v="0"/>
    <n v="12"/>
    <n v="2"/>
    <n v="1"/>
    <n v="11"/>
    <n v="9"/>
    <n v="4"/>
    <n v="7"/>
    <n v="0"/>
    <x v="2"/>
    <x v="0"/>
    <s v="5k-10k"/>
    <x v="2"/>
    <x v="0"/>
    <x v="0"/>
  </r>
  <r>
    <n v="32"/>
    <s v="Yes"/>
    <x v="0"/>
    <n v="1033"/>
    <x v="1"/>
    <n v="9"/>
    <n v="3"/>
    <s v="Medical"/>
    <n v="1"/>
    <n v="190"/>
    <n v="1"/>
    <x v="0"/>
    <n v="41"/>
    <n v="3"/>
    <n v="1"/>
    <s v="Laboratory Technician"/>
    <n v="1"/>
    <s v="Single"/>
    <n v="4200"/>
    <n v="10224"/>
    <n v="7"/>
    <s v="Y"/>
    <s v="No"/>
    <n v="22"/>
    <x v="1"/>
    <n v="1"/>
    <n v="80"/>
    <n v="0"/>
    <n v="10"/>
    <n v="2"/>
    <n v="4"/>
    <n v="5"/>
    <n v="4"/>
    <n v="0"/>
    <n v="4"/>
    <n v="1"/>
    <x v="0"/>
    <x v="0"/>
    <s v="0-5k"/>
    <x v="0"/>
    <x v="1"/>
    <x v="3"/>
  </r>
  <r>
    <n v="45"/>
    <s v="No"/>
    <x v="0"/>
    <n v="1316"/>
    <x v="1"/>
    <n v="29"/>
    <n v="3"/>
    <s v="Medical"/>
    <n v="1"/>
    <n v="192"/>
    <n v="3"/>
    <x v="1"/>
    <n v="83"/>
    <n v="3"/>
    <n v="1"/>
    <s v="Research Scientist"/>
    <n v="4"/>
    <s v="Single"/>
    <n v="3452"/>
    <n v="9752"/>
    <n v="5"/>
    <s v="Y"/>
    <s v="No"/>
    <n v="13"/>
    <x v="0"/>
    <n v="2"/>
    <n v="80"/>
    <n v="0"/>
    <n v="9"/>
    <n v="2"/>
    <n v="2"/>
    <n v="6"/>
    <n v="5"/>
    <n v="0"/>
    <n v="3"/>
    <n v="0"/>
    <x v="0"/>
    <x v="1"/>
    <s v="0-5k"/>
    <x v="0"/>
    <x v="0"/>
    <x v="0"/>
  </r>
  <r>
    <n v="38"/>
    <s v="No"/>
    <x v="0"/>
    <n v="364"/>
    <x v="1"/>
    <n v="3"/>
    <n v="5"/>
    <s v="Technical Degree"/>
    <n v="1"/>
    <n v="193"/>
    <n v="4"/>
    <x v="0"/>
    <n v="32"/>
    <n v="3"/>
    <n v="2"/>
    <s v="Research Scientist"/>
    <n v="3"/>
    <s v="Single"/>
    <n v="4317"/>
    <n v="2302"/>
    <n v="3"/>
    <s v="Y"/>
    <s v="Yes"/>
    <n v="20"/>
    <x v="1"/>
    <n v="2"/>
    <n v="80"/>
    <n v="0"/>
    <n v="19"/>
    <n v="2"/>
    <n v="3"/>
    <n v="3"/>
    <n v="2"/>
    <n v="2"/>
    <n v="2"/>
    <n v="0"/>
    <x v="0"/>
    <x v="0"/>
    <s v="0-5k"/>
    <x v="0"/>
    <x v="1"/>
    <x v="2"/>
  </r>
  <r>
    <n v="30"/>
    <s v="No"/>
    <x v="0"/>
    <n v="438"/>
    <x v="1"/>
    <n v="18"/>
    <n v="3"/>
    <s v="Life Sciences"/>
    <n v="1"/>
    <n v="194"/>
    <n v="1"/>
    <x v="0"/>
    <n v="75"/>
    <n v="3"/>
    <n v="1"/>
    <s v="Research Scientist"/>
    <n v="3"/>
    <s v="Single"/>
    <n v="2632"/>
    <n v="23910"/>
    <n v="1"/>
    <s v="Y"/>
    <s v="No"/>
    <n v="14"/>
    <x v="0"/>
    <n v="3"/>
    <n v="80"/>
    <n v="0"/>
    <n v="5"/>
    <n v="4"/>
    <n v="2"/>
    <n v="5"/>
    <n v="4"/>
    <n v="0"/>
    <n v="4"/>
    <n v="0"/>
    <x v="2"/>
    <x v="2"/>
    <s v="0-5k"/>
    <x v="0"/>
    <x v="0"/>
    <x v="2"/>
  </r>
  <r>
    <n v="32"/>
    <s v="No"/>
    <x v="1"/>
    <n v="689"/>
    <x v="0"/>
    <n v="9"/>
    <n v="2"/>
    <s v="Medical"/>
    <n v="1"/>
    <n v="195"/>
    <n v="4"/>
    <x v="1"/>
    <n v="35"/>
    <n v="1"/>
    <n v="2"/>
    <s v="Sales Executive"/>
    <n v="4"/>
    <s v="Divorced"/>
    <n v="4668"/>
    <n v="22812"/>
    <n v="0"/>
    <s v="Y"/>
    <s v="No"/>
    <n v="17"/>
    <x v="0"/>
    <n v="4"/>
    <n v="80"/>
    <n v="3"/>
    <n v="9"/>
    <n v="2"/>
    <n v="4"/>
    <n v="8"/>
    <n v="7"/>
    <n v="0"/>
    <n v="7"/>
    <n v="0"/>
    <x v="0"/>
    <x v="0"/>
    <s v="0-5k"/>
    <x v="0"/>
    <x v="0"/>
    <x v="0"/>
  </r>
  <r>
    <n v="30"/>
    <s v="No"/>
    <x v="0"/>
    <n v="201"/>
    <x v="1"/>
    <n v="5"/>
    <n v="3"/>
    <s v="Technical Degree"/>
    <n v="1"/>
    <n v="197"/>
    <n v="4"/>
    <x v="0"/>
    <n v="84"/>
    <n v="3"/>
    <n v="1"/>
    <s v="Research Scientist"/>
    <n v="1"/>
    <s v="Divorced"/>
    <n v="3204"/>
    <n v="10415"/>
    <n v="5"/>
    <s v="Y"/>
    <s v="No"/>
    <n v="14"/>
    <x v="0"/>
    <n v="4"/>
    <n v="80"/>
    <n v="1"/>
    <n v="8"/>
    <n v="3"/>
    <n v="3"/>
    <n v="3"/>
    <n v="2"/>
    <n v="2"/>
    <n v="2"/>
    <n v="0"/>
    <x v="2"/>
    <x v="0"/>
    <s v="0-5k"/>
    <x v="0"/>
    <x v="0"/>
    <x v="3"/>
  </r>
  <r>
    <n v="30"/>
    <s v="No"/>
    <x v="0"/>
    <n v="1427"/>
    <x v="1"/>
    <n v="2"/>
    <n v="1"/>
    <s v="Medical"/>
    <n v="1"/>
    <n v="198"/>
    <n v="2"/>
    <x v="1"/>
    <n v="35"/>
    <n v="2"/>
    <n v="1"/>
    <s v="Laboratory Technician"/>
    <n v="4"/>
    <s v="Single"/>
    <n v="2720"/>
    <n v="11162"/>
    <n v="0"/>
    <s v="Y"/>
    <s v="No"/>
    <n v="13"/>
    <x v="0"/>
    <n v="4"/>
    <n v="80"/>
    <n v="0"/>
    <n v="6"/>
    <n v="3"/>
    <n v="3"/>
    <n v="5"/>
    <n v="3"/>
    <n v="1"/>
    <n v="2"/>
    <n v="0"/>
    <x v="2"/>
    <x v="0"/>
    <s v="0-5k"/>
    <x v="0"/>
    <x v="0"/>
    <x v="0"/>
  </r>
  <r>
    <n v="41"/>
    <s v="No"/>
    <x v="1"/>
    <n v="857"/>
    <x v="1"/>
    <n v="10"/>
    <n v="3"/>
    <s v="Life Sciences"/>
    <n v="1"/>
    <n v="199"/>
    <n v="4"/>
    <x v="1"/>
    <n v="91"/>
    <n v="2"/>
    <n v="4"/>
    <s v="Manager"/>
    <n v="1"/>
    <s v="Divorced"/>
    <n v="17181"/>
    <n v="12888"/>
    <n v="4"/>
    <s v="Y"/>
    <s v="No"/>
    <n v="13"/>
    <x v="0"/>
    <n v="2"/>
    <n v="80"/>
    <n v="1"/>
    <n v="21"/>
    <n v="2"/>
    <n v="2"/>
    <n v="7"/>
    <n v="6"/>
    <n v="7"/>
    <n v="7"/>
    <n v="0"/>
    <x v="0"/>
    <x v="0"/>
    <s v="15k+"/>
    <x v="0"/>
    <x v="0"/>
    <x v="3"/>
  </r>
  <r>
    <n v="41"/>
    <s v="No"/>
    <x v="0"/>
    <n v="933"/>
    <x v="1"/>
    <n v="9"/>
    <n v="4"/>
    <s v="Life Sciences"/>
    <n v="1"/>
    <n v="200"/>
    <n v="3"/>
    <x v="1"/>
    <n v="94"/>
    <n v="3"/>
    <n v="1"/>
    <s v="Laboratory Technician"/>
    <n v="1"/>
    <s v="Married"/>
    <n v="2238"/>
    <n v="6961"/>
    <n v="2"/>
    <s v="Y"/>
    <s v="No"/>
    <n v="21"/>
    <x v="1"/>
    <n v="4"/>
    <n v="80"/>
    <n v="1"/>
    <n v="7"/>
    <n v="2"/>
    <n v="3"/>
    <n v="5"/>
    <n v="0"/>
    <n v="1"/>
    <n v="4"/>
    <n v="0"/>
    <x v="0"/>
    <x v="0"/>
    <s v="0-5k"/>
    <x v="0"/>
    <x v="1"/>
    <x v="3"/>
  </r>
  <r>
    <n v="19"/>
    <s v="No"/>
    <x v="0"/>
    <n v="1181"/>
    <x v="1"/>
    <n v="3"/>
    <n v="1"/>
    <s v="Medical"/>
    <n v="1"/>
    <n v="201"/>
    <n v="2"/>
    <x v="0"/>
    <n v="79"/>
    <n v="3"/>
    <n v="1"/>
    <s v="Laboratory Technician"/>
    <n v="2"/>
    <s v="Single"/>
    <n v="1483"/>
    <n v="16102"/>
    <n v="1"/>
    <s v="Y"/>
    <s v="No"/>
    <n v="14"/>
    <x v="0"/>
    <n v="4"/>
    <n v="80"/>
    <n v="0"/>
    <n v="1"/>
    <n v="3"/>
    <n v="3"/>
    <n v="1"/>
    <n v="0"/>
    <n v="0"/>
    <n v="0"/>
    <n v="0"/>
    <x v="2"/>
    <x v="0"/>
    <s v="0-5k"/>
    <x v="0"/>
    <x v="0"/>
    <x v="1"/>
  </r>
  <r>
    <n v="40"/>
    <s v="No"/>
    <x v="1"/>
    <n v="1395"/>
    <x v="1"/>
    <n v="26"/>
    <n v="3"/>
    <s v="Medical"/>
    <n v="1"/>
    <n v="202"/>
    <n v="2"/>
    <x v="0"/>
    <n v="54"/>
    <n v="3"/>
    <n v="2"/>
    <s v="Research Scientist"/>
    <n v="2"/>
    <s v="Divorced"/>
    <n v="5605"/>
    <n v="8504"/>
    <n v="1"/>
    <s v="Y"/>
    <s v="No"/>
    <n v="11"/>
    <x v="0"/>
    <n v="1"/>
    <n v="80"/>
    <n v="1"/>
    <n v="20"/>
    <n v="2"/>
    <n v="3"/>
    <n v="20"/>
    <n v="7"/>
    <n v="2"/>
    <n v="13"/>
    <n v="0"/>
    <x v="0"/>
    <x v="1"/>
    <s v="5k-10k"/>
    <x v="2"/>
    <x v="0"/>
    <x v="1"/>
  </r>
  <r>
    <n v="35"/>
    <s v="No"/>
    <x v="0"/>
    <n v="662"/>
    <x v="0"/>
    <n v="1"/>
    <n v="5"/>
    <s v="Marketing"/>
    <n v="1"/>
    <n v="204"/>
    <n v="3"/>
    <x v="1"/>
    <n v="94"/>
    <n v="3"/>
    <n v="3"/>
    <s v="Sales Executive"/>
    <n v="2"/>
    <s v="Married"/>
    <n v="7295"/>
    <n v="11439"/>
    <n v="1"/>
    <s v="Y"/>
    <s v="No"/>
    <n v="13"/>
    <x v="0"/>
    <n v="1"/>
    <n v="80"/>
    <n v="2"/>
    <n v="10"/>
    <n v="3"/>
    <n v="3"/>
    <n v="10"/>
    <n v="8"/>
    <n v="0"/>
    <n v="6"/>
    <n v="0"/>
    <x v="0"/>
    <x v="0"/>
    <s v="5k-10k"/>
    <x v="0"/>
    <x v="0"/>
    <x v="1"/>
  </r>
  <r>
    <n v="53"/>
    <s v="No"/>
    <x v="0"/>
    <n v="1436"/>
    <x v="0"/>
    <n v="6"/>
    <n v="2"/>
    <s v="Marketing"/>
    <n v="1"/>
    <n v="205"/>
    <n v="2"/>
    <x v="1"/>
    <n v="34"/>
    <n v="3"/>
    <n v="2"/>
    <s v="Sales Representative"/>
    <n v="3"/>
    <s v="Married"/>
    <n v="2306"/>
    <n v="16047"/>
    <n v="2"/>
    <s v="Y"/>
    <s v="Yes"/>
    <n v="20"/>
    <x v="1"/>
    <n v="4"/>
    <n v="80"/>
    <n v="1"/>
    <n v="13"/>
    <n v="3"/>
    <n v="1"/>
    <n v="7"/>
    <n v="7"/>
    <n v="4"/>
    <n v="5"/>
    <n v="0"/>
    <x v="1"/>
    <x v="0"/>
    <s v="0-5k"/>
    <x v="0"/>
    <x v="1"/>
    <x v="2"/>
  </r>
  <r>
    <n v="45"/>
    <s v="No"/>
    <x v="0"/>
    <n v="194"/>
    <x v="1"/>
    <n v="9"/>
    <n v="3"/>
    <s v="Life Sciences"/>
    <n v="1"/>
    <n v="206"/>
    <n v="2"/>
    <x v="1"/>
    <n v="60"/>
    <n v="3"/>
    <n v="2"/>
    <s v="Laboratory Technician"/>
    <n v="2"/>
    <s v="Divorced"/>
    <n v="2348"/>
    <n v="10901"/>
    <n v="8"/>
    <s v="Y"/>
    <s v="No"/>
    <n v="18"/>
    <x v="0"/>
    <n v="3"/>
    <n v="80"/>
    <n v="1"/>
    <n v="20"/>
    <n v="2"/>
    <n v="1"/>
    <n v="17"/>
    <n v="9"/>
    <n v="0"/>
    <n v="15"/>
    <n v="0"/>
    <x v="0"/>
    <x v="0"/>
    <s v="0-5k"/>
    <x v="2"/>
    <x v="0"/>
    <x v="1"/>
  </r>
  <r>
    <n v="32"/>
    <s v="No"/>
    <x v="1"/>
    <n v="967"/>
    <x v="0"/>
    <n v="8"/>
    <n v="3"/>
    <s v="Marketing"/>
    <n v="1"/>
    <n v="207"/>
    <n v="2"/>
    <x v="0"/>
    <n v="43"/>
    <n v="3"/>
    <n v="3"/>
    <s v="Sales Executive"/>
    <n v="4"/>
    <s v="Single"/>
    <n v="8998"/>
    <n v="15589"/>
    <n v="1"/>
    <s v="Y"/>
    <s v="No"/>
    <n v="14"/>
    <x v="0"/>
    <n v="4"/>
    <n v="80"/>
    <n v="0"/>
    <n v="9"/>
    <n v="2"/>
    <n v="3"/>
    <n v="9"/>
    <n v="8"/>
    <n v="3"/>
    <n v="7"/>
    <n v="0"/>
    <x v="0"/>
    <x v="0"/>
    <s v="5k-10k"/>
    <x v="0"/>
    <x v="0"/>
    <x v="0"/>
  </r>
  <r>
    <n v="29"/>
    <s v="No"/>
    <x v="2"/>
    <n v="1496"/>
    <x v="1"/>
    <n v="1"/>
    <n v="1"/>
    <s v="Technical Degree"/>
    <n v="1"/>
    <n v="208"/>
    <n v="4"/>
    <x v="1"/>
    <n v="41"/>
    <n v="3"/>
    <n v="2"/>
    <s v="Manufacturing Director"/>
    <n v="3"/>
    <s v="Married"/>
    <n v="4319"/>
    <n v="26283"/>
    <n v="1"/>
    <s v="Y"/>
    <s v="No"/>
    <n v="13"/>
    <x v="0"/>
    <n v="1"/>
    <n v="80"/>
    <n v="1"/>
    <n v="10"/>
    <n v="1"/>
    <n v="3"/>
    <n v="10"/>
    <n v="7"/>
    <n v="0"/>
    <n v="9"/>
    <n v="0"/>
    <x v="2"/>
    <x v="0"/>
    <s v="0-5k"/>
    <x v="0"/>
    <x v="0"/>
    <x v="2"/>
  </r>
  <r>
    <n v="51"/>
    <s v="No"/>
    <x v="0"/>
    <n v="1169"/>
    <x v="1"/>
    <n v="7"/>
    <n v="4"/>
    <s v="Medical"/>
    <n v="1"/>
    <n v="211"/>
    <n v="2"/>
    <x v="1"/>
    <n v="34"/>
    <n v="2"/>
    <n v="2"/>
    <s v="Manufacturing Director"/>
    <n v="3"/>
    <s v="Married"/>
    <n v="6132"/>
    <n v="13983"/>
    <n v="2"/>
    <s v="Y"/>
    <s v="No"/>
    <n v="17"/>
    <x v="0"/>
    <n v="3"/>
    <n v="80"/>
    <n v="0"/>
    <n v="10"/>
    <n v="2"/>
    <n v="3"/>
    <n v="1"/>
    <n v="0"/>
    <n v="0"/>
    <n v="0"/>
    <n v="0"/>
    <x v="1"/>
    <x v="0"/>
    <s v="5k-10k"/>
    <x v="0"/>
    <x v="0"/>
    <x v="2"/>
  </r>
  <r>
    <n v="58"/>
    <s v="No"/>
    <x v="0"/>
    <n v="1145"/>
    <x v="1"/>
    <n v="9"/>
    <n v="3"/>
    <s v="Medical"/>
    <n v="1"/>
    <n v="214"/>
    <n v="2"/>
    <x v="0"/>
    <n v="75"/>
    <n v="2"/>
    <n v="1"/>
    <s v="Research Scientist"/>
    <n v="2"/>
    <s v="Married"/>
    <n v="3346"/>
    <n v="11873"/>
    <n v="4"/>
    <s v="Y"/>
    <s v="Yes"/>
    <n v="20"/>
    <x v="1"/>
    <n v="2"/>
    <n v="80"/>
    <n v="1"/>
    <n v="9"/>
    <n v="3"/>
    <n v="2"/>
    <n v="1"/>
    <n v="0"/>
    <n v="0"/>
    <n v="0"/>
    <n v="0"/>
    <x v="1"/>
    <x v="0"/>
    <s v="0-5k"/>
    <x v="0"/>
    <x v="1"/>
    <x v="1"/>
  </r>
  <r>
    <n v="40"/>
    <s v="No"/>
    <x v="0"/>
    <n v="630"/>
    <x v="0"/>
    <n v="4"/>
    <n v="4"/>
    <s v="Marketing"/>
    <n v="1"/>
    <n v="215"/>
    <n v="3"/>
    <x v="1"/>
    <n v="67"/>
    <n v="2"/>
    <n v="3"/>
    <s v="Sales Executive"/>
    <n v="4"/>
    <s v="Married"/>
    <n v="10855"/>
    <n v="8552"/>
    <n v="7"/>
    <s v="Y"/>
    <s v="No"/>
    <n v="11"/>
    <x v="0"/>
    <n v="1"/>
    <n v="80"/>
    <n v="1"/>
    <n v="15"/>
    <n v="2"/>
    <n v="2"/>
    <n v="12"/>
    <n v="11"/>
    <n v="2"/>
    <n v="11"/>
    <n v="0"/>
    <x v="0"/>
    <x v="0"/>
    <s v="10k-15k"/>
    <x v="2"/>
    <x v="0"/>
    <x v="0"/>
  </r>
  <r>
    <n v="34"/>
    <s v="No"/>
    <x v="1"/>
    <n v="303"/>
    <x v="0"/>
    <n v="2"/>
    <n v="4"/>
    <s v="Marketing"/>
    <n v="1"/>
    <n v="216"/>
    <n v="3"/>
    <x v="0"/>
    <n v="75"/>
    <n v="3"/>
    <n v="1"/>
    <s v="Sales Representative"/>
    <n v="3"/>
    <s v="Married"/>
    <n v="2231"/>
    <n v="11314"/>
    <n v="6"/>
    <s v="Y"/>
    <s v="No"/>
    <n v="18"/>
    <x v="0"/>
    <n v="4"/>
    <n v="80"/>
    <n v="1"/>
    <n v="6"/>
    <n v="3"/>
    <n v="3"/>
    <n v="4"/>
    <n v="3"/>
    <n v="1"/>
    <n v="2"/>
    <n v="0"/>
    <x v="0"/>
    <x v="0"/>
    <s v="0-5k"/>
    <x v="0"/>
    <x v="0"/>
    <x v="2"/>
  </r>
  <r>
    <n v="22"/>
    <s v="No"/>
    <x v="0"/>
    <n v="1256"/>
    <x v="1"/>
    <n v="19"/>
    <n v="1"/>
    <s v="Medical"/>
    <n v="1"/>
    <n v="217"/>
    <n v="3"/>
    <x v="1"/>
    <n v="80"/>
    <n v="3"/>
    <n v="1"/>
    <s v="Research Scientist"/>
    <n v="4"/>
    <s v="Married"/>
    <n v="2323"/>
    <n v="11992"/>
    <n v="1"/>
    <s v="Y"/>
    <s v="No"/>
    <n v="24"/>
    <x v="1"/>
    <n v="1"/>
    <n v="80"/>
    <n v="2"/>
    <n v="2"/>
    <n v="6"/>
    <n v="3"/>
    <n v="2"/>
    <n v="2"/>
    <n v="2"/>
    <n v="2"/>
    <n v="0"/>
    <x v="2"/>
    <x v="2"/>
    <s v="0-5k"/>
    <x v="0"/>
    <x v="1"/>
    <x v="0"/>
  </r>
  <r>
    <n v="27"/>
    <s v="No"/>
    <x v="2"/>
    <n v="691"/>
    <x v="1"/>
    <n v="9"/>
    <n v="3"/>
    <s v="Medical"/>
    <n v="1"/>
    <n v="218"/>
    <n v="4"/>
    <x v="1"/>
    <n v="57"/>
    <n v="3"/>
    <n v="1"/>
    <s v="Research Scientist"/>
    <n v="2"/>
    <s v="Divorced"/>
    <n v="2024"/>
    <n v="5970"/>
    <n v="6"/>
    <s v="Y"/>
    <s v="No"/>
    <n v="18"/>
    <x v="0"/>
    <n v="4"/>
    <n v="80"/>
    <n v="1"/>
    <n v="6"/>
    <n v="1"/>
    <n v="1"/>
    <n v="2"/>
    <n v="2"/>
    <n v="2"/>
    <n v="2"/>
    <n v="0"/>
    <x v="2"/>
    <x v="0"/>
    <s v="0-5k"/>
    <x v="0"/>
    <x v="0"/>
    <x v="1"/>
  </r>
  <r>
    <n v="28"/>
    <s v="No"/>
    <x v="0"/>
    <n v="440"/>
    <x v="1"/>
    <n v="21"/>
    <n v="3"/>
    <s v="Medical"/>
    <n v="1"/>
    <n v="221"/>
    <n v="3"/>
    <x v="1"/>
    <n v="42"/>
    <n v="3"/>
    <n v="1"/>
    <s v="Research Scientist"/>
    <n v="4"/>
    <s v="Married"/>
    <n v="2713"/>
    <n v="6672"/>
    <n v="1"/>
    <s v="Y"/>
    <s v="No"/>
    <n v="11"/>
    <x v="0"/>
    <n v="3"/>
    <n v="80"/>
    <n v="1"/>
    <n v="5"/>
    <n v="2"/>
    <n v="1"/>
    <n v="5"/>
    <n v="2"/>
    <n v="0"/>
    <n v="2"/>
    <n v="0"/>
    <x v="2"/>
    <x v="1"/>
    <s v="0-5k"/>
    <x v="0"/>
    <x v="0"/>
    <x v="0"/>
  </r>
  <r>
    <n v="57"/>
    <s v="No"/>
    <x v="0"/>
    <n v="334"/>
    <x v="1"/>
    <n v="24"/>
    <n v="2"/>
    <s v="Life Sciences"/>
    <n v="1"/>
    <n v="223"/>
    <n v="3"/>
    <x v="1"/>
    <n v="83"/>
    <n v="4"/>
    <n v="3"/>
    <s v="Healthcare Representative"/>
    <n v="4"/>
    <s v="Divorced"/>
    <n v="9439"/>
    <n v="23402"/>
    <n v="3"/>
    <s v="Y"/>
    <s v="Yes"/>
    <n v="16"/>
    <x v="0"/>
    <n v="2"/>
    <n v="80"/>
    <n v="1"/>
    <n v="12"/>
    <n v="2"/>
    <n v="1"/>
    <n v="5"/>
    <n v="3"/>
    <n v="1"/>
    <n v="4"/>
    <n v="0"/>
    <x v="1"/>
    <x v="1"/>
    <s v="5k-10k"/>
    <x v="0"/>
    <x v="0"/>
    <x v="0"/>
  </r>
  <r>
    <n v="27"/>
    <s v="No"/>
    <x v="2"/>
    <n v="1450"/>
    <x v="1"/>
    <n v="3"/>
    <n v="3"/>
    <s v="Medical"/>
    <n v="1"/>
    <n v="224"/>
    <n v="3"/>
    <x v="1"/>
    <n v="79"/>
    <n v="2"/>
    <n v="1"/>
    <s v="Research Scientist"/>
    <n v="3"/>
    <s v="Divorced"/>
    <n v="2566"/>
    <n v="25326"/>
    <n v="1"/>
    <s v="Y"/>
    <s v="Yes"/>
    <n v="15"/>
    <x v="0"/>
    <n v="4"/>
    <n v="80"/>
    <n v="1"/>
    <n v="1"/>
    <n v="2"/>
    <n v="2"/>
    <n v="1"/>
    <n v="1"/>
    <n v="0"/>
    <n v="1"/>
    <n v="0"/>
    <x v="2"/>
    <x v="0"/>
    <s v="0-5k"/>
    <x v="0"/>
    <x v="0"/>
    <x v="2"/>
  </r>
  <r>
    <n v="50"/>
    <s v="No"/>
    <x v="0"/>
    <n v="1452"/>
    <x v="1"/>
    <n v="11"/>
    <n v="3"/>
    <s v="Life Sciences"/>
    <n v="1"/>
    <n v="226"/>
    <n v="3"/>
    <x v="0"/>
    <n v="53"/>
    <n v="3"/>
    <n v="5"/>
    <s v="Manager"/>
    <n v="2"/>
    <s v="Single"/>
    <n v="19926"/>
    <n v="17053"/>
    <n v="3"/>
    <s v="Y"/>
    <s v="No"/>
    <n v="15"/>
    <x v="0"/>
    <n v="2"/>
    <n v="80"/>
    <n v="0"/>
    <n v="21"/>
    <n v="5"/>
    <n v="3"/>
    <n v="5"/>
    <n v="4"/>
    <n v="4"/>
    <n v="4"/>
    <n v="0"/>
    <x v="1"/>
    <x v="2"/>
    <s v="15k+"/>
    <x v="0"/>
    <x v="0"/>
    <x v="1"/>
  </r>
  <r>
    <n v="41"/>
    <s v="No"/>
    <x v="0"/>
    <n v="465"/>
    <x v="1"/>
    <n v="14"/>
    <n v="3"/>
    <s v="Life Sciences"/>
    <n v="1"/>
    <n v="227"/>
    <n v="1"/>
    <x v="1"/>
    <n v="56"/>
    <n v="3"/>
    <n v="1"/>
    <s v="Research Scientist"/>
    <n v="3"/>
    <s v="Divorced"/>
    <n v="2451"/>
    <n v="4609"/>
    <n v="4"/>
    <s v="Y"/>
    <s v="No"/>
    <n v="12"/>
    <x v="0"/>
    <n v="1"/>
    <n v="80"/>
    <n v="1"/>
    <n v="13"/>
    <n v="2"/>
    <n v="3"/>
    <n v="9"/>
    <n v="8"/>
    <n v="1"/>
    <n v="8"/>
    <n v="0"/>
    <x v="0"/>
    <x v="2"/>
    <s v="0-5k"/>
    <x v="0"/>
    <x v="0"/>
    <x v="2"/>
  </r>
  <r>
    <n v="30"/>
    <s v="No"/>
    <x v="0"/>
    <n v="1339"/>
    <x v="0"/>
    <n v="5"/>
    <n v="3"/>
    <s v="Life Sciences"/>
    <n v="1"/>
    <n v="228"/>
    <n v="2"/>
    <x v="0"/>
    <n v="41"/>
    <n v="3"/>
    <n v="3"/>
    <s v="Sales Executive"/>
    <n v="4"/>
    <s v="Married"/>
    <n v="9419"/>
    <n v="8053"/>
    <n v="2"/>
    <s v="Y"/>
    <s v="No"/>
    <n v="12"/>
    <x v="0"/>
    <n v="3"/>
    <n v="80"/>
    <n v="1"/>
    <n v="12"/>
    <n v="2"/>
    <n v="3"/>
    <n v="10"/>
    <n v="9"/>
    <n v="7"/>
    <n v="4"/>
    <n v="0"/>
    <x v="2"/>
    <x v="0"/>
    <s v="5k-10k"/>
    <x v="0"/>
    <x v="0"/>
    <x v="0"/>
  </r>
  <r>
    <n v="38"/>
    <s v="No"/>
    <x v="0"/>
    <n v="702"/>
    <x v="0"/>
    <n v="1"/>
    <n v="4"/>
    <s v="Life Sciences"/>
    <n v="1"/>
    <n v="230"/>
    <n v="1"/>
    <x v="0"/>
    <n v="59"/>
    <n v="2"/>
    <n v="2"/>
    <s v="Sales Executive"/>
    <n v="4"/>
    <s v="Single"/>
    <n v="8686"/>
    <n v="12930"/>
    <n v="4"/>
    <s v="Y"/>
    <s v="No"/>
    <n v="22"/>
    <x v="1"/>
    <n v="3"/>
    <n v="80"/>
    <n v="0"/>
    <n v="12"/>
    <n v="2"/>
    <n v="4"/>
    <n v="8"/>
    <n v="3"/>
    <n v="0"/>
    <n v="7"/>
    <n v="0"/>
    <x v="0"/>
    <x v="0"/>
    <s v="5k-10k"/>
    <x v="0"/>
    <x v="1"/>
    <x v="0"/>
  </r>
  <r>
    <n v="32"/>
    <s v="No"/>
    <x v="0"/>
    <n v="120"/>
    <x v="1"/>
    <n v="6"/>
    <n v="5"/>
    <s v="Life Sciences"/>
    <n v="1"/>
    <n v="231"/>
    <n v="3"/>
    <x v="1"/>
    <n v="43"/>
    <n v="3"/>
    <n v="1"/>
    <s v="Research Scientist"/>
    <n v="3"/>
    <s v="Single"/>
    <n v="3038"/>
    <n v="12430"/>
    <n v="3"/>
    <s v="Y"/>
    <s v="No"/>
    <n v="20"/>
    <x v="1"/>
    <n v="1"/>
    <n v="80"/>
    <n v="0"/>
    <n v="8"/>
    <n v="2"/>
    <n v="3"/>
    <n v="5"/>
    <n v="4"/>
    <n v="1"/>
    <n v="4"/>
    <n v="0"/>
    <x v="0"/>
    <x v="0"/>
    <s v="0-5k"/>
    <x v="0"/>
    <x v="1"/>
    <x v="2"/>
  </r>
  <r>
    <n v="27"/>
    <s v="No"/>
    <x v="0"/>
    <n v="1157"/>
    <x v="1"/>
    <n v="17"/>
    <n v="3"/>
    <s v="Technical Degree"/>
    <n v="1"/>
    <n v="233"/>
    <n v="3"/>
    <x v="1"/>
    <n v="51"/>
    <n v="3"/>
    <n v="1"/>
    <s v="Research Scientist"/>
    <n v="2"/>
    <s v="Married"/>
    <n v="3058"/>
    <n v="13364"/>
    <n v="0"/>
    <s v="Y"/>
    <s v="Yes"/>
    <n v="16"/>
    <x v="0"/>
    <n v="4"/>
    <n v="80"/>
    <n v="1"/>
    <n v="6"/>
    <n v="3"/>
    <n v="2"/>
    <n v="5"/>
    <n v="2"/>
    <n v="1"/>
    <n v="1"/>
    <n v="0"/>
    <x v="2"/>
    <x v="2"/>
    <s v="0-5k"/>
    <x v="0"/>
    <x v="0"/>
    <x v="1"/>
  </r>
  <r>
    <n v="19"/>
    <s v="Yes"/>
    <x v="1"/>
    <n v="602"/>
    <x v="0"/>
    <n v="1"/>
    <n v="1"/>
    <s v="Technical Degree"/>
    <n v="1"/>
    <n v="235"/>
    <n v="3"/>
    <x v="0"/>
    <n v="100"/>
    <n v="1"/>
    <n v="1"/>
    <s v="Sales Representative"/>
    <n v="1"/>
    <s v="Single"/>
    <n v="2325"/>
    <n v="20989"/>
    <n v="0"/>
    <s v="Y"/>
    <s v="No"/>
    <n v="21"/>
    <x v="1"/>
    <n v="1"/>
    <n v="80"/>
    <n v="0"/>
    <n v="1"/>
    <n v="5"/>
    <n v="4"/>
    <n v="0"/>
    <n v="0"/>
    <n v="0"/>
    <n v="0"/>
    <n v="1"/>
    <x v="2"/>
    <x v="0"/>
    <s v="0-5k"/>
    <x v="0"/>
    <x v="1"/>
    <x v="3"/>
  </r>
  <r>
    <n v="36"/>
    <s v="No"/>
    <x v="1"/>
    <n v="1480"/>
    <x v="1"/>
    <n v="3"/>
    <n v="2"/>
    <s v="Medical"/>
    <n v="1"/>
    <n v="238"/>
    <n v="4"/>
    <x v="1"/>
    <n v="30"/>
    <n v="3"/>
    <n v="1"/>
    <s v="Laboratory Technician"/>
    <n v="2"/>
    <s v="Single"/>
    <n v="2088"/>
    <n v="15062"/>
    <n v="4"/>
    <s v="Y"/>
    <s v="No"/>
    <n v="12"/>
    <x v="0"/>
    <n v="3"/>
    <n v="80"/>
    <n v="0"/>
    <n v="13"/>
    <n v="3"/>
    <n v="2"/>
    <n v="8"/>
    <n v="7"/>
    <n v="7"/>
    <n v="2"/>
    <n v="0"/>
    <x v="0"/>
    <x v="0"/>
    <s v="0-5k"/>
    <x v="0"/>
    <x v="0"/>
    <x v="1"/>
  </r>
  <r>
    <n v="30"/>
    <s v="No"/>
    <x v="2"/>
    <n v="111"/>
    <x v="1"/>
    <n v="9"/>
    <n v="3"/>
    <s v="Medical"/>
    <n v="1"/>
    <n v="239"/>
    <n v="3"/>
    <x v="1"/>
    <n v="66"/>
    <n v="3"/>
    <n v="2"/>
    <s v="Laboratory Technician"/>
    <n v="1"/>
    <s v="Divorced"/>
    <n v="3072"/>
    <n v="11012"/>
    <n v="1"/>
    <s v="Y"/>
    <s v="No"/>
    <n v="11"/>
    <x v="0"/>
    <n v="3"/>
    <n v="80"/>
    <n v="2"/>
    <n v="12"/>
    <n v="4"/>
    <n v="3"/>
    <n v="12"/>
    <n v="9"/>
    <n v="6"/>
    <n v="10"/>
    <n v="0"/>
    <x v="2"/>
    <x v="0"/>
    <s v="0-5k"/>
    <x v="2"/>
    <x v="0"/>
    <x v="3"/>
  </r>
  <r>
    <n v="45"/>
    <s v="No"/>
    <x v="0"/>
    <n v="1268"/>
    <x v="0"/>
    <n v="4"/>
    <n v="2"/>
    <s v="Life Sciences"/>
    <n v="1"/>
    <n v="240"/>
    <n v="3"/>
    <x v="0"/>
    <n v="30"/>
    <n v="3"/>
    <n v="2"/>
    <s v="Sales Executive"/>
    <n v="1"/>
    <s v="Divorced"/>
    <n v="5006"/>
    <n v="6319"/>
    <n v="4"/>
    <s v="Y"/>
    <s v="Yes"/>
    <n v="11"/>
    <x v="0"/>
    <n v="1"/>
    <n v="80"/>
    <n v="1"/>
    <n v="9"/>
    <n v="3"/>
    <n v="4"/>
    <n v="5"/>
    <n v="4"/>
    <n v="0"/>
    <n v="3"/>
    <n v="0"/>
    <x v="0"/>
    <x v="0"/>
    <s v="5k-10k"/>
    <x v="0"/>
    <x v="0"/>
    <x v="3"/>
  </r>
  <r>
    <n v="56"/>
    <s v="No"/>
    <x v="0"/>
    <n v="713"/>
    <x v="1"/>
    <n v="8"/>
    <n v="3"/>
    <s v="Life Sciences"/>
    <n v="1"/>
    <n v="241"/>
    <n v="3"/>
    <x v="0"/>
    <n v="67"/>
    <n v="3"/>
    <n v="1"/>
    <s v="Research Scientist"/>
    <n v="1"/>
    <s v="Divorced"/>
    <n v="4257"/>
    <n v="13939"/>
    <n v="4"/>
    <s v="Y"/>
    <s v="Yes"/>
    <n v="18"/>
    <x v="0"/>
    <n v="3"/>
    <n v="80"/>
    <n v="1"/>
    <n v="19"/>
    <n v="3"/>
    <n v="3"/>
    <n v="2"/>
    <n v="2"/>
    <n v="2"/>
    <n v="2"/>
    <n v="0"/>
    <x v="1"/>
    <x v="0"/>
    <s v="0-5k"/>
    <x v="0"/>
    <x v="0"/>
    <x v="3"/>
  </r>
  <r>
    <n v="33"/>
    <s v="No"/>
    <x v="0"/>
    <n v="134"/>
    <x v="1"/>
    <n v="2"/>
    <n v="3"/>
    <s v="Life Sciences"/>
    <n v="1"/>
    <n v="242"/>
    <n v="3"/>
    <x v="1"/>
    <n v="90"/>
    <n v="3"/>
    <n v="1"/>
    <s v="Research Scientist"/>
    <n v="4"/>
    <s v="Single"/>
    <n v="2500"/>
    <n v="10515"/>
    <n v="0"/>
    <s v="Y"/>
    <s v="No"/>
    <n v="14"/>
    <x v="0"/>
    <n v="1"/>
    <n v="80"/>
    <n v="0"/>
    <n v="4"/>
    <n v="2"/>
    <n v="4"/>
    <n v="3"/>
    <n v="1"/>
    <n v="0"/>
    <n v="2"/>
    <n v="0"/>
    <x v="0"/>
    <x v="0"/>
    <s v="0-5k"/>
    <x v="0"/>
    <x v="0"/>
    <x v="0"/>
  </r>
  <r>
    <n v="19"/>
    <s v="Yes"/>
    <x v="0"/>
    <n v="303"/>
    <x v="1"/>
    <n v="2"/>
    <n v="3"/>
    <s v="Life Sciences"/>
    <n v="1"/>
    <n v="243"/>
    <n v="2"/>
    <x v="1"/>
    <n v="47"/>
    <n v="2"/>
    <n v="1"/>
    <s v="Laboratory Technician"/>
    <n v="4"/>
    <s v="Single"/>
    <n v="1102"/>
    <n v="9241"/>
    <n v="1"/>
    <s v="Y"/>
    <s v="No"/>
    <n v="22"/>
    <x v="1"/>
    <n v="3"/>
    <n v="80"/>
    <n v="0"/>
    <n v="1"/>
    <n v="3"/>
    <n v="2"/>
    <n v="1"/>
    <n v="0"/>
    <n v="1"/>
    <n v="0"/>
    <n v="1"/>
    <x v="2"/>
    <x v="0"/>
    <s v="0-5k"/>
    <x v="0"/>
    <x v="1"/>
    <x v="0"/>
  </r>
  <r>
    <n v="46"/>
    <s v="No"/>
    <x v="0"/>
    <n v="526"/>
    <x v="0"/>
    <n v="1"/>
    <n v="2"/>
    <s v="Marketing"/>
    <n v="1"/>
    <n v="244"/>
    <n v="2"/>
    <x v="0"/>
    <n v="92"/>
    <n v="3"/>
    <n v="3"/>
    <s v="Sales Executive"/>
    <n v="1"/>
    <s v="Divorced"/>
    <n v="10453"/>
    <n v="2137"/>
    <n v="1"/>
    <s v="Y"/>
    <s v="No"/>
    <n v="25"/>
    <x v="1"/>
    <n v="3"/>
    <n v="80"/>
    <n v="3"/>
    <n v="24"/>
    <n v="2"/>
    <n v="3"/>
    <n v="24"/>
    <n v="13"/>
    <n v="15"/>
    <n v="7"/>
    <n v="0"/>
    <x v="1"/>
    <x v="0"/>
    <s v="10k-15k"/>
    <x v="1"/>
    <x v="1"/>
    <x v="3"/>
  </r>
  <r>
    <n v="38"/>
    <s v="No"/>
    <x v="0"/>
    <n v="1380"/>
    <x v="1"/>
    <n v="9"/>
    <n v="2"/>
    <s v="Life Sciences"/>
    <n v="1"/>
    <n v="245"/>
    <n v="3"/>
    <x v="0"/>
    <n v="75"/>
    <n v="3"/>
    <n v="1"/>
    <s v="Laboratory Technician"/>
    <n v="4"/>
    <s v="Single"/>
    <n v="2288"/>
    <n v="6319"/>
    <n v="1"/>
    <s v="Y"/>
    <s v="No"/>
    <n v="12"/>
    <x v="0"/>
    <n v="3"/>
    <n v="80"/>
    <n v="0"/>
    <n v="2"/>
    <n v="3"/>
    <n v="3"/>
    <n v="2"/>
    <n v="2"/>
    <n v="2"/>
    <n v="1"/>
    <n v="0"/>
    <x v="0"/>
    <x v="0"/>
    <s v="0-5k"/>
    <x v="0"/>
    <x v="0"/>
    <x v="0"/>
  </r>
  <r>
    <n v="31"/>
    <s v="No"/>
    <x v="0"/>
    <n v="140"/>
    <x v="1"/>
    <n v="12"/>
    <n v="1"/>
    <s v="Medical"/>
    <n v="1"/>
    <n v="246"/>
    <n v="3"/>
    <x v="0"/>
    <n v="95"/>
    <n v="3"/>
    <n v="1"/>
    <s v="Research Scientist"/>
    <n v="4"/>
    <s v="Married"/>
    <n v="3929"/>
    <n v="6984"/>
    <n v="8"/>
    <s v="Y"/>
    <s v="Yes"/>
    <n v="23"/>
    <x v="1"/>
    <n v="3"/>
    <n v="80"/>
    <n v="1"/>
    <n v="7"/>
    <n v="0"/>
    <n v="3"/>
    <n v="4"/>
    <n v="2"/>
    <n v="0"/>
    <n v="2"/>
    <n v="0"/>
    <x v="0"/>
    <x v="2"/>
    <s v="0-5k"/>
    <x v="0"/>
    <x v="1"/>
    <x v="0"/>
  </r>
  <r>
    <n v="34"/>
    <s v="No"/>
    <x v="0"/>
    <n v="629"/>
    <x v="1"/>
    <n v="27"/>
    <n v="2"/>
    <s v="Medical"/>
    <n v="1"/>
    <n v="247"/>
    <n v="4"/>
    <x v="0"/>
    <n v="95"/>
    <n v="3"/>
    <n v="1"/>
    <s v="Research Scientist"/>
    <n v="2"/>
    <s v="Single"/>
    <n v="2311"/>
    <n v="5711"/>
    <n v="2"/>
    <s v="Y"/>
    <s v="No"/>
    <n v="15"/>
    <x v="0"/>
    <n v="4"/>
    <n v="80"/>
    <n v="0"/>
    <n v="9"/>
    <n v="3"/>
    <n v="3"/>
    <n v="3"/>
    <n v="2"/>
    <n v="1"/>
    <n v="2"/>
    <n v="0"/>
    <x v="0"/>
    <x v="1"/>
    <s v="0-5k"/>
    <x v="0"/>
    <x v="0"/>
    <x v="1"/>
  </r>
  <r>
    <n v="41"/>
    <s v="Yes"/>
    <x v="0"/>
    <n v="1356"/>
    <x v="0"/>
    <n v="20"/>
    <n v="2"/>
    <s v="Marketing"/>
    <n v="1"/>
    <n v="248"/>
    <n v="2"/>
    <x v="0"/>
    <n v="70"/>
    <n v="3"/>
    <n v="1"/>
    <s v="Sales Representative"/>
    <n v="2"/>
    <s v="Single"/>
    <n v="3140"/>
    <n v="21728"/>
    <n v="1"/>
    <s v="Y"/>
    <s v="Yes"/>
    <n v="22"/>
    <x v="1"/>
    <n v="4"/>
    <n v="80"/>
    <n v="0"/>
    <n v="4"/>
    <n v="5"/>
    <n v="2"/>
    <n v="4"/>
    <n v="3"/>
    <n v="0"/>
    <n v="2"/>
    <n v="1"/>
    <x v="0"/>
    <x v="2"/>
    <s v="0-5k"/>
    <x v="0"/>
    <x v="1"/>
    <x v="1"/>
  </r>
  <r>
    <n v="50"/>
    <s v="No"/>
    <x v="0"/>
    <n v="328"/>
    <x v="1"/>
    <n v="1"/>
    <n v="3"/>
    <s v="Medical"/>
    <n v="1"/>
    <n v="249"/>
    <n v="3"/>
    <x v="1"/>
    <n v="86"/>
    <n v="2"/>
    <n v="1"/>
    <s v="Laboratory Technician"/>
    <n v="3"/>
    <s v="Married"/>
    <n v="3690"/>
    <n v="3425"/>
    <n v="2"/>
    <s v="Y"/>
    <s v="No"/>
    <n v="15"/>
    <x v="0"/>
    <n v="4"/>
    <n v="80"/>
    <n v="1"/>
    <n v="5"/>
    <n v="2"/>
    <n v="2"/>
    <n v="3"/>
    <n v="2"/>
    <n v="0"/>
    <n v="2"/>
    <n v="0"/>
    <x v="1"/>
    <x v="0"/>
    <s v="0-5k"/>
    <x v="0"/>
    <x v="0"/>
    <x v="2"/>
  </r>
  <r>
    <n v="53"/>
    <s v="No"/>
    <x v="0"/>
    <n v="1084"/>
    <x v="1"/>
    <n v="13"/>
    <n v="2"/>
    <s v="Medical"/>
    <n v="1"/>
    <n v="250"/>
    <n v="4"/>
    <x v="0"/>
    <n v="57"/>
    <n v="4"/>
    <n v="2"/>
    <s v="Manufacturing Director"/>
    <n v="1"/>
    <s v="Divorced"/>
    <n v="4450"/>
    <n v="26250"/>
    <n v="1"/>
    <s v="Y"/>
    <s v="No"/>
    <n v="11"/>
    <x v="0"/>
    <n v="3"/>
    <n v="80"/>
    <n v="2"/>
    <n v="5"/>
    <n v="3"/>
    <n v="3"/>
    <n v="4"/>
    <n v="2"/>
    <n v="1"/>
    <n v="3"/>
    <n v="0"/>
    <x v="1"/>
    <x v="2"/>
    <s v="0-5k"/>
    <x v="0"/>
    <x v="0"/>
    <x v="3"/>
  </r>
  <r>
    <n v="33"/>
    <s v="No"/>
    <x v="0"/>
    <n v="931"/>
    <x v="1"/>
    <n v="14"/>
    <n v="3"/>
    <s v="Medical"/>
    <n v="1"/>
    <n v="252"/>
    <n v="4"/>
    <x v="0"/>
    <n v="72"/>
    <n v="3"/>
    <n v="1"/>
    <s v="Research Scientist"/>
    <n v="2"/>
    <s v="Married"/>
    <n v="2756"/>
    <n v="4673"/>
    <n v="1"/>
    <s v="Y"/>
    <s v="No"/>
    <n v="13"/>
    <x v="0"/>
    <n v="4"/>
    <n v="80"/>
    <n v="1"/>
    <n v="8"/>
    <n v="5"/>
    <n v="3"/>
    <n v="8"/>
    <n v="7"/>
    <n v="1"/>
    <n v="6"/>
    <n v="0"/>
    <x v="0"/>
    <x v="2"/>
    <s v="0-5k"/>
    <x v="0"/>
    <x v="0"/>
    <x v="1"/>
  </r>
  <r>
    <n v="40"/>
    <s v="No"/>
    <x v="0"/>
    <n v="989"/>
    <x v="1"/>
    <n v="4"/>
    <n v="1"/>
    <s v="Medical"/>
    <n v="1"/>
    <n v="253"/>
    <n v="4"/>
    <x v="0"/>
    <n v="46"/>
    <n v="3"/>
    <n v="5"/>
    <s v="Manager"/>
    <n v="3"/>
    <s v="Married"/>
    <n v="19033"/>
    <n v="6499"/>
    <n v="1"/>
    <s v="Y"/>
    <s v="No"/>
    <n v="14"/>
    <x v="0"/>
    <n v="2"/>
    <n v="80"/>
    <n v="1"/>
    <n v="21"/>
    <n v="2"/>
    <n v="3"/>
    <n v="20"/>
    <n v="8"/>
    <n v="9"/>
    <n v="9"/>
    <n v="0"/>
    <x v="0"/>
    <x v="0"/>
    <s v="15k+"/>
    <x v="2"/>
    <x v="0"/>
    <x v="2"/>
  </r>
  <r>
    <n v="55"/>
    <s v="No"/>
    <x v="0"/>
    <n v="692"/>
    <x v="1"/>
    <n v="14"/>
    <n v="4"/>
    <s v="Medical"/>
    <n v="1"/>
    <n v="254"/>
    <n v="3"/>
    <x v="1"/>
    <n v="61"/>
    <n v="4"/>
    <n v="5"/>
    <s v="Research Director"/>
    <n v="2"/>
    <s v="Single"/>
    <n v="18722"/>
    <n v="13339"/>
    <n v="8"/>
    <s v="Y"/>
    <s v="No"/>
    <n v="11"/>
    <x v="0"/>
    <n v="4"/>
    <n v="80"/>
    <n v="0"/>
    <n v="36"/>
    <n v="3"/>
    <n v="3"/>
    <n v="24"/>
    <n v="15"/>
    <n v="2"/>
    <n v="15"/>
    <n v="0"/>
    <x v="1"/>
    <x v="2"/>
    <s v="15k+"/>
    <x v="1"/>
    <x v="0"/>
    <x v="1"/>
  </r>
  <r>
    <n v="34"/>
    <s v="No"/>
    <x v="1"/>
    <n v="1069"/>
    <x v="1"/>
    <n v="2"/>
    <n v="1"/>
    <s v="Life Sciences"/>
    <n v="1"/>
    <n v="256"/>
    <n v="4"/>
    <x v="1"/>
    <n v="45"/>
    <n v="2"/>
    <n v="2"/>
    <s v="Manufacturing Director"/>
    <n v="3"/>
    <s v="Married"/>
    <n v="9547"/>
    <n v="14074"/>
    <n v="1"/>
    <s v="Y"/>
    <s v="No"/>
    <n v="17"/>
    <x v="0"/>
    <n v="3"/>
    <n v="80"/>
    <n v="0"/>
    <n v="10"/>
    <n v="2"/>
    <n v="2"/>
    <n v="10"/>
    <n v="9"/>
    <n v="1"/>
    <n v="9"/>
    <n v="0"/>
    <x v="0"/>
    <x v="0"/>
    <s v="5k-10k"/>
    <x v="0"/>
    <x v="0"/>
    <x v="2"/>
  </r>
  <r>
    <n v="51"/>
    <s v="No"/>
    <x v="0"/>
    <n v="313"/>
    <x v="1"/>
    <n v="3"/>
    <n v="3"/>
    <s v="Medical"/>
    <n v="1"/>
    <n v="258"/>
    <n v="4"/>
    <x v="0"/>
    <n v="98"/>
    <n v="3"/>
    <n v="4"/>
    <s v="Healthcare Representative"/>
    <n v="2"/>
    <s v="Single"/>
    <n v="13734"/>
    <n v="7192"/>
    <n v="3"/>
    <s v="Y"/>
    <s v="No"/>
    <n v="18"/>
    <x v="0"/>
    <n v="3"/>
    <n v="80"/>
    <n v="0"/>
    <n v="21"/>
    <n v="6"/>
    <n v="3"/>
    <n v="7"/>
    <n v="7"/>
    <n v="1"/>
    <n v="0"/>
    <n v="0"/>
    <x v="1"/>
    <x v="0"/>
    <s v="10k-15k"/>
    <x v="0"/>
    <x v="0"/>
    <x v="1"/>
  </r>
  <r>
    <n v="52"/>
    <s v="No"/>
    <x v="0"/>
    <n v="699"/>
    <x v="1"/>
    <n v="1"/>
    <n v="4"/>
    <s v="Life Sciences"/>
    <n v="1"/>
    <n v="259"/>
    <n v="3"/>
    <x v="1"/>
    <n v="65"/>
    <n v="2"/>
    <n v="5"/>
    <s v="Manager"/>
    <n v="3"/>
    <s v="Married"/>
    <n v="19999"/>
    <n v="5678"/>
    <n v="0"/>
    <s v="Y"/>
    <s v="No"/>
    <n v="14"/>
    <x v="0"/>
    <n v="1"/>
    <n v="80"/>
    <n v="1"/>
    <n v="34"/>
    <n v="5"/>
    <n v="3"/>
    <n v="33"/>
    <n v="18"/>
    <n v="11"/>
    <n v="9"/>
    <n v="0"/>
    <x v="1"/>
    <x v="0"/>
    <s v="15k+"/>
    <x v="3"/>
    <x v="0"/>
    <x v="2"/>
  </r>
  <r>
    <n v="27"/>
    <s v="No"/>
    <x v="0"/>
    <n v="894"/>
    <x v="1"/>
    <n v="9"/>
    <n v="3"/>
    <s v="Medical"/>
    <n v="1"/>
    <n v="260"/>
    <n v="4"/>
    <x v="0"/>
    <n v="99"/>
    <n v="3"/>
    <n v="1"/>
    <s v="Research Scientist"/>
    <n v="2"/>
    <s v="Single"/>
    <n v="2279"/>
    <n v="11781"/>
    <n v="1"/>
    <s v="Y"/>
    <s v="No"/>
    <n v="16"/>
    <x v="0"/>
    <n v="4"/>
    <n v="80"/>
    <n v="0"/>
    <n v="7"/>
    <n v="2"/>
    <n v="2"/>
    <n v="7"/>
    <n v="7"/>
    <n v="0"/>
    <n v="3"/>
    <n v="0"/>
    <x v="2"/>
    <x v="0"/>
    <s v="0-5k"/>
    <x v="0"/>
    <x v="0"/>
    <x v="1"/>
  </r>
  <r>
    <n v="35"/>
    <s v="Yes"/>
    <x v="0"/>
    <n v="556"/>
    <x v="1"/>
    <n v="23"/>
    <n v="2"/>
    <s v="Life Sciences"/>
    <n v="1"/>
    <n v="261"/>
    <n v="2"/>
    <x v="1"/>
    <n v="50"/>
    <n v="2"/>
    <n v="2"/>
    <s v="Manufacturing Director"/>
    <n v="3"/>
    <s v="Married"/>
    <n v="5916"/>
    <n v="15497"/>
    <n v="3"/>
    <s v="Y"/>
    <s v="Yes"/>
    <n v="13"/>
    <x v="0"/>
    <n v="1"/>
    <n v="80"/>
    <n v="0"/>
    <n v="8"/>
    <n v="1"/>
    <n v="3"/>
    <n v="1"/>
    <n v="0"/>
    <n v="0"/>
    <n v="1"/>
    <n v="1"/>
    <x v="0"/>
    <x v="1"/>
    <s v="5k-10k"/>
    <x v="0"/>
    <x v="0"/>
    <x v="2"/>
  </r>
  <r>
    <n v="43"/>
    <s v="No"/>
    <x v="2"/>
    <n v="1344"/>
    <x v="1"/>
    <n v="7"/>
    <n v="3"/>
    <s v="Medical"/>
    <n v="1"/>
    <n v="262"/>
    <n v="4"/>
    <x v="1"/>
    <n v="37"/>
    <n v="4"/>
    <n v="1"/>
    <s v="Research Scientist"/>
    <n v="4"/>
    <s v="Divorced"/>
    <n v="2089"/>
    <n v="5228"/>
    <n v="4"/>
    <s v="Y"/>
    <s v="No"/>
    <n v="14"/>
    <x v="0"/>
    <n v="4"/>
    <n v="80"/>
    <n v="3"/>
    <n v="7"/>
    <n v="3"/>
    <n v="4"/>
    <n v="5"/>
    <n v="4"/>
    <n v="2"/>
    <n v="2"/>
    <n v="0"/>
    <x v="0"/>
    <x v="0"/>
    <s v="0-5k"/>
    <x v="0"/>
    <x v="0"/>
    <x v="0"/>
  </r>
  <r>
    <n v="45"/>
    <s v="No"/>
    <x v="2"/>
    <n v="1195"/>
    <x v="1"/>
    <n v="2"/>
    <n v="2"/>
    <s v="Medical"/>
    <n v="1"/>
    <n v="264"/>
    <n v="1"/>
    <x v="1"/>
    <n v="65"/>
    <n v="2"/>
    <n v="4"/>
    <s v="Manager"/>
    <n v="4"/>
    <s v="Married"/>
    <n v="16792"/>
    <n v="20462"/>
    <n v="9"/>
    <s v="Y"/>
    <s v="No"/>
    <n v="23"/>
    <x v="1"/>
    <n v="4"/>
    <n v="80"/>
    <n v="1"/>
    <n v="22"/>
    <n v="1"/>
    <n v="3"/>
    <n v="20"/>
    <n v="8"/>
    <n v="11"/>
    <n v="8"/>
    <n v="0"/>
    <x v="0"/>
    <x v="0"/>
    <s v="15k+"/>
    <x v="2"/>
    <x v="1"/>
    <x v="0"/>
  </r>
  <r>
    <n v="37"/>
    <s v="No"/>
    <x v="0"/>
    <n v="290"/>
    <x v="1"/>
    <n v="21"/>
    <n v="3"/>
    <s v="Life Sciences"/>
    <n v="1"/>
    <n v="267"/>
    <n v="2"/>
    <x v="1"/>
    <n v="65"/>
    <n v="4"/>
    <n v="1"/>
    <s v="Research Scientist"/>
    <n v="1"/>
    <s v="Married"/>
    <n v="3564"/>
    <n v="22977"/>
    <n v="1"/>
    <s v="Y"/>
    <s v="Yes"/>
    <n v="12"/>
    <x v="0"/>
    <n v="1"/>
    <n v="80"/>
    <n v="1"/>
    <n v="8"/>
    <n v="3"/>
    <n v="2"/>
    <n v="8"/>
    <n v="7"/>
    <n v="1"/>
    <n v="7"/>
    <n v="0"/>
    <x v="0"/>
    <x v="1"/>
    <s v="0-5k"/>
    <x v="0"/>
    <x v="0"/>
    <x v="3"/>
  </r>
  <r>
    <n v="35"/>
    <s v="No"/>
    <x v="1"/>
    <n v="138"/>
    <x v="1"/>
    <n v="2"/>
    <n v="3"/>
    <s v="Medical"/>
    <n v="1"/>
    <n v="269"/>
    <n v="2"/>
    <x v="0"/>
    <n v="37"/>
    <n v="3"/>
    <n v="2"/>
    <s v="Laboratory Technician"/>
    <n v="2"/>
    <s v="Single"/>
    <n v="4425"/>
    <n v="15986"/>
    <n v="5"/>
    <s v="Y"/>
    <s v="No"/>
    <n v="11"/>
    <x v="0"/>
    <n v="4"/>
    <n v="80"/>
    <n v="0"/>
    <n v="10"/>
    <n v="5"/>
    <n v="3"/>
    <n v="6"/>
    <n v="2"/>
    <n v="1"/>
    <n v="2"/>
    <n v="0"/>
    <x v="0"/>
    <x v="0"/>
    <s v="0-5k"/>
    <x v="0"/>
    <x v="0"/>
    <x v="1"/>
  </r>
  <r>
    <n v="42"/>
    <s v="No"/>
    <x v="2"/>
    <n v="926"/>
    <x v="1"/>
    <n v="21"/>
    <n v="2"/>
    <s v="Medical"/>
    <n v="1"/>
    <n v="270"/>
    <n v="3"/>
    <x v="0"/>
    <n v="36"/>
    <n v="3"/>
    <n v="2"/>
    <s v="Manufacturing Director"/>
    <n v="3"/>
    <s v="Divorced"/>
    <n v="5265"/>
    <n v="16439"/>
    <n v="2"/>
    <s v="Y"/>
    <s v="No"/>
    <n v="16"/>
    <x v="0"/>
    <n v="2"/>
    <n v="80"/>
    <n v="1"/>
    <n v="11"/>
    <n v="5"/>
    <n v="3"/>
    <n v="5"/>
    <n v="3"/>
    <n v="0"/>
    <n v="2"/>
    <n v="0"/>
    <x v="0"/>
    <x v="1"/>
    <s v="5k-10k"/>
    <x v="0"/>
    <x v="0"/>
    <x v="2"/>
  </r>
  <r>
    <n v="38"/>
    <s v="No"/>
    <x v="0"/>
    <n v="1261"/>
    <x v="1"/>
    <n v="2"/>
    <n v="4"/>
    <s v="Life Sciences"/>
    <n v="1"/>
    <n v="271"/>
    <n v="4"/>
    <x v="1"/>
    <n v="88"/>
    <n v="3"/>
    <n v="2"/>
    <s v="Manufacturing Director"/>
    <n v="3"/>
    <s v="Married"/>
    <n v="6553"/>
    <n v="7259"/>
    <n v="9"/>
    <s v="Y"/>
    <s v="No"/>
    <n v="14"/>
    <x v="0"/>
    <n v="2"/>
    <n v="80"/>
    <n v="0"/>
    <n v="14"/>
    <n v="3"/>
    <n v="3"/>
    <n v="1"/>
    <n v="0"/>
    <n v="0"/>
    <n v="0"/>
    <n v="0"/>
    <x v="0"/>
    <x v="0"/>
    <s v="5k-10k"/>
    <x v="0"/>
    <x v="0"/>
    <x v="2"/>
  </r>
  <r>
    <n v="38"/>
    <s v="No"/>
    <x v="0"/>
    <n v="1084"/>
    <x v="1"/>
    <n v="29"/>
    <n v="3"/>
    <s v="Technical Degree"/>
    <n v="1"/>
    <n v="273"/>
    <n v="4"/>
    <x v="1"/>
    <n v="54"/>
    <n v="3"/>
    <n v="2"/>
    <s v="Manufacturing Director"/>
    <n v="4"/>
    <s v="Married"/>
    <n v="6261"/>
    <n v="4185"/>
    <n v="3"/>
    <s v="Y"/>
    <s v="No"/>
    <n v="18"/>
    <x v="0"/>
    <n v="1"/>
    <n v="80"/>
    <n v="1"/>
    <n v="9"/>
    <n v="3"/>
    <n v="1"/>
    <n v="7"/>
    <n v="7"/>
    <n v="1"/>
    <n v="7"/>
    <n v="0"/>
    <x v="0"/>
    <x v="1"/>
    <s v="5k-10k"/>
    <x v="0"/>
    <x v="0"/>
    <x v="0"/>
  </r>
  <r>
    <n v="27"/>
    <s v="No"/>
    <x v="1"/>
    <n v="472"/>
    <x v="1"/>
    <n v="1"/>
    <n v="1"/>
    <s v="Technical Degree"/>
    <n v="1"/>
    <n v="274"/>
    <n v="3"/>
    <x v="1"/>
    <n v="60"/>
    <n v="2"/>
    <n v="2"/>
    <s v="Manufacturing Director"/>
    <n v="1"/>
    <s v="Married"/>
    <n v="4298"/>
    <n v="9679"/>
    <n v="5"/>
    <s v="Y"/>
    <s v="No"/>
    <n v="19"/>
    <x v="0"/>
    <n v="3"/>
    <n v="80"/>
    <n v="1"/>
    <n v="6"/>
    <n v="1"/>
    <n v="3"/>
    <n v="2"/>
    <n v="2"/>
    <n v="2"/>
    <n v="0"/>
    <n v="0"/>
    <x v="2"/>
    <x v="0"/>
    <s v="0-5k"/>
    <x v="0"/>
    <x v="0"/>
    <x v="3"/>
  </r>
  <r>
    <n v="49"/>
    <s v="No"/>
    <x v="2"/>
    <n v="1002"/>
    <x v="1"/>
    <n v="18"/>
    <n v="4"/>
    <s v="Life Sciences"/>
    <n v="1"/>
    <n v="275"/>
    <n v="4"/>
    <x v="1"/>
    <n v="92"/>
    <n v="3"/>
    <n v="2"/>
    <s v="Manufacturing Director"/>
    <n v="4"/>
    <s v="Divorced"/>
    <n v="6804"/>
    <n v="23793"/>
    <n v="1"/>
    <s v="Y"/>
    <s v="Yes"/>
    <n v="15"/>
    <x v="0"/>
    <n v="1"/>
    <n v="80"/>
    <n v="2"/>
    <n v="7"/>
    <n v="0"/>
    <n v="3"/>
    <n v="7"/>
    <n v="7"/>
    <n v="1"/>
    <n v="7"/>
    <n v="0"/>
    <x v="1"/>
    <x v="2"/>
    <s v="5k-10k"/>
    <x v="0"/>
    <x v="0"/>
    <x v="0"/>
  </r>
  <r>
    <n v="34"/>
    <s v="No"/>
    <x v="1"/>
    <n v="878"/>
    <x v="1"/>
    <n v="10"/>
    <n v="4"/>
    <s v="Medical"/>
    <n v="1"/>
    <n v="277"/>
    <n v="4"/>
    <x v="1"/>
    <n v="43"/>
    <n v="3"/>
    <n v="1"/>
    <s v="Research Scientist"/>
    <n v="3"/>
    <s v="Divorced"/>
    <n v="3815"/>
    <n v="5972"/>
    <n v="1"/>
    <s v="Y"/>
    <s v="Yes"/>
    <n v="17"/>
    <x v="0"/>
    <n v="4"/>
    <n v="80"/>
    <n v="1"/>
    <n v="5"/>
    <n v="4"/>
    <n v="4"/>
    <n v="5"/>
    <n v="3"/>
    <n v="2"/>
    <n v="0"/>
    <n v="0"/>
    <x v="0"/>
    <x v="0"/>
    <s v="0-5k"/>
    <x v="0"/>
    <x v="0"/>
    <x v="2"/>
  </r>
  <r>
    <n v="40"/>
    <s v="No"/>
    <x v="0"/>
    <n v="905"/>
    <x v="1"/>
    <n v="19"/>
    <n v="2"/>
    <s v="Medical"/>
    <n v="1"/>
    <n v="281"/>
    <n v="3"/>
    <x v="1"/>
    <n v="99"/>
    <n v="3"/>
    <n v="2"/>
    <s v="Laboratory Technician"/>
    <n v="4"/>
    <s v="Married"/>
    <n v="2741"/>
    <n v="16523"/>
    <n v="8"/>
    <s v="Y"/>
    <s v="Yes"/>
    <n v="15"/>
    <x v="0"/>
    <n v="3"/>
    <n v="80"/>
    <n v="1"/>
    <n v="15"/>
    <n v="2"/>
    <n v="4"/>
    <n v="7"/>
    <n v="2"/>
    <n v="3"/>
    <n v="7"/>
    <n v="0"/>
    <x v="0"/>
    <x v="2"/>
    <s v="0-5k"/>
    <x v="0"/>
    <x v="0"/>
    <x v="0"/>
  </r>
  <r>
    <n v="38"/>
    <s v="Yes"/>
    <x v="0"/>
    <n v="1180"/>
    <x v="1"/>
    <n v="29"/>
    <n v="1"/>
    <s v="Medical"/>
    <n v="1"/>
    <n v="282"/>
    <n v="2"/>
    <x v="1"/>
    <n v="70"/>
    <n v="3"/>
    <n v="2"/>
    <s v="Healthcare Representative"/>
    <n v="1"/>
    <s v="Married"/>
    <n v="6673"/>
    <n v="11354"/>
    <n v="7"/>
    <s v="Y"/>
    <s v="Yes"/>
    <n v="19"/>
    <x v="0"/>
    <n v="2"/>
    <n v="80"/>
    <n v="0"/>
    <n v="17"/>
    <n v="2"/>
    <n v="3"/>
    <n v="1"/>
    <n v="0"/>
    <n v="0"/>
    <n v="0"/>
    <n v="1"/>
    <x v="0"/>
    <x v="1"/>
    <s v="5k-10k"/>
    <x v="0"/>
    <x v="0"/>
    <x v="3"/>
  </r>
  <r>
    <n v="29"/>
    <s v="Yes"/>
    <x v="0"/>
    <n v="121"/>
    <x v="0"/>
    <n v="27"/>
    <n v="3"/>
    <s v="Marketing"/>
    <n v="1"/>
    <n v="283"/>
    <n v="2"/>
    <x v="0"/>
    <n v="35"/>
    <n v="3"/>
    <n v="3"/>
    <s v="Sales Executive"/>
    <n v="4"/>
    <s v="Married"/>
    <n v="7639"/>
    <n v="24525"/>
    <n v="1"/>
    <s v="Y"/>
    <s v="No"/>
    <n v="22"/>
    <x v="1"/>
    <n v="4"/>
    <n v="80"/>
    <n v="3"/>
    <n v="10"/>
    <n v="3"/>
    <n v="2"/>
    <n v="10"/>
    <n v="4"/>
    <n v="1"/>
    <n v="9"/>
    <n v="1"/>
    <x v="2"/>
    <x v="1"/>
    <s v="5k-10k"/>
    <x v="0"/>
    <x v="1"/>
    <x v="0"/>
  </r>
  <r>
    <n v="22"/>
    <s v="No"/>
    <x v="0"/>
    <n v="1136"/>
    <x v="1"/>
    <n v="5"/>
    <n v="3"/>
    <s v="Life Sciences"/>
    <n v="1"/>
    <n v="284"/>
    <n v="4"/>
    <x v="1"/>
    <n v="60"/>
    <n v="4"/>
    <n v="1"/>
    <s v="Research Scientist"/>
    <n v="2"/>
    <s v="Divorced"/>
    <n v="2328"/>
    <n v="12392"/>
    <n v="1"/>
    <s v="Y"/>
    <s v="Yes"/>
    <n v="16"/>
    <x v="0"/>
    <n v="1"/>
    <n v="80"/>
    <n v="1"/>
    <n v="4"/>
    <n v="2"/>
    <n v="2"/>
    <n v="4"/>
    <n v="2"/>
    <n v="2"/>
    <n v="2"/>
    <n v="0"/>
    <x v="2"/>
    <x v="0"/>
    <s v="0-5k"/>
    <x v="0"/>
    <x v="0"/>
    <x v="1"/>
  </r>
  <r>
    <n v="36"/>
    <s v="No"/>
    <x v="1"/>
    <n v="635"/>
    <x v="1"/>
    <n v="18"/>
    <n v="1"/>
    <s v="Medical"/>
    <n v="1"/>
    <n v="286"/>
    <n v="2"/>
    <x v="0"/>
    <n v="73"/>
    <n v="3"/>
    <n v="1"/>
    <s v="Laboratory Technician"/>
    <n v="4"/>
    <s v="Single"/>
    <n v="2153"/>
    <n v="7703"/>
    <n v="1"/>
    <s v="Y"/>
    <s v="No"/>
    <n v="13"/>
    <x v="0"/>
    <n v="1"/>
    <n v="80"/>
    <n v="0"/>
    <n v="8"/>
    <n v="2"/>
    <n v="3"/>
    <n v="8"/>
    <n v="1"/>
    <n v="1"/>
    <n v="7"/>
    <n v="0"/>
    <x v="0"/>
    <x v="2"/>
    <s v="0-5k"/>
    <x v="0"/>
    <x v="0"/>
    <x v="0"/>
  </r>
  <r>
    <n v="40"/>
    <s v="No"/>
    <x v="2"/>
    <n v="1151"/>
    <x v="1"/>
    <n v="9"/>
    <n v="5"/>
    <s v="Life Sciences"/>
    <n v="1"/>
    <n v="287"/>
    <n v="4"/>
    <x v="1"/>
    <n v="63"/>
    <n v="2"/>
    <n v="2"/>
    <s v="Healthcare Representative"/>
    <n v="4"/>
    <s v="Married"/>
    <n v="4876"/>
    <n v="14242"/>
    <n v="9"/>
    <s v="Y"/>
    <s v="No"/>
    <n v="14"/>
    <x v="0"/>
    <n v="4"/>
    <n v="80"/>
    <n v="1"/>
    <n v="5"/>
    <n v="5"/>
    <n v="1"/>
    <n v="3"/>
    <n v="2"/>
    <n v="0"/>
    <n v="2"/>
    <n v="0"/>
    <x v="0"/>
    <x v="0"/>
    <s v="0-5k"/>
    <x v="0"/>
    <x v="0"/>
    <x v="0"/>
  </r>
  <r>
    <n v="46"/>
    <s v="No"/>
    <x v="0"/>
    <n v="644"/>
    <x v="1"/>
    <n v="1"/>
    <n v="4"/>
    <s v="Medical"/>
    <n v="1"/>
    <n v="288"/>
    <n v="4"/>
    <x v="1"/>
    <n v="97"/>
    <n v="3"/>
    <n v="3"/>
    <s v="Healthcare Representative"/>
    <n v="1"/>
    <s v="Divorced"/>
    <n v="9396"/>
    <n v="12368"/>
    <n v="7"/>
    <s v="Y"/>
    <s v="No"/>
    <n v="16"/>
    <x v="0"/>
    <n v="3"/>
    <n v="80"/>
    <n v="1"/>
    <n v="17"/>
    <n v="3"/>
    <n v="3"/>
    <n v="4"/>
    <n v="2"/>
    <n v="0"/>
    <n v="3"/>
    <n v="0"/>
    <x v="1"/>
    <x v="0"/>
    <s v="5k-10k"/>
    <x v="0"/>
    <x v="0"/>
    <x v="3"/>
  </r>
  <r>
    <n v="32"/>
    <s v="Yes"/>
    <x v="0"/>
    <n v="1045"/>
    <x v="0"/>
    <n v="4"/>
    <n v="4"/>
    <s v="Medical"/>
    <n v="1"/>
    <n v="291"/>
    <n v="4"/>
    <x v="1"/>
    <n v="32"/>
    <n v="1"/>
    <n v="3"/>
    <s v="Sales Executive"/>
    <n v="4"/>
    <s v="Married"/>
    <n v="10400"/>
    <n v="25812"/>
    <n v="1"/>
    <s v="Y"/>
    <s v="No"/>
    <n v="11"/>
    <x v="0"/>
    <n v="3"/>
    <n v="80"/>
    <n v="0"/>
    <n v="14"/>
    <n v="2"/>
    <n v="2"/>
    <n v="14"/>
    <n v="8"/>
    <n v="9"/>
    <n v="8"/>
    <n v="1"/>
    <x v="0"/>
    <x v="0"/>
    <s v="10k-15k"/>
    <x v="2"/>
    <x v="0"/>
    <x v="0"/>
  </r>
  <r>
    <n v="30"/>
    <s v="No"/>
    <x v="2"/>
    <n v="829"/>
    <x v="1"/>
    <n v="1"/>
    <n v="1"/>
    <s v="Life Sciences"/>
    <n v="1"/>
    <n v="292"/>
    <n v="3"/>
    <x v="1"/>
    <n v="88"/>
    <n v="2"/>
    <n v="3"/>
    <s v="Manufacturing Director"/>
    <n v="3"/>
    <s v="Single"/>
    <n v="8474"/>
    <n v="20925"/>
    <n v="1"/>
    <s v="Y"/>
    <s v="No"/>
    <n v="22"/>
    <x v="1"/>
    <n v="3"/>
    <n v="80"/>
    <n v="0"/>
    <n v="12"/>
    <n v="2"/>
    <n v="3"/>
    <n v="11"/>
    <n v="8"/>
    <n v="5"/>
    <n v="8"/>
    <n v="0"/>
    <x v="2"/>
    <x v="0"/>
    <s v="5k-10k"/>
    <x v="2"/>
    <x v="1"/>
    <x v="2"/>
  </r>
  <r>
    <n v="27"/>
    <s v="No"/>
    <x v="1"/>
    <n v="1242"/>
    <x v="0"/>
    <n v="20"/>
    <n v="3"/>
    <s v="Life Sciences"/>
    <n v="1"/>
    <n v="293"/>
    <n v="4"/>
    <x v="0"/>
    <n v="90"/>
    <n v="3"/>
    <n v="2"/>
    <s v="Sales Executive"/>
    <n v="3"/>
    <s v="Single"/>
    <n v="9981"/>
    <n v="12916"/>
    <n v="1"/>
    <s v="Y"/>
    <s v="No"/>
    <n v="14"/>
    <x v="0"/>
    <n v="4"/>
    <n v="80"/>
    <n v="0"/>
    <n v="7"/>
    <n v="2"/>
    <n v="3"/>
    <n v="7"/>
    <n v="7"/>
    <n v="0"/>
    <n v="7"/>
    <n v="0"/>
    <x v="2"/>
    <x v="2"/>
    <s v="5k-10k"/>
    <x v="0"/>
    <x v="0"/>
    <x v="2"/>
  </r>
  <r>
    <n v="51"/>
    <s v="No"/>
    <x v="0"/>
    <n v="1469"/>
    <x v="1"/>
    <n v="8"/>
    <n v="4"/>
    <s v="Life Sciences"/>
    <n v="1"/>
    <n v="296"/>
    <n v="2"/>
    <x v="1"/>
    <n v="81"/>
    <n v="2"/>
    <n v="3"/>
    <s v="Research Director"/>
    <n v="2"/>
    <s v="Married"/>
    <n v="12490"/>
    <n v="15736"/>
    <n v="5"/>
    <s v="Y"/>
    <s v="No"/>
    <n v="16"/>
    <x v="0"/>
    <n v="4"/>
    <n v="80"/>
    <n v="2"/>
    <n v="16"/>
    <n v="5"/>
    <n v="1"/>
    <n v="10"/>
    <n v="9"/>
    <n v="4"/>
    <n v="7"/>
    <n v="0"/>
    <x v="1"/>
    <x v="0"/>
    <s v="10k-15k"/>
    <x v="0"/>
    <x v="0"/>
    <x v="1"/>
  </r>
  <r>
    <n v="30"/>
    <s v="Yes"/>
    <x v="0"/>
    <n v="1005"/>
    <x v="1"/>
    <n v="3"/>
    <n v="3"/>
    <s v="Technical Degree"/>
    <n v="1"/>
    <n v="297"/>
    <n v="4"/>
    <x v="0"/>
    <n v="88"/>
    <n v="3"/>
    <n v="1"/>
    <s v="Research Scientist"/>
    <n v="1"/>
    <s v="Single"/>
    <n v="2657"/>
    <n v="8556"/>
    <n v="5"/>
    <s v="Y"/>
    <s v="Yes"/>
    <n v="11"/>
    <x v="0"/>
    <n v="3"/>
    <n v="80"/>
    <n v="0"/>
    <n v="8"/>
    <n v="5"/>
    <n v="3"/>
    <n v="5"/>
    <n v="2"/>
    <n v="0"/>
    <n v="4"/>
    <n v="1"/>
    <x v="2"/>
    <x v="0"/>
    <s v="0-5k"/>
    <x v="0"/>
    <x v="0"/>
    <x v="3"/>
  </r>
  <r>
    <n v="41"/>
    <s v="No"/>
    <x v="0"/>
    <n v="896"/>
    <x v="0"/>
    <n v="6"/>
    <n v="3"/>
    <s v="Life Sciences"/>
    <n v="1"/>
    <n v="298"/>
    <n v="4"/>
    <x v="0"/>
    <n v="75"/>
    <n v="3"/>
    <n v="3"/>
    <s v="Manager"/>
    <n v="4"/>
    <s v="Single"/>
    <n v="13591"/>
    <n v="14674"/>
    <n v="3"/>
    <s v="Y"/>
    <s v="Yes"/>
    <n v="18"/>
    <x v="0"/>
    <n v="3"/>
    <n v="80"/>
    <n v="0"/>
    <n v="16"/>
    <n v="3"/>
    <n v="3"/>
    <n v="1"/>
    <n v="0"/>
    <n v="0"/>
    <n v="0"/>
    <n v="0"/>
    <x v="0"/>
    <x v="0"/>
    <s v="10k-15k"/>
    <x v="0"/>
    <x v="0"/>
    <x v="0"/>
  </r>
  <r>
    <n v="30"/>
    <s v="Yes"/>
    <x v="1"/>
    <n v="334"/>
    <x v="0"/>
    <n v="26"/>
    <n v="4"/>
    <s v="Marketing"/>
    <n v="1"/>
    <n v="299"/>
    <n v="3"/>
    <x v="0"/>
    <n v="52"/>
    <n v="2"/>
    <n v="2"/>
    <s v="Sales Executive"/>
    <n v="1"/>
    <s v="Single"/>
    <n v="6696"/>
    <n v="22967"/>
    <n v="5"/>
    <s v="Y"/>
    <s v="No"/>
    <n v="15"/>
    <x v="0"/>
    <n v="3"/>
    <n v="80"/>
    <n v="0"/>
    <n v="9"/>
    <n v="5"/>
    <n v="2"/>
    <n v="6"/>
    <n v="3"/>
    <n v="0"/>
    <n v="1"/>
    <n v="1"/>
    <x v="2"/>
    <x v="1"/>
    <s v="5k-10k"/>
    <x v="0"/>
    <x v="0"/>
    <x v="3"/>
  </r>
  <r>
    <n v="29"/>
    <s v="Yes"/>
    <x v="0"/>
    <n v="992"/>
    <x v="1"/>
    <n v="1"/>
    <n v="3"/>
    <s v="Technical Degree"/>
    <n v="1"/>
    <n v="300"/>
    <n v="3"/>
    <x v="1"/>
    <n v="85"/>
    <n v="3"/>
    <n v="1"/>
    <s v="Research Scientist"/>
    <n v="3"/>
    <s v="Single"/>
    <n v="2058"/>
    <n v="19757"/>
    <n v="0"/>
    <s v="Y"/>
    <s v="No"/>
    <n v="14"/>
    <x v="0"/>
    <n v="4"/>
    <n v="80"/>
    <n v="0"/>
    <n v="7"/>
    <n v="1"/>
    <n v="2"/>
    <n v="6"/>
    <n v="2"/>
    <n v="1"/>
    <n v="5"/>
    <n v="1"/>
    <x v="2"/>
    <x v="0"/>
    <s v="0-5k"/>
    <x v="0"/>
    <x v="0"/>
    <x v="2"/>
  </r>
  <r>
    <n v="45"/>
    <s v="No"/>
    <x v="2"/>
    <n v="1052"/>
    <x v="0"/>
    <n v="6"/>
    <n v="3"/>
    <s v="Medical"/>
    <n v="1"/>
    <n v="302"/>
    <n v="4"/>
    <x v="0"/>
    <n v="57"/>
    <n v="2"/>
    <n v="3"/>
    <s v="Sales Executive"/>
    <n v="4"/>
    <s v="Single"/>
    <n v="8865"/>
    <n v="16840"/>
    <n v="6"/>
    <s v="Y"/>
    <s v="No"/>
    <n v="12"/>
    <x v="0"/>
    <n v="4"/>
    <n v="80"/>
    <n v="0"/>
    <n v="23"/>
    <n v="2"/>
    <n v="3"/>
    <n v="19"/>
    <n v="7"/>
    <n v="12"/>
    <n v="8"/>
    <n v="0"/>
    <x v="0"/>
    <x v="0"/>
    <s v="5k-10k"/>
    <x v="2"/>
    <x v="0"/>
    <x v="0"/>
  </r>
  <r>
    <n v="54"/>
    <s v="No"/>
    <x v="0"/>
    <n v="1147"/>
    <x v="0"/>
    <n v="3"/>
    <n v="3"/>
    <s v="Marketing"/>
    <n v="1"/>
    <n v="303"/>
    <n v="4"/>
    <x v="0"/>
    <n v="52"/>
    <n v="3"/>
    <n v="2"/>
    <s v="Sales Executive"/>
    <n v="1"/>
    <s v="Married"/>
    <n v="5940"/>
    <n v="17011"/>
    <n v="2"/>
    <s v="Y"/>
    <s v="No"/>
    <n v="14"/>
    <x v="0"/>
    <n v="4"/>
    <n v="80"/>
    <n v="1"/>
    <n v="16"/>
    <n v="4"/>
    <n v="3"/>
    <n v="6"/>
    <n v="2"/>
    <n v="0"/>
    <n v="5"/>
    <n v="0"/>
    <x v="1"/>
    <x v="0"/>
    <s v="5k-10k"/>
    <x v="0"/>
    <x v="0"/>
    <x v="3"/>
  </r>
  <r>
    <n v="36"/>
    <s v="No"/>
    <x v="0"/>
    <n v="1396"/>
    <x v="1"/>
    <n v="5"/>
    <n v="2"/>
    <s v="Life Sciences"/>
    <n v="1"/>
    <n v="304"/>
    <n v="4"/>
    <x v="1"/>
    <n v="62"/>
    <n v="3"/>
    <n v="2"/>
    <s v="Laboratory Technician"/>
    <n v="2"/>
    <s v="Single"/>
    <n v="5914"/>
    <n v="9945"/>
    <n v="8"/>
    <s v="Y"/>
    <s v="No"/>
    <n v="16"/>
    <x v="0"/>
    <n v="4"/>
    <n v="80"/>
    <n v="0"/>
    <n v="16"/>
    <n v="3"/>
    <n v="4"/>
    <n v="13"/>
    <n v="11"/>
    <n v="3"/>
    <n v="7"/>
    <n v="0"/>
    <x v="0"/>
    <x v="0"/>
    <s v="5k-10k"/>
    <x v="2"/>
    <x v="0"/>
    <x v="1"/>
  </r>
  <r>
    <n v="33"/>
    <s v="No"/>
    <x v="0"/>
    <n v="147"/>
    <x v="1"/>
    <n v="4"/>
    <n v="4"/>
    <s v="Medical"/>
    <n v="1"/>
    <n v="305"/>
    <n v="3"/>
    <x v="0"/>
    <n v="47"/>
    <n v="2"/>
    <n v="1"/>
    <s v="Research Scientist"/>
    <n v="2"/>
    <s v="Married"/>
    <n v="2622"/>
    <n v="13248"/>
    <n v="6"/>
    <s v="Y"/>
    <s v="No"/>
    <n v="21"/>
    <x v="1"/>
    <n v="4"/>
    <n v="80"/>
    <n v="0"/>
    <n v="7"/>
    <n v="3"/>
    <n v="3"/>
    <n v="3"/>
    <n v="2"/>
    <n v="1"/>
    <n v="1"/>
    <n v="0"/>
    <x v="0"/>
    <x v="0"/>
    <s v="0-5k"/>
    <x v="0"/>
    <x v="1"/>
    <x v="1"/>
  </r>
  <r>
    <n v="37"/>
    <s v="No"/>
    <x v="1"/>
    <n v="663"/>
    <x v="1"/>
    <n v="11"/>
    <n v="3"/>
    <s v="Other"/>
    <n v="1"/>
    <n v="306"/>
    <n v="2"/>
    <x v="1"/>
    <n v="47"/>
    <n v="3"/>
    <n v="3"/>
    <s v="Research Director"/>
    <n v="4"/>
    <s v="Divorced"/>
    <n v="12185"/>
    <n v="10056"/>
    <n v="1"/>
    <s v="Y"/>
    <s v="Yes"/>
    <n v="14"/>
    <x v="0"/>
    <n v="3"/>
    <n v="80"/>
    <n v="3"/>
    <n v="10"/>
    <n v="1"/>
    <n v="3"/>
    <n v="10"/>
    <n v="8"/>
    <n v="0"/>
    <n v="7"/>
    <n v="0"/>
    <x v="0"/>
    <x v="2"/>
    <s v="10k-15k"/>
    <x v="0"/>
    <x v="0"/>
    <x v="0"/>
  </r>
  <r>
    <n v="38"/>
    <s v="No"/>
    <x v="0"/>
    <n v="119"/>
    <x v="0"/>
    <n v="3"/>
    <n v="3"/>
    <s v="Life Sciences"/>
    <n v="1"/>
    <n v="307"/>
    <n v="1"/>
    <x v="1"/>
    <n v="76"/>
    <n v="3"/>
    <n v="3"/>
    <s v="Sales Executive"/>
    <n v="3"/>
    <s v="Divorced"/>
    <n v="10609"/>
    <n v="9647"/>
    <n v="0"/>
    <s v="Y"/>
    <s v="No"/>
    <n v="12"/>
    <x v="0"/>
    <n v="3"/>
    <n v="80"/>
    <n v="2"/>
    <n v="17"/>
    <n v="6"/>
    <n v="2"/>
    <n v="16"/>
    <n v="10"/>
    <n v="5"/>
    <n v="13"/>
    <n v="0"/>
    <x v="0"/>
    <x v="0"/>
    <s v="10k-15k"/>
    <x v="2"/>
    <x v="0"/>
    <x v="2"/>
  </r>
  <r>
    <n v="31"/>
    <s v="No"/>
    <x v="2"/>
    <n v="979"/>
    <x v="1"/>
    <n v="1"/>
    <n v="4"/>
    <s v="Medical"/>
    <n v="1"/>
    <n v="308"/>
    <n v="3"/>
    <x v="1"/>
    <n v="90"/>
    <n v="1"/>
    <n v="2"/>
    <s v="Manufacturing Director"/>
    <n v="3"/>
    <s v="Married"/>
    <n v="4345"/>
    <n v="4381"/>
    <n v="0"/>
    <s v="Y"/>
    <s v="No"/>
    <n v="12"/>
    <x v="0"/>
    <n v="4"/>
    <n v="80"/>
    <n v="1"/>
    <n v="6"/>
    <n v="2"/>
    <n v="3"/>
    <n v="5"/>
    <n v="4"/>
    <n v="1"/>
    <n v="4"/>
    <n v="0"/>
    <x v="0"/>
    <x v="0"/>
    <s v="0-5k"/>
    <x v="0"/>
    <x v="0"/>
    <x v="2"/>
  </r>
  <r>
    <n v="59"/>
    <s v="No"/>
    <x v="0"/>
    <n v="142"/>
    <x v="1"/>
    <n v="3"/>
    <n v="3"/>
    <s v="Life Sciences"/>
    <n v="1"/>
    <n v="309"/>
    <n v="3"/>
    <x v="1"/>
    <n v="70"/>
    <n v="2"/>
    <n v="1"/>
    <s v="Research Scientist"/>
    <n v="4"/>
    <s v="Married"/>
    <n v="2177"/>
    <n v="8456"/>
    <n v="3"/>
    <s v="Y"/>
    <s v="No"/>
    <n v="17"/>
    <x v="0"/>
    <n v="1"/>
    <n v="80"/>
    <n v="1"/>
    <n v="7"/>
    <n v="6"/>
    <n v="3"/>
    <n v="1"/>
    <n v="0"/>
    <n v="0"/>
    <n v="0"/>
    <n v="0"/>
    <x v="1"/>
    <x v="0"/>
    <s v="0-5k"/>
    <x v="0"/>
    <x v="0"/>
    <x v="0"/>
  </r>
  <r>
    <n v="37"/>
    <s v="No"/>
    <x v="1"/>
    <n v="319"/>
    <x v="0"/>
    <n v="4"/>
    <n v="4"/>
    <s v="Marketing"/>
    <n v="1"/>
    <n v="311"/>
    <n v="1"/>
    <x v="1"/>
    <n v="41"/>
    <n v="3"/>
    <n v="1"/>
    <s v="Sales Representative"/>
    <n v="4"/>
    <s v="Divorced"/>
    <n v="2793"/>
    <n v="2539"/>
    <n v="4"/>
    <s v="Y"/>
    <s v="No"/>
    <n v="17"/>
    <x v="0"/>
    <n v="3"/>
    <n v="80"/>
    <n v="1"/>
    <n v="13"/>
    <n v="2"/>
    <n v="3"/>
    <n v="9"/>
    <n v="8"/>
    <n v="5"/>
    <n v="8"/>
    <n v="0"/>
    <x v="0"/>
    <x v="0"/>
    <s v="0-5k"/>
    <x v="0"/>
    <x v="0"/>
    <x v="0"/>
  </r>
  <r>
    <n v="29"/>
    <s v="No"/>
    <x v="1"/>
    <n v="1413"/>
    <x v="0"/>
    <n v="1"/>
    <n v="1"/>
    <s v="Medical"/>
    <n v="1"/>
    <n v="312"/>
    <n v="2"/>
    <x v="0"/>
    <n v="42"/>
    <n v="3"/>
    <n v="3"/>
    <s v="Sales Executive"/>
    <n v="4"/>
    <s v="Married"/>
    <n v="7918"/>
    <n v="6599"/>
    <n v="1"/>
    <s v="Y"/>
    <s v="No"/>
    <n v="14"/>
    <x v="0"/>
    <n v="4"/>
    <n v="80"/>
    <n v="1"/>
    <n v="11"/>
    <n v="5"/>
    <n v="3"/>
    <n v="11"/>
    <n v="10"/>
    <n v="4"/>
    <n v="1"/>
    <n v="0"/>
    <x v="2"/>
    <x v="0"/>
    <s v="5k-10k"/>
    <x v="2"/>
    <x v="0"/>
    <x v="0"/>
  </r>
  <r>
    <n v="35"/>
    <s v="No"/>
    <x v="1"/>
    <n v="944"/>
    <x v="0"/>
    <n v="1"/>
    <n v="3"/>
    <s v="Marketing"/>
    <n v="1"/>
    <n v="314"/>
    <n v="3"/>
    <x v="0"/>
    <n v="92"/>
    <n v="3"/>
    <n v="3"/>
    <s v="Sales Executive"/>
    <n v="3"/>
    <s v="Single"/>
    <n v="8789"/>
    <n v="9096"/>
    <n v="1"/>
    <s v="Y"/>
    <s v="No"/>
    <n v="14"/>
    <x v="0"/>
    <n v="1"/>
    <n v="80"/>
    <n v="0"/>
    <n v="10"/>
    <n v="3"/>
    <n v="4"/>
    <n v="10"/>
    <n v="7"/>
    <n v="0"/>
    <n v="8"/>
    <n v="0"/>
    <x v="0"/>
    <x v="0"/>
    <s v="5k-10k"/>
    <x v="0"/>
    <x v="0"/>
    <x v="2"/>
  </r>
  <r>
    <n v="29"/>
    <s v="Yes"/>
    <x v="0"/>
    <n v="896"/>
    <x v="1"/>
    <n v="18"/>
    <n v="1"/>
    <s v="Medical"/>
    <n v="1"/>
    <n v="315"/>
    <n v="3"/>
    <x v="1"/>
    <n v="86"/>
    <n v="2"/>
    <n v="1"/>
    <s v="Research Scientist"/>
    <n v="4"/>
    <s v="Single"/>
    <n v="2389"/>
    <n v="14961"/>
    <n v="1"/>
    <s v="Y"/>
    <s v="Yes"/>
    <n v="13"/>
    <x v="0"/>
    <n v="3"/>
    <n v="80"/>
    <n v="0"/>
    <n v="4"/>
    <n v="3"/>
    <n v="2"/>
    <n v="4"/>
    <n v="3"/>
    <n v="0"/>
    <n v="1"/>
    <n v="1"/>
    <x v="2"/>
    <x v="2"/>
    <s v="0-5k"/>
    <x v="0"/>
    <x v="0"/>
    <x v="0"/>
  </r>
  <r>
    <n v="52"/>
    <s v="No"/>
    <x v="0"/>
    <n v="1323"/>
    <x v="1"/>
    <n v="2"/>
    <n v="3"/>
    <s v="Life Sciences"/>
    <n v="1"/>
    <n v="316"/>
    <n v="3"/>
    <x v="0"/>
    <n v="89"/>
    <n v="2"/>
    <n v="1"/>
    <s v="Laboratory Technician"/>
    <n v="4"/>
    <s v="Single"/>
    <n v="3212"/>
    <n v="3300"/>
    <n v="7"/>
    <s v="Y"/>
    <s v="No"/>
    <n v="15"/>
    <x v="0"/>
    <n v="2"/>
    <n v="80"/>
    <n v="0"/>
    <n v="6"/>
    <n v="3"/>
    <n v="2"/>
    <n v="2"/>
    <n v="2"/>
    <n v="2"/>
    <n v="2"/>
    <n v="0"/>
    <x v="1"/>
    <x v="0"/>
    <s v="0-5k"/>
    <x v="0"/>
    <x v="0"/>
    <x v="0"/>
  </r>
  <r>
    <n v="42"/>
    <s v="No"/>
    <x v="0"/>
    <n v="532"/>
    <x v="1"/>
    <n v="4"/>
    <n v="2"/>
    <s v="Technical Degree"/>
    <n v="1"/>
    <n v="319"/>
    <n v="3"/>
    <x v="1"/>
    <n v="58"/>
    <n v="3"/>
    <n v="5"/>
    <s v="Manager"/>
    <n v="4"/>
    <s v="Married"/>
    <n v="19232"/>
    <n v="4933"/>
    <n v="1"/>
    <s v="Y"/>
    <s v="No"/>
    <n v="11"/>
    <x v="0"/>
    <n v="4"/>
    <n v="80"/>
    <n v="0"/>
    <n v="22"/>
    <n v="3"/>
    <n v="3"/>
    <n v="22"/>
    <n v="17"/>
    <n v="11"/>
    <n v="15"/>
    <n v="0"/>
    <x v="0"/>
    <x v="0"/>
    <s v="15k+"/>
    <x v="1"/>
    <x v="0"/>
    <x v="0"/>
  </r>
  <r>
    <n v="59"/>
    <s v="No"/>
    <x v="0"/>
    <n v="818"/>
    <x v="2"/>
    <n v="6"/>
    <n v="2"/>
    <s v="Medical"/>
    <n v="1"/>
    <n v="321"/>
    <n v="2"/>
    <x v="1"/>
    <n v="52"/>
    <n v="3"/>
    <n v="1"/>
    <s v="Human Resources"/>
    <n v="3"/>
    <s v="Married"/>
    <n v="2267"/>
    <n v="25657"/>
    <n v="8"/>
    <s v="Y"/>
    <s v="No"/>
    <n v="17"/>
    <x v="0"/>
    <n v="4"/>
    <n v="80"/>
    <n v="0"/>
    <n v="7"/>
    <n v="2"/>
    <n v="2"/>
    <n v="2"/>
    <n v="2"/>
    <n v="2"/>
    <n v="2"/>
    <n v="0"/>
    <x v="1"/>
    <x v="0"/>
    <s v="0-5k"/>
    <x v="0"/>
    <x v="0"/>
    <x v="2"/>
  </r>
  <r>
    <n v="50"/>
    <s v="No"/>
    <x v="0"/>
    <n v="854"/>
    <x v="0"/>
    <n v="1"/>
    <n v="4"/>
    <s v="Medical"/>
    <n v="1"/>
    <n v="323"/>
    <n v="4"/>
    <x v="0"/>
    <n v="68"/>
    <n v="3"/>
    <n v="5"/>
    <s v="Manager"/>
    <n v="4"/>
    <s v="Divorced"/>
    <n v="19517"/>
    <n v="24118"/>
    <n v="3"/>
    <s v="Y"/>
    <s v="No"/>
    <n v="11"/>
    <x v="0"/>
    <n v="3"/>
    <n v="80"/>
    <n v="1"/>
    <n v="32"/>
    <n v="3"/>
    <n v="2"/>
    <n v="7"/>
    <n v="0"/>
    <n v="0"/>
    <n v="6"/>
    <n v="0"/>
    <x v="1"/>
    <x v="0"/>
    <s v="15k+"/>
    <x v="0"/>
    <x v="0"/>
    <x v="0"/>
  </r>
  <r>
    <n v="33"/>
    <s v="Yes"/>
    <x v="0"/>
    <n v="813"/>
    <x v="1"/>
    <n v="14"/>
    <n v="3"/>
    <s v="Medical"/>
    <n v="1"/>
    <n v="325"/>
    <n v="3"/>
    <x v="1"/>
    <n v="58"/>
    <n v="3"/>
    <n v="1"/>
    <s v="Laboratory Technician"/>
    <n v="4"/>
    <s v="Married"/>
    <n v="2436"/>
    <n v="22149"/>
    <n v="5"/>
    <s v="Y"/>
    <s v="Yes"/>
    <n v="13"/>
    <x v="0"/>
    <n v="3"/>
    <n v="80"/>
    <n v="1"/>
    <n v="8"/>
    <n v="2"/>
    <n v="1"/>
    <n v="5"/>
    <n v="4"/>
    <n v="0"/>
    <n v="4"/>
    <n v="1"/>
    <x v="0"/>
    <x v="2"/>
    <s v="0-5k"/>
    <x v="0"/>
    <x v="0"/>
    <x v="0"/>
  </r>
  <r>
    <n v="43"/>
    <s v="No"/>
    <x v="0"/>
    <n v="1034"/>
    <x v="0"/>
    <n v="16"/>
    <n v="3"/>
    <s v="Marketing"/>
    <n v="1"/>
    <n v="327"/>
    <n v="4"/>
    <x v="0"/>
    <n v="80"/>
    <n v="3"/>
    <n v="4"/>
    <s v="Manager"/>
    <n v="4"/>
    <s v="Married"/>
    <n v="16064"/>
    <n v="7744"/>
    <n v="5"/>
    <s v="Y"/>
    <s v="Yes"/>
    <n v="22"/>
    <x v="1"/>
    <n v="3"/>
    <n v="80"/>
    <n v="1"/>
    <n v="22"/>
    <n v="3"/>
    <n v="3"/>
    <n v="17"/>
    <n v="13"/>
    <n v="1"/>
    <n v="9"/>
    <n v="0"/>
    <x v="0"/>
    <x v="2"/>
    <s v="15k+"/>
    <x v="2"/>
    <x v="1"/>
    <x v="0"/>
  </r>
  <r>
    <n v="33"/>
    <s v="Yes"/>
    <x v="0"/>
    <n v="465"/>
    <x v="1"/>
    <n v="2"/>
    <n v="2"/>
    <s v="Life Sciences"/>
    <n v="1"/>
    <n v="328"/>
    <n v="1"/>
    <x v="0"/>
    <n v="39"/>
    <n v="3"/>
    <n v="1"/>
    <s v="Laboratory Technician"/>
    <n v="1"/>
    <s v="Married"/>
    <n v="2707"/>
    <n v="21509"/>
    <n v="7"/>
    <s v="Y"/>
    <s v="No"/>
    <n v="20"/>
    <x v="1"/>
    <n v="1"/>
    <n v="80"/>
    <n v="0"/>
    <n v="13"/>
    <n v="3"/>
    <n v="4"/>
    <n v="9"/>
    <n v="7"/>
    <n v="1"/>
    <n v="7"/>
    <n v="1"/>
    <x v="0"/>
    <x v="0"/>
    <s v="0-5k"/>
    <x v="0"/>
    <x v="1"/>
    <x v="3"/>
  </r>
  <r>
    <n v="52"/>
    <s v="No"/>
    <x v="2"/>
    <n v="771"/>
    <x v="0"/>
    <n v="2"/>
    <n v="4"/>
    <s v="Life Sciences"/>
    <n v="1"/>
    <n v="329"/>
    <n v="1"/>
    <x v="1"/>
    <n v="79"/>
    <n v="2"/>
    <n v="5"/>
    <s v="Manager"/>
    <n v="3"/>
    <s v="Single"/>
    <n v="19068"/>
    <n v="21030"/>
    <n v="1"/>
    <s v="Y"/>
    <s v="Yes"/>
    <n v="18"/>
    <x v="0"/>
    <n v="4"/>
    <n v="80"/>
    <n v="0"/>
    <n v="33"/>
    <n v="2"/>
    <n v="4"/>
    <n v="33"/>
    <n v="7"/>
    <n v="15"/>
    <n v="12"/>
    <n v="0"/>
    <x v="1"/>
    <x v="0"/>
    <s v="15k+"/>
    <x v="3"/>
    <x v="0"/>
    <x v="2"/>
  </r>
  <r>
    <n v="32"/>
    <s v="No"/>
    <x v="0"/>
    <n v="1401"/>
    <x v="0"/>
    <n v="4"/>
    <n v="2"/>
    <s v="Life Sciences"/>
    <n v="1"/>
    <n v="330"/>
    <n v="3"/>
    <x v="0"/>
    <n v="56"/>
    <n v="3"/>
    <n v="1"/>
    <s v="Sales Representative"/>
    <n v="2"/>
    <s v="Married"/>
    <n v="3931"/>
    <n v="20990"/>
    <n v="2"/>
    <s v="Y"/>
    <s v="No"/>
    <n v="11"/>
    <x v="0"/>
    <n v="1"/>
    <n v="80"/>
    <n v="1"/>
    <n v="6"/>
    <n v="5"/>
    <n v="3"/>
    <n v="4"/>
    <n v="3"/>
    <n v="1"/>
    <n v="2"/>
    <n v="0"/>
    <x v="0"/>
    <x v="0"/>
    <s v="0-5k"/>
    <x v="0"/>
    <x v="0"/>
    <x v="1"/>
  </r>
  <r>
    <n v="32"/>
    <s v="Yes"/>
    <x v="0"/>
    <n v="515"/>
    <x v="1"/>
    <n v="1"/>
    <n v="3"/>
    <s v="Life Sciences"/>
    <n v="1"/>
    <n v="331"/>
    <n v="4"/>
    <x v="1"/>
    <n v="62"/>
    <n v="2"/>
    <n v="1"/>
    <s v="Laboratory Technician"/>
    <n v="3"/>
    <s v="Single"/>
    <n v="3730"/>
    <n v="9571"/>
    <n v="0"/>
    <s v="Y"/>
    <s v="Yes"/>
    <n v="14"/>
    <x v="0"/>
    <n v="4"/>
    <n v="80"/>
    <n v="0"/>
    <n v="4"/>
    <n v="2"/>
    <n v="1"/>
    <n v="3"/>
    <n v="2"/>
    <n v="1"/>
    <n v="2"/>
    <n v="1"/>
    <x v="0"/>
    <x v="0"/>
    <s v="0-5k"/>
    <x v="0"/>
    <x v="0"/>
    <x v="2"/>
  </r>
  <r>
    <n v="39"/>
    <s v="No"/>
    <x v="0"/>
    <n v="1431"/>
    <x v="1"/>
    <n v="1"/>
    <n v="4"/>
    <s v="Medical"/>
    <n v="1"/>
    <n v="332"/>
    <n v="3"/>
    <x v="0"/>
    <n v="96"/>
    <n v="3"/>
    <n v="1"/>
    <s v="Laboratory Technician"/>
    <n v="3"/>
    <s v="Divorced"/>
    <n v="2232"/>
    <n v="15417"/>
    <n v="7"/>
    <s v="Y"/>
    <s v="No"/>
    <n v="14"/>
    <x v="0"/>
    <n v="3"/>
    <n v="80"/>
    <n v="3"/>
    <n v="7"/>
    <n v="1"/>
    <n v="3"/>
    <n v="3"/>
    <n v="2"/>
    <n v="1"/>
    <n v="2"/>
    <n v="0"/>
    <x v="0"/>
    <x v="0"/>
    <s v="0-5k"/>
    <x v="0"/>
    <x v="0"/>
    <x v="2"/>
  </r>
  <r>
    <n v="32"/>
    <s v="No"/>
    <x v="2"/>
    <n v="976"/>
    <x v="0"/>
    <n v="26"/>
    <n v="4"/>
    <s v="Marketing"/>
    <n v="1"/>
    <n v="333"/>
    <n v="3"/>
    <x v="1"/>
    <n v="100"/>
    <n v="3"/>
    <n v="2"/>
    <s v="Sales Executive"/>
    <n v="4"/>
    <s v="Married"/>
    <n v="4465"/>
    <n v="12069"/>
    <n v="0"/>
    <s v="Y"/>
    <s v="No"/>
    <n v="18"/>
    <x v="0"/>
    <n v="1"/>
    <n v="80"/>
    <n v="0"/>
    <n v="4"/>
    <n v="2"/>
    <n v="3"/>
    <n v="3"/>
    <n v="2"/>
    <n v="2"/>
    <n v="2"/>
    <n v="0"/>
    <x v="0"/>
    <x v="1"/>
    <s v="0-5k"/>
    <x v="0"/>
    <x v="0"/>
    <x v="0"/>
  </r>
  <r>
    <n v="41"/>
    <s v="No"/>
    <x v="0"/>
    <n v="1411"/>
    <x v="1"/>
    <n v="19"/>
    <n v="2"/>
    <s v="Life Sciences"/>
    <n v="1"/>
    <n v="334"/>
    <n v="3"/>
    <x v="1"/>
    <n v="36"/>
    <n v="3"/>
    <n v="2"/>
    <s v="Research Scientist"/>
    <n v="1"/>
    <s v="Divorced"/>
    <n v="3072"/>
    <n v="19877"/>
    <n v="2"/>
    <s v="Y"/>
    <s v="No"/>
    <n v="16"/>
    <x v="0"/>
    <n v="1"/>
    <n v="80"/>
    <n v="2"/>
    <n v="17"/>
    <n v="2"/>
    <n v="2"/>
    <n v="1"/>
    <n v="0"/>
    <n v="0"/>
    <n v="0"/>
    <n v="0"/>
    <x v="0"/>
    <x v="2"/>
    <s v="0-5k"/>
    <x v="0"/>
    <x v="0"/>
    <x v="3"/>
  </r>
  <r>
    <n v="40"/>
    <s v="No"/>
    <x v="0"/>
    <n v="1300"/>
    <x v="1"/>
    <n v="24"/>
    <n v="2"/>
    <s v="Technical Degree"/>
    <n v="1"/>
    <n v="335"/>
    <n v="1"/>
    <x v="1"/>
    <n v="62"/>
    <n v="3"/>
    <n v="2"/>
    <s v="Research Scientist"/>
    <n v="4"/>
    <s v="Divorced"/>
    <n v="3319"/>
    <n v="24447"/>
    <n v="1"/>
    <s v="Y"/>
    <s v="No"/>
    <n v="17"/>
    <x v="0"/>
    <n v="1"/>
    <n v="80"/>
    <n v="2"/>
    <n v="9"/>
    <n v="3"/>
    <n v="3"/>
    <n v="9"/>
    <n v="8"/>
    <n v="4"/>
    <n v="7"/>
    <n v="0"/>
    <x v="0"/>
    <x v="1"/>
    <s v="0-5k"/>
    <x v="0"/>
    <x v="0"/>
    <x v="0"/>
  </r>
  <r>
    <n v="45"/>
    <s v="No"/>
    <x v="0"/>
    <n v="252"/>
    <x v="1"/>
    <n v="1"/>
    <n v="3"/>
    <s v="Other"/>
    <n v="1"/>
    <n v="336"/>
    <n v="3"/>
    <x v="1"/>
    <n v="70"/>
    <n v="4"/>
    <n v="5"/>
    <s v="Manager"/>
    <n v="4"/>
    <s v="Married"/>
    <n v="19202"/>
    <n v="15970"/>
    <n v="0"/>
    <s v="Y"/>
    <s v="No"/>
    <n v="11"/>
    <x v="0"/>
    <n v="3"/>
    <n v="80"/>
    <n v="1"/>
    <n v="25"/>
    <n v="2"/>
    <n v="3"/>
    <n v="24"/>
    <n v="0"/>
    <n v="1"/>
    <n v="7"/>
    <n v="0"/>
    <x v="0"/>
    <x v="0"/>
    <s v="15k+"/>
    <x v="1"/>
    <x v="0"/>
    <x v="0"/>
  </r>
  <r>
    <n v="31"/>
    <s v="No"/>
    <x v="1"/>
    <n v="1327"/>
    <x v="1"/>
    <n v="3"/>
    <n v="4"/>
    <s v="Medical"/>
    <n v="1"/>
    <n v="337"/>
    <n v="2"/>
    <x v="1"/>
    <n v="73"/>
    <n v="3"/>
    <n v="3"/>
    <s v="Research Director"/>
    <n v="3"/>
    <s v="Divorced"/>
    <n v="13675"/>
    <n v="13523"/>
    <n v="9"/>
    <s v="Y"/>
    <s v="No"/>
    <n v="12"/>
    <x v="0"/>
    <n v="1"/>
    <n v="80"/>
    <n v="1"/>
    <n v="9"/>
    <n v="3"/>
    <n v="3"/>
    <n v="2"/>
    <n v="2"/>
    <n v="2"/>
    <n v="2"/>
    <n v="0"/>
    <x v="0"/>
    <x v="0"/>
    <s v="10k-15k"/>
    <x v="0"/>
    <x v="0"/>
    <x v="2"/>
  </r>
  <r>
    <n v="33"/>
    <s v="No"/>
    <x v="0"/>
    <n v="832"/>
    <x v="1"/>
    <n v="5"/>
    <n v="4"/>
    <s v="Life Sciences"/>
    <n v="1"/>
    <n v="338"/>
    <n v="3"/>
    <x v="0"/>
    <n v="63"/>
    <n v="2"/>
    <n v="1"/>
    <s v="Research Scientist"/>
    <n v="4"/>
    <s v="Married"/>
    <n v="2911"/>
    <n v="14776"/>
    <n v="1"/>
    <s v="Y"/>
    <s v="No"/>
    <n v="13"/>
    <x v="0"/>
    <n v="3"/>
    <n v="80"/>
    <n v="1"/>
    <n v="2"/>
    <n v="2"/>
    <n v="2"/>
    <n v="2"/>
    <n v="2"/>
    <n v="0"/>
    <n v="2"/>
    <n v="0"/>
    <x v="0"/>
    <x v="0"/>
    <s v="0-5k"/>
    <x v="0"/>
    <x v="0"/>
    <x v="0"/>
  </r>
  <r>
    <n v="34"/>
    <s v="No"/>
    <x v="0"/>
    <n v="470"/>
    <x v="1"/>
    <n v="2"/>
    <n v="4"/>
    <s v="Life Sciences"/>
    <n v="1"/>
    <n v="339"/>
    <n v="4"/>
    <x v="1"/>
    <n v="84"/>
    <n v="2"/>
    <n v="2"/>
    <s v="Manufacturing Director"/>
    <n v="1"/>
    <s v="Married"/>
    <n v="5957"/>
    <n v="23687"/>
    <n v="6"/>
    <s v="Y"/>
    <s v="No"/>
    <n v="13"/>
    <x v="0"/>
    <n v="2"/>
    <n v="80"/>
    <n v="1"/>
    <n v="13"/>
    <n v="3"/>
    <n v="3"/>
    <n v="11"/>
    <n v="9"/>
    <n v="5"/>
    <n v="9"/>
    <n v="0"/>
    <x v="0"/>
    <x v="0"/>
    <s v="5k-10k"/>
    <x v="2"/>
    <x v="0"/>
    <x v="3"/>
  </r>
  <r>
    <n v="37"/>
    <s v="No"/>
    <x v="0"/>
    <n v="1017"/>
    <x v="1"/>
    <n v="1"/>
    <n v="2"/>
    <s v="Medical"/>
    <n v="1"/>
    <n v="340"/>
    <n v="3"/>
    <x v="0"/>
    <n v="83"/>
    <n v="2"/>
    <n v="1"/>
    <s v="Research Scientist"/>
    <n v="1"/>
    <s v="Married"/>
    <n v="3920"/>
    <n v="18697"/>
    <n v="2"/>
    <s v="Y"/>
    <s v="No"/>
    <n v="14"/>
    <x v="0"/>
    <n v="1"/>
    <n v="80"/>
    <n v="1"/>
    <n v="17"/>
    <n v="2"/>
    <n v="2"/>
    <n v="3"/>
    <n v="1"/>
    <n v="0"/>
    <n v="2"/>
    <n v="0"/>
    <x v="0"/>
    <x v="0"/>
    <s v="0-5k"/>
    <x v="0"/>
    <x v="0"/>
    <x v="3"/>
  </r>
  <r>
    <n v="45"/>
    <s v="No"/>
    <x v="1"/>
    <n v="1199"/>
    <x v="1"/>
    <n v="7"/>
    <n v="4"/>
    <s v="Life Sciences"/>
    <n v="1"/>
    <n v="341"/>
    <n v="1"/>
    <x v="1"/>
    <n v="77"/>
    <n v="4"/>
    <n v="2"/>
    <s v="Manufacturing Director"/>
    <n v="3"/>
    <s v="Married"/>
    <n v="6434"/>
    <n v="5118"/>
    <n v="4"/>
    <s v="Y"/>
    <s v="No"/>
    <n v="17"/>
    <x v="0"/>
    <n v="4"/>
    <n v="80"/>
    <n v="1"/>
    <n v="9"/>
    <n v="1"/>
    <n v="3"/>
    <n v="3"/>
    <n v="2"/>
    <n v="0"/>
    <n v="2"/>
    <n v="0"/>
    <x v="0"/>
    <x v="0"/>
    <s v="5k-10k"/>
    <x v="0"/>
    <x v="0"/>
    <x v="2"/>
  </r>
  <r>
    <n v="37"/>
    <s v="Yes"/>
    <x v="1"/>
    <n v="504"/>
    <x v="1"/>
    <n v="10"/>
    <n v="3"/>
    <s v="Medical"/>
    <n v="1"/>
    <n v="342"/>
    <n v="1"/>
    <x v="1"/>
    <n v="61"/>
    <n v="3"/>
    <n v="3"/>
    <s v="Manufacturing Director"/>
    <n v="3"/>
    <s v="Divorced"/>
    <n v="10048"/>
    <n v="22573"/>
    <n v="6"/>
    <s v="Y"/>
    <s v="No"/>
    <n v="11"/>
    <x v="0"/>
    <n v="2"/>
    <n v="80"/>
    <n v="2"/>
    <n v="17"/>
    <n v="5"/>
    <n v="3"/>
    <n v="1"/>
    <n v="0"/>
    <n v="0"/>
    <n v="0"/>
    <n v="1"/>
    <x v="0"/>
    <x v="0"/>
    <s v="10k-15k"/>
    <x v="0"/>
    <x v="0"/>
    <x v="2"/>
  </r>
  <r>
    <n v="39"/>
    <s v="No"/>
    <x v="1"/>
    <n v="505"/>
    <x v="1"/>
    <n v="2"/>
    <n v="4"/>
    <s v="Technical Degree"/>
    <n v="1"/>
    <n v="343"/>
    <n v="3"/>
    <x v="0"/>
    <n v="64"/>
    <n v="3"/>
    <n v="3"/>
    <s v="Healthcare Representative"/>
    <n v="3"/>
    <s v="Single"/>
    <n v="10938"/>
    <n v="6420"/>
    <n v="0"/>
    <s v="Y"/>
    <s v="No"/>
    <n v="25"/>
    <x v="1"/>
    <n v="4"/>
    <n v="80"/>
    <n v="0"/>
    <n v="20"/>
    <n v="1"/>
    <n v="3"/>
    <n v="19"/>
    <n v="6"/>
    <n v="11"/>
    <n v="8"/>
    <n v="0"/>
    <x v="0"/>
    <x v="0"/>
    <s v="10k-15k"/>
    <x v="2"/>
    <x v="1"/>
    <x v="2"/>
  </r>
  <r>
    <n v="29"/>
    <s v="No"/>
    <x v="0"/>
    <n v="665"/>
    <x v="1"/>
    <n v="15"/>
    <n v="3"/>
    <s v="Life Sciences"/>
    <n v="1"/>
    <n v="346"/>
    <n v="3"/>
    <x v="1"/>
    <n v="60"/>
    <n v="3"/>
    <n v="1"/>
    <s v="Research Scientist"/>
    <n v="4"/>
    <s v="Single"/>
    <n v="2340"/>
    <n v="22673"/>
    <n v="1"/>
    <s v="Y"/>
    <s v="No"/>
    <n v="19"/>
    <x v="0"/>
    <n v="1"/>
    <n v="80"/>
    <n v="0"/>
    <n v="6"/>
    <n v="1"/>
    <n v="3"/>
    <n v="6"/>
    <n v="5"/>
    <n v="1"/>
    <n v="5"/>
    <n v="0"/>
    <x v="2"/>
    <x v="2"/>
    <s v="0-5k"/>
    <x v="0"/>
    <x v="0"/>
    <x v="0"/>
  </r>
  <r>
    <n v="42"/>
    <s v="No"/>
    <x v="0"/>
    <n v="916"/>
    <x v="1"/>
    <n v="17"/>
    <n v="2"/>
    <s v="Life Sciences"/>
    <n v="1"/>
    <n v="347"/>
    <n v="4"/>
    <x v="0"/>
    <n v="82"/>
    <n v="4"/>
    <n v="2"/>
    <s v="Research Scientist"/>
    <n v="1"/>
    <s v="Single"/>
    <n v="6545"/>
    <n v="23016"/>
    <n v="3"/>
    <s v="Y"/>
    <s v="Yes"/>
    <n v="13"/>
    <x v="0"/>
    <n v="3"/>
    <n v="80"/>
    <n v="0"/>
    <n v="10"/>
    <n v="1"/>
    <n v="3"/>
    <n v="3"/>
    <n v="2"/>
    <n v="0"/>
    <n v="2"/>
    <n v="0"/>
    <x v="0"/>
    <x v="2"/>
    <s v="5k-10k"/>
    <x v="0"/>
    <x v="0"/>
    <x v="3"/>
  </r>
  <r>
    <n v="29"/>
    <s v="No"/>
    <x v="0"/>
    <n v="1247"/>
    <x v="0"/>
    <n v="20"/>
    <n v="2"/>
    <s v="Marketing"/>
    <n v="1"/>
    <n v="349"/>
    <n v="4"/>
    <x v="1"/>
    <n v="45"/>
    <n v="3"/>
    <n v="2"/>
    <s v="Sales Executive"/>
    <n v="4"/>
    <s v="Divorced"/>
    <n v="6931"/>
    <n v="10732"/>
    <n v="2"/>
    <s v="Y"/>
    <s v="No"/>
    <n v="14"/>
    <x v="0"/>
    <n v="4"/>
    <n v="80"/>
    <n v="1"/>
    <n v="10"/>
    <n v="2"/>
    <n v="3"/>
    <n v="3"/>
    <n v="2"/>
    <n v="0"/>
    <n v="2"/>
    <n v="0"/>
    <x v="2"/>
    <x v="2"/>
    <s v="5k-10k"/>
    <x v="0"/>
    <x v="0"/>
    <x v="0"/>
  </r>
  <r>
    <n v="25"/>
    <s v="No"/>
    <x v="0"/>
    <n v="685"/>
    <x v="1"/>
    <n v="1"/>
    <n v="3"/>
    <s v="Life Sciences"/>
    <n v="1"/>
    <n v="350"/>
    <n v="1"/>
    <x v="0"/>
    <n v="62"/>
    <n v="3"/>
    <n v="2"/>
    <s v="Manufacturing Director"/>
    <n v="3"/>
    <s v="Married"/>
    <n v="4898"/>
    <n v="7505"/>
    <n v="0"/>
    <s v="Y"/>
    <s v="No"/>
    <n v="12"/>
    <x v="0"/>
    <n v="4"/>
    <n v="80"/>
    <n v="2"/>
    <n v="5"/>
    <n v="3"/>
    <n v="3"/>
    <n v="4"/>
    <n v="2"/>
    <n v="1"/>
    <n v="2"/>
    <n v="0"/>
    <x v="2"/>
    <x v="0"/>
    <s v="0-5k"/>
    <x v="0"/>
    <x v="0"/>
    <x v="2"/>
  </r>
  <r>
    <n v="42"/>
    <s v="No"/>
    <x v="0"/>
    <n v="269"/>
    <x v="1"/>
    <n v="2"/>
    <n v="3"/>
    <s v="Medical"/>
    <n v="1"/>
    <n v="351"/>
    <n v="4"/>
    <x v="0"/>
    <n v="56"/>
    <n v="2"/>
    <n v="1"/>
    <s v="Laboratory Technician"/>
    <n v="1"/>
    <s v="Divorced"/>
    <n v="2593"/>
    <n v="8007"/>
    <n v="0"/>
    <s v="Y"/>
    <s v="Yes"/>
    <n v="11"/>
    <x v="0"/>
    <n v="3"/>
    <n v="80"/>
    <n v="1"/>
    <n v="10"/>
    <n v="4"/>
    <n v="3"/>
    <n v="9"/>
    <n v="6"/>
    <n v="7"/>
    <n v="8"/>
    <n v="0"/>
    <x v="0"/>
    <x v="0"/>
    <s v="0-5k"/>
    <x v="0"/>
    <x v="0"/>
    <x v="3"/>
  </r>
  <r>
    <n v="40"/>
    <s v="No"/>
    <x v="0"/>
    <n v="1416"/>
    <x v="1"/>
    <n v="2"/>
    <n v="2"/>
    <s v="Medical"/>
    <n v="1"/>
    <n v="352"/>
    <n v="1"/>
    <x v="1"/>
    <n v="49"/>
    <n v="3"/>
    <n v="5"/>
    <s v="Research Director"/>
    <n v="3"/>
    <s v="Divorced"/>
    <n v="19436"/>
    <n v="5949"/>
    <n v="0"/>
    <s v="Y"/>
    <s v="No"/>
    <n v="19"/>
    <x v="0"/>
    <n v="4"/>
    <n v="80"/>
    <n v="1"/>
    <n v="22"/>
    <n v="5"/>
    <n v="3"/>
    <n v="21"/>
    <n v="7"/>
    <n v="3"/>
    <n v="9"/>
    <n v="0"/>
    <x v="0"/>
    <x v="0"/>
    <s v="15k+"/>
    <x v="1"/>
    <x v="0"/>
    <x v="2"/>
  </r>
  <r>
    <n v="51"/>
    <s v="No"/>
    <x v="0"/>
    <n v="833"/>
    <x v="1"/>
    <n v="1"/>
    <n v="3"/>
    <s v="Life Sciences"/>
    <n v="1"/>
    <n v="353"/>
    <n v="3"/>
    <x v="1"/>
    <n v="96"/>
    <n v="3"/>
    <n v="1"/>
    <s v="Research Scientist"/>
    <n v="4"/>
    <s v="Married"/>
    <n v="2723"/>
    <n v="23231"/>
    <n v="1"/>
    <s v="Y"/>
    <s v="No"/>
    <n v="11"/>
    <x v="0"/>
    <n v="2"/>
    <n v="80"/>
    <n v="0"/>
    <n v="1"/>
    <n v="0"/>
    <n v="2"/>
    <n v="1"/>
    <n v="0"/>
    <n v="0"/>
    <n v="0"/>
    <n v="0"/>
    <x v="1"/>
    <x v="0"/>
    <s v="0-5k"/>
    <x v="0"/>
    <x v="0"/>
    <x v="0"/>
  </r>
  <r>
    <n v="31"/>
    <s v="Yes"/>
    <x v="1"/>
    <n v="307"/>
    <x v="1"/>
    <n v="29"/>
    <n v="2"/>
    <s v="Medical"/>
    <n v="1"/>
    <n v="355"/>
    <n v="3"/>
    <x v="1"/>
    <n v="71"/>
    <n v="2"/>
    <n v="1"/>
    <s v="Laboratory Technician"/>
    <n v="2"/>
    <s v="Single"/>
    <n v="3479"/>
    <n v="11652"/>
    <n v="0"/>
    <s v="Y"/>
    <s v="No"/>
    <n v="11"/>
    <x v="0"/>
    <n v="2"/>
    <n v="80"/>
    <n v="0"/>
    <n v="6"/>
    <n v="2"/>
    <n v="4"/>
    <n v="5"/>
    <n v="4"/>
    <n v="1"/>
    <n v="4"/>
    <n v="1"/>
    <x v="0"/>
    <x v="1"/>
    <s v="0-5k"/>
    <x v="0"/>
    <x v="0"/>
    <x v="1"/>
  </r>
  <r>
    <n v="32"/>
    <s v="No"/>
    <x v="1"/>
    <n v="1311"/>
    <x v="1"/>
    <n v="7"/>
    <n v="3"/>
    <s v="Life Sciences"/>
    <n v="1"/>
    <n v="359"/>
    <n v="2"/>
    <x v="1"/>
    <n v="100"/>
    <n v="4"/>
    <n v="1"/>
    <s v="Laboratory Technician"/>
    <n v="2"/>
    <s v="Married"/>
    <n v="2794"/>
    <n v="26062"/>
    <n v="1"/>
    <s v="Y"/>
    <s v="No"/>
    <n v="20"/>
    <x v="1"/>
    <n v="3"/>
    <n v="80"/>
    <n v="0"/>
    <n v="5"/>
    <n v="3"/>
    <n v="1"/>
    <n v="5"/>
    <n v="1"/>
    <n v="0"/>
    <n v="3"/>
    <n v="0"/>
    <x v="0"/>
    <x v="0"/>
    <s v="0-5k"/>
    <x v="0"/>
    <x v="1"/>
    <x v="1"/>
  </r>
  <r>
    <n v="38"/>
    <s v="No"/>
    <x v="2"/>
    <n v="1327"/>
    <x v="0"/>
    <n v="2"/>
    <n v="2"/>
    <s v="Life Sciences"/>
    <n v="1"/>
    <n v="361"/>
    <n v="4"/>
    <x v="1"/>
    <n v="39"/>
    <n v="2"/>
    <n v="2"/>
    <s v="Sales Executive"/>
    <n v="4"/>
    <s v="Married"/>
    <n v="5249"/>
    <n v="19682"/>
    <n v="3"/>
    <s v="Y"/>
    <s v="No"/>
    <n v="18"/>
    <x v="0"/>
    <n v="4"/>
    <n v="80"/>
    <n v="1"/>
    <n v="13"/>
    <n v="0"/>
    <n v="3"/>
    <n v="8"/>
    <n v="7"/>
    <n v="7"/>
    <n v="5"/>
    <n v="0"/>
    <x v="0"/>
    <x v="0"/>
    <s v="5k-10k"/>
    <x v="0"/>
    <x v="0"/>
    <x v="0"/>
  </r>
  <r>
    <n v="32"/>
    <s v="No"/>
    <x v="0"/>
    <n v="128"/>
    <x v="1"/>
    <n v="2"/>
    <n v="1"/>
    <s v="Technical Degree"/>
    <n v="1"/>
    <n v="362"/>
    <n v="4"/>
    <x v="1"/>
    <n v="84"/>
    <n v="2"/>
    <n v="2"/>
    <s v="Laboratory Technician"/>
    <n v="1"/>
    <s v="Single"/>
    <n v="2176"/>
    <n v="19737"/>
    <n v="4"/>
    <s v="Y"/>
    <s v="No"/>
    <n v="13"/>
    <x v="0"/>
    <n v="4"/>
    <n v="80"/>
    <n v="0"/>
    <n v="9"/>
    <n v="5"/>
    <n v="3"/>
    <n v="6"/>
    <n v="2"/>
    <n v="0"/>
    <n v="4"/>
    <n v="0"/>
    <x v="0"/>
    <x v="0"/>
    <s v="0-5k"/>
    <x v="0"/>
    <x v="0"/>
    <x v="3"/>
  </r>
  <r>
    <n v="46"/>
    <s v="No"/>
    <x v="0"/>
    <n v="488"/>
    <x v="0"/>
    <n v="2"/>
    <n v="3"/>
    <s v="Technical Degree"/>
    <n v="1"/>
    <n v="363"/>
    <n v="3"/>
    <x v="0"/>
    <n v="75"/>
    <n v="1"/>
    <n v="4"/>
    <s v="Manager"/>
    <n v="2"/>
    <s v="Married"/>
    <n v="16872"/>
    <n v="14977"/>
    <n v="3"/>
    <s v="Y"/>
    <s v="Yes"/>
    <n v="12"/>
    <x v="0"/>
    <n v="2"/>
    <n v="80"/>
    <n v="1"/>
    <n v="28"/>
    <n v="2"/>
    <n v="2"/>
    <n v="7"/>
    <n v="7"/>
    <n v="7"/>
    <n v="7"/>
    <n v="0"/>
    <x v="1"/>
    <x v="0"/>
    <s v="15k+"/>
    <x v="0"/>
    <x v="0"/>
    <x v="1"/>
  </r>
  <r>
    <n v="28"/>
    <s v="Yes"/>
    <x v="0"/>
    <n v="529"/>
    <x v="1"/>
    <n v="2"/>
    <n v="4"/>
    <s v="Life Sciences"/>
    <n v="1"/>
    <n v="364"/>
    <n v="1"/>
    <x v="1"/>
    <n v="79"/>
    <n v="3"/>
    <n v="1"/>
    <s v="Laboratory Technician"/>
    <n v="3"/>
    <s v="Single"/>
    <n v="3485"/>
    <n v="14935"/>
    <n v="2"/>
    <s v="Y"/>
    <s v="No"/>
    <n v="11"/>
    <x v="0"/>
    <n v="3"/>
    <n v="80"/>
    <n v="0"/>
    <n v="5"/>
    <n v="5"/>
    <n v="1"/>
    <n v="0"/>
    <n v="0"/>
    <n v="0"/>
    <n v="0"/>
    <n v="1"/>
    <x v="2"/>
    <x v="0"/>
    <s v="0-5k"/>
    <x v="0"/>
    <x v="0"/>
    <x v="2"/>
  </r>
  <r>
    <n v="29"/>
    <s v="No"/>
    <x v="0"/>
    <n v="1210"/>
    <x v="0"/>
    <n v="2"/>
    <n v="3"/>
    <s v="Medical"/>
    <n v="1"/>
    <n v="366"/>
    <n v="1"/>
    <x v="1"/>
    <n v="78"/>
    <n v="2"/>
    <n v="2"/>
    <s v="Sales Executive"/>
    <n v="2"/>
    <s v="Married"/>
    <n v="6644"/>
    <n v="3687"/>
    <n v="2"/>
    <s v="Y"/>
    <s v="No"/>
    <n v="19"/>
    <x v="0"/>
    <n v="2"/>
    <n v="80"/>
    <n v="2"/>
    <n v="10"/>
    <n v="2"/>
    <n v="3"/>
    <n v="0"/>
    <n v="0"/>
    <n v="0"/>
    <n v="0"/>
    <n v="0"/>
    <x v="2"/>
    <x v="0"/>
    <s v="5k-10k"/>
    <x v="0"/>
    <x v="0"/>
    <x v="1"/>
  </r>
  <r>
    <n v="31"/>
    <s v="No"/>
    <x v="0"/>
    <n v="1463"/>
    <x v="1"/>
    <n v="23"/>
    <n v="3"/>
    <s v="Medical"/>
    <n v="1"/>
    <n v="367"/>
    <n v="2"/>
    <x v="1"/>
    <n v="64"/>
    <n v="2"/>
    <n v="2"/>
    <s v="Healthcare Representative"/>
    <n v="4"/>
    <s v="Married"/>
    <n v="5582"/>
    <n v="14408"/>
    <n v="0"/>
    <s v="Y"/>
    <s v="No"/>
    <n v="21"/>
    <x v="1"/>
    <n v="2"/>
    <n v="80"/>
    <n v="1"/>
    <n v="10"/>
    <n v="2"/>
    <n v="3"/>
    <n v="9"/>
    <n v="0"/>
    <n v="7"/>
    <n v="8"/>
    <n v="0"/>
    <x v="0"/>
    <x v="1"/>
    <s v="5k-10k"/>
    <x v="0"/>
    <x v="1"/>
    <x v="0"/>
  </r>
  <r>
    <n v="25"/>
    <s v="No"/>
    <x v="2"/>
    <n v="675"/>
    <x v="1"/>
    <n v="5"/>
    <n v="2"/>
    <s v="Life Sciences"/>
    <n v="1"/>
    <n v="369"/>
    <n v="2"/>
    <x v="1"/>
    <n v="85"/>
    <n v="4"/>
    <n v="2"/>
    <s v="Healthcare Representative"/>
    <n v="1"/>
    <s v="Divorced"/>
    <n v="4000"/>
    <n v="18384"/>
    <n v="1"/>
    <s v="Y"/>
    <s v="No"/>
    <n v="12"/>
    <x v="0"/>
    <n v="4"/>
    <n v="80"/>
    <n v="2"/>
    <n v="6"/>
    <n v="2"/>
    <n v="3"/>
    <n v="6"/>
    <n v="3"/>
    <n v="1"/>
    <n v="5"/>
    <n v="0"/>
    <x v="2"/>
    <x v="0"/>
    <s v="0-5k"/>
    <x v="0"/>
    <x v="0"/>
    <x v="3"/>
  </r>
  <r>
    <n v="45"/>
    <s v="No"/>
    <x v="0"/>
    <n v="1385"/>
    <x v="1"/>
    <n v="20"/>
    <n v="2"/>
    <s v="Medical"/>
    <n v="1"/>
    <n v="372"/>
    <n v="3"/>
    <x v="1"/>
    <n v="79"/>
    <n v="3"/>
    <n v="4"/>
    <s v="Healthcare Representative"/>
    <n v="4"/>
    <s v="Married"/>
    <n v="13496"/>
    <n v="7501"/>
    <n v="0"/>
    <s v="Y"/>
    <s v="Yes"/>
    <n v="14"/>
    <x v="0"/>
    <n v="2"/>
    <n v="80"/>
    <n v="0"/>
    <n v="21"/>
    <n v="2"/>
    <n v="3"/>
    <n v="20"/>
    <n v="7"/>
    <n v="4"/>
    <n v="10"/>
    <n v="0"/>
    <x v="0"/>
    <x v="2"/>
    <s v="10k-15k"/>
    <x v="2"/>
    <x v="0"/>
    <x v="0"/>
  </r>
  <r>
    <n v="36"/>
    <s v="No"/>
    <x v="0"/>
    <n v="1403"/>
    <x v="1"/>
    <n v="6"/>
    <n v="3"/>
    <s v="Life Sciences"/>
    <n v="1"/>
    <n v="373"/>
    <n v="4"/>
    <x v="1"/>
    <n v="47"/>
    <n v="3"/>
    <n v="1"/>
    <s v="Laboratory Technician"/>
    <n v="4"/>
    <s v="Married"/>
    <n v="3210"/>
    <n v="20251"/>
    <n v="0"/>
    <s v="Y"/>
    <s v="No"/>
    <n v="11"/>
    <x v="0"/>
    <n v="3"/>
    <n v="80"/>
    <n v="1"/>
    <n v="16"/>
    <n v="4"/>
    <n v="3"/>
    <n v="15"/>
    <n v="13"/>
    <n v="10"/>
    <n v="11"/>
    <n v="0"/>
    <x v="0"/>
    <x v="0"/>
    <s v="0-5k"/>
    <x v="2"/>
    <x v="0"/>
    <x v="0"/>
  </r>
  <r>
    <n v="55"/>
    <s v="No"/>
    <x v="0"/>
    <n v="452"/>
    <x v="1"/>
    <n v="1"/>
    <n v="3"/>
    <s v="Medical"/>
    <n v="1"/>
    <n v="374"/>
    <n v="4"/>
    <x v="1"/>
    <n v="81"/>
    <n v="3"/>
    <n v="5"/>
    <s v="Manager"/>
    <n v="1"/>
    <s v="Single"/>
    <n v="19045"/>
    <n v="18938"/>
    <n v="0"/>
    <s v="Y"/>
    <s v="Yes"/>
    <n v="14"/>
    <x v="0"/>
    <n v="3"/>
    <n v="80"/>
    <n v="0"/>
    <n v="37"/>
    <n v="2"/>
    <n v="3"/>
    <n v="36"/>
    <n v="10"/>
    <n v="4"/>
    <n v="13"/>
    <n v="0"/>
    <x v="1"/>
    <x v="0"/>
    <s v="15k+"/>
    <x v="3"/>
    <x v="0"/>
    <x v="3"/>
  </r>
  <r>
    <n v="47"/>
    <s v="Yes"/>
    <x v="2"/>
    <n v="666"/>
    <x v="1"/>
    <n v="29"/>
    <n v="4"/>
    <s v="Life Sciences"/>
    <n v="1"/>
    <n v="376"/>
    <n v="1"/>
    <x v="1"/>
    <n v="88"/>
    <n v="3"/>
    <n v="3"/>
    <s v="Manager"/>
    <n v="2"/>
    <s v="Married"/>
    <n v="11849"/>
    <n v="10268"/>
    <n v="1"/>
    <s v="Y"/>
    <s v="Yes"/>
    <n v="12"/>
    <x v="0"/>
    <n v="4"/>
    <n v="80"/>
    <n v="1"/>
    <n v="10"/>
    <n v="2"/>
    <n v="2"/>
    <n v="10"/>
    <n v="7"/>
    <n v="9"/>
    <n v="9"/>
    <n v="1"/>
    <x v="1"/>
    <x v="1"/>
    <s v="10k-15k"/>
    <x v="0"/>
    <x v="0"/>
    <x v="1"/>
  </r>
  <r>
    <n v="28"/>
    <s v="No"/>
    <x v="0"/>
    <n v="1158"/>
    <x v="1"/>
    <n v="9"/>
    <n v="3"/>
    <s v="Medical"/>
    <n v="1"/>
    <n v="377"/>
    <n v="4"/>
    <x v="1"/>
    <n v="94"/>
    <n v="3"/>
    <n v="1"/>
    <s v="Research Scientist"/>
    <n v="4"/>
    <s v="Married"/>
    <n v="2070"/>
    <n v="2613"/>
    <n v="1"/>
    <s v="Y"/>
    <s v="No"/>
    <n v="23"/>
    <x v="1"/>
    <n v="4"/>
    <n v="80"/>
    <n v="1"/>
    <n v="5"/>
    <n v="3"/>
    <n v="2"/>
    <n v="5"/>
    <n v="2"/>
    <n v="0"/>
    <n v="4"/>
    <n v="0"/>
    <x v="2"/>
    <x v="0"/>
    <s v="0-5k"/>
    <x v="0"/>
    <x v="1"/>
    <x v="0"/>
  </r>
  <r>
    <n v="37"/>
    <s v="No"/>
    <x v="0"/>
    <n v="228"/>
    <x v="0"/>
    <n v="6"/>
    <n v="4"/>
    <s v="Medical"/>
    <n v="1"/>
    <n v="378"/>
    <n v="3"/>
    <x v="1"/>
    <n v="98"/>
    <n v="3"/>
    <n v="2"/>
    <s v="Sales Executive"/>
    <n v="4"/>
    <s v="Married"/>
    <n v="6502"/>
    <n v="22825"/>
    <n v="4"/>
    <s v="Y"/>
    <s v="No"/>
    <n v="14"/>
    <x v="0"/>
    <n v="2"/>
    <n v="80"/>
    <n v="1"/>
    <n v="7"/>
    <n v="5"/>
    <n v="4"/>
    <n v="5"/>
    <n v="4"/>
    <n v="0"/>
    <n v="1"/>
    <n v="0"/>
    <x v="0"/>
    <x v="0"/>
    <s v="5k-10k"/>
    <x v="0"/>
    <x v="0"/>
    <x v="0"/>
  </r>
  <r>
    <n v="21"/>
    <s v="No"/>
    <x v="0"/>
    <n v="996"/>
    <x v="1"/>
    <n v="3"/>
    <n v="2"/>
    <s v="Medical"/>
    <n v="1"/>
    <n v="379"/>
    <n v="4"/>
    <x v="1"/>
    <n v="100"/>
    <n v="2"/>
    <n v="1"/>
    <s v="Research Scientist"/>
    <n v="3"/>
    <s v="Single"/>
    <n v="3230"/>
    <n v="10531"/>
    <n v="1"/>
    <s v="Y"/>
    <s v="No"/>
    <n v="17"/>
    <x v="0"/>
    <n v="1"/>
    <n v="80"/>
    <n v="0"/>
    <n v="3"/>
    <n v="4"/>
    <n v="4"/>
    <n v="3"/>
    <n v="2"/>
    <n v="1"/>
    <n v="0"/>
    <n v="0"/>
    <x v="2"/>
    <x v="0"/>
    <s v="0-5k"/>
    <x v="0"/>
    <x v="0"/>
    <x v="2"/>
  </r>
  <r>
    <n v="37"/>
    <s v="No"/>
    <x v="2"/>
    <n v="728"/>
    <x v="1"/>
    <n v="1"/>
    <n v="4"/>
    <s v="Medical"/>
    <n v="1"/>
    <n v="380"/>
    <n v="1"/>
    <x v="0"/>
    <n v="80"/>
    <n v="3"/>
    <n v="3"/>
    <s v="Research Director"/>
    <n v="4"/>
    <s v="Divorced"/>
    <n v="13603"/>
    <n v="11677"/>
    <n v="2"/>
    <s v="Y"/>
    <s v="Yes"/>
    <n v="18"/>
    <x v="0"/>
    <n v="1"/>
    <n v="80"/>
    <n v="2"/>
    <n v="15"/>
    <n v="2"/>
    <n v="3"/>
    <n v="5"/>
    <n v="2"/>
    <n v="0"/>
    <n v="2"/>
    <n v="0"/>
    <x v="0"/>
    <x v="0"/>
    <s v="10k-15k"/>
    <x v="0"/>
    <x v="0"/>
    <x v="0"/>
  </r>
  <r>
    <n v="35"/>
    <s v="No"/>
    <x v="0"/>
    <n v="1315"/>
    <x v="1"/>
    <n v="22"/>
    <n v="3"/>
    <s v="Life Sciences"/>
    <n v="1"/>
    <n v="381"/>
    <n v="2"/>
    <x v="0"/>
    <n v="71"/>
    <n v="4"/>
    <n v="3"/>
    <s v="Manager"/>
    <n v="2"/>
    <s v="Divorced"/>
    <n v="11996"/>
    <n v="19100"/>
    <n v="7"/>
    <s v="Y"/>
    <s v="No"/>
    <n v="18"/>
    <x v="0"/>
    <n v="2"/>
    <n v="80"/>
    <n v="1"/>
    <n v="10"/>
    <n v="6"/>
    <n v="2"/>
    <n v="7"/>
    <n v="7"/>
    <n v="6"/>
    <n v="2"/>
    <n v="0"/>
    <x v="0"/>
    <x v="1"/>
    <s v="10k-15k"/>
    <x v="0"/>
    <x v="0"/>
    <x v="1"/>
  </r>
  <r>
    <n v="38"/>
    <s v="No"/>
    <x v="0"/>
    <n v="322"/>
    <x v="0"/>
    <n v="7"/>
    <n v="2"/>
    <s v="Medical"/>
    <n v="1"/>
    <n v="382"/>
    <n v="1"/>
    <x v="0"/>
    <n v="44"/>
    <n v="4"/>
    <n v="2"/>
    <s v="Sales Executive"/>
    <n v="1"/>
    <s v="Divorced"/>
    <n v="5605"/>
    <n v="19191"/>
    <n v="1"/>
    <s v="Y"/>
    <s v="Yes"/>
    <n v="24"/>
    <x v="1"/>
    <n v="3"/>
    <n v="80"/>
    <n v="1"/>
    <n v="8"/>
    <n v="3"/>
    <n v="3"/>
    <n v="8"/>
    <n v="0"/>
    <n v="7"/>
    <n v="7"/>
    <n v="0"/>
    <x v="0"/>
    <x v="0"/>
    <s v="5k-10k"/>
    <x v="0"/>
    <x v="1"/>
    <x v="3"/>
  </r>
  <r>
    <n v="26"/>
    <s v="No"/>
    <x v="1"/>
    <n v="1479"/>
    <x v="1"/>
    <n v="1"/>
    <n v="3"/>
    <s v="Life Sciences"/>
    <n v="1"/>
    <n v="384"/>
    <n v="3"/>
    <x v="0"/>
    <n v="84"/>
    <n v="3"/>
    <n v="2"/>
    <s v="Manufacturing Director"/>
    <n v="2"/>
    <s v="Divorced"/>
    <n v="6397"/>
    <n v="26767"/>
    <n v="1"/>
    <s v="Y"/>
    <s v="No"/>
    <n v="20"/>
    <x v="1"/>
    <n v="1"/>
    <n v="80"/>
    <n v="1"/>
    <n v="6"/>
    <n v="6"/>
    <n v="1"/>
    <n v="6"/>
    <n v="5"/>
    <n v="1"/>
    <n v="4"/>
    <n v="0"/>
    <x v="2"/>
    <x v="0"/>
    <s v="5k-10k"/>
    <x v="0"/>
    <x v="1"/>
    <x v="1"/>
  </r>
  <r>
    <n v="50"/>
    <s v="No"/>
    <x v="0"/>
    <n v="797"/>
    <x v="1"/>
    <n v="4"/>
    <n v="1"/>
    <s v="Life Sciences"/>
    <n v="1"/>
    <n v="385"/>
    <n v="1"/>
    <x v="1"/>
    <n v="96"/>
    <n v="3"/>
    <n v="5"/>
    <s v="Research Director"/>
    <n v="2"/>
    <s v="Divorced"/>
    <n v="19144"/>
    <n v="15815"/>
    <n v="3"/>
    <s v="Y"/>
    <s v="No"/>
    <n v="14"/>
    <x v="0"/>
    <n v="1"/>
    <n v="80"/>
    <n v="2"/>
    <n v="28"/>
    <n v="4"/>
    <n v="2"/>
    <n v="10"/>
    <n v="4"/>
    <n v="1"/>
    <n v="6"/>
    <n v="0"/>
    <x v="1"/>
    <x v="0"/>
    <s v="15k+"/>
    <x v="0"/>
    <x v="0"/>
    <x v="1"/>
  </r>
  <r>
    <n v="53"/>
    <s v="No"/>
    <x v="0"/>
    <n v="1070"/>
    <x v="1"/>
    <n v="3"/>
    <n v="4"/>
    <s v="Medical"/>
    <n v="1"/>
    <n v="386"/>
    <n v="3"/>
    <x v="1"/>
    <n v="45"/>
    <n v="3"/>
    <n v="4"/>
    <s v="Research Director"/>
    <n v="3"/>
    <s v="Married"/>
    <n v="17584"/>
    <n v="21016"/>
    <n v="3"/>
    <s v="Y"/>
    <s v="Yes"/>
    <n v="16"/>
    <x v="0"/>
    <n v="4"/>
    <n v="80"/>
    <n v="3"/>
    <n v="21"/>
    <n v="5"/>
    <n v="2"/>
    <n v="5"/>
    <n v="3"/>
    <n v="1"/>
    <n v="3"/>
    <n v="0"/>
    <x v="1"/>
    <x v="0"/>
    <s v="15k+"/>
    <x v="0"/>
    <x v="0"/>
    <x v="2"/>
  </r>
  <r>
    <n v="42"/>
    <s v="No"/>
    <x v="0"/>
    <n v="635"/>
    <x v="0"/>
    <n v="1"/>
    <n v="1"/>
    <s v="Life Sciences"/>
    <n v="1"/>
    <n v="387"/>
    <n v="2"/>
    <x v="1"/>
    <n v="99"/>
    <n v="3"/>
    <n v="2"/>
    <s v="Sales Executive"/>
    <n v="3"/>
    <s v="Married"/>
    <n v="4907"/>
    <n v="24532"/>
    <n v="1"/>
    <s v="Y"/>
    <s v="No"/>
    <n v="25"/>
    <x v="1"/>
    <n v="3"/>
    <n v="80"/>
    <n v="0"/>
    <n v="20"/>
    <n v="3"/>
    <n v="3"/>
    <n v="20"/>
    <n v="16"/>
    <n v="11"/>
    <n v="6"/>
    <n v="0"/>
    <x v="0"/>
    <x v="0"/>
    <s v="0-5k"/>
    <x v="2"/>
    <x v="1"/>
    <x v="2"/>
  </r>
  <r>
    <n v="29"/>
    <s v="No"/>
    <x v="1"/>
    <n v="442"/>
    <x v="0"/>
    <n v="2"/>
    <n v="2"/>
    <s v="Life Sciences"/>
    <n v="1"/>
    <n v="388"/>
    <n v="2"/>
    <x v="1"/>
    <n v="44"/>
    <n v="3"/>
    <n v="2"/>
    <s v="Sales Executive"/>
    <n v="4"/>
    <s v="Single"/>
    <n v="4554"/>
    <n v="20260"/>
    <n v="1"/>
    <s v="Y"/>
    <s v="No"/>
    <n v="18"/>
    <x v="0"/>
    <n v="1"/>
    <n v="80"/>
    <n v="0"/>
    <n v="10"/>
    <n v="3"/>
    <n v="2"/>
    <n v="10"/>
    <n v="7"/>
    <n v="0"/>
    <n v="9"/>
    <n v="0"/>
    <x v="2"/>
    <x v="0"/>
    <s v="0-5k"/>
    <x v="0"/>
    <x v="0"/>
    <x v="0"/>
  </r>
  <r>
    <n v="55"/>
    <s v="No"/>
    <x v="0"/>
    <n v="147"/>
    <x v="1"/>
    <n v="20"/>
    <n v="2"/>
    <s v="Technical Degree"/>
    <n v="1"/>
    <n v="389"/>
    <n v="2"/>
    <x v="1"/>
    <n v="37"/>
    <n v="3"/>
    <n v="2"/>
    <s v="Laboratory Technician"/>
    <n v="4"/>
    <s v="Married"/>
    <n v="5415"/>
    <n v="15972"/>
    <n v="3"/>
    <s v="Y"/>
    <s v="Yes"/>
    <n v="19"/>
    <x v="0"/>
    <n v="4"/>
    <n v="80"/>
    <n v="1"/>
    <n v="12"/>
    <n v="4"/>
    <n v="3"/>
    <n v="10"/>
    <n v="7"/>
    <n v="0"/>
    <n v="8"/>
    <n v="0"/>
    <x v="1"/>
    <x v="2"/>
    <s v="5k-10k"/>
    <x v="0"/>
    <x v="0"/>
    <x v="0"/>
  </r>
  <r>
    <n v="26"/>
    <s v="No"/>
    <x v="1"/>
    <n v="496"/>
    <x v="1"/>
    <n v="11"/>
    <n v="2"/>
    <s v="Medical"/>
    <n v="1"/>
    <n v="390"/>
    <n v="1"/>
    <x v="1"/>
    <n v="60"/>
    <n v="3"/>
    <n v="2"/>
    <s v="Healthcare Representative"/>
    <n v="1"/>
    <s v="Married"/>
    <n v="4741"/>
    <n v="22722"/>
    <n v="1"/>
    <s v="Y"/>
    <s v="Yes"/>
    <n v="13"/>
    <x v="0"/>
    <n v="3"/>
    <n v="80"/>
    <n v="1"/>
    <n v="5"/>
    <n v="3"/>
    <n v="3"/>
    <n v="5"/>
    <n v="3"/>
    <n v="3"/>
    <n v="3"/>
    <n v="0"/>
    <x v="2"/>
    <x v="2"/>
    <s v="0-5k"/>
    <x v="0"/>
    <x v="0"/>
    <x v="3"/>
  </r>
  <r>
    <n v="37"/>
    <s v="No"/>
    <x v="0"/>
    <n v="1372"/>
    <x v="1"/>
    <n v="1"/>
    <n v="3"/>
    <s v="Life Sciences"/>
    <n v="1"/>
    <n v="391"/>
    <n v="4"/>
    <x v="0"/>
    <n v="42"/>
    <n v="3"/>
    <n v="1"/>
    <s v="Research Scientist"/>
    <n v="4"/>
    <s v="Single"/>
    <n v="2115"/>
    <n v="15881"/>
    <n v="1"/>
    <s v="Y"/>
    <s v="No"/>
    <n v="12"/>
    <x v="0"/>
    <n v="2"/>
    <n v="80"/>
    <n v="0"/>
    <n v="17"/>
    <n v="3"/>
    <n v="3"/>
    <n v="17"/>
    <n v="12"/>
    <n v="5"/>
    <n v="7"/>
    <n v="0"/>
    <x v="0"/>
    <x v="0"/>
    <s v="0-5k"/>
    <x v="2"/>
    <x v="0"/>
    <x v="0"/>
  </r>
  <r>
    <n v="44"/>
    <s v="Yes"/>
    <x v="1"/>
    <n v="920"/>
    <x v="1"/>
    <n v="24"/>
    <n v="3"/>
    <s v="Life Sciences"/>
    <n v="1"/>
    <n v="392"/>
    <n v="4"/>
    <x v="1"/>
    <n v="43"/>
    <n v="3"/>
    <n v="1"/>
    <s v="Laboratory Technician"/>
    <n v="3"/>
    <s v="Divorced"/>
    <n v="3161"/>
    <n v="19920"/>
    <n v="3"/>
    <s v="Y"/>
    <s v="Yes"/>
    <n v="22"/>
    <x v="1"/>
    <n v="4"/>
    <n v="80"/>
    <n v="1"/>
    <n v="19"/>
    <n v="0"/>
    <n v="1"/>
    <n v="1"/>
    <n v="0"/>
    <n v="0"/>
    <n v="0"/>
    <n v="1"/>
    <x v="0"/>
    <x v="1"/>
    <s v="0-5k"/>
    <x v="0"/>
    <x v="1"/>
    <x v="2"/>
  </r>
  <r>
    <n v="38"/>
    <s v="No"/>
    <x v="0"/>
    <n v="688"/>
    <x v="1"/>
    <n v="23"/>
    <n v="4"/>
    <s v="Life Sciences"/>
    <n v="1"/>
    <n v="393"/>
    <n v="4"/>
    <x v="1"/>
    <n v="82"/>
    <n v="3"/>
    <n v="2"/>
    <s v="Healthcare Representative"/>
    <n v="4"/>
    <s v="Divorced"/>
    <n v="5745"/>
    <n v="18899"/>
    <n v="9"/>
    <s v="Y"/>
    <s v="No"/>
    <n v="14"/>
    <x v="0"/>
    <n v="2"/>
    <n v="80"/>
    <n v="1"/>
    <n v="10"/>
    <n v="2"/>
    <n v="3"/>
    <n v="2"/>
    <n v="2"/>
    <n v="1"/>
    <n v="2"/>
    <n v="0"/>
    <x v="0"/>
    <x v="1"/>
    <s v="5k-10k"/>
    <x v="0"/>
    <x v="0"/>
    <x v="0"/>
  </r>
  <r>
    <n v="26"/>
    <s v="Yes"/>
    <x v="0"/>
    <n v="1449"/>
    <x v="1"/>
    <n v="16"/>
    <n v="4"/>
    <s v="Medical"/>
    <n v="1"/>
    <n v="394"/>
    <n v="1"/>
    <x v="1"/>
    <n v="45"/>
    <n v="3"/>
    <n v="1"/>
    <s v="Laboratory Technician"/>
    <n v="2"/>
    <s v="Divorced"/>
    <n v="2373"/>
    <n v="14180"/>
    <n v="2"/>
    <s v="Y"/>
    <s v="Yes"/>
    <n v="13"/>
    <x v="0"/>
    <n v="4"/>
    <n v="80"/>
    <n v="1"/>
    <n v="5"/>
    <n v="2"/>
    <n v="3"/>
    <n v="3"/>
    <n v="2"/>
    <n v="0"/>
    <n v="2"/>
    <n v="1"/>
    <x v="2"/>
    <x v="2"/>
    <s v="0-5k"/>
    <x v="0"/>
    <x v="0"/>
    <x v="1"/>
  </r>
  <r>
    <n v="28"/>
    <s v="No"/>
    <x v="0"/>
    <n v="1117"/>
    <x v="1"/>
    <n v="8"/>
    <n v="2"/>
    <s v="Life Sciences"/>
    <n v="1"/>
    <n v="395"/>
    <n v="4"/>
    <x v="0"/>
    <n v="66"/>
    <n v="3"/>
    <n v="1"/>
    <s v="Research Scientist"/>
    <n v="4"/>
    <s v="Single"/>
    <n v="3310"/>
    <n v="4488"/>
    <n v="1"/>
    <s v="Y"/>
    <s v="No"/>
    <n v="21"/>
    <x v="1"/>
    <n v="4"/>
    <n v="80"/>
    <n v="0"/>
    <n v="5"/>
    <n v="3"/>
    <n v="3"/>
    <n v="5"/>
    <n v="3"/>
    <n v="0"/>
    <n v="2"/>
    <n v="0"/>
    <x v="2"/>
    <x v="0"/>
    <s v="0-5k"/>
    <x v="0"/>
    <x v="1"/>
    <x v="0"/>
  </r>
  <r>
    <n v="49"/>
    <s v="No"/>
    <x v="1"/>
    <n v="636"/>
    <x v="1"/>
    <n v="10"/>
    <n v="4"/>
    <s v="Life Sciences"/>
    <n v="1"/>
    <n v="396"/>
    <n v="3"/>
    <x v="0"/>
    <n v="35"/>
    <n v="3"/>
    <n v="5"/>
    <s v="Research Director"/>
    <n v="1"/>
    <s v="Single"/>
    <n v="18665"/>
    <n v="25594"/>
    <n v="9"/>
    <s v="Y"/>
    <s v="Yes"/>
    <n v="11"/>
    <x v="0"/>
    <n v="4"/>
    <n v="80"/>
    <n v="0"/>
    <n v="22"/>
    <n v="4"/>
    <n v="3"/>
    <n v="3"/>
    <n v="2"/>
    <n v="1"/>
    <n v="2"/>
    <n v="0"/>
    <x v="1"/>
    <x v="0"/>
    <s v="15k+"/>
    <x v="0"/>
    <x v="0"/>
    <x v="3"/>
  </r>
  <r>
    <n v="36"/>
    <s v="No"/>
    <x v="0"/>
    <n v="506"/>
    <x v="1"/>
    <n v="3"/>
    <n v="3"/>
    <s v="Technical Degree"/>
    <n v="1"/>
    <n v="397"/>
    <n v="3"/>
    <x v="1"/>
    <n v="30"/>
    <n v="3"/>
    <n v="2"/>
    <s v="Research Scientist"/>
    <n v="2"/>
    <s v="Single"/>
    <n v="4485"/>
    <n v="26285"/>
    <n v="4"/>
    <s v="Y"/>
    <s v="No"/>
    <n v="12"/>
    <x v="0"/>
    <n v="4"/>
    <n v="80"/>
    <n v="0"/>
    <n v="10"/>
    <n v="2"/>
    <n v="3"/>
    <n v="8"/>
    <n v="0"/>
    <n v="7"/>
    <n v="7"/>
    <n v="0"/>
    <x v="0"/>
    <x v="0"/>
    <s v="0-5k"/>
    <x v="0"/>
    <x v="0"/>
    <x v="1"/>
  </r>
  <r>
    <n v="31"/>
    <s v="No"/>
    <x v="1"/>
    <n v="444"/>
    <x v="0"/>
    <n v="5"/>
    <n v="3"/>
    <s v="Marketing"/>
    <n v="1"/>
    <n v="399"/>
    <n v="4"/>
    <x v="0"/>
    <n v="84"/>
    <n v="3"/>
    <n v="1"/>
    <s v="Sales Representative"/>
    <n v="2"/>
    <s v="Divorced"/>
    <n v="2789"/>
    <n v="3909"/>
    <n v="1"/>
    <s v="Y"/>
    <s v="No"/>
    <n v="11"/>
    <x v="0"/>
    <n v="3"/>
    <n v="80"/>
    <n v="1"/>
    <n v="2"/>
    <n v="5"/>
    <n v="2"/>
    <n v="2"/>
    <n v="2"/>
    <n v="2"/>
    <n v="2"/>
    <n v="0"/>
    <x v="0"/>
    <x v="0"/>
    <s v="0-5k"/>
    <x v="0"/>
    <x v="0"/>
    <x v="1"/>
  </r>
  <r>
    <n v="26"/>
    <s v="Yes"/>
    <x v="0"/>
    <n v="950"/>
    <x v="0"/>
    <n v="4"/>
    <n v="4"/>
    <s v="Marketing"/>
    <n v="1"/>
    <n v="401"/>
    <n v="4"/>
    <x v="1"/>
    <n v="48"/>
    <n v="2"/>
    <n v="2"/>
    <s v="Sales Executive"/>
    <n v="4"/>
    <s v="Single"/>
    <n v="5828"/>
    <n v="8450"/>
    <n v="1"/>
    <s v="Y"/>
    <s v="Yes"/>
    <n v="12"/>
    <x v="0"/>
    <n v="2"/>
    <n v="80"/>
    <n v="0"/>
    <n v="8"/>
    <n v="0"/>
    <n v="3"/>
    <n v="8"/>
    <n v="7"/>
    <n v="7"/>
    <n v="4"/>
    <n v="1"/>
    <x v="2"/>
    <x v="0"/>
    <s v="5k-10k"/>
    <x v="0"/>
    <x v="0"/>
    <x v="0"/>
  </r>
  <r>
    <n v="37"/>
    <s v="No"/>
    <x v="1"/>
    <n v="889"/>
    <x v="1"/>
    <n v="9"/>
    <n v="3"/>
    <s v="Medical"/>
    <n v="1"/>
    <n v="403"/>
    <n v="2"/>
    <x v="1"/>
    <n v="53"/>
    <n v="3"/>
    <n v="1"/>
    <s v="Research Scientist"/>
    <n v="4"/>
    <s v="Married"/>
    <n v="2326"/>
    <n v="11411"/>
    <n v="1"/>
    <s v="Y"/>
    <s v="Yes"/>
    <n v="12"/>
    <x v="0"/>
    <n v="3"/>
    <n v="80"/>
    <n v="3"/>
    <n v="4"/>
    <n v="3"/>
    <n v="2"/>
    <n v="4"/>
    <n v="2"/>
    <n v="1"/>
    <n v="2"/>
    <n v="0"/>
    <x v="0"/>
    <x v="0"/>
    <s v="0-5k"/>
    <x v="0"/>
    <x v="0"/>
    <x v="0"/>
  </r>
  <r>
    <n v="42"/>
    <s v="No"/>
    <x v="1"/>
    <n v="555"/>
    <x v="0"/>
    <n v="26"/>
    <n v="3"/>
    <s v="Marketing"/>
    <n v="1"/>
    <n v="404"/>
    <n v="3"/>
    <x v="0"/>
    <n v="77"/>
    <n v="3"/>
    <n v="4"/>
    <s v="Sales Executive"/>
    <n v="2"/>
    <s v="Married"/>
    <n v="13525"/>
    <n v="14864"/>
    <n v="5"/>
    <s v="Y"/>
    <s v="No"/>
    <n v="14"/>
    <x v="0"/>
    <n v="4"/>
    <n v="80"/>
    <n v="1"/>
    <n v="23"/>
    <n v="2"/>
    <n v="4"/>
    <n v="20"/>
    <n v="4"/>
    <n v="4"/>
    <n v="8"/>
    <n v="0"/>
    <x v="0"/>
    <x v="1"/>
    <s v="10k-15k"/>
    <x v="2"/>
    <x v="0"/>
    <x v="1"/>
  </r>
  <r>
    <n v="18"/>
    <s v="Yes"/>
    <x v="0"/>
    <n v="230"/>
    <x v="1"/>
    <n v="3"/>
    <n v="3"/>
    <s v="Life Sciences"/>
    <n v="1"/>
    <n v="405"/>
    <n v="3"/>
    <x v="1"/>
    <n v="54"/>
    <n v="3"/>
    <n v="1"/>
    <s v="Laboratory Technician"/>
    <n v="3"/>
    <s v="Single"/>
    <n v="1420"/>
    <n v="25233"/>
    <n v="1"/>
    <s v="Y"/>
    <s v="No"/>
    <n v="13"/>
    <x v="0"/>
    <n v="3"/>
    <n v="80"/>
    <n v="0"/>
    <n v="0"/>
    <n v="2"/>
    <n v="3"/>
    <n v="0"/>
    <n v="0"/>
    <n v="0"/>
    <n v="0"/>
    <n v="1"/>
    <x v="2"/>
    <x v="0"/>
    <s v="0-5k"/>
    <x v="0"/>
    <x v="0"/>
    <x v="2"/>
  </r>
  <r>
    <n v="35"/>
    <s v="No"/>
    <x v="0"/>
    <n v="1232"/>
    <x v="0"/>
    <n v="16"/>
    <n v="3"/>
    <s v="Marketing"/>
    <n v="1"/>
    <n v="406"/>
    <n v="3"/>
    <x v="1"/>
    <n v="96"/>
    <n v="3"/>
    <n v="3"/>
    <s v="Sales Executive"/>
    <n v="2"/>
    <s v="Married"/>
    <n v="8020"/>
    <n v="5100"/>
    <n v="0"/>
    <s v="Y"/>
    <s v="No"/>
    <n v="15"/>
    <x v="0"/>
    <n v="3"/>
    <n v="80"/>
    <n v="2"/>
    <n v="12"/>
    <n v="3"/>
    <n v="2"/>
    <n v="11"/>
    <n v="9"/>
    <n v="6"/>
    <n v="9"/>
    <n v="0"/>
    <x v="0"/>
    <x v="2"/>
    <s v="5k-10k"/>
    <x v="2"/>
    <x v="0"/>
    <x v="1"/>
  </r>
  <r>
    <n v="36"/>
    <s v="No"/>
    <x v="1"/>
    <n v="566"/>
    <x v="1"/>
    <n v="18"/>
    <n v="4"/>
    <s v="Life Sciences"/>
    <n v="1"/>
    <n v="407"/>
    <n v="3"/>
    <x v="1"/>
    <n v="81"/>
    <n v="4"/>
    <n v="1"/>
    <s v="Laboratory Technician"/>
    <n v="4"/>
    <s v="Married"/>
    <n v="3688"/>
    <n v="7122"/>
    <n v="4"/>
    <s v="Y"/>
    <s v="No"/>
    <n v="18"/>
    <x v="0"/>
    <n v="4"/>
    <n v="80"/>
    <n v="2"/>
    <n v="4"/>
    <n v="2"/>
    <n v="3"/>
    <n v="1"/>
    <n v="0"/>
    <n v="0"/>
    <n v="0"/>
    <n v="0"/>
    <x v="0"/>
    <x v="2"/>
    <s v="0-5k"/>
    <x v="0"/>
    <x v="0"/>
    <x v="0"/>
  </r>
  <r>
    <n v="51"/>
    <s v="No"/>
    <x v="0"/>
    <n v="1302"/>
    <x v="1"/>
    <n v="2"/>
    <n v="3"/>
    <s v="Medical"/>
    <n v="1"/>
    <n v="408"/>
    <n v="4"/>
    <x v="1"/>
    <n v="84"/>
    <n v="1"/>
    <n v="2"/>
    <s v="Manufacturing Director"/>
    <n v="2"/>
    <s v="Divorced"/>
    <n v="5482"/>
    <n v="16321"/>
    <n v="5"/>
    <s v="Y"/>
    <s v="No"/>
    <n v="18"/>
    <x v="0"/>
    <n v="4"/>
    <n v="80"/>
    <n v="1"/>
    <n v="13"/>
    <n v="3"/>
    <n v="3"/>
    <n v="4"/>
    <n v="1"/>
    <n v="1"/>
    <n v="2"/>
    <n v="0"/>
    <x v="1"/>
    <x v="0"/>
    <s v="5k-10k"/>
    <x v="0"/>
    <x v="0"/>
    <x v="1"/>
  </r>
  <r>
    <n v="41"/>
    <s v="No"/>
    <x v="0"/>
    <n v="334"/>
    <x v="0"/>
    <n v="2"/>
    <n v="4"/>
    <s v="Life Sciences"/>
    <n v="1"/>
    <n v="410"/>
    <n v="4"/>
    <x v="1"/>
    <n v="88"/>
    <n v="3"/>
    <n v="4"/>
    <s v="Manager"/>
    <n v="2"/>
    <s v="Single"/>
    <n v="16015"/>
    <n v="15896"/>
    <n v="1"/>
    <s v="Y"/>
    <s v="No"/>
    <n v="19"/>
    <x v="0"/>
    <n v="2"/>
    <n v="80"/>
    <n v="0"/>
    <n v="22"/>
    <n v="2"/>
    <n v="3"/>
    <n v="22"/>
    <n v="10"/>
    <n v="0"/>
    <n v="4"/>
    <n v="0"/>
    <x v="0"/>
    <x v="0"/>
    <s v="15k+"/>
    <x v="1"/>
    <x v="0"/>
    <x v="1"/>
  </r>
  <r>
    <n v="18"/>
    <s v="No"/>
    <x v="0"/>
    <n v="812"/>
    <x v="0"/>
    <n v="10"/>
    <n v="3"/>
    <s v="Medical"/>
    <n v="1"/>
    <n v="411"/>
    <n v="4"/>
    <x v="0"/>
    <n v="69"/>
    <n v="2"/>
    <n v="1"/>
    <s v="Sales Representative"/>
    <n v="3"/>
    <s v="Single"/>
    <n v="1200"/>
    <n v="9724"/>
    <n v="1"/>
    <s v="Y"/>
    <s v="No"/>
    <n v="12"/>
    <x v="0"/>
    <n v="1"/>
    <n v="80"/>
    <n v="0"/>
    <n v="0"/>
    <n v="2"/>
    <n v="3"/>
    <n v="0"/>
    <n v="0"/>
    <n v="0"/>
    <n v="0"/>
    <n v="0"/>
    <x v="2"/>
    <x v="0"/>
    <s v="0-5k"/>
    <x v="0"/>
    <x v="0"/>
    <x v="2"/>
  </r>
  <r>
    <n v="28"/>
    <s v="No"/>
    <x v="0"/>
    <n v="1476"/>
    <x v="1"/>
    <n v="16"/>
    <n v="2"/>
    <s v="Medical"/>
    <n v="1"/>
    <n v="412"/>
    <n v="2"/>
    <x v="1"/>
    <n v="68"/>
    <n v="4"/>
    <n v="2"/>
    <s v="Healthcare Representative"/>
    <n v="1"/>
    <s v="Single"/>
    <n v="5661"/>
    <n v="4824"/>
    <n v="0"/>
    <s v="Y"/>
    <s v="No"/>
    <n v="19"/>
    <x v="0"/>
    <n v="3"/>
    <n v="80"/>
    <n v="0"/>
    <n v="9"/>
    <n v="2"/>
    <n v="3"/>
    <n v="8"/>
    <n v="3"/>
    <n v="0"/>
    <n v="7"/>
    <n v="0"/>
    <x v="2"/>
    <x v="2"/>
    <s v="5k-10k"/>
    <x v="0"/>
    <x v="0"/>
    <x v="3"/>
  </r>
  <r>
    <n v="31"/>
    <s v="No"/>
    <x v="0"/>
    <n v="218"/>
    <x v="0"/>
    <n v="7"/>
    <n v="3"/>
    <s v="Technical Degree"/>
    <n v="1"/>
    <n v="416"/>
    <n v="2"/>
    <x v="1"/>
    <n v="100"/>
    <n v="4"/>
    <n v="2"/>
    <s v="Sales Executive"/>
    <n v="4"/>
    <s v="Married"/>
    <n v="6929"/>
    <n v="12241"/>
    <n v="4"/>
    <s v="Y"/>
    <s v="No"/>
    <n v="11"/>
    <x v="0"/>
    <n v="2"/>
    <n v="80"/>
    <n v="1"/>
    <n v="10"/>
    <n v="3"/>
    <n v="2"/>
    <n v="8"/>
    <n v="7"/>
    <n v="7"/>
    <n v="7"/>
    <n v="0"/>
    <x v="0"/>
    <x v="0"/>
    <s v="5k-10k"/>
    <x v="0"/>
    <x v="0"/>
    <x v="0"/>
  </r>
  <r>
    <n v="39"/>
    <s v="No"/>
    <x v="0"/>
    <n v="1132"/>
    <x v="1"/>
    <n v="1"/>
    <n v="3"/>
    <s v="Medical"/>
    <n v="1"/>
    <n v="417"/>
    <n v="3"/>
    <x v="1"/>
    <n v="48"/>
    <n v="4"/>
    <n v="3"/>
    <s v="Healthcare Representative"/>
    <n v="4"/>
    <s v="Divorced"/>
    <n v="9613"/>
    <n v="10942"/>
    <n v="0"/>
    <s v="Y"/>
    <s v="No"/>
    <n v="17"/>
    <x v="0"/>
    <n v="1"/>
    <n v="80"/>
    <n v="3"/>
    <n v="19"/>
    <n v="5"/>
    <n v="2"/>
    <n v="18"/>
    <n v="10"/>
    <n v="3"/>
    <n v="7"/>
    <n v="0"/>
    <x v="0"/>
    <x v="0"/>
    <s v="5k-10k"/>
    <x v="2"/>
    <x v="0"/>
    <x v="0"/>
  </r>
  <r>
    <n v="36"/>
    <s v="No"/>
    <x v="2"/>
    <n v="1105"/>
    <x v="1"/>
    <n v="24"/>
    <n v="4"/>
    <s v="Life Sciences"/>
    <n v="1"/>
    <n v="419"/>
    <n v="2"/>
    <x v="0"/>
    <n v="47"/>
    <n v="3"/>
    <n v="2"/>
    <s v="Laboratory Technician"/>
    <n v="2"/>
    <s v="Married"/>
    <n v="5674"/>
    <n v="6927"/>
    <n v="7"/>
    <s v="Y"/>
    <s v="No"/>
    <n v="15"/>
    <x v="0"/>
    <n v="3"/>
    <n v="80"/>
    <n v="1"/>
    <n v="11"/>
    <n v="3"/>
    <n v="3"/>
    <n v="9"/>
    <n v="8"/>
    <n v="0"/>
    <n v="8"/>
    <n v="0"/>
    <x v="0"/>
    <x v="1"/>
    <s v="5k-10k"/>
    <x v="0"/>
    <x v="0"/>
    <x v="1"/>
  </r>
  <r>
    <n v="32"/>
    <s v="No"/>
    <x v="0"/>
    <n v="906"/>
    <x v="0"/>
    <n v="7"/>
    <n v="3"/>
    <s v="Life Sciences"/>
    <n v="1"/>
    <n v="420"/>
    <n v="4"/>
    <x v="1"/>
    <n v="91"/>
    <n v="2"/>
    <n v="2"/>
    <s v="Sales Executive"/>
    <n v="3"/>
    <s v="Married"/>
    <n v="5484"/>
    <n v="16985"/>
    <n v="1"/>
    <s v="Y"/>
    <s v="No"/>
    <n v="14"/>
    <x v="0"/>
    <n v="3"/>
    <n v="80"/>
    <n v="1"/>
    <n v="13"/>
    <n v="3"/>
    <n v="2"/>
    <n v="13"/>
    <n v="8"/>
    <n v="4"/>
    <n v="8"/>
    <n v="0"/>
    <x v="0"/>
    <x v="0"/>
    <s v="5k-10k"/>
    <x v="2"/>
    <x v="0"/>
    <x v="2"/>
  </r>
  <r>
    <n v="38"/>
    <s v="No"/>
    <x v="0"/>
    <n v="849"/>
    <x v="1"/>
    <n v="25"/>
    <n v="2"/>
    <s v="Life Sciences"/>
    <n v="1"/>
    <n v="421"/>
    <n v="1"/>
    <x v="0"/>
    <n v="81"/>
    <n v="2"/>
    <n v="3"/>
    <s v="Research Director"/>
    <n v="2"/>
    <s v="Married"/>
    <n v="12061"/>
    <n v="26707"/>
    <n v="3"/>
    <s v="Y"/>
    <s v="No"/>
    <n v="17"/>
    <x v="0"/>
    <n v="3"/>
    <n v="80"/>
    <n v="1"/>
    <n v="19"/>
    <n v="2"/>
    <n v="3"/>
    <n v="10"/>
    <n v="8"/>
    <n v="0"/>
    <n v="1"/>
    <n v="0"/>
    <x v="0"/>
    <x v="1"/>
    <s v="10k-15k"/>
    <x v="0"/>
    <x v="0"/>
    <x v="1"/>
  </r>
  <r>
    <n v="58"/>
    <s v="No"/>
    <x v="2"/>
    <n v="390"/>
    <x v="1"/>
    <n v="1"/>
    <n v="4"/>
    <s v="Life Sciences"/>
    <n v="1"/>
    <n v="422"/>
    <n v="4"/>
    <x v="1"/>
    <n v="32"/>
    <n v="1"/>
    <n v="2"/>
    <s v="Healthcare Representative"/>
    <n v="3"/>
    <s v="Divorced"/>
    <n v="5660"/>
    <n v="17056"/>
    <n v="2"/>
    <s v="Y"/>
    <s v="Yes"/>
    <n v="13"/>
    <x v="0"/>
    <n v="4"/>
    <n v="80"/>
    <n v="1"/>
    <n v="12"/>
    <n v="2"/>
    <n v="3"/>
    <n v="5"/>
    <n v="3"/>
    <n v="1"/>
    <n v="2"/>
    <n v="0"/>
    <x v="1"/>
    <x v="0"/>
    <s v="5k-10k"/>
    <x v="0"/>
    <x v="0"/>
    <x v="2"/>
  </r>
  <r>
    <n v="31"/>
    <s v="No"/>
    <x v="0"/>
    <n v="691"/>
    <x v="1"/>
    <n v="5"/>
    <n v="4"/>
    <s v="Technical Degree"/>
    <n v="1"/>
    <n v="423"/>
    <n v="3"/>
    <x v="1"/>
    <n v="86"/>
    <n v="3"/>
    <n v="1"/>
    <s v="Research Scientist"/>
    <n v="4"/>
    <s v="Married"/>
    <n v="4821"/>
    <n v="10077"/>
    <n v="0"/>
    <s v="Y"/>
    <s v="Yes"/>
    <n v="12"/>
    <x v="0"/>
    <n v="3"/>
    <n v="80"/>
    <n v="1"/>
    <n v="6"/>
    <n v="4"/>
    <n v="3"/>
    <n v="5"/>
    <n v="2"/>
    <n v="0"/>
    <n v="3"/>
    <n v="0"/>
    <x v="0"/>
    <x v="0"/>
    <s v="0-5k"/>
    <x v="0"/>
    <x v="0"/>
    <x v="0"/>
  </r>
  <r>
    <n v="31"/>
    <s v="No"/>
    <x v="0"/>
    <n v="106"/>
    <x v="2"/>
    <n v="2"/>
    <n v="3"/>
    <s v="Human Resources"/>
    <n v="1"/>
    <n v="424"/>
    <n v="1"/>
    <x v="1"/>
    <n v="62"/>
    <n v="2"/>
    <n v="2"/>
    <s v="Human Resources"/>
    <n v="1"/>
    <s v="Married"/>
    <n v="6410"/>
    <n v="17822"/>
    <n v="3"/>
    <s v="Y"/>
    <s v="No"/>
    <n v="12"/>
    <x v="0"/>
    <n v="4"/>
    <n v="80"/>
    <n v="0"/>
    <n v="9"/>
    <n v="1"/>
    <n v="3"/>
    <n v="2"/>
    <n v="2"/>
    <n v="1"/>
    <n v="0"/>
    <n v="0"/>
    <x v="0"/>
    <x v="0"/>
    <s v="5k-10k"/>
    <x v="0"/>
    <x v="0"/>
    <x v="3"/>
  </r>
  <r>
    <n v="45"/>
    <s v="No"/>
    <x v="1"/>
    <n v="1249"/>
    <x v="1"/>
    <n v="7"/>
    <n v="3"/>
    <s v="Life Sciences"/>
    <n v="1"/>
    <n v="425"/>
    <n v="1"/>
    <x v="1"/>
    <n v="97"/>
    <n v="3"/>
    <n v="3"/>
    <s v="Laboratory Technician"/>
    <n v="1"/>
    <s v="Divorced"/>
    <n v="5210"/>
    <n v="20308"/>
    <n v="1"/>
    <s v="Y"/>
    <s v="No"/>
    <n v="18"/>
    <x v="0"/>
    <n v="1"/>
    <n v="80"/>
    <n v="1"/>
    <n v="24"/>
    <n v="2"/>
    <n v="3"/>
    <n v="24"/>
    <n v="9"/>
    <n v="9"/>
    <n v="11"/>
    <n v="0"/>
    <x v="0"/>
    <x v="0"/>
    <s v="5k-10k"/>
    <x v="1"/>
    <x v="0"/>
    <x v="3"/>
  </r>
  <r>
    <n v="31"/>
    <s v="No"/>
    <x v="0"/>
    <n v="192"/>
    <x v="1"/>
    <n v="2"/>
    <n v="4"/>
    <s v="Life Sciences"/>
    <n v="1"/>
    <n v="426"/>
    <n v="3"/>
    <x v="1"/>
    <n v="32"/>
    <n v="3"/>
    <n v="1"/>
    <s v="Research Scientist"/>
    <n v="4"/>
    <s v="Divorced"/>
    <n v="2695"/>
    <n v="7747"/>
    <n v="0"/>
    <s v="Y"/>
    <s v="Yes"/>
    <n v="18"/>
    <x v="0"/>
    <n v="2"/>
    <n v="80"/>
    <n v="1"/>
    <n v="3"/>
    <n v="2"/>
    <n v="1"/>
    <n v="2"/>
    <n v="2"/>
    <n v="2"/>
    <n v="2"/>
    <n v="0"/>
    <x v="0"/>
    <x v="0"/>
    <s v="0-5k"/>
    <x v="0"/>
    <x v="0"/>
    <x v="0"/>
  </r>
  <r>
    <n v="33"/>
    <s v="No"/>
    <x v="1"/>
    <n v="553"/>
    <x v="1"/>
    <n v="5"/>
    <n v="4"/>
    <s v="Life Sciences"/>
    <n v="1"/>
    <n v="428"/>
    <n v="4"/>
    <x v="0"/>
    <n v="74"/>
    <n v="3"/>
    <n v="3"/>
    <s v="Manager"/>
    <n v="2"/>
    <s v="Married"/>
    <n v="11878"/>
    <n v="23364"/>
    <n v="6"/>
    <s v="Y"/>
    <s v="No"/>
    <n v="11"/>
    <x v="0"/>
    <n v="2"/>
    <n v="80"/>
    <n v="2"/>
    <n v="12"/>
    <n v="2"/>
    <n v="3"/>
    <n v="10"/>
    <n v="6"/>
    <n v="8"/>
    <n v="8"/>
    <n v="0"/>
    <x v="0"/>
    <x v="0"/>
    <s v="10k-15k"/>
    <x v="0"/>
    <x v="0"/>
    <x v="1"/>
  </r>
  <r>
    <n v="39"/>
    <s v="No"/>
    <x v="0"/>
    <n v="117"/>
    <x v="1"/>
    <n v="10"/>
    <n v="1"/>
    <s v="Medical"/>
    <n v="1"/>
    <n v="429"/>
    <n v="3"/>
    <x v="1"/>
    <n v="99"/>
    <n v="3"/>
    <n v="4"/>
    <s v="Manager"/>
    <n v="1"/>
    <s v="Married"/>
    <n v="17068"/>
    <n v="5355"/>
    <n v="1"/>
    <s v="Y"/>
    <s v="Yes"/>
    <n v="14"/>
    <x v="0"/>
    <n v="4"/>
    <n v="80"/>
    <n v="0"/>
    <n v="21"/>
    <n v="3"/>
    <n v="3"/>
    <n v="21"/>
    <n v="9"/>
    <n v="11"/>
    <n v="10"/>
    <n v="0"/>
    <x v="0"/>
    <x v="0"/>
    <s v="15k+"/>
    <x v="1"/>
    <x v="0"/>
    <x v="3"/>
  </r>
  <r>
    <n v="43"/>
    <s v="No"/>
    <x v="1"/>
    <n v="185"/>
    <x v="1"/>
    <n v="10"/>
    <n v="4"/>
    <s v="Life Sciences"/>
    <n v="1"/>
    <n v="430"/>
    <n v="3"/>
    <x v="0"/>
    <n v="33"/>
    <n v="3"/>
    <n v="1"/>
    <s v="Laboratory Technician"/>
    <n v="4"/>
    <s v="Single"/>
    <n v="2455"/>
    <n v="10675"/>
    <n v="0"/>
    <s v="Y"/>
    <s v="No"/>
    <n v="19"/>
    <x v="0"/>
    <n v="1"/>
    <n v="80"/>
    <n v="0"/>
    <n v="9"/>
    <n v="5"/>
    <n v="3"/>
    <n v="8"/>
    <n v="7"/>
    <n v="1"/>
    <n v="7"/>
    <n v="0"/>
    <x v="0"/>
    <x v="0"/>
    <s v="0-5k"/>
    <x v="0"/>
    <x v="0"/>
    <x v="0"/>
  </r>
  <r>
    <n v="49"/>
    <s v="No"/>
    <x v="0"/>
    <n v="1091"/>
    <x v="1"/>
    <n v="1"/>
    <n v="2"/>
    <s v="Technical Degree"/>
    <n v="1"/>
    <n v="431"/>
    <n v="3"/>
    <x v="0"/>
    <n v="90"/>
    <n v="2"/>
    <n v="4"/>
    <s v="Healthcare Representative"/>
    <n v="3"/>
    <s v="Single"/>
    <n v="13964"/>
    <n v="17810"/>
    <n v="7"/>
    <s v="Y"/>
    <s v="Yes"/>
    <n v="12"/>
    <x v="0"/>
    <n v="4"/>
    <n v="80"/>
    <n v="0"/>
    <n v="25"/>
    <n v="2"/>
    <n v="3"/>
    <n v="7"/>
    <n v="1"/>
    <n v="0"/>
    <n v="7"/>
    <n v="0"/>
    <x v="1"/>
    <x v="0"/>
    <s v="10k-15k"/>
    <x v="0"/>
    <x v="0"/>
    <x v="2"/>
  </r>
  <r>
    <n v="52"/>
    <s v="Yes"/>
    <x v="0"/>
    <n v="723"/>
    <x v="1"/>
    <n v="8"/>
    <n v="4"/>
    <s v="Medical"/>
    <n v="1"/>
    <n v="433"/>
    <n v="3"/>
    <x v="1"/>
    <n v="85"/>
    <n v="2"/>
    <n v="2"/>
    <s v="Research Scientist"/>
    <n v="2"/>
    <s v="Married"/>
    <n v="4941"/>
    <n v="17747"/>
    <n v="2"/>
    <s v="Y"/>
    <s v="No"/>
    <n v="15"/>
    <x v="0"/>
    <n v="1"/>
    <n v="80"/>
    <n v="0"/>
    <n v="11"/>
    <n v="3"/>
    <n v="2"/>
    <n v="8"/>
    <n v="2"/>
    <n v="7"/>
    <n v="7"/>
    <n v="1"/>
    <x v="1"/>
    <x v="0"/>
    <s v="0-5k"/>
    <x v="0"/>
    <x v="0"/>
    <x v="1"/>
  </r>
  <r>
    <n v="27"/>
    <s v="No"/>
    <x v="0"/>
    <n v="1220"/>
    <x v="1"/>
    <n v="5"/>
    <n v="3"/>
    <s v="Life Sciences"/>
    <n v="1"/>
    <n v="434"/>
    <n v="3"/>
    <x v="0"/>
    <n v="85"/>
    <n v="3"/>
    <n v="1"/>
    <s v="Research Scientist"/>
    <n v="2"/>
    <s v="Single"/>
    <n v="2478"/>
    <n v="20938"/>
    <n v="1"/>
    <s v="Y"/>
    <s v="Yes"/>
    <n v="12"/>
    <x v="0"/>
    <n v="2"/>
    <n v="80"/>
    <n v="0"/>
    <n v="4"/>
    <n v="2"/>
    <n v="2"/>
    <n v="4"/>
    <n v="3"/>
    <n v="1"/>
    <n v="2"/>
    <n v="0"/>
    <x v="2"/>
    <x v="0"/>
    <s v="0-5k"/>
    <x v="0"/>
    <x v="0"/>
    <x v="1"/>
  </r>
  <r>
    <n v="32"/>
    <s v="No"/>
    <x v="0"/>
    <n v="588"/>
    <x v="0"/>
    <n v="8"/>
    <n v="2"/>
    <s v="Technical Degree"/>
    <n v="1"/>
    <n v="436"/>
    <n v="3"/>
    <x v="0"/>
    <n v="65"/>
    <n v="2"/>
    <n v="2"/>
    <s v="Sales Executive"/>
    <n v="2"/>
    <s v="Married"/>
    <n v="5228"/>
    <n v="24624"/>
    <n v="1"/>
    <s v="Y"/>
    <s v="Yes"/>
    <n v="11"/>
    <x v="0"/>
    <n v="4"/>
    <n v="80"/>
    <n v="0"/>
    <n v="13"/>
    <n v="2"/>
    <n v="3"/>
    <n v="13"/>
    <n v="12"/>
    <n v="11"/>
    <n v="9"/>
    <n v="0"/>
    <x v="0"/>
    <x v="0"/>
    <s v="5k-10k"/>
    <x v="2"/>
    <x v="0"/>
    <x v="1"/>
  </r>
  <r>
    <n v="27"/>
    <s v="No"/>
    <x v="0"/>
    <n v="1377"/>
    <x v="0"/>
    <n v="2"/>
    <n v="3"/>
    <s v="Life Sciences"/>
    <n v="1"/>
    <n v="437"/>
    <n v="4"/>
    <x v="1"/>
    <n v="74"/>
    <n v="3"/>
    <n v="2"/>
    <s v="Sales Executive"/>
    <n v="3"/>
    <s v="Single"/>
    <n v="4478"/>
    <n v="5242"/>
    <n v="1"/>
    <s v="Y"/>
    <s v="Yes"/>
    <n v="11"/>
    <x v="0"/>
    <n v="1"/>
    <n v="80"/>
    <n v="0"/>
    <n v="5"/>
    <n v="3"/>
    <n v="3"/>
    <n v="5"/>
    <n v="4"/>
    <n v="0"/>
    <n v="4"/>
    <n v="0"/>
    <x v="2"/>
    <x v="0"/>
    <s v="0-5k"/>
    <x v="0"/>
    <x v="0"/>
    <x v="2"/>
  </r>
  <r>
    <n v="31"/>
    <s v="No"/>
    <x v="0"/>
    <n v="691"/>
    <x v="0"/>
    <n v="7"/>
    <n v="3"/>
    <s v="Marketing"/>
    <n v="1"/>
    <n v="438"/>
    <n v="4"/>
    <x v="1"/>
    <n v="73"/>
    <n v="3"/>
    <n v="2"/>
    <s v="Sales Executive"/>
    <n v="4"/>
    <s v="Divorced"/>
    <n v="7547"/>
    <n v="7143"/>
    <n v="4"/>
    <s v="Y"/>
    <s v="No"/>
    <n v="12"/>
    <x v="0"/>
    <n v="4"/>
    <n v="80"/>
    <n v="3"/>
    <n v="13"/>
    <n v="3"/>
    <n v="3"/>
    <n v="7"/>
    <n v="7"/>
    <n v="1"/>
    <n v="7"/>
    <n v="0"/>
    <x v="0"/>
    <x v="0"/>
    <s v="5k-10k"/>
    <x v="0"/>
    <x v="0"/>
    <x v="0"/>
  </r>
  <r>
    <n v="32"/>
    <s v="No"/>
    <x v="0"/>
    <n v="1018"/>
    <x v="1"/>
    <n v="2"/>
    <n v="4"/>
    <s v="Medical"/>
    <n v="1"/>
    <n v="439"/>
    <n v="1"/>
    <x v="0"/>
    <n v="74"/>
    <n v="4"/>
    <n v="2"/>
    <s v="Research Scientist"/>
    <n v="4"/>
    <s v="Single"/>
    <n v="5055"/>
    <n v="10557"/>
    <n v="7"/>
    <s v="Y"/>
    <s v="No"/>
    <n v="16"/>
    <x v="0"/>
    <n v="3"/>
    <n v="80"/>
    <n v="0"/>
    <n v="10"/>
    <n v="0"/>
    <n v="2"/>
    <n v="7"/>
    <n v="7"/>
    <n v="0"/>
    <n v="7"/>
    <n v="0"/>
    <x v="0"/>
    <x v="0"/>
    <s v="5k-10k"/>
    <x v="0"/>
    <x v="0"/>
    <x v="0"/>
  </r>
  <r>
    <n v="28"/>
    <s v="Yes"/>
    <x v="0"/>
    <n v="1157"/>
    <x v="1"/>
    <n v="2"/>
    <n v="4"/>
    <s v="Medical"/>
    <n v="1"/>
    <n v="440"/>
    <n v="1"/>
    <x v="1"/>
    <n v="84"/>
    <n v="1"/>
    <n v="1"/>
    <s v="Research Scientist"/>
    <n v="4"/>
    <s v="Married"/>
    <n v="3464"/>
    <n v="24737"/>
    <n v="5"/>
    <s v="Y"/>
    <s v="Yes"/>
    <n v="13"/>
    <x v="0"/>
    <n v="4"/>
    <n v="80"/>
    <n v="0"/>
    <n v="5"/>
    <n v="4"/>
    <n v="2"/>
    <n v="3"/>
    <n v="2"/>
    <n v="2"/>
    <n v="2"/>
    <n v="1"/>
    <x v="2"/>
    <x v="0"/>
    <s v="0-5k"/>
    <x v="0"/>
    <x v="0"/>
    <x v="0"/>
  </r>
  <r>
    <n v="30"/>
    <s v="No"/>
    <x v="0"/>
    <n v="1275"/>
    <x v="1"/>
    <n v="28"/>
    <n v="2"/>
    <s v="Medical"/>
    <n v="1"/>
    <n v="441"/>
    <n v="4"/>
    <x v="0"/>
    <n v="64"/>
    <n v="3"/>
    <n v="2"/>
    <s v="Research Scientist"/>
    <n v="4"/>
    <s v="Married"/>
    <n v="5775"/>
    <n v="11934"/>
    <n v="1"/>
    <s v="Y"/>
    <s v="No"/>
    <n v="13"/>
    <x v="0"/>
    <n v="4"/>
    <n v="80"/>
    <n v="2"/>
    <n v="11"/>
    <n v="2"/>
    <n v="3"/>
    <n v="10"/>
    <n v="8"/>
    <n v="1"/>
    <n v="9"/>
    <n v="0"/>
    <x v="2"/>
    <x v="1"/>
    <s v="5k-10k"/>
    <x v="0"/>
    <x v="0"/>
    <x v="0"/>
  </r>
  <r>
    <n v="31"/>
    <s v="No"/>
    <x v="1"/>
    <n v="798"/>
    <x v="1"/>
    <n v="7"/>
    <n v="2"/>
    <s v="Life Sciences"/>
    <n v="1"/>
    <n v="442"/>
    <n v="3"/>
    <x v="0"/>
    <n v="48"/>
    <n v="2"/>
    <n v="3"/>
    <s v="Manufacturing Director"/>
    <n v="3"/>
    <s v="Married"/>
    <n v="8943"/>
    <n v="14034"/>
    <n v="1"/>
    <s v="Y"/>
    <s v="No"/>
    <n v="24"/>
    <x v="1"/>
    <n v="1"/>
    <n v="80"/>
    <n v="1"/>
    <n v="10"/>
    <n v="2"/>
    <n v="3"/>
    <n v="10"/>
    <n v="9"/>
    <n v="8"/>
    <n v="9"/>
    <n v="0"/>
    <x v="0"/>
    <x v="0"/>
    <s v="5k-10k"/>
    <x v="0"/>
    <x v="1"/>
    <x v="2"/>
  </r>
  <r>
    <n v="39"/>
    <s v="No"/>
    <x v="1"/>
    <n v="672"/>
    <x v="1"/>
    <n v="7"/>
    <n v="2"/>
    <s v="Medical"/>
    <n v="1"/>
    <n v="444"/>
    <n v="3"/>
    <x v="1"/>
    <n v="54"/>
    <n v="2"/>
    <n v="5"/>
    <s v="Manager"/>
    <n v="4"/>
    <s v="Married"/>
    <n v="19272"/>
    <n v="21141"/>
    <n v="1"/>
    <s v="Y"/>
    <s v="No"/>
    <n v="15"/>
    <x v="0"/>
    <n v="1"/>
    <n v="80"/>
    <n v="1"/>
    <n v="21"/>
    <n v="2"/>
    <n v="3"/>
    <n v="21"/>
    <n v="9"/>
    <n v="13"/>
    <n v="3"/>
    <n v="0"/>
    <x v="0"/>
    <x v="0"/>
    <s v="15k+"/>
    <x v="1"/>
    <x v="0"/>
    <x v="0"/>
  </r>
  <r>
    <n v="39"/>
    <s v="Yes"/>
    <x v="0"/>
    <n v="1162"/>
    <x v="0"/>
    <n v="3"/>
    <n v="2"/>
    <s v="Medical"/>
    <n v="1"/>
    <n v="445"/>
    <n v="4"/>
    <x v="0"/>
    <n v="41"/>
    <n v="3"/>
    <n v="2"/>
    <s v="Sales Executive"/>
    <n v="3"/>
    <s v="Married"/>
    <n v="5238"/>
    <n v="17778"/>
    <n v="4"/>
    <s v="Y"/>
    <s v="Yes"/>
    <n v="18"/>
    <x v="0"/>
    <n v="1"/>
    <n v="80"/>
    <n v="0"/>
    <n v="12"/>
    <n v="3"/>
    <n v="2"/>
    <n v="1"/>
    <n v="0"/>
    <n v="0"/>
    <n v="0"/>
    <n v="1"/>
    <x v="0"/>
    <x v="0"/>
    <s v="5k-10k"/>
    <x v="0"/>
    <x v="0"/>
    <x v="2"/>
  </r>
  <r>
    <n v="33"/>
    <s v="No"/>
    <x v="1"/>
    <n v="508"/>
    <x v="0"/>
    <n v="10"/>
    <n v="3"/>
    <s v="Marketing"/>
    <n v="1"/>
    <n v="446"/>
    <n v="2"/>
    <x v="1"/>
    <n v="46"/>
    <n v="2"/>
    <n v="2"/>
    <s v="Sales Executive"/>
    <n v="4"/>
    <s v="Single"/>
    <n v="4682"/>
    <n v="4317"/>
    <n v="3"/>
    <s v="Y"/>
    <s v="No"/>
    <n v="14"/>
    <x v="0"/>
    <n v="3"/>
    <n v="80"/>
    <n v="0"/>
    <n v="9"/>
    <n v="6"/>
    <n v="2"/>
    <n v="7"/>
    <n v="7"/>
    <n v="0"/>
    <n v="1"/>
    <n v="0"/>
    <x v="0"/>
    <x v="0"/>
    <s v="0-5k"/>
    <x v="0"/>
    <x v="0"/>
    <x v="0"/>
  </r>
  <r>
    <n v="47"/>
    <s v="No"/>
    <x v="0"/>
    <n v="1482"/>
    <x v="1"/>
    <n v="5"/>
    <n v="5"/>
    <s v="Life Sciences"/>
    <n v="1"/>
    <n v="447"/>
    <n v="4"/>
    <x v="1"/>
    <n v="42"/>
    <n v="3"/>
    <n v="5"/>
    <s v="Research Director"/>
    <n v="3"/>
    <s v="Married"/>
    <n v="18300"/>
    <n v="16375"/>
    <n v="4"/>
    <s v="Y"/>
    <s v="No"/>
    <n v="11"/>
    <x v="0"/>
    <n v="2"/>
    <n v="80"/>
    <n v="1"/>
    <n v="21"/>
    <n v="2"/>
    <n v="3"/>
    <n v="3"/>
    <n v="2"/>
    <n v="1"/>
    <n v="1"/>
    <n v="0"/>
    <x v="1"/>
    <x v="0"/>
    <s v="15k+"/>
    <x v="0"/>
    <x v="0"/>
    <x v="2"/>
  </r>
  <r>
    <n v="43"/>
    <s v="No"/>
    <x v="1"/>
    <n v="559"/>
    <x v="1"/>
    <n v="10"/>
    <n v="4"/>
    <s v="Life Sciences"/>
    <n v="1"/>
    <n v="448"/>
    <n v="3"/>
    <x v="0"/>
    <n v="82"/>
    <n v="2"/>
    <n v="2"/>
    <s v="Laboratory Technician"/>
    <n v="3"/>
    <s v="Divorced"/>
    <n v="5257"/>
    <n v="6227"/>
    <n v="1"/>
    <s v="Y"/>
    <s v="No"/>
    <n v="11"/>
    <x v="0"/>
    <n v="2"/>
    <n v="80"/>
    <n v="1"/>
    <n v="9"/>
    <n v="3"/>
    <n v="4"/>
    <n v="9"/>
    <n v="7"/>
    <n v="0"/>
    <n v="0"/>
    <n v="0"/>
    <x v="0"/>
    <x v="0"/>
    <s v="5k-10k"/>
    <x v="0"/>
    <x v="0"/>
    <x v="2"/>
  </r>
  <r>
    <n v="27"/>
    <s v="No"/>
    <x v="2"/>
    <n v="210"/>
    <x v="0"/>
    <n v="1"/>
    <n v="1"/>
    <s v="Marketing"/>
    <n v="1"/>
    <n v="449"/>
    <n v="3"/>
    <x v="1"/>
    <n v="73"/>
    <n v="3"/>
    <n v="2"/>
    <s v="Sales Executive"/>
    <n v="2"/>
    <s v="Married"/>
    <n v="6349"/>
    <n v="22107"/>
    <n v="0"/>
    <s v="Y"/>
    <s v="Yes"/>
    <n v="13"/>
    <x v="0"/>
    <n v="4"/>
    <n v="80"/>
    <n v="1"/>
    <n v="6"/>
    <n v="0"/>
    <n v="3"/>
    <n v="5"/>
    <n v="4"/>
    <n v="1"/>
    <n v="4"/>
    <n v="0"/>
    <x v="2"/>
    <x v="0"/>
    <s v="5k-10k"/>
    <x v="0"/>
    <x v="0"/>
    <x v="1"/>
  </r>
  <r>
    <n v="54"/>
    <s v="No"/>
    <x v="1"/>
    <n v="928"/>
    <x v="1"/>
    <n v="20"/>
    <n v="4"/>
    <s v="Life Sciences"/>
    <n v="1"/>
    <n v="450"/>
    <n v="4"/>
    <x v="0"/>
    <n v="31"/>
    <n v="3"/>
    <n v="2"/>
    <s v="Research Scientist"/>
    <n v="3"/>
    <s v="Single"/>
    <n v="4869"/>
    <n v="16885"/>
    <n v="3"/>
    <s v="Y"/>
    <s v="No"/>
    <n v="12"/>
    <x v="0"/>
    <n v="4"/>
    <n v="80"/>
    <n v="0"/>
    <n v="20"/>
    <n v="4"/>
    <n v="2"/>
    <n v="4"/>
    <n v="3"/>
    <n v="0"/>
    <n v="3"/>
    <n v="0"/>
    <x v="1"/>
    <x v="2"/>
    <s v="0-5k"/>
    <x v="0"/>
    <x v="0"/>
    <x v="2"/>
  </r>
  <r>
    <n v="43"/>
    <s v="No"/>
    <x v="0"/>
    <n v="1001"/>
    <x v="1"/>
    <n v="7"/>
    <n v="3"/>
    <s v="Life Sciences"/>
    <n v="1"/>
    <n v="451"/>
    <n v="3"/>
    <x v="0"/>
    <n v="43"/>
    <n v="3"/>
    <n v="3"/>
    <s v="Healthcare Representative"/>
    <n v="1"/>
    <s v="Married"/>
    <n v="9985"/>
    <n v="9262"/>
    <n v="8"/>
    <s v="Y"/>
    <s v="No"/>
    <n v="16"/>
    <x v="0"/>
    <n v="1"/>
    <n v="80"/>
    <n v="1"/>
    <n v="10"/>
    <n v="1"/>
    <n v="2"/>
    <n v="1"/>
    <n v="0"/>
    <n v="0"/>
    <n v="0"/>
    <n v="0"/>
    <x v="0"/>
    <x v="0"/>
    <s v="5k-10k"/>
    <x v="0"/>
    <x v="0"/>
    <x v="3"/>
  </r>
  <r>
    <n v="45"/>
    <s v="No"/>
    <x v="0"/>
    <n v="549"/>
    <x v="1"/>
    <n v="8"/>
    <n v="4"/>
    <s v="Other"/>
    <n v="1"/>
    <n v="452"/>
    <n v="4"/>
    <x v="1"/>
    <n v="75"/>
    <n v="3"/>
    <n v="2"/>
    <s v="Research Scientist"/>
    <n v="4"/>
    <s v="Married"/>
    <n v="3697"/>
    <n v="9278"/>
    <n v="9"/>
    <s v="Y"/>
    <s v="No"/>
    <n v="14"/>
    <x v="0"/>
    <n v="1"/>
    <n v="80"/>
    <n v="2"/>
    <n v="12"/>
    <n v="3"/>
    <n v="3"/>
    <n v="10"/>
    <n v="9"/>
    <n v="9"/>
    <n v="8"/>
    <n v="0"/>
    <x v="0"/>
    <x v="0"/>
    <s v="0-5k"/>
    <x v="0"/>
    <x v="0"/>
    <x v="0"/>
  </r>
  <r>
    <n v="40"/>
    <s v="No"/>
    <x v="0"/>
    <n v="1124"/>
    <x v="0"/>
    <n v="1"/>
    <n v="2"/>
    <s v="Medical"/>
    <n v="1"/>
    <n v="453"/>
    <n v="2"/>
    <x v="1"/>
    <n v="57"/>
    <n v="1"/>
    <n v="2"/>
    <s v="Sales Executive"/>
    <n v="4"/>
    <s v="Married"/>
    <n v="7457"/>
    <n v="13273"/>
    <n v="2"/>
    <s v="Y"/>
    <s v="Yes"/>
    <n v="22"/>
    <x v="1"/>
    <n v="3"/>
    <n v="80"/>
    <n v="3"/>
    <n v="6"/>
    <n v="2"/>
    <n v="2"/>
    <n v="4"/>
    <n v="3"/>
    <n v="0"/>
    <n v="2"/>
    <n v="0"/>
    <x v="0"/>
    <x v="0"/>
    <s v="5k-10k"/>
    <x v="0"/>
    <x v="1"/>
    <x v="0"/>
  </r>
  <r>
    <n v="29"/>
    <s v="Yes"/>
    <x v="0"/>
    <n v="318"/>
    <x v="1"/>
    <n v="8"/>
    <n v="4"/>
    <s v="Other"/>
    <n v="1"/>
    <n v="454"/>
    <n v="2"/>
    <x v="1"/>
    <n v="77"/>
    <n v="1"/>
    <n v="1"/>
    <s v="Laboratory Technician"/>
    <n v="1"/>
    <s v="Married"/>
    <n v="2119"/>
    <n v="4759"/>
    <n v="1"/>
    <s v="Y"/>
    <s v="Yes"/>
    <n v="11"/>
    <x v="0"/>
    <n v="4"/>
    <n v="80"/>
    <n v="0"/>
    <n v="7"/>
    <n v="4"/>
    <n v="2"/>
    <n v="7"/>
    <n v="7"/>
    <n v="0"/>
    <n v="7"/>
    <n v="1"/>
    <x v="2"/>
    <x v="0"/>
    <s v="0-5k"/>
    <x v="0"/>
    <x v="0"/>
    <x v="3"/>
  </r>
  <r>
    <n v="29"/>
    <s v="No"/>
    <x v="0"/>
    <n v="738"/>
    <x v="1"/>
    <n v="9"/>
    <n v="5"/>
    <s v="Other"/>
    <n v="1"/>
    <n v="455"/>
    <n v="2"/>
    <x v="1"/>
    <n v="30"/>
    <n v="2"/>
    <n v="1"/>
    <s v="Laboratory Technician"/>
    <n v="4"/>
    <s v="Single"/>
    <n v="3983"/>
    <n v="7621"/>
    <n v="0"/>
    <s v="Y"/>
    <s v="No"/>
    <n v="17"/>
    <x v="0"/>
    <n v="3"/>
    <n v="80"/>
    <n v="0"/>
    <n v="4"/>
    <n v="2"/>
    <n v="3"/>
    <n v="3"/>
    <n v="2"/>
    <n v="2"/>
    <n v="2"/>
    <n v="0"/>
    <x v="2"/>
    <x v="0"/>
    <s v="0-5k"/>
    <x v="0"/>
    <x v="0"/>
    <x v="0"/>
  </r>
  <r>
    <n v="30"/>
    <s v="No"/>
    <x v="0"/>
    <n v="570"/>
    <x v="0"/>
    <n v="5"/>
    <n v="3"/>
    <s v="Marketing"/>
    <n v="1"/>
    <n v="456"/>
    <n v="4"/>
    <x v="0"/>
    <n v="30"/>
    <n v="2"/>
    <n v="2"/>
    <s v="Sales Executive"/>
    <n v="3"/>
    <s v="Divorced"/>
    <n v="6118"/>
    <n v="5431"/>
    <n v="1"/>
    <s v="Y"/>
    <s v="No"/>
    <n v="13"/>
    <x v="0"/>
    <n v="3"/>
    <n v="80"/>
    <n v="3"/>
    <n v="10"/>
    <n v="2"/>
    <n v="3"/>
    <n v="10"/>
    <n v="9"/>
    <n v="1"/>
    <n v="2"/>
    <n v="0"/>
    <x v="2"/>
    <x v="0"/>
    <s v="5k-10k"/>
    <x v="0"/>
    <x v="0"/>
    <x v="2"/>
  </r>
  <r>
    <n v="27"/>
    <s v="No"/>
    <x v="0"/>
    <n v="1130"/>
    <x v="0"/>
    <n v="8"/>
    <n v="4"/>
    <s v="Marketing"/>
    <n v="1"/>
    <n v="458"/>
    <n v="2"/>
    <x v="0"/>
    <n v="56"/>
    <n v="3"/>
    <n v="2"/>
    <s v="Sales Executive"/>
    <n v="2"/>
    <s v="Married"/>
    <n v="6214"/>
    <n v="3415"/>
    <n v="1"/>
    <s v="Y"/>
    <s v="No"/>
    <n v="18"/>
    <x v="0"/>
    <n v="1"/>
    <n v="80"/>
    <n v="1"/>
    <n v="8"/>
    <n v="3"/>
    <n v="3"/>
    <n v="8"/>
    <n v="7"/>
    <n v="0"/>
    <n v="7"/>
    <n v="0"/>
    <x v="2"/>
    <x v="0"/>
    <s v="5k-10k"/>
    <x v="0"/>
    <x v="0"/>
    <x v="1"/>
  </r>
  <r>
    <n v="37"/>
    <s v="No"/>
    <x v="0"/>
    <n v="1192"/>
    <x v="1"/>
    <n v="5"/>
    <n v="2"/>
    <s v="Medical"/>
    <n v="1"/>
    <n v="460"/>
    <n v="4"/>
    <x v="1"/>
    <n v="61"/>
    <n v="3"/>
    <n v="2"/>
    <s v="Manufacturing Director"/>
    <n v="4"/>
    <s v="Divorced"/>
    <n v="6347"/>
    <n v="23177"/>
    <n v="7"/>
    <s v="Y"/>
    <s v="No"/>
    <n v="16"/>
    <x v="0"/>
    <n v="3"/>
    <n v="80"/>
    <n v="2"/>
    <n v="8"/>
    <n v="2"/>
    <n v="2"/>
    <n v="6"/>
    <n v="2"/>
    <n v="0"/>
    <n v="4"/>
    <n v="0"/>
    <x v="0"/>
    <x v="0"/>
    <s v="5k-10k"/>
    <x v="0"/>
    <x v="0"/>
    <x v="0"/>
  </r>
  <r>
    <n v="38"/>
    <s v="No"/>
    <x v="0"/>
    <n v="343"/>
    <x v="1"/>
    <n v="15"/>
    <n v="2"/>
    <s v="Life Sciences"/>
    <n v="1"/>
    <n v="461"/>
    <n v="3"/>
    <x v="1"/>
    <n v="92"/>
    <n v="2"/>
    <n v="3"/>
    <s v="Research Director"/>
    <n v="4"/>
    <s v="Divorced"/>
    <n v="11510"/>
    <n v="15682"/>
    <n v="0"/>
    <s v="Y"/>
    <s v="Yes"/>
    <n v="14"/>
    <x v="0"/>
    <n v="2"/>
    <n v="80"/>
    <n v="1"/>
    <n v="12"/>
    <n v="3"/>
    <n v="3"/>
    <n v="11"/>
    <n v="10"/>
    <n v="2"/>
    <n v="9"/>
    <n v="0"/>
    <x v="0"/>
    <x v="2"/>
    <s v="10k-15k"/>
    <x v="2"/>
    <x v="0"/>
    <x v="0"/>
  </r>
  <r>
    <n v="31"/>
    <s v="No"/>
    <x v="0"/>
    <n v="1232"/>
    <x v="1"/>
    <n v="7"/>
    <n v="4"/>
    <s v="Medical"/>
    <n v="1"/>
    <n v="462"/>
    <n v="3"/>
    <x v="0"/>
    <n v="39"/>
    <n v="3"/>
    <n v="3"/>
    <s v="Manufacturing Director"/>
    <n v="4"/>
    <s v="Single"/>
    <n v="7143"/>
    <n v="25713"/>
    <n v="1"/>
    <s v="Y"/>
    <s v="Yes"/>
    <n v="14"/>
    <x v="0"/>
    <n v="3"/>
    <n v="80"/>
    <n v="0"/>
    <n v="11"/>
    <n v="2"/>
    <n v="2"/>
    <n v="11"/>
    <n v="9"/>
    <n v="4"/>
    <n v="10"/>
    <n v="0"/>
    <x v="0"/>
    <x v="0"/>
    <s v="5k-10k"/>
    <x v="2"/>
    <x v="0"/>
    <x v="0"/>
  </r>
  <r>
    <n v="29"/>
    <s v="No"/>
    <x v="0"/>
    <n v="144"/>
    <x v="0"/>
    <n v="10"/>
    <n v="1"/>
    <s v="Marketing"/>
    <n v="1"/>
    <n v="463"/>
    <n v="4"/>
    <x v="0"/>
    <n v="39"/>
    <n v="2"/>
    <n v="2"/>
    <s v="Sales Executive"/>
    <n v="2"/>
    <s v="Divorced"/>
    <n v="8268"/>
    <n v="11866"/>
    <n v="1"/>
    <s v="Y"/>
    <s v="Yes"/>
    <n v="14"/>
    <x v="0"/>
    <n v="1"/>
    <n v="80"/>
    <n v="2"/>
    <n v="7"/>
    <n v="2"/>
    <n v="3"/>
    <n v="7"/>
    <n v="7"/>
    <n v="1"/>
    <n v="7"/>
    <n v="0"/>
    <x v="2"/>
    <x v="0"/>
    <s v="5k-10k"/>
    <x v="0"/>
    <x v="0"/>
    <x v="1"/>
  </r>
  <r>
    <n v="35"/>
    <s v="No"/>
    <x v="0"/>
    <n v="1296"/>
    <x v="1"/>
    <n v="5"/>
    <n v="4"/>
    <s v="Technical Degree"/>
    <n v="1"/>
    <n v="464"/>
    <n v="3"/>
    <x v="1"/>
    <n v="62"/>
    <n v="3"/>
    <n v="3"/>
    <s v="Manufacturing Director"/>
    <n v="2"/>
    <s v="Single"/>
    <n v="8095"/>
    <n v="18264"/>
    <n v="0"/>
    <s v="Y"/>
    <s v="No"/>
    <n v="13"/>
    <x v="0"/>
    <n v="4"/>
    <n v="80"/>
    <n v="0"/>
    <n v="17"/>
    <n v="5"/>
    <n v="3"/>
    <n v="16"/>
    <n v="6"/>
    <n v="0"/>
    <n v="13"/>
    <n v="0"/>
    <x v="0"/>
    <x v="0"/>
    <s v="5k-10k"/>
    <x v="2"/>
    <x v="0"/>
    <x v="1"/>
  </r>
  <r>
    <n v="23"/>
    <s v="No"/>
    <x v="0"/>
    <n v="1309"/>
    <x v="1"/>
    <n v="26"/>
    <n v="1"/>
    <s v="Life Sciences"/>
    <n v="1"/>
    <n v="465"/>
    <n v="3"/>
    <x v="1"/>
    <n v="83"/>
    <n v="3"/>
    <n v="1"/>
    <s v="Research Scientist"/>
    <n v="4"/>
    <s v="Divorced"/>
    <n v="2904"/>
    <n v="16092"/>
    <n v="1"/>
    <s v="Y"/>
    <s v="No"/>
    <n v="12"/>
    <x v="0"/>
    <n v="3"/>
    <n v="80"/>
    <n v="2"/>
    <n v="4"/>
    <n v="2"/>
    <n v="2"/>
    <n v="4"/>
    <n v="2"/>
    <n v="0"/>
    <n v="2"/>
    <n v="0"/>
    <x v="2"/>
    <x v="1"/>
    <s v="0-5k"/>
    <x v="0"/>
    <x v="0"/>
    <x v="0"/>
  </r>
  <r>
    <n v="41"/>
    <s v="No"/>
    <x v="0"/>
    <n v="483"/>
    <x v="1"/>
    <n v="6"/>
    <n v="3"/>
    <s v="Medical"/>
    <n v="1"/>
    <n v="466"/>
    <n v="4"/>
    <x v="1"/>
    <n v="95"/>
    <n v="2"/>
    <n v="2"/>
    <s v="Manufacturing Director"/>
    <n v="2"/>
    <s v="Single"/>
    <n v="6032"/>
    <n v="10110"/>
    <n v="6"/>
    <s v="Y"/>
    <s v="Yes"/>
    <n v="15"/>
    <x v="0"/>
    <n v="4"/>
    <n v="80"/>
    <n v="0"/>
    <n v="8"/>
    <n v="3"/>
    <n v="3"/>
    <n v="5"/>
    <n v="4"/>
    <n v="1"/>
    <n v="2"/>
    <n v="0"/>
    <x v="0"/>
    <x v="0"/>
    <s v="5k-10k"/>
    <x v="0"/>
    <x v="0"/>
    <x v="1"/>
  </r>
  <r>
    <n v="47"/>
    <s v="No"/>
    <x v="1"/>
    <n v="1309"/>
    <x v="0"/>
    <n v="4"/>
    <n v="1"/>
    <s v="Medical"/>
    <n v="1"/>
    <n v="467"/>
    <n v="2"/>
    <x v="1"/>
    <n v="99"/>
    <n v="3"/>
    <n v="2"/>
    <s v="Sales Representative"/>
    <n v="3"/>
    <s v="Single"/>
    <n v="2976"/>
    <n v="25751"/>
    <n v="3"/>
    <s v="Y"/>
    <s v="No"/>
    <n v="19"/>
    <x v="0"/>
    <n v="1"/>
    <n v="80"/>
    <n v="0"/>
    <n v="5"/>
    <n v="3"/>
    <n v="3"/>
    <n v="0"/>
    <n v="0"/>
    <n v="0"/>
    <n v="0"/>
    <n v="0"/>
    <x v="1"/>
    <x v="0"/>
    <s v="0-5k"/>
    <x v="0"/>
    <x v="0"/>
    <x v="2"/>
  </r>
  <r>
    <n v="42"/>
    <s v="No"/>
    <x v="0"/>
    <n v="810"/>
    <x v="1"/>
    <n v="23"/>
    <n v="5"/>
    <s v="Life Sciences"/>
    <n v="1"/>
    <n v="468"/>
    <n v="1"/>
    <x v="0"/>
    <n v="44"/>
    <n v="3"/>
    <n v="4"/>
    <s v="Research Director"/>
    <n v="4"/>
    <s v="Single"/>
    <n v="15992"/>
    <n v="15901"/>
    <n v="2"/>
    <s v="Y"/>
    <s v="No"/>
    <n v="14"/>
    <x v="0"/>
    <n v="2"/>
    <n v="80"/>
    <n v="0"/>
    <n v="16"/>
    <n v="2"/>
    <n v="3"/>
    <n v="1"/>
    <n v="0"/>
    <n v="0"/>
    <n v="0"/>
    <n v="0"/>
    <x v="0"/>
    <x v="1"/>
    <s v="15k+"/>
    <x v="0"/>
    <x v="0"/>
    <x v="0"/>
  </r>
  <r>
    <n v="29"/>
    <s v="No"/>
    <x v="2"/>
    <n v="746"/>
    <x v="0"/>
    <n v="2"/>
    <n v="3"/>
    <s v="Life Sciences"/>
    <n v="1"/>
    <n v="469"/>
    <n v="4"/>
    <x v="1"/>
    <n v="61"/>
    <n v="3"/>
    <n v="2"/>
    <s v="Sales Executive"/>
    <n v="3"/>
    <s v="Married"/>
    <n v="4649"/>
    <n v="16928"/>
    <n v="1"/>
    <s v="Y"/>
    <s v="No"/>
    <n v="14"/>
    <x v="0"/>
    <n v="1"/>
    <n v="80"/>
    <n v="1"/>
    <n v="4"/>
    <n v="3"/>
    <n v="2"/>
    <n v="4"/>
    <n v="3"/>
    <n v="0"/>
    <n v="2"/>
    <n v="0"/>
    <x v="2"/>
    <x v="0"/>
    <s v="0-5k"/>
    <x v="0"/>
    <x v="0"/>
    <x v="2"/>
  </r>
  <r>
    <n v="42"/>
    <s v="No"/>
    <x v="0"/>
    <n v="544"/>
    <x v="2"/>
    <n v="2"/>
    <n v="1"/>
    <s v="Technical Degree"/>
    <n v="1"/>
    <n v="470"/>
    <n v="3"/>
    <x v="1"/>
    <n v="52"/>
    <n v="3"/>
    <n v="1"/>
    <s v="Human Resources"/>
    <n v="3"/>
    <s v="Divorced"/>
    <n v="2696"/>
    <n v="24017"/>
    <n v="0"/>
    <s v="Y"/>
    <s v="Yes"/>
    <n v="11"/>
    <x v="0"/>
    <n v="3"/>
    <n v="80"/>
    <n v="1"/>
    <n v="4"/>
    <n v="5"/>
    <n v="3"/>
    <n v="3"/>
    <n v="2"/>
    <n v="1"/>
    <n v="0"/>
    <n v="0"/>
    <x v="0"/>
    <x v="0"/>
    <s v="0-5k"/>
    <x v="0"/>
    <x v="0"/>
    <x v="2"/>
  </r>
  <r>
    <n v="32"/>
    <s v="No"/>
    <x v="0"/>
    <n v="1062"/>
    <x v="1"/>
    <n v="2"/>
    <n v="3"/>
    <s v="Medical"/>
    <n v="1"/>
    <n v="471"/>
    <n v="3"/>
    <x v="0"/>
    <n v="75"/>
    <n v="3"/>
    <n v="1"/>
    <s v="Laboratory Technician"/>
    <n v="2"/>
    <s v="Married"/>
    <n v="2370"/>
    <n v="3956"/>
    <n v="1"/>
    <s v="Y"/>
    <s v="No"/>
    <n v="13"/>
    <x v="0"/>
    <n v="3"/>
    <n v="80"/>
    <n v="1"/>
    <n v="8"/>
    <n v="4"/>
    <n v="3"/>
    <n v="8"/>
    <n v="0"/>
    <n v="0"/>
    <n v="7"/>
    <n v="0"/>
    <x v="0"/>
    <x v="0"/>
    <s v="0-5k"/>
    <x v="0"/>
    <x v="0"/>
    <x v="1"/>
  </r>
  <r>
    <n v="48"/>
    <s v="No"/>
    <x v="0"/>
    <n v="530"/>
    <x v="0"/>
    <n v="29"/>
    <n v="1"/>
    <s v="Medical"/>
    <n v="1"/>
    <n v="473"/>
    <n v="1"/>
    <x v="0"/>
    <n v="91"/>
    <n v="3"/>
    <n v="3"/>
    <s v="Manager"/>
    <n v="3"/>
    <s v="Married"/>
    <n v="12504"/>
    <n v="23978"/>
    <n v="3"/>
    <s v="Y"/>
    <s v="No"/>
    <n v="21"/>
    <x v="1"/>
    <n v="2"/>
    <n v="80"/>
    <n v="1"/>
    <n v="15"/>
    <n v="3"/>
    <n v="1"/>
    <n v="0"/>
    <n v="0"/>
    <n v="0"/>
    <n v="0"/>
    <n v="0"/>
    <x v="1"/>
    <x v="1"/>
    <s v="10k-15k"/>
    <x v="0"/>
    <x v="1"/>
    <x v="2"/>
  </r>
  <r>
    <n v="37"/>
    <s v="No"/>
    <x v="0"/>
    <n v="1319"/>
    <x v="1"/>
    <n v="6"/>
    <n v="3"/>
    <s v="Medical"/>
    <n v="1"/>
    <n v="474"/>
    <n v="3"/>
    <x v="1"/>
    <n v="51"/>
    <n v="4"/>
    <n v="2"/>
    <s v="Research Scientist"/>
    <n v="1"/>
    <s v="Divorced"/>
    <n v="5974"/>
    <n v="17001"/>
    <n v="4"/>
    <s v="Y"/>
    <s v="Yes"/>
    <n v="13"/>
    <x v="0"/>
    <n v="1"/>
    <n v="80"/>
    <n v="2"/>
    <n v="13"/>
    <n v="2"/>
    <n v="3"/>
    <n v="7"/>
    <n v="7"/>
    <n v="6"/>
    <n v="7"/>
    <n v="0"/>
    <x v="0"/>
    <x v="0"/>
    <s v="5k-10k"/>
    <x v="0"/>
    <x v="0"/>
    <x v="3"/>
  </r>
  <r>
    <n v="30"/>
    <s v="No"/>
    <x v="2"/>
    <n v="641"/>
    <x v="0"/>
    <n v="25"/>
    <n v="2"/>
    <s v="Technical Degree"/>
    <n v="1"/>
    <n v="475"/>
    <n v="4"/>
    <x v="0"/>
    <n v="85"/>
    <n v="3"/>
    <n v="2"/>
    <s v="Sales Executive"/>
    <n v="3"/>
    <s v="Married"/>
    <n v="4736"/>
    <n v="6069"/>
    <n v="7"/>
    <s v="Y"/>
    <s v="Yes"/>
    <n v="12"/>
    <x v="0"/>
    <n v="2"/>
    <n v="80"/>
    <n v="1"/>
    <n v="4"/>
    <n v="2"/>
    <n v="4"/>
    <n v="2"/>
    <n v="2"/>
    <n v="2"/>
    <n v="2"/>
    <n v="0"/>
    <x v="2"/>
    <x v="1"/>
    <s v="0-5k"/>
    <x v="0"/>
    <x v="0"/>
    <x v="2"/>
  </r>
  <r>
    <n v="26"/>
    <s v="No"/>
    <x v="0"/>
    <n v="933"/>
    <x v="0"/>
    <n v="1"/>
    <n v="3"/>
    <s v="Life Sciences"/>
    <n v="1"/>
    <n v="476"/>
    <n v="3"/>
    <x v="1"/>
    <n v="57"/>
    <n v="3"/>
    <n v="2"/>
    <s v="Sales Executive"/>
    <n v="3"/>
    <s v="Married"/>
    <n v="5296"/>
    <n v="20156"/>
    <n v="1"/>
    <s v="Y"/>
    <s v="No"/>
    <n v="17"/>
    <x v="0"/>
    <n v="2"/>
    <n v="80"/>
    <n v="1"/>
    <n v="8"/>
    <n v="3"/>
    <n v="3"/>
    <n v="8"/>
    <n v="7"/>
    <n v="7"/>
    <n v="7"/>
    <n v="0"/>
    <x v="2"/>
    <x v="0"/>
    <s v="5k-10k"/>
    <x v="0"/>
    <x v="0"/>
    <x v="2"/>
  </r>
  <r>
    <n v="42"/>
    <s v="No"/>
    <x v="0"/>
    <n v="1332"/>
    <x v="1"/>
    <n v="2"/>
    <n v="4"/>
    <s v="Other"/>
    <n v="1"/>
    <n v="477"/>
    <n v="1"/>
    <x v="1"/>
    <n v="98"/>
    <n v="2"/>
    <n v="2"/>
    <s v="Healthcare Representative"/>
    <n v="4"/>
    <s v="Single"/>
    <n v="6781"/>
    <n v="17078"/>
    <n v="3"/>
    <s v="Y"/>
    <s v="No"/>
    <n v="23"/>
    <x v="1"/>
    <n v="2"/>
    <n v="80"/>
    <n v="0"/>
    <n v="14"/>
    <n v="6"/>
    <n v="3"/>
    <n v="1"/>
    <n v="0"/>
    <n v="0"/>
    <n v="0"/>
    <n v="0"/>
    <x v="0"/>
    <x v="0"/>
    <s v="5k-10k"/>
    <x v="0"/>
    <x v="1"/>
    <x v="0"/>
  </r>
  <r>
    <n v="21"/>
    <s v="Yes"/>
    <x v="1"/>
    <n v="756"/>
    <x v="0"/>
    <n v="1"/>
    <n v="1"/>
    <s v="Technical Degree"/>
    <n v="1"/>
    <n v="478"/>
    <n v="1"/>
    <x v="0"/>
    <n v="99"/>
    <n v="2"/>
    <n v="1"/>
    <s v="Sales Representative"/>
    <n v="2"/>
    <s v="Single"/>
    <n v="2174"/>
    <n v="9150"/>
    <n v="1"/>
    <s v="Y"/>
    <s v="Yes"/>
    <n v="11"/>
    <x v="0"/>
    <n v="3"/>
    <n v="80"/>
    <n v="0"/>
    <n v="3"/>
    <n v="3"/>
    <n v="3"/>
    <n v="3"/>
    <n v="2"/>
    <n v="1"/>
    <n v="2"/>
    <n v="1"/>
    <x v="2"/>
    <x v="0"/>
    <s v="0-5k"/>
    <x v="0"/>
    <x v="0"/>
    <x v="1"/>
  </r>
  <r>
    <n v="36"/>
    <s v="No"/>
    <x v="2"/>
    <n v="845"/>
    <x v="0"/>
    <n v="1"/>
    <n v="5"/>
    <s v="Medical"/>
    <n v="1"/>
    <n v="479"/>
    <n v="4"/>
    <x v="0"/>
    <n v="45"/>
    <n v="3"/>
    <n v="2"/>
    <s v="Sales Executive"/>
    <n v="4"/>
    <s v="Single"/>
    <n v="6653"/>
    <n v="15276"/>
    <n v="4"/>
    <s v="Y"/>
    <s v="No"/>
    <n v="15"/>
    <x v="0"/>
    <n v="2"/>
    <n v="80"/>
    <n v="0"/>
    <n v="7"/>
    <n v="6"/>
    <n v="3"/>
    <n v="1"/>
    <n v="0"/>
    <n v="0"/>
    <n v="0"/>
    <n v="0"/>
    <x v="0"/>
    <x v="0"/>
    <s v="5k-10k"/>
    <x v="0"/>
    <x v="0"/>
    <x v="0"/>
  </r>
  <r>
    <n v="36"/>
    <s v="No"/>
    <x v="1"/>
    <n v="541"/>
    <x v="0"/>
    <n v="3"/>
    <n v="4"/>
    <s v="Medical"/>
    <n v="1"/>
    <n v="481"/>
    <n v="1"/>
    <x v="1"/>
    <n v="48"/>
    <n v="2"/>
    <n v="3"/>
    <s v="Sales Executive"/>
    <n v="4"/>
    <s v="Married"/>
    <n v="9699"/>
    <n v="7246"/>
    <n v="4"/>
    <s v="Y"/>
    <s v="No"/>
    <n v="11"/>
    <x v="0"/>
    <n v="1"/>
    <n v="80"/>
    <n v="1"/>
    <n v="16"/>
    <n v="2"/>
    <n v="3"/>
    <n v="13"/>
    <n v="9"/>
    <n v="1"/>
    <n v="12"/>
    <n v="0"/>
    <x v="0"/>
    <x v="0"/>
    <s v="5k-10k"/>
    <x v="2"/>
    <x v="0"/>
    <x v="0"/>
  </r>
  <r>
    <n v="57"/>
    <s v="No"/>
    <x v="0"/>
    <n v="593"/>
    <x v="1"/>
    <n v="1"/>
    <n v="4"/>
    <s v="Medical"/>
    <n v="1"/>
    <n v="482"/>
    <n v="4"/>
    <x v="1"/>
    <n v="88"/>
    <n v="3"/>
    <n v="2"/>
    <s v="Healthcare Representative"/>
    <n v="3"/>
    <s v="Married"/>
    <n v="6755"/>
    <n v="2967"/>
    <n v="2"/>
    <s v="Y"/>
    <s v="No"/>
    <n v="11"/>
    <x v="0"/>
    <n v="3"/>
    <n v="80"/>
    <n v="0"/>
    <n v="15"/>
    <n v="2"/>
    <n v="3"/>
    <n v="3"/>
    <n v="2"/>
    <n v="1"/>
    <n v="2"/>
    <n v="0"/>
    <x v="1"/>
    <x v="0"/>
    <s v="5k-10k"/>
    <x v="0"/>
    <x v="0"/>
    <x v="2"/>
  </r>
  <r>
    <n v="40"/>
    <s v="No"/>
    <x v="0"/>
    <n v="1171"/>
    <x v="1"/>
    <n v="10"/>
    <n v="4"/>
    <s v="Life Sciences"/>
    <n v="1"/>
    <n v="483"/>
    <n v="4"/>
    <x v="0"/>
    <n v="46"/>
    <n v="4"/>
    <n v="1"/>
    <s v="Laboratory Technician"/>
    <n v="3"/>
    <s v="Married"/>
    <n v="2213"/>
    <n v="22495"/>
    <n v="3"/>
    <s v="Y"/>
    <s v="Yes"/>
    <n v="13"/>
    <x v="0"/>
    <n v="3"/>
    <n v="80"/>
    <n v="1"/>
    <n v="10"/>
    <n v="3"/>
    <n v="3"/>
    <n v="7"/>
    <n v="7"/>
    <n v="1"/>
    <n v="7"/>
    <n v="0"/>
    <x v="0"/>
    <x v="0"/>
    <s v="0-5k"/>
    <x v="0"/>
    <x v="0"/>
    <x v="2"/>
  </r>
  <r>
    <n v="21"/>
    <s v="No"/>
    <x v="2"/>
    <n v="895"/>
    <x v="0"/>
    <n v="9"/>
    <n v="2"/>
    <s v="Medical"/>
    <n v="1"/>
    <n v="484"/>
    <n v="1"/>
    <x v="1"/>
    <n v="39"/>
    <n v="3"/>
    <n v="1"/>
    <s v="Sales Representative"/>
    <n v="4"/>
    <s v="Single"/>
    <n v="2610"/>
    <n v="2851"/>
    <n v="1"/>
    <s v="Y"/>
    <s v="No"/>
    <n v="24"/>
    <x v="1"/>
    <n v="3"/>
    <n v="80"/>
    <n v="0"/>
    <n v="3"/>
    <n v="3"/>
    <n v="2"/>
    <n v="3"/>
    <n v="2"/>
    <n v="2"/>
    <n v="2"/>
    <n v="0"/>
    <x v="2"/>
    <x v="0"/>
    <s v="0-5k"/>
    <x v="0"/>
    <x v="1"/>
    <x v="0"/>
  </r>
  <r>
    <n v="33"/>
    <s v="Yes"/>
    <x v="0"/>
    <n v="350"/>
    <x v="0"/>
    <n v="5"/>
    <n v="3"/>
    <s v="Marketing"/>
    <n v="1"/>
    <n v="485"/>
    <n v="4"/>
    <x v="0"/>
    <n v="34"/>
    <n v="3"/>
    <n v="1"/>
    <s v="Sales Representative"/>
    <n v="3"/>
    <s v="Single"/>
    <n v="2851"/>
    <n v="9150"/>
    <n v="1"/>
    <s v="Y"/>
    <s v="Yes"/>
    <n v="13"/>
    <x v="0"/>
    <n v="2"/>
    <n v="80"/>
    <n v="0"/>
    <n v="1"/>
    <n v="2"/>
    <n v="3"/>
    <n v="1"/>
    <n v="0"/>
    <n v="0"/>
    <n v="0"/>
    <n v="1"/>
    <x v="0"/>
    <x v="0"/>
    <s v="0-5k"/>
    <x v="0"/>
    <x v="0"/>
    <x v="2"/>
  </r>
  <r>
    <n v="37"/>
    <s v="No"/>
    <x v="0"/>
    <n v="921"/>
    <x v="1"/>
    <n v="10"/>
    <n v="3"/>
    <s v="Medical"/>
    <n v="1"/>
    <n v="486"/>
    <n v="3"/>
    <x v="0"/>
    <n v="98"/>
    <n v="3"/>
    <n v="1"/>
    <s v="Laboratory Technician"/>
    <n v="1"/>
    <s v="Married"/>
    <n v="3452"/>
    <n v="17663"/>
    <n v="6"/>
    <s v="Y"/>
    <s v="No"/>
    <n v="20"/>
    <x v="1"/>
    <n v="2"/>
    <n v="80"/>
    <n v="1"/>
    <n v="17"/>
    <n v="3"/>
    <n v="3"/>
    <n v="5"/>
    <n v="4"/>
    <n v="0"/>
    <n v="3"/>
    <n v="0"/>
    <x v="0"/>
    <x v="0"/>
    <s v="0-5k"/>
    <x v="0"/>
    <x v="1"/>
    <x v="3"/>
  </r>
  <r>
    <n v="46"/>
    <s v="No"/>
    <x v="2"/>
    <n v="1144"/>
    <x v="1"/>
    <n v="7"/>
    <n v="4"/>
    <s v="Medical"/>
    <n v="1"/>
    <n v="487"/>
    <n v="3"/>
    <x v="0"/>
    <n v="30"/>
    <n v="3"/>
    <n v="2"/>
    <s v="Manufacturing Director"/>
    <n v="3"/>
    <s v="Married"/>
    <n v="5258"/>
    <n v="16044"/>
    <n v="2"/>
    <s v="Y"/>
    <s v="No"/>
    <n v="14"/>
    <x v="0"/>
    <n v="3"/>
    <n v="80"/>
    <n v="0"/>
    <n v="7"/>
    <n v="2"/>
    <n v="4"/>
    <n v="1"/>
    <n v="0"/>
    <n v="0"/>
    <n v="0"/>
    <n v="0"/>
    <x v="1"/>
    <x v="0"/>
    <s v="5k-10k"/>
    <x v="0"/>
    <x v="0"/>
    <x v="2"/>
  </r>
  <r>
    <n v="41"/>
    <s v="Yes"/>
    <x v="1"/>
    <n v="143"/>
    <x v="0"/>
    <n v="4"/>
    <n v="3"/>
    <s v="Marketing"/>
    <n v="1"/>
    <n v="488"/>
    <n v="1"/>
    <x v="1"/>
    <n v="56"/>
    <n v="3"/>
    <n v="2"/>
    <s v="Sales Executive"/>
    <n v="2"/>
    <s v="Single"/>
    <n v="9355"/>
    <n v="9558"/>
    <n v="1"/>
    <s v="Y"/>
    <s v="No"/>
    <n v="18"/>
    <x v="0"/>
    <n v="3"/>
    <n v="80"/>
    <n v="0"/>
    <n v="8"/>
    <n v="5"/>
    <n v="3"/>
    <n v="8"/>
    <n v="7"/>
    <n v="7"/>
    <n v="7"/>
    <n v="1"/>
    <x v="0"/>
    <x v="0"/>
    <s v="5k-10k"/>
    <x v="0"/>
    <x v="0"/>
    <x v="1"/>
  </r>
  <r>
    <n v="50"/>
    <s v="No"/>
    <x v="0"/>
    <n v="1046"/>
    <x v="1"/>
    <n v="10"/>
    <n v="3"/>
    <s v="Technical Degree"/>
    <n v="1"/>
    <n v="491"/>
    <n v="4"/>
    <x v="1"/>
    <n v="100"/>
    <n v="2"/>
    <n v="3"/>
    <s v="Healthcare Representative"/>
    <n v="4"/>
    <s v="Single"/>
    <n v="10496"/>
    <n v="2755"/>
    <n v="6"/>
    <s v="Y"/>
    <s v="No"/>
    <n v="15"/>
    <x v="0"/>
    <n v="4"/>
    <n v="80"/>
    <n v="0"/>
    <n v="20"/>
    <n v="2"/>
    <n v="3"/>
    <n v="4"/>
    <n v="3"/>
    <n v="1"/>
    <n v="3"/>
    <n v="0"/>
    <x v="1"/>
    <x v="0"/>
    <s v="10k-15k"/>
    <x v="0"/>
    <x v="0"/>
    <x v="0"/>
  </r>
  <r>
    <n v="40"/>
    <s v="Yes"/>
    <x v="0"/>
    <n v="575"/>
    <x v="0"/>
    <n v="22"/>
    <n v="2"/>
    <s v="Marketing"/>
    <n v="1"/>
    <n v="492"/>
    <n v="3"/>
    <x v="1"/>
    <n v="68"/>
    <n v="2"/>
    <n v="2"/>
    <s v="Sales Executive"/>
    <n v="3"/>
    <s v="Married"/>
    <n v="6380"/>
    <n v="6110"/>
    <n v="2"/>
    <s v="Y"/>
    <s v="Yes"/>
    <n v="12"/>
    <x v="0"/>
    <n v="1"/>
    <n v="80"/>
    <n v="2"/>
    <n v="8"/>
    <n v="6"/>
    <n v="3"/>
    <n v="6"/>
    <n v="4"/>
    <n v="1"/>
    <n v="0"/>
    <n v="1"/>
    <x v="0"/>
    <x v="1"/>
    <s v="5k-10k"/>
    <x v="0"/>
    <x v="0"/>
    <x v="2"/>
  </r>
  <r>
    <n v="31"/>
    <s v="No"/>
    <x v="0"/>
    <n v="408"/>
    <x v="1"/>
    <n v="9"/>
    <n v="4"/>
    <s v="Life Sciences"/>
    <n v="1"/>
    <n v="493"/>
    <n v="3"/>
    <x v="1"/>
    <n v="42"/>
    <n v="2"/>
    <n v="1"/>
    <s v="Research Scientist"/>
    <n v="2"/>
    <s v="Single"/>
    <n v="2657"/>
    <n v="7551"/>
    <n v="0"/>
    <s v="Y"/>
    <s v="Yes"/>
    <n v="16"/>
    <x v="0"/>
    <n v="4"/>
    <n v="80"/>
    <n v="0"/>
    <n v="3"/>
    <n v="5"/>
    <n v="3"/>
    <n v="2"/>
    <n v="2"/>
    <n v="2"/>
    <n v="2"/>
    <n v="0"/>
    <x v="0"/>
    <x v="0"/>
    <s v="0-5k"/>
    <x v="0"/>
    <x v="0"/>
    <x v="1"/>
  </r>
  <r>
    <n v="21"/>
    <s v="Yes"/>
    <x v="0"/>
    <n v="156"/>
    <x v="0"/>
    <n v="12"/>
    <n v="3"/>
    <s v="Life Sciences"/>
    <n v="1"/>
    <n v="494"/>
    <n v="3"/>
    <x v="0"/>
    <n v="90"/>
    <n v="4"/>
    <n v="1"/>
    <s v="Sales Representative"/>
    <n v="2"/>
    <s v="Single"/>
    <n v="2716"/>
    <n v="25422"/>
    <n v="1"/>
    <s v="Y"/>
    <s v="No"/>
    <n v="15"/>
    <x v="0"/>
    <n v="4"/>
    <n v="80"/>
    <n v="0"/>
    <n v="1"/>
    <n v="0"/>
    <n v="3"/>
    <n v="1"/>
    <n v="0"/>
    <n v="0"/>
    <n v="0"/>
    <n v="1"/>
    <x v="2"/>
    <x v="2"/>
    <s v="0-5k"/>
    <x v="0"/>
    <x v="0"/>
    <x v="1"/>
  </r>
  <r>
    <n v="29"/>
    <s v="No"/>
    <x v="0"/>
    <n v="1283"/>
    <x v="1"/>
    <n v="23"/>
    <n v="3"/>
    <s v="Life Sciences"/>
    <n v="1"/>
    <n v="495"/>
    <n v="4"/>
    <x v="1"/>
    <n v="54"/>
    <n v="3"/>
    <n v="1"/>
    <s v="Research Scientist"/>
    <n v="4"/>
    <s v="Single"/>
    <n v="2201"/>
    <n v="18168"/>
    <n v="9"/>
    <s v="Y"/>
    <s v="No"/>
    <n v="16"/>
    <x v="0"/>
    <n v="4"/>
    <n v="80"/>
    <n v="0"/>
    <n v="6"/>
    <n v="4"/>
    <n v="3"/>
    <n v="3"/>
    <n v="2"/>
    <n v="1"/>
    <n v="2"/>
    <n v="0"/>
    <x v="2"/>
    <x v="1"/>
    <s v="0-5k"/>
    <x v="0"/>
    <x v="0"/>
    <x v="0"/>
  </r>
  <r>
    <n v="35"/>
    <s v="No"/>
    <x v="0"/>
    <n v="755"/>
    <x v="1"/>
    <n v="9"/>
    <n v="4"/>
    <s v="Life Sciences"/>
    <n v="1"/>
    <n v="496"/>
    <n v="3"/>
    <x v="1"/>
    <n v="97"/>
    <n v="2"/>
    <n v="2"/>
    <s v="Healthcare Representative"/>
    <n v="2"/>
    <s v="Single"/>
    <n v="6540"/>
    <n v="19394"/>
    <n v="9"/>
    <s v="Y"/>
    <s v="No"/>
    <n v="19"/>
    <x v="0"/>
    <n v="3"/>
    <n v="80"/>
    <n v="0"/>
    <n v="10"/>
    <n v="5"/>
    <n v="3"/>
    <n v="1"/>
    <n v="1"/>
    <n v="0"/>
    <n v="0"/>
    <n v="0"/>
    <x v="0"/>
    <x v="0"/>
    <s v="5k-10k"/>
    <x v="0"/>
    <x v="0"/>
    <x v="1"/>
  </r>
  <r>
    <n v="27"/>
    <s v="No"/>
    <x v="0"/>
    <n v="1469"/>
    <x v="1"/>
    <n v="1"/>
    <n v="2"/>
    <s v="Medical"/>
    <n v="1"/>
    <n v="497"/>
    <n v="4"/>
    <x v="1"/>
    <n v="82"/>
    <n v="3"/>
    <n v="1"/>
    <s v="Laboratory Technician"/>
    <n v="2"/>
    <s v="Divorced"/>
    <n v="3816"/>
    <n v="17881"/>
    <n v="1"/>
    <s v="Y"/>
    <s v="No"/>
    <n v="11"/>
    <x v="0"/>
    <n v="2"/>
    <n v="80"/>
    <n v="1"/>
    <n v="5"/>
    <n v="2"/>
    <n v="3"/>
    <n v="5"/>
    <n v="2"/>
    <n v="0"/>
    <n v="4"/>
    <n v="0"/>
    <x v="2"/>
    <x v="0"/>
    <s v="0-5k"/>
    <x v="0"/>
    <x v="0"/>
    <x v="1"/>
  </r>
  <r>
    <n v="28"/>
    <s v="No"/>
    <x v="0"/>
    <n v="304"/>
    <x v="0"/>
    <n v="9"/>
    <n v="4"/>
    <s v="Life Sciences"/>
    <n v="1"/>
    <n v="498"/>
    <n v="2"/>
    <x v="1"/>
    <n v="92"/>
    <n v="3"/>
    <n v="2"/>
    <s v="Sales Executive"/>
    <n v="4"/>
    <s v="Single"/>
    <n v="5253"/>
    <n v="20750"/>
    <n v="1"/>
    <s v="Y"/>
    <s v="No"/>
    <n v="16"/>
    <x v="0"/>
    <n v="4"/>
    <n v="80"/>
    <n v="0"/>
    <n v="7"/>
    <n v="1"/>
    <n v="3"/>
    <n v="7"/>
    <n v="5"/>
    <n v="0"/>
    <n v="7"/>
    <n v="0"/>
    <x v="2"/>
    <x v="0"/>
    <s v="5k-10k"/>
    <x v="0"/>
    <x v="0"/>
    <x v="0"/>
  </r>
  <r>
    <n v="49"/>
    <s v="No"/>
    <x v="0"/>
    <n v="1261"/>
    <x v="1"/>
    <n v="7"/>
    <n v="3"/>
    <s v="Other"/>
    <n v="1"/>
    <n v="499"/>
    <n v="2"/>
    <x v="1"/>
    <n v="31"/>
    <n v="2"/>
    <n v="3"/>
    <s v="Healthcare Representative"/>
    <n v="3"/>
    <s v="Single"/>
    <n v="10965"/>
    <n v="12066"/>
    <n v="8"/>
    <s v="Y"/>
    <s v="No"/>
    <n v="24"/>
    <x v="1"/>
    <n v="3"/>
    <n v="80"/>
    <n v="0"/>
    <n v="26"/>
    <n v="2"/>
    <n v="3"/>
    <n v="5"/>
    <n v="2"/>
    <n v="0"/>
    <n v="0"/>
    <n v="0"/>
    <x v="1"/>
    <x v="0"/>
    <s v="10k-15k"/>
    <x v="0"/>
    <x v="1"/>
    <x v="2"/>
  </r>
  <r>
    <n v="51"/>
    <s v="No"/>
    <x v="0"/>
    <n v="1178"/>
    <x v="0"/>
    <n v="14"/>
    <n v="2"/>
    <s v="Life Sciences"/>
    <n v="1"/>
    <n v="500"/>
    <n v="3"/>
    <x v="0"/>
    <n v="87"/>
    <n v="3"/>
    <n v="2"/>
    <s v="Sales Executive"/>
    <n v="4"/>
    <s v="Married"/>
    <n v="4936"/>
    <n v="14862"/>
    <n v="4"/>
    <s v="Y"/>
    <s v="No"/>
    <n v="11"/>
    <x v="0"/>
    <n v="3"/>
    <n v="80"/>
    <n v="1"/>
    <n v="18"/>
    <n v="2"/>
    <n v="2"/>
    <n v="7"/>
    <n v="7"/>
    <n v="0"/>
    <n v="7"/>
    <n v="0"/>
    <x v="1"/>
    <x v="2"/>
    <s v="0-5k"/>
    <x v="0"/>
    <x v="0"/>
    <x v="0"/>
  </r>
  <r>
    <n v="36"/>
    <s v="No"/>
    <x v="0"/>
    <n v="329"/>
    <x v="1"/>
    <n v="2"/>
    <n v="3"/>
    <s v="Life Sciences"/>
    <n v="1"/>
    <n v="501"/>
    <n v="4"/>
    <x v="0"/>
    <n v="96"/>
    <n v="3"/>
    <n v="1"/>
    <s v="Research Scientist"/>
    <n v="3"/>
    <s v="Married"/>
    <n v="2543"/>
    <n v="11868"/>
    <n v="4"/>
    <s v="Y"/>
    <s v="No"/>
    <n v="13"/>
    <x v="0"/>
    <n v="2"/>
    <n v="80"/>
    <n v="1"/>
    <n v="6"/>
    <n v="3"/>
    <n v="3"/>
    <n v="2"/>
    <n v="2"/>
    <n v="2"/>
    <n v="2"/>
    <n v="0"/>
    <x v="0"/>
    <x v="0"/>
    <s v="0-5k"/>
    <x v="0"/>
    <x v="0"/>
    <x v="2"/>
  </r>
  <r>
    <n v="34"/>
    <s v="Yes"/>
    <x v="2"/>
    <n v="1362"/>
    <x v="0"/>
    <n v="19"/>
    <n v="3"/>
    <s v="Marketing"/>
    <n v="1"/>
    <n v="502"/>
    <n v="1"/>
    <x v="1"/>
    <n v="67"/>
    <n v="4"/>
    <n v="2"/>
    <s v="Sales Executive"/>
    <n v="4"/>
    <s v="Single"/>
    <n v="5304"/>
    <n v="4652"/>
    <n v="8"/>
    <s v="Y"/>
    <s v="Yes"/>
    <n v="13"/>
    <x v="0"/>
    <n v="2"/>
    <n v="80"/>
    <n v="0"/>
    <n v="9"/>
    <n v="3"/>
    <n v="2"/>
    <n v="5"/>
    <n v="2"/>
    <n v="0"/>
    <n v="4"/>
    <n v="1"/>
    <x v="0"/>
    <x v="2"/>
    <s v="5k-10k"/>
    <x v="0"/>
    <x v="0"/>
    <x v="0"/>
  </r>
  <r>
    <n v="55"/>
    <s v="No"/>
    <x v="0"/>
    <n v="1311"/>
    <x v="1"/>
    <n v="2"/>
    <n v="3"/>
    <s v="Life Sciences"/>
    <n v="1"/>
    <n v="505"/>
    <n v="3"/>
    <x v="0"/>
    <n v="97"/>
    <n v="3"/>
    <n v="4"/>
    <s v="Manager"/>
    <n v="4"/>
    <s v="Single"/>
    <n v="16659"/>
    <n v="23258"/>
    <n v="2"/>
    <s v="Y"/>
    <s v="Yes"/>
    <n v="13"/>
    <x v="0"/>
    <n v="3"/>
    <n v="80"/>
    <n v="0"/>
    <n v="30"/>
    <n v="2"/>
    <n v="3"/>
    <n v="5"/>
    <n v="4"/>
    <n v="1"/>
    <n v="2"/>
    <n v="0"/>
    <x v="1"/>
    <x v="0"/>
    <s v="15k+"/>
    <x v="0"/>
    <x v="0"/>
    <x v="0"/>
  </r>
  <r>
    <n v="24"/>
    <s v="No"/>
    <x v="0"/>
    <n v="1371"/>
    <x v="0"/>
    <n v="10"/>
    <n v="4"/>
    <s v="Marketing"/>
    <n v="1"/>
    <n v="507"/>
    <n v="4"/>
    <x v="0"/>
    <n v="77"/>
    <n v="3"/>
    <n v="2"/>
    <s v="Sales Executive"/>
    <n v="3"/>
    <s v="Divorced"/>
    <n v="4260"/>
    <n v="5915"/>
    <n v="1"/>
    <s v="Y"/>
    <s v="Yes"/>
    <n v="12"/>
    <x v="0"/>
    <n v="4"/>
    <n v="80"/>
    <n v="1"/>
    <n v="5"/>
    <n v="2"/>
    <n v="4"/>
    <n v="5"/>
    <n v="2"/>
    <n v="0"/>
    <n v="3"/>
    <n v="0"/>
    <x v="2"/>
    <x v="0"/>
    <s v="0-5k"/>
    <x v="0"/>
    <x v="0"/>
    <x v="2"/>
  </r>
  <r>
    <n v="30"/>
    <s v="No"/>
    <x v="0"/>
    <n v="202"/>
    <x v="0"/>
    <n v="2"/>
    <n v="1"/>
    <s v="Technical Degree"/>
    <n v="1"/>
    <n v="508"/>
    <n v="3"/>
    <x v="1"/>
    <n v="72"/>
    <n v="3"/>
    <n v="1"/>
    <s v="Sales Representative"/>
    <n v="2"/>
    <s v="Married"/>
    <n v="2476"/>
    <n v="17434"/>
    <n v="1"/>
    <s v="Y"/>
    <s v="No"/>
    <n v="18"/>
    <x v="0"/>
    <n v="1"/>
    <n v="80"/>
    <n v="1"/>
    <n v="1"/>
    <n v="3"/>
    <n v="3"/>
    <n v="1"/>
    <n v="0"/>
    <n v="0"/>
    <n v="0"/>
    <n v="0"/>
    <x v="2"/>
    <x v="0"/>
    <s v="0-5k"/>
    <x v="0"/>
    <x v="0"/>
    <x v="1"/>
  </r>
  <r>
    <n v="26"/>
    <s v="Yes"/>
    <x v="1"/>
    <n v="575"/>
    <x v="1"/>
    <n v="3"/>
    <n v="1"/>
    <s v="Technical Degree"/>
    <n v="1"/>
    <n v="510"/>
    <n v="3"/>
    <x v="1"/>
    <n v="73"/>
    <n v="3"/>
    <n v="1"/>
    <s v="Research Scientist"/>
    <n v="1"/>
    <s v="Single"/>
    <n v="3102"/>
    <n v="6582"/>
    <n v="0"/>
    <s v="Y"/>
    <s v="No"/>
    <n v="22"/>
    <x v="1"/>
    <n v="3"/>
    <n v="80"/>
    <n v="0"/>
    <n v="7"/>
    <n v="2"/>
    <n v="3"/>
    <n v="6"/>
    <n v="4"/>
    <n v="0"/>
    <n v="4"/>
    <n v="1"/>
    <x v="2"/>
    <x v="0"/>
    <s v="0-5k"/>
    <x v="0"/>
    <x v="1"/>
    <x v="3"/>
  </r>
  <r>
    <n v="22"/>
    <s v="No"/>
    <x v="0"/>
    <n v="253"/>
    <x v="1"/>
    <n v="11"/>
    <n v="3"/>
    <s v="Medical"/>
    <n v="1"/>
    <n v="511"/>
    <n v="1"/>
    <x v="0"/>
    <n v="43"/>
    <n v="3"/>
    <n v="1"/>
    <s v="Research Scientist"/>
    <n v="2"/>
    <s v="Married"/>
    <n v="2244"/>
    <n v="24440"/>
    <n v="1"/>
    <s v="Y"/>
    <s v="No"/>
    <n v="13"/>
    <x v="0"/>
    <n v="4"/>
    <n v="80"/>
    <n v="1"/>
    <n v="2"/>
    <n v="1"/>
    <n v="3"/>
    <n v="2"/>
    <n v="1"/>
    <n v="1"/>
    <n v="2"/>
    <n v="0"/>
    <x v="2"/>
    <x v="2"/>
    <s v="0-5k"/>
    <x v="0"/>
    <x v="0"/>
    <x v="1"/>
  </r>
  <r>
    <n v="36"/>
    <s v="No"/>
    <x v="0"/>
    <n v="164"/>
    <x v="0"/>
    <n v="2"/>
    <n v="2"/>
    <s v="Medical"/>
    <n v="1"/>
    <n v="513"/>
    <n v="2"/>
    <x v="1"/>
    <n v="61"/>
    <n v="2"/>
    <n v="3"/>
    <s v="Sales Executive"/>
    <n v="3"/>
    <s v="Married"/>
    <n v="7596"/>
    <n v="3809"/>
    <n v="1"/>
    <s v="Y"/>
    <s v="No"/>
    <n v="13"/>
    <x v="0"/>
    <n v="2"/>
    <n v="80"/>
    <n v="2"/>
    <n v="10"/>
    <n v="2"/>
    <n v="3"/>
    <n v="10"/>
    <n v="9"/>
    <n v="9"/>
    <n v="0"/>
    <n v="0"/>
    <x v="0"/>
    <x v="0"/>
    <s v="5k-10k"/>
    <x v="0"/>
    <x v="0"/>
    <x v="2"/>
  </r>
  <r>
    <n v="30"/>
    <s v="Yes"/>
    <x v="1"/>
    <n v="464"/>
    <x v="1"/>
    <n v="4"/>
    <n v="3"/>
    <s v="Technical Degree"/>
    <n v="1"/>
    <n v="514"/>
    <n v="3"/>
    <x v="1"/>
    <n v="40"/>
    <n v="3"/>
    <n v="1"/>
    <s v="Research Scientist"/>
    <n v="4"/>
    <s v="Single"/>
    <n v="2285"/>
    <n v="3427"/>
    <n v="9"/>
    <s v="Y"/>
    <s v="Yes"/>
    <n v="23"/>
    <x v="1"/>
    <n v="3"/>
    <n v="80"/>
    <n v="0"/>
    <n v="3"/>
    <n v="4"/>
    <n v="3"/>
    <n v="1"/>
    <n v="0"/>
    <n v="0"/>
    <n v="0"/>
    <n v="1"/>
    <x v="2"/>
    <x v="0"/>
    <s v="0-5k"/>
    <x v="0"/>
    <x v="1"/>
    <x v="0"/>
  </r>
  <r>
    <n v="37"/>
    <s v="No"/>
    <x v="0"/>
    <n v="1107"/>
    <x v="1"/>
    <n v="14"/>
    <n v="3"/>
    <s v="Life Sciences"/>
    <n v="1"/>
    <n v="515"/>
    <n v="4"/>
    <x v="0"/>
    <n v="95"/>
    <n v="3"/>
    <n v="1"/>
    <s v="Laboratory Technician"/>
    <n v="1"/>
    <s v="Divorced"/>
    <n v="3034"/>
    <n v="26914"/>
    <n v="1"/>
    <s v="Y"/>
    <s v="No"/>
    <n v="12"/>
    <x v="0"/>
    <n v="3"/>
    <n v="80"/>
    <n v="1"/>
    <n v="18"/>
    <n v="2"/>
    <n v="2"/>
    <n v="18"/>
    <n v="7"/>
    <n v="12"/>
    <n v="17"/>
    <n v="0"/>
    <x v="0"/>
    <x v="2"/>
    <s v="0-5k"/>
    <x v="2"/>
    <x v="0"/>
    <x v="3"/>
  </r>
  <r>
    <n v="40"/>
    <s v="No"/>
    <x v="0"/>
    <n v="759"/>
    <x v="0"/>
    <n v="2"/>
    <n v="2"/>
    <s v="Marketing"/>
    <n v="1"/>
    <n v="516"/>
    <n v="4"/>
    <x v="0"/>
    <n v="46"/>
    <n v="3"/>
    <n v="2"/>
    <s v="Sales Executive"/>
    <n v="2"/>
    <s v="Divorced"/>
    <n v="5715"/>
    <n v="22553"/>
    <n v="7"/>
    <s v="Y"/>
    <s v="No"/>
    <n v="12"/>
    <x v="0"/>
    <n v="3"/>
    <n v="80"/>
    <n v="2"/>
    <n v="8"/>
    <n v="5"/>
    <n v="3"/>
    <n v="5"/>
    <n v="4"/>
    <n v="1"/>
    <n v="3"/>
    <n v="0"/>
    <x v="0"/>
    <x v="0"/>
    <s v="5k-10k"/>
    <x v="0"/>
    <x v="0"/>
    <x v="1"/>
  </r>
  <r>
    <n v="42"/>
    <s v="No"/>
    <x v="0"/>
    <n v="201"/>
    <x v="1"/>
    <n v="1"/>
    <n v="4"/>
    <s v="Life Sciences"/>
    <n v="1"/>
    <n v="517"/>
    <n v="2"/>
    <x v="0"/>
    <n v="95"/>
    <n v="3"/>
    <n v="1"/>
    <s v="Laboratory Technician"/>
    <n v="1"/>
    <s v="Divorced"/>
    <n v="2576"/>
    <n v="20490"/>
    <n v="3"/>
    <s v="Y"/>
    <s v="No"/>
    <n v="16"/>
    <x v="0"/>
    <n v="2"/>
    <n v="80"/>
    <n v="1"/>
    <n v="8"/>
    <n v="5"/>
    <n v="3"/>
    <n v="5"/>
    <n v="2"/>
    <n v="1"/>
    <n v="2"/>
    <n v="0"/>
    <x v="0"/>
    <x v="0"/>
    <s v="0-5k"/>
    <x v="0"/>
    <x v="0"/>
    <x v="3"/>
  </r>
  <r>
    <n v="37"/>
    <s v="No"/>
    <x v="0"/>
    <n v="1305"/>
    <x v="1"/>
    <n v="10"/>
    <n v="4"/>
    <s v="Life Sciences"/>
    <n v="1"/>
    <n v="518"/>
    <n v="3"/>
    <x v="1"/>
    <n v="49"/>
    <n v="3"/>
    <n v="2"/>
    <s v="Manufacturing Director"/>
    <n v="2"/>
    <s v="Single"/>
    <n v="4197"/>
    <n v="21123"/>
    <n v="2"/>
    <s v="Y"/>
    <s v="Yes"/>
    <n v="12"/>
    <x v="0"/>
    <n v="4"/>
    <n v="80"/>
    <n v="0"/>
    <n v="18"/>
    <n v="2"/>
    <n v="2"/>
    <n v="1"/>
    <n v="0"/>
    <n v="0"/>
    <n v="1"/>
    <n v="0"/>
    <x v="0"/>
    <x v="0"/>
    <s v="0-5k"/>
    <x v="0"/>
    <x v="0"/>
    <x v="1"/>
  </r>
  <r>
    <n v="43"/>
    <s v="No"/>
    <x v="0"/>
    <n v="982"/>
    <x v="1"/>
    <n v="12"/>
    <n v="3"/>
    <s v="Life Sciences"/>
    <n v="1"/>
    <n v="520"/>
    <n v="1"/>
    <x v="1"/>
    <n v="59"/>
    <n v="2"/>
    <n v="4"/>
    <s v="Research Director"/>
    <n v="2"/>
    <s v="Divorced"/>
    <n v="14336"/>
    <n v="4345"/>
    <n v="1"/>
    <s v="Y"/>
    <s v="No"/>
    <n v="11"/>
    <x v="0"/>
    <n v="3"/>
    <n v="80"/>
    <n v="1"/>
    <n v="25"/>
    <n v="3"/>
    <n v="3"/>
    <n v="25"/>
    <n v="10"/>
    <n v="3"/>
    <n v="9"/>
    <n v="0"/>
    <x v="0"/>
    <x v="2"/>
    <s v="10k-15k"/>
    <x v="1"/>
    <x v="0"/>
    <x v="1"/>
  </r>
  <r>
    <n v="40"/>
    <s v="No"/>
    <x v="0"/>
    <n v="555"/>
    <x v="1"/>
    <n v="2"/>
    <n v="3"/>
    <s v="Medical"/>
    <n v="1"/>
    <n v="521"/>
    <n v="2"/>
    <x v="0"/>
    <n v="78"/>
    <n v="2"/>
    <n v="2"/>
    <s v="Laboratory Technician"/>
    <n v="3"/>
    <s v="Married"/>
    <n v="3448"/>
    <n v="13436"/>
    <n v="6"/>
    <s v="Y"/>
    <s v="No"/>
    <n v="22"/>
    <x v="1"/>
    <n v="2"/>
    <n v="80"/>
    <n v="1"/>
    <n v="20"/>
    <n v="3"/>
    <n v="3"/>
    <n v="1"/>
    <n v="0"/>
    <n v="0"/>
    <n v="0"/>
    <n v="0"/>
    <x v="0"/>
    <x v="0"/>
    <s v="0-5k"/>
    <x v="0"/>
    <x v="1"/>
    <x v="2"/>
  </r>
  <r>
    <n v="54"/>
    <s v="No"/>
    <x v="0"/>
    <n v="821"/>
    <x v="1"/>
    <n v="5"/>
    <n v="2"/>
    <s v="Medical"/>
    <n v="1"/>
    <n v="522"/>
    <n v="1"/>
    <x v="1"/>
    <n v="86"/>
    <n v="3"/>
    <n v="5"/>
    <s v="Research Director"/>
    <n v="1"/>
    <s v="Married"/>
    <n v="19406"/>
    <n v="8509"/>
    <n v="4"/>
    <s v="Y"/>
    <s v="No"/>
    <n v="11"/>
    <x v="0"/>
    <n v="3"/>
    <n v="80"/>
    <n v="1"/>
    <n v="24"/>
    <n v="4"/>
    <n v="2"/>
    <n v="4"/>
    <n v="2"/>
    <n v="1"/>
    <n v="2"/>
    <n v="0"/>
    <x v="1"/>
    <x v="0"/>
    <s v="15k+"/>
    <x v="0"/>
    <x v="0"/>
    <x v="3"/>
  </r>
  <r>
    <n v="34"/>
    <s v="No"/>
    <x v="2"/>
    <n v="1381"/>
    <x v="0"/>
    <n v="4"/>
    <n v="4"/>
    <s v="Marketing"/>
    <n v="1"/>
    <n v="523"/>
    <n v="3"/>
    <x v="0"/>
    <n v="72"/>
    <n v="3"/>
    <n v="2"/>
    <s v="Sales Executive"/>
    <n v="3"/>
    <s v="Married"/>
    <n v="6538"/>
    <n v="12740"/>
    <n v="9"/>
    <s v="Y"/>
    <s v="No"/>
    <n v="15"/>
    <x v="0"/>
    <n v="1"/>
    <n v="80"/>
    <n v="1"/>
    <n v="6"/>
    <n v="3"/>
    <n v="3"/>
    <n v="3"/>
    <n v="2"/>
    <n v="1"/>
    <n v="2"/>
    <n v="0"/>
    <x v="0"/>
    <x v="0"/>
    <s v="5k-10k"/>
    <x v="0"/>
    <x v="0"/>
    <x v="2"/>
  </r>
  <r>
    <n v="31"/>
    <s v="No"/>
    <x v="0"/>
    <n v="480"/>
    <x v="1"/>
    <n v="7"/>
    <n v="2"/>
    <s v="Medical"/>
    <n v="1"/>
    <n v="524"/>
    <n v="2"/>
    <x v="0"/>
    <n v="31"/>
    <n v="3"/>
    <n v="2"/>
    <s v="Manufacturing Director"/>
    <n v="1"/>
    <s v="Married"/>
    <n v="4306"/>
    <n v="4156"/>
    <n v="1"/>
    <s v="Y"/>
    <s v="No"/>
    <n v="12"/>
    <x v="0"/>
    <n v="2"/>
    <n v="80"/>
    <n v="1"/>
    <n v="13"/>
    <n v="5"/>
    <n v="1"/>
    <n v="13"/>
    <n v="10"/>
    <n v="3"/>
    <n v="12"/>
    <n v="0"/>
    <x v="0"/>
    <x v="0"/>
    <s v="0-5k"/>
    <x v="2"/>
    <x v="0"/>
    <x v="3"/>
  </r>
  <r>
    <n v="43"/>
    <s v="No"/>
    <x v="1"/>
    <n v="313"/>
    <x v="1"/>
    <n v="21"/>
    <n v="3"/>
    <s v="Medical"/>
    <n v="1"/>
    <n v="525"/>
    <n v="4"/>
    <x v="1"/>
    <n v="61"/>
    <n v="3"/>
    <n v="1"/>
    <s v="Laboratory Technician"/>
    <n v="4"/>
    <s v="Married"/>
    <n v="2258"/>
    <n v="15238"/>
    <n v="7"/>
    <s v="Y"/>
    <s v="No"/>
    <n v="20"/>
    <x v="1"/>
    <n v="1"/>
    <n v="80"/>
    <n v="1"/>
    <n v="8"/>
    <n v="1"/>
    <n v="3"/>
    <n v="3"/>
    <n v="2"/>
    <n v="1"/>
    <n v="2"/>
    <n v="0"/>
    <x v="0"/>
    <x v="1"/>
    <s v="0-5k"/>
    <x v="0"/>
    <x v="1"/>
    <x v="0"/>
  </r>
  <r>
    <n v="43"/>
    <s v="No"/>
    <x v="0"/>
    <n v="1473"/>
    <x v="1"/>
    <n v="8"/>
    <n v="4"/>
    <s v="Other"/>
    <n v="1"/>
    <n v="526"/>
    <n v="3"/>
    <x v="0"/>
    <n v="74"/>
    <n v="3"/>
    <n v="2"/>
    <s v="Healthcare Representative"/>
    <n v="3"/>
    <s v="Divorced"/>
    <n v="4522"/>
    <n v="2227"/>
    <n v="4"/>
    <s v="Y"/>
    <s v="Yes"/>
    <n v="14"/>
    <x v="0"/>
    <n v="4"/>
    <n v="80"/>
    <n v="0"/>
    <n v="8"/>
    <n v="3"/>
    <n v="3"/>
    <n v="5"/>
    <n v="2"/>
    <n v="0"/>
    <n v="2"/>
    <n v="0"/>
    <x v="0"/>
    <x v="0"/>
    <s v="0-5k"/>
    <x v="0"/>
    <x v="0"/>
    <x v="2"/>
  </r>
  <r>
    <n v="25"/>
    <s v="No"/>
    <x v="0"/>
    <n v="891"/>
    <x v="0"/>
    <n v="4"/>
    <n v="2"/>
    <s v="Life Sciences"/>
    <n v="1"/>
    <n v="527"/>
    <n v="2"/>
    <x v="0"/>
    <n v="99"/>
    <n v="2"/>
    <n v="2"/>
    <s v="Sales Executive"/>
    <n v="4"/>
    <s v="Single"/>
    <n v="4487"/>
    <n v="12090"/>
    <n v="1"/>
    <s v="Y"/>
    <s v="Yes"/>
    <n v="11"/>
    <x v="0"/>
    <n v="2"/>
    <n v="80"/>
    <n v="0"/>
    <n v="5"/>
    <n v="3"/>
    <n v="3"/>
    <n v="5"/>
    <n v="4"/>
    <n v="1"/>
    <n v="3"/>
    <n v="0"/>
    <x v="2"/>
    <x v="0"/>
    <s v="0-5k"/>
    <x v="0"/>
    <x v="0"/>
    <x v="0"/>
  </r>
  <r>
    <n v="37"/>
    <s v="No"/>
    <x v="2"/>
    <n v="1063"/>
    <x v="1"/>
    <n v="25"/>
    <n v="5"/>
    <s v="Medical"/>
    <n v="1"/>
    <n v="529"/>
    <n v="2"/>
    <x v="0"/>
    <n v="72"/>
    <n v="3"/>
    <n v="2"/>
    <s v="Research Scientist"/>
    <n v="3"/>
    <s v="Married"/>
    <n v="4449"/>
    <n v="23866"/>
    <n v="3"/>
    <s v="Y"/>
    <s v="Yes"/>
    <n v="15"/>
    <x v="0"/>
    <n v="1"/>
    <n v="80"/>
    <n v="2"/>
    <n v="15"/>
    <n v="2"/>
    <n v="3"/>
    <n v="13"/>
    <n v="11"/>
    <n v="10"/>
    <n v="7"/>
    <n v="0"/>
    <x v="0"/>
    <x v="1"/>
    <s v="0-5k"/>
    <x v="2"/>
    <x v="0"/>
    <x v="2"/>
  </r>
  <r>
    <n v="31"/>
    <s v="No"/>
    <x v="0"/>
    <n v="329"/>
    <x v="1"/>
    <n v="1"/>
    <n v="2"/>
    <s v="Life Sciences"/>
    <n v="1"/>
    <n v="530"/>
    <n v="4"/>
    <x v="1"/>
    <n v="98"/>
    <n v="2"/>
    <n v="1"/>
    <s v="Laboratory Technician"/>
    <n v="1"/>
    <s v="Married"/>
    <n v="2218"/>
    <n v="16193"/>
    <n v="1"/>
    <s v="Y"/>
    <s v="No"/>
    <n v="12"/>
    <x v="0"/>
    <n v="3"/>
    <n v="80"/>
    <n v="1"/>
    <n v="4"/>
    <n v="3"/>
    <n v="3"/>
    <n v="4"/>
    <n v="2"/>
    <n v="3"/>
    <n v="2"/>
    <n v="0"/>
    <x v="0"/>
    <x v="0"/>
    <s v="0-5k"/>
    <x v="0"/>
    <x v="0"/>
    <x v="3"/>
  </r>
  <r>
    <n v="39"/>
    <s v="No"/>
    <x v="1"/>
    <n v="1218"/>
    <x v="1"/>
    <n v="1"/>
    <n v="1"/>
    <s v="Life Sciences"/>
    <n v="1"/>
    <n v="531"/>
    <n v="2"/>
    <x v="1"/>
    <n v="52"/>
    <n v="3"/>
    <n v="5"/>
    <s v="Manager"/>
    <n v="3"/>
    <s v="Divorced"/>
    <n v="19197"/>
    <n v="8213"/>
    <n v="1"/>
    <s v="Y"/>
    <s v="Yes"/>
    <n v="14"/>
    <x v="0"/>
    <n v="3"/>
    <n v="80"/>
    <n v="1"/>
    <n v="21"/>
    <n v="3"/>
    <n v="3"/>
    <n v="21"/>
    <n v="8"/>
    <n v="1"/>
    <n v="6"/>
    <n v="0"/>
    <x v="0"/>
    <x v="0"/>
    <s v="15k+"/>
    <x v="1"/>
    <x v="0"/>
    <x v="2"/>
  </r>
  <r>
    <n v="56"/>
    <s v="No"/>
    <x v="1"/>
    <n v="906"/>
    <x v="0"/>
    <n v="6"/>
    <n v="3"/>
    <s v="Life Sciences"/>
    <n v="1"/>
    <n v="532"/>
    <n v="3"/>
    <x v="0"/>
    <n v="86"/>
    <n v="4"/>
    <n v="4"/>
    <s v="Sales Executive"/>
    <n v="1"/>
    <s v="Married"/>
    <n v="13212"/>
    <n v="18256"/>
    <n v="9"/>
    <s v="Y"/>
    <s v="No"/>
    <n v="11"/>
    <x v="0"/>
    <n v="4"/>
    <n v="80"/>
    <n v="3"/>
    <n v="36"/>
    <n v="0"/>
    <n v="2"/>
    <n v="7"/>
    <n v="7"/>
    <n v="7"/>
    <n v="7"/>
    <n v="0"/>
    <x v="1"/>
    <x v="0"/>
    <s v="10k-15k"/>
    <x v="0"/>
    <x v="0"/>
    <x v="3"/>
  </r>
  <r>
    <n v="30"/>
    <s v="No"/>
    <x v="0"/>
    <n v="1082"/>
    <x v="0"/>
    <n v="12"/>
    <n v="3"/>
    <s v="Technical Degree"/>
    <n v="1"/>
    <n v="533"/>
    <n v="2"/>
    <x v="0"/>
    <n v="83"/>
    <n v="3"/>
    <n v="2"/>
    <s v="Sales Executive"/>
    <n v="3"/>
    <s v="Single"/>
    <n v="6577"/>
    <n v="19558"/>
    <n v="0"/>
    <s v="Y"/>
    <s v="No"/>
    <n v="11"/>
    <x v="0"/>
    <n v="2"/>
    <n v="80"/>
    <n v="0"/>
    <n v="6"/>
    <n v="6"/>
    <n v="3"/>
    <n v="5"/>
    <n v="4"/>
    <n v="4"/>
    <n v="4"/>
    <n v="0"/>
    <x v="2"/>
    <x v="2"/>
    <s v="5k-10k"/>
    <x v="0"/>
    <x v="0"/>
    <x v="2"/>
  </r>
  <r>
    <n v="41"/>
    <s v="No"/>
    <x v="0"/>
    <n v="645"/>
    <x v="0"/>
    <n v="1"/>
    <n v="3"/>
    <s v="Marketing"/>
    <n v="1"/>
    <n v="534"/>
    <n v="2"/>
    <x v="1"/>
    <n v="49"/>
    <n v="4"/>
    <n v="3"/>
    <s v="Sales Executive"/>
    <n v="1"/>
    <s v="Married"/>
    <n v="8392"/>
    <n v="19566"/>
    <n v="1"/>
    <s v="Y"/>
    <s v="No"/>
    <n v="16"/>
    <x v="0"/>
    <n v="3"/>
    <n v="80"/>
    <n v="1"/>
    <n v="10"/>
    <n v="2"/>
    <n v="3"/>
    <n v="10"/>
    <n v="7"/>
    <n v="0"/>
    <n v="7"/>
    <n v="0"/>
    <x v="0"/>
    <x v="0"/>
    <s v="5k-10k"/>
    <x v="0"/>
    <x v="0"/>
    <x v="3"/>
  </r>
  <r>
    <n v="28"/>
    <s v="No"/>
    <x v="0"/>
    <n v="1300"/>
    <x v="1"/>
    <n v="17"/>
    <n v="2"/>
    <s v="Medical"/>
    <n v="1"/>
    <n v="536"/>
    <n v="3"/>
    <x v="1"/>
    <n v="79"/>
    <n v="3"/>
    <n v="2"/>
    <s v="Laboratory Technician"/>
    <n v="1"/>
    <s v="Divorced"/>
    <n v="4558"/>
    <n v="13535"/>
    <n v="1"/>
    <s v="Y"/>
    <s v="No"/>
    <n v="12"/>
    <x v="0"/>
    <n v="4"/>
    <n v="80"/>
    <n v="1"/>
    <n v="10"/>
    <n v="2"/>
    <n v="3"/>
    <n v="10"/>
    <n v="0"/>
    <n v="1"/>
    <n v="8"/>
    <n v="0"/>
    <x v="2"/>
    <x v="2"/>
    <s v="0-5k"/>
    <x v="0"/>
    <x v="0"/>
    <x v="3"/>
  </r>
  <r>
    <n v="25"/>
    <s v="Yes"/>
    <x v="0"/>
    <n v="688"/>
    <x v="1"/>
    <n v="3"/>
    <n v="3"/>
    <s v="Medical"/>
    <n v="1"/>
    <n v="538"/>
    <n v="1"/>
    <x v="1"/>
    <n v="91"/>
    <n v="3"/>
    <n v="1"/>
    <s v="Laboratory Technician"/>
    <n v="1"/>
    <s v="Married"/>
    <n v="4031"/>
    <n v="9396"/>
    <n v="5"/>
    <s v="Y"/>
    <s v="No"/>
    <n v="13"/>
    <x v="0"/>
    <n v="3"/>
    <n v="80"/>
    <n v="1"/>
    <n v="6"/>
    <n v="5"/>
    <n v="3"/>
    <n v="2"/>
    <n v="2"/>
    <n v="0"/>
    <n v="2"/>
    <n v="1"/>
    <x v="2"/>
    <x v="0"/>
    <s v="0-5k"/>
    <x v="0"/>
    <x v="0"/>
    <x v="3"/>
  </r>
  <r>
    <n v="52"/>
    <s v="No"/>
    <x v="0"/>
    <n v="319"/>
    <x v="1"/>
    <n v="3"/>
    <n v="3"/>
    <s v="Medical"/>
    <n v="1"/>
    <n v="543"/>
    <n v="4"/>
    <x v="1"/>
    <n v="39"/>
    <n v="2"/>
    <n v="3"/>
    <s v="Manufacturing Director"/>
    <n v="3"/>
    <s v="Married"/>
    <n v="7969"/>
    <n v="19609"/>
    <n v="2"/>
    <s v="Y"/>
    <s v="Yes"/>
    <n v="14"/>
    <x v="0"/>
    <n v="3"/>
    <n v="80"/>
    <n v="0"/>
    <n v="28"/>
    <n v="4"/>
    <n v="3"/>
    <n v="5"/>
    <n v="4"/>
    <n v="0"/>
    <n v="4"/>
    <n v="0"/>
    <x v="1"/>
    <x v="0"/>
    <s v="5k-10k"/>
    <x v="0"/>
    <x v="0"/>
    <x v="2"/>
  </r>
  <r>
    <n v="45"/>
    <s v="No"/>
    <x v="0"/>
    <n v="192"/>
    <x v="1"/>
    <n v="10"/>
    <n v="2"/>
    <s v="Life Sciences"/>
    <n v="1"/>
    <n v="544"/>
    <n v="1"/>
    <x v="1"/>
    <n v="69"/>
    <n v="3"/>
    <n v="1"/>
    <s v="Research Scientist"/>
    <n v="4"/>
    <s v="Married"/>
    <n v="2654"/>
    <n v="9655"/>
    <n v="3"/>
    <s v="Y"/>
    <s v="No"/>
    <n v="21"/>
    <x v="1"/>
    <n v="4"/>
    <n v="80"/>
    <n v="2"/>
    <n v="8"/>
    <n v="3"/>
    <n v="2"/>
    <n v="2"/>
    <n v="2"/>
    <n v="0"/>
    <n v="2"/>
    <n v="0"/>
    <x v="0"/>
    <x v="0"/>
    <s v="0-5k"/>
    <x v="0"/>
    <x v="1"/>
    <x v="0"/>
  </r>
  <r>
    <n v="52"/>
    <s v="No"/>
    <x v="0"/>
    <n v="1490"/>
    <x v="1"/>
    <n v="4"/>
    <n v="2"/>
    <s v="Life Sciences"/>
    <n v="1"/>
    <n v="546"/>
    <n v="4"/>
    <x v="0"/>
    <n v="30"/>
    <n v="3"/>
    <n v="4"/>
    <s v="Manager"/>
    <n v="4"/>
    <s v="Married"/>
    <n v="16555"/>
    <n v="10310"/>
    <n v="2"/>
    <s v="Y"/>
    <s v="No"/>
    <n v="13"/>
    <x v="0"/>
    <n v="4"/>
    <n v="80"/>
    <n v="0"/>
    <n v="31"/>
    <n v="2"/>
    <n v="1"/>
    <n v="5"/>
    <n v="2"/>
    <n v="1"/>
    <n v="4"/>
    <n v="0"/>
    <x v="1"/>
    <x v="0"/>
    <s v="15k+"/>
    <x v="0"/>
    <x v="0"/>
    <x v="0"/>
  </r>
  <r>
    <n v="42"/>
    <s v="No"/>
    <x v="1"/>
    <n v="532"/>
    <x v="1"/>
    <n v="29"/>
    <n v="2"/>
    <s v="Life Sciences"/>
    <n v="1"/>
    <n v="547"/>
    <n v="1"/>
    <x v="0"/>
    <n v="92"/>
    <n v="3"/>
    <n v="2"/>
    <s v="Research Scientist"/>
    <n v="3"/>
    <s v="Divorced"/>
    <n v="4556"/>
    <n v="12932"/>
    <n v="2"/>
    <s v="Y"/>
    <s v="No"/>
    <n v="11"/>
    <x v="0"/>
    <n v="2"/>
    <n v="80"/>
    <n v="1"/>
    <n v="19"/>
    <n v="3"/>
    <n v="3"/>
    <n v="5"/>
    <n v="4"/>
    <n v="0"/>
    <n v="2"/>
    <n v="0"/>
    <x v="0"/>
    <x v="1"/>
    <s v="0-5k"/>
    <x v="0"/>
    <x v="0"/>
    <x v="2"/>
  </r>
  <r>
    <n v="30"/>
    <s v="No"/>
    <x v="0"/>
    <n v="317"/>
    <x v="1"/>
    <n v="2"/>
    <n v="3"/>
    <s v="Life Sciences"/>
    <n v="1"/>
    <n v="548"/>
    <n v="3"/>
    <x v="0"/>
    <n v="43"/>
    <n v="1"/>
    <n v="2"/>
    <s v="Manufacturing Director"/>
    <n v="4"/>
    <s v="Single"/>
    <n v="6091"/>
    <n v="24793"/>
    <n v="2"/>
    <s v="Y"/>
    <s v="No"/>
    <n v="20"/>
    <x v="1"/>
    <n v="3"/>
    <n v="80"/>
    <n v="0"/>
    <n v="11"/>
    <n v="2"/>
    <n v="3"/>
    <n v="5"/>
    <n v="4"/>
    <n v="0"/>
    <n v="2"/>
    <n v="0"/>
    <x v="2"/>
    <x v="0"/>
    <s v="5k-10k"/>
    <x v="0"/>
    <x v="1"/>
    <x v="0"/>
  </r>
  <r>
    <n v="60"/>
    <s v="No"/>
    <x v="0"/>
    <n v="422"/>
    <x v="1"/>
    <n v="7"/>
    <n v="3"/>
    <s v="Life Sciences"/>
    <n v="1"/>
    <n v="549"/>
    <n v="1"/>
    <x v="0"/>
    <n v="41"/>
    <n v="3"/>
    <n v="5"/>
    <s v="Manager"/>
    <n v="1"/>
    <s v="Married"/>
    <n v="19566"/>
    <n v="3854"/>
    <n v="5"/>
    <s v="Y"/>
    <s v="No"/>
    <n v="11"/>
    <x v="0"/>
    <n v="4"/>
    <n v="80"/>
    <n v="0"/>
    <n v="33"/>
    <n v="5"/>
    <n v="1"/>
    <n v="29"/>
    <n v="8"/>
    <n v="11"/>
    <n v="10"/>
    <n v="0"/>
    <x v="1"/>
    <x v="0"/>
    <s v="15k+"/>
    <x v="1"/>
    <x v="0"/>
    <x v="3"/>
  </r>
  <r>
    <n v="46"/>
    <s v="No"/>
    <x v="0"/>
    <n v="1485"/>
    <x v="1"/>
    <n v="18"/>
    <n v="3"/>
    <s v="Medical"/>
    <n v="1"/>
    <n v="550"/>
    <n v="3"/>
    <x v="0"/>
    <n v="87"/>
    <n v="3"/>
    <n v="2"/>
    <s v="Manufacturing Director"/>
    <n v="3"/>
    <s v="Divorced"/>
    <n v="4810"/>
    <n v="26314"/>
    <n v="2"/>
    <s v="Y"/>
    <s v="No"/>
    <n v="14"/>
    <x v="0"/>
    <n v="3"/>
    <n v="80"/>
    <n v="1"/>
    <n v="19"/>
    <n v="5"/>
    <n v="2"/>
    <n v="10"/>
    <n v="7"/>
    <n v="0"/>
    <n v="8"/>
    <n v="0"/>
    <x v="1"/>
    <x v="2"/>
    <s v="0-5k"/>
    <x v="0"/>
    <x v="0"/>
    <x v="2"/>
  </r>
  <r>
    <n v="42"/>
    <s v="No"/>
    <x v="1"/>
    <n v="1368"/>
    <x v="1"/>
    <n v="28"/>
    <n v="4"/>
    <s v="Technical Degree"/>
    <n v="1"/>
    <n v="551"/>
    <n v="4"/>
    <x v="0"/>
    <n v="88"/>
    <n v="2"/>
    <n v="2"/>
    <s v="Healthcare Representative"/>
    <n v="4"/>
    <s v="Married"/>
    <n v="4523"/>
    <n v="4386"/>
    <n v="0"/>
    <s v="Y"/>
    <s v="No"/>
    <n v="11"/>
    <x v="0"/>
    <n v="4"/>
    <n v="80"/>
    <n v="3"/>
    <n v="7"/>
    <n v="4"/>
    <n v="4"/>
    <n v="6"/>
    <n v="5"/>
    <n v="0"/>
    <n v="4"/>
    <n v="0"/>
    <x v="0"/>
    <x v="1"/>
    <s v="0-5k"/>
    <x v="0"/>
    <x v="0"/>
    <x v="0"/>
  </r>
  <r>
    <n v="24"/>
    <s v="Yes"/>
    <x v="0"/>
    <n v="1448"/>
    <x v="0"/>
    <n v="1"/>
    <n v="1"/>
    <s v="Technical Degree"/>
    <n v="1"/>
    <n v="554"/>
    <n v="1"/>
    <x v="0"/>
    <n v="62"/>
    <n v="3"/>
    <n v="1"/>
    <s v="Sales Representative"/>
    <n v="2"/>
    <s v="Single"/>
    <n v="3202"/>
    <n v="21972"/>
    <n v="1"/>
    <s v="Y"/>
    <s v="Yes"/>
    <n v="16"/>
    <x v="0"/>
    <n v="2"/>
    <n v="80"/>
    <n v="0"/>
    <n v="6"/>
    <n v="4"/>
    <n v="3"/>
    <n v="5"/>
    <n v="3"/>
    <n v="1"/>
    <n v="4"/>
    <n v="1"/>
    <x v="2"/>
    <x v="0"/>
    <s v="0-5k"/>
    <x v="0"/>
    <x v="0"/>
    <x v="1"/>
  </r>
  <r>
    <n v="34"/>
    <s v="Yes"/>
    <x v="1"/>
    <n v="296"/>
    <x v="0"/>
    <n v="6"/>
    <n v="2"/>
    <s v="Marketing"/>
    <n v="1"/>
    <n v="555"/>
    <n v="4"/>
    <x v="0"/>
    <n v="33"/>
    <n v="1"/>
    <n v="1"/>
    <s v="Sales Representative"/>
    <n v="3"/>
    <s v="Divorced"/>
    <n v="2351"/>
    <n v="12253"/>
    <n v="0"/>
    <s v="Y"/>
    <s v="No"/>
    <n v="16"/>
    <x v="0"/>
    <n v="4"/>
    <n v="80"/>
    <n v="1"/>
    <n v="3"/>
    <n v="3"/>
    <n v="2"/>
    <n v="2"/>
    <n v="2"/>
    <n v="1"/>
    <n v="0"/>
    <n v="1"/>
    <x v="0"/>
    <x v="0"/>
    <s v="0-5k"/>
    <x v="0"/>
    <x v="0"/>
    <x v="2"/>
  </r>
  <r>
    <n v="38"/>
    <s v="No"/>
    <x v="1"/>
    <n v="1490"/>
    <x v="1"/>
    <n v="2"/>
    <n v="2"/>
    <s v="Life Sciences"/>
    <n v="1"/>
    <n v="556"/>
    <n v="4"/>
    <x v="1"/>
    <n v="42"/>
    <n v="3"/>
    <n v="1"/>
    <s v="Laboratory Technician"/>
    <n v="4"/>
    <s v="Married"/>
    <n v="1702"/>
    <n v="12106"/>
    <n v="1"/>
    <s v="Y"/>
    <s v="Yes"/>
    <n v="23"/>
    <x v="1"/>
    <n v="3"/>
    <n v="80"/>
    <n v="1"/>
    <n v="1"/>
    <n v="3"/>
    <n v="3"/>
    <n v="1"/>
    <n v="0"/>
    <n v="0"/>
    <n v="0"/>
    <n v="0"/>
    <x v="0"/>
    <x v="0"/>
    <s v="0-5k"/>
    <x v="0"/>
    <x v="1"/>
    <x v="0"/>
  </r>
  <r>
    <n v="40"/>
    <s v="No"/>
    <x v="0"/>
    <n v="1398"/>
    <x v="0"/>
    <n v="2"/>
    <n v="4"/>
    <s v="Life Sciences"/>
    <n v="1"/>
    <n v="558"/>
    <n v="3"/>
    <x v="0"/>
    <n v="79"/>
    <n v="3"/>
    <n v="5"/>
    <s v="Manager"/>
    <n v="3"/>
    <s v="Married"/>
    <n v="18041"/>
    <n v="13022"/>
    <n v="0"/>
    <s v="Y"/>
    <s v="No"/>
    <n v="14"/>
    <x v="0"/>
    <n v="4"/>
    <n v="80"/>
    <n v="0"/>
    <n v="21"/>
    <n v="2"/>
    <n v="3"/>
    <n v="20"/>
    <n v="15"/>
    <n v="1"/>
    <n v="12"/>
    <n v="0"/>
    <x v="0"/>
    <x v="0"/>
    <s v="15k+"/>
    <x v="2"/>
    <x v="0"/>
    <x v="2"/>
  </r>
  <r>
    <n v="26"/>
    <s v="No"/>
    <x v="0"/>
    <n v="1349"/>
    <x v="1"/>
    <n v="23"/>
    <n v="3"/>
    <s v="Life Sciences"/>
    <n v="1"/>
    <n v="560"/>
    <n v="1"/>
    <x v="0"/>
    <n v="90"/>
    <n v="3"/>
    <n v="1"/>
    <s v="Research Scientist"/>
    <n v="4"/>
    <s v="Divorced"/>
    <n v="2886"/>
    <n v="3032"/>
    <n v="1"/>
    <s v="Y"/>
    <s v="No"/>
    <n v="22"/>
    <x v="1"/>
    <n v="2"/>
    <n v="80"/>
    <n v="2"/>
    <n v="3"/>
    <n v="3"/>
    <n v="1"/>
    <n v="3"/>
    <n v="2"/>
    <n v="0"/>
    <n v="2"/>
    <n v="0"/>
    <x v="2"/>
    <x v="1"/>
    <s v="0-5k"/>
    <x v="0"/>
    <x v="1"/>
    <x v="0"/>
  </r>
  <r>
    <n v="30"/>
    <s v="No"/>
    <x v="2"/>
    <n v="1400"/>
    <x v="1"/>
    <n v="3"/>
    <n v="3"/>
    <s v="Life Sciences"/>
    <n v="1"/>
    <n v="562"/>
    <n v="3"/>
    <x v="1"/>
    <n v="53"/>
    <n v="3"/>
    <n v="1"/>
    <s v="Laboratory Technician"/>
    <n v="4"/>
    <s v="Married"/>
    <n v="2097"/>
    <n v="16734"/>
    <n v="4"/>
    <s v="Y"/>
    <s v="No"/>
    <n v="15"/>
    <x v="0"/>
    <n v="3"/>
    <n v="80"/>
    <n v="1"/>
    <n v="9"/>
    <n v="3"/>
    <n v="1"/>
    <n v="5"/>
    <n v="3"/>
    <n v="1"/>
    <n v="4"/>
    <n v="0"/>
    <x v="2"/>
    <x v="0"/>
    <s v="0-5k"/>
    <x v="0"/>
    <x v="0"/>
    <x v="0"/>
  </r>
  <r>
    <n v="29"/>
    <s v="No"/>
    <x v="0"/>
    <n v="986"/>
    <x v="1"/>
    <n v="3"/>
    <n v="4"/>
    <s v="Medical"/>
    <n v="1"/>
    <n v="564"/>
    <n v="2"/>
    <x v="1"/>
    <n v="93"/>
    <n v="2"/>
    <n v="3"/>
    <s v="Research Director"/>
    <n v="3"/>
    <s v="Married"/>
    <n v="11935"/>
    <n v="21526"/>
    <n v="1"/>
    <s v="Y"/>
    <s v="No"/>
    <n v="18"/>
    <x v="0"/>
    <n v="3"/>
    <n v="80"/>
    <n v="0"/>
    <n v="10"/>
    <n v="2"/>
    <n v="3"/>
    <n v="10"/>
    <n v="2"/>
    <n v="0"/>
    <n v="7"/>
    <n v="0"/>
    <x v="2"/>
    <x v="0"/>
    <s v="10k-15k"/>
    <x v="0"/>
    <x v="0"/>
    <x v="2"/>
  </r>
  <r>
    <n v="29"/>
    <s v="Yes"/>
    <x v="0"/>
    <n v="408"/>
    <x v="1"/>
    <n v="25"/>
    <n v="5"/>
    <s v="Technical Degree"/>
    <n v="1"/>
    <n v="565"/>
    <n v="3"/>
    <x v="0"/>
    <n v="71"/>
    <n v="2"/>
    <n v="1"/>
    <s v="Research Scientist"/>
    <n v="2"/>
    <s v="Married"/>
    <n v="2546"/>
    <n v="18300"/>
    <n v="5"/>
    <s v="Y"/>
    <s v="No"/>
    <n v="16"/>
    <x v="0"/>
    <n v="2"/>
    <n v="80"/>
    <n v="0"/>
    <n v="6"/>
    <n v="2"/>
    <n v="4"/>
    <n v="2"/>
    <n v="2"/>
    <n v="1"/>
    <n v="1"/>
    <n v="1"/>
    <x v="2"/>
    <x v="1"/>
    <s v="0-5k"/>
    <x v="0"/>
    <x v="0"/>
    <x v="1"/>
  </r>
  <r>
    <n v="19"/>
    <s v="Yes"/>
    <x v="0"/>
    <n v="489"/>
    <x v="2"/>
    <n v="2"/>
    <n v="2"/>
    <s v="Technical Degree"/>
    <n v="1"/>
    <n v="566"/>
    <n v="1"/>
    <x v="1"/>
    <n v="52"/>
    <n v="2"/>
    <n v="1"/>
    <s v="Human Resources"/>
    <n v="4"/>
    <s v="Single"/>
    <n v="2564"/>
    <n v="18437"/>
    <n v="1"/>
    <s v="Y"/>
    <s v="No"/>
    <n v="12"/>
    <x v="0"/>
    <n v="3"/>
    <n v="80"/>
    <n v="0"/>
    <n v="1"/>
    <n v="3"/>
    <n v="4"/>
    <n v="1"/>
    <n v="0"/>
    <n v="0"/>
    <n v="0"/>
    <n v="1"/>
    <x v="2"/>
    <x v="0"/>
    <s v="0-5k"/>
    <x v="0"/>
    <x v="0"/>
    <x v="0"/>
  </r>
  <r>
    <n v="30"/>
    <s v="No"/>
    <x v="2"/>
    <n v="1398"/>
    <x v="0"/>
    <n v="22"/>
    <n v="4"/>
    <s v="Other"/>
    <n v="1"/>
    <n v="567"/>
    <n v="3"/>
    <x v="0"/>
    <n v="69"/>
    <n v="3"/>
    <n v="3"/>
    <s v="Sales Executive"/>
    <n v="1"/>
    <s v="Married"/>
    <n v="8412"/>
    <n v="2890"/>
    <n v="0"/>
    <s v="Y"/>
    <s v="No"/>
    <n v="11"/>
    <x v="0"/>
    <n v="3"/>
    <n v="80"/>
    <n v="0"/>
    <n v="10"/>
    <n v="3"/>
    <n v="3"/>
    <n v="9"/>
    <n v="8"/>
    <n v="7"/>
    <n v="8"/>
    <n v="0"/>
    <x v="2"/>
    <x v="1"/>
    <s v="5k-10k"/>
    <x v="0"/>
    <x v="0"/>
    <x v="3"/>
  </r>
  <r>
    <n v="57"/>
    <s v="No"/>
    <x v="0"/>
    <n v="210"/>
    <x v="0"/>
    <n v="29"/>
    <n v="3"/>
    <s v="Marketing"/>
    <n v="1"/>
    <n v="568"/>
    <n v="1"/>
    <x v="1"/>
    <n v="56"/>
    <n v="2"/>
    <n v="4"/>
    <s v="Manager"/>
    <n v="4"/>
    <s v="Divorced"/>
    <n v="14118"/>
    <n v="22102"/>
    <n v="3"/>
    <s v="Y"/>
    <s v="No"/>
    <n v="12"/>
    <x v="0"/>
    <n v="3"/>
    <n v="80"/>
    <n v="1"/>
    <n v="32"/>
    <n v="3"/>
    <n v="2"/>
    <n v="1"/>
    <n v="0"/>
    <n v="0"/>
    <n v="0"/>
    <n v="0"/>
    <x v="1"/>
    <x v="1"/>
    <s v="10k-15k"/>
    <x v="0"/>
    <x v="0"/>
    <x v="0"/>
  </r>
  <r>
    <n v="50"/>
    <s v="No"/>
    <x v="0"/>
    <n v="1099"/>
    <x v="1"/>
    <n v="29"/>
    <n v="4"/>
    <s v="Life Sciences"/>
    <n v="1"/>
    <n v="569"/>
    <n v="2"/>
    <x v="1"/>
    <n v="88"/>
    <n v="2"/>
    <n v="4"/>
    <s v="Manager"/>
    <n v="3"/>
    <s v="Married"/>
    <n v="17046"/>
    <n v="9314"/>
    <n v="0"/>
    <s v="Y"/>
    <s v="No"/>
    <n v="15"/>
    <x v="0"/>
    <n v="2"/>
    <n v="80"/>
    <n v="1"/>
    <n v="28"/>
    <n v="2"/>
    <n v="3"/>
    <n v="27"/>
    <n v="10"/>
    <n v="15"/>
    <n v="7"/>
    <n v="0"/>
    <x v="1"/>
    <x v="1"/>
    <s v="15k+"/>
    <x v="1"/>
    <x v="0"/>
    <x v="2"/>
  </r>
  <r>
    <n v="30"/>
    <s v="No"/>
    <x v="2"/>
    <n v="1116"/>
    <x v="1"/>
    <n v="2"/>
    <n v="3"/>
    <s v="Medical"/>
    <n v="1"/>
    <n v="571"/>
    <n v="3"/>
    <x v="0"/>
    <n v="49"/>
    <n v="3"/>
    <n v="1"/>
    <s v="Laboratory Technician"/>
    <n v="4"/>
    <s v="Single"/>
    <n v="2564"/>
    <n v="7181"/>
    <n v="0"/>
    <s v="Y"/>
    <s v="No"/>
    <n v="14"/>
    <x v="0"/>
    <n v="3"/>
    <n v="80"/>
    <n v="0"/>
    <n v="12"/>
    <n v="2"/>
    <n v="2"/>
    <n v="11"/>
    <n v="7"/>
    <n v="6"/>
    <n v="7"/>
    <n v="0"/>
    <x v="2"/>
    <x v="0"/>
    <s v="0-5k"/>
    <x v="2"/>
    <x v="0"/>
    <x v="0"/>
  </r>
  <r>
    <n v="60"/>
    <s v="No"/>
    <x v="1"/>
    <n v="1499"/>
    <x v="0"/>
    <n v="28"/>
    <n v="3"/>
    <s v="Marketing"/>
    <n v="1"/>
    <n v="573"/>
    <n v="3"/>
    <x v="0"/>
    <n v="80"/>
    <n v="2"/>
    <n v="3"/>
    <s v="Sales Executive"/>
    <n v="1"/>
    <s v="Married"/>
    <n v="10266"/>
    <n v="2845"/>
    <n v="4"/>
    <s v="Y"/>
    <s v="No"/>
    <n v="19"/>
    <x v="0"/>
    <n v="4"/>
    <n v="80"/>
    <n v="0"/>
    <n v="22"/>
    <n v="5"/>
    <n v="4"/>
    <n v="18"/>
    <n v="13"/>
    <n v="13"/>
    <n v="11"/>
    <n v="0"/>
    <x v="1"/>
    <x v="1"/>
    <s v="10k-15k"/>
    <x v="2"/>
    <x v="0"/>
    <x v="3"/>
  </r>
  <r>
    <n v="47"/>
    <s v="No"/>
    <x v="0"/>
    <n v="983"/>
    <x v="1"/>
    <n v="2"/>
    <n v="2"/>
    <s v="Medical"/>
    <n v="1"/>
    <n v="574"/>
    <n v="1"/>
    <x v="0"/>
    <n v="65"/>
    <n v="3"/>
    <n v="2"/>
    <s v="Manufacturing Director"/>
    <n v="4"/>
    <s v="Divorced"/>
    <n v="5070"/>
    <n v="7389"/>
    <n v="5"/>
    <s v="Y"/>
    <s v="No"/>
    <n v="13"/>
    <x v="0"/>
    <n v="3"/>
    <n v="80"/>
    <n v="3"/>
    <n v="20"/>
    <n v="2"/>
    <n v="3"/>
    <n v="5"/>
    <n v="0"/>
    <n v="0"/>
    <n v="4"/>
    <n v="0"/>
    <x v="1"/>
    <x v="0"/>
    <s v="5k-10k"/>
    <x v="0"/>
    <x v="0"/>
    <x v="0"/>
  </r>
  <r>
    <n v="46"/>
    <s v="No"/>
    <x v="0"/>
    <n v="1009"/>
    <x v="1"/>
    <n v="2"/>
    <n v="3"/>
    <s v="Life Sciences"/>
    <n v="1"/>
    <n v="575"/>
    <n v="1"/>
    <x v="1"/>
    <n v="51"/>
    <n v="3"/>
    <n v="4"/>
    <s v="Research Director"/>
    <n v="3"/>
    <s v="Married"/>
    <n v="17861"/>
    <n v="2288"/>
    <n v="6"/>
    <s v="Y"/>
    <s v="No"/>
    <n v="13"/>
    <x v="0"/>
    <n v="3"/>
    <n v="80"/>
    <n v="0"/>
    <n v="26"/>
    <n v="2"/>
    <n v="1"/>
    <n v="3"/>
    <n v="2"/>
    <n v="0"/>
    <n v="1"/>
    <n v="0"/>
    <x v="1"/>
    <x v="0"/>
    <s v="15k+"/>
    <x v="0"/>
    <x v="0"/>
    <x v="2"/>
  </r>
  <r>
    <n v="35"/>
    <s v="No"/>
    <x v="0"/>
    <n v="144"/>
    <x v="1"/>
    <n v="22"/>
    <n v="3"/>
    <s v="Life Sciences"/>
    <n v="1"/>
    <n v="577"/>
    <n v="4"/>
    <x v="1"/>
    <n v="46"/>
    <n v="1"/>
    <n v="1"/>
    <s v="Laboratory Technician"/>
    <n v="3"/>
    <s v="Single"/>
    <n v="4230"/>
    <n v="19225"/>
    <n v="0"/>
    <s v="Y"/>
    <s v="No"/>
    <n v="15"/>
    <x v="0"/>
    <n v="3"/>
    <n v="80"/>
    <n v="0"/>
    <n v="6"/>
    <n v="2"/>
    <n v="3"/>
    <n v="5"/>
    <n v="4"/>
    <n v="4"/>
    <n v="3"/>
    <n v="0"/>
    <x v="0"/>
    <x v="1"/>
    <s v="0-5k"/>
    <x v="0"/>
    <x v="0"/>
    <x v="2"/>
  </r>
  <r>
    <n v="54"/>
    <s v="No"/>
    <x v="0"/>
    <n v="548"/>
    <x v="1"/>
    <n v="8"/>
    <n v="4"/>
    <s v="Life Sciences"/>
    <n v="1"/>
    <n v="578"/>
    <n v="3"/>
    <x v="0"/>
    <n v="42"/>
    <n v="3"/>
    <n v="2"/>
    <s v="Laboratory Technician"/>
    <n v="3"/>
    <s v="Single"/>
    <n v="3780"/>
    <n v="23428"/>
    <n v="7"/>
    <s v="Y"/>
    <s v="No"/>
    <n v="11"/>
    <x v="0"/>
    <n v="3"/>
    <n v="80"/>
    <n v="0"/>
    <n v="19"/>
    <n v="3"/>
    <n v="3"/>
    <n v="1"/>
    <n v="0"/>
    <n v="0"/>
    <n v="0"/>
    <n v="0"/>
    <x v="1"/>
    <x v="0"/>
    <s v="0-5k"/>
    <x v="0"/>
    <x v="0"/>
    <x v="2"/>
  </r>
  <r>
    <n v="34"/>
    <s v="No"/>
    <x v="0"/>
    <n v="1303"/>
    <x v="1"/>
    <n v="2"/>
    <n v="4"/>
    <s v="Life Sciences"/>
    <n v="1"/>
    <n v="579"/>
    <n v="4"/>
    <x v="1"/>
    <n v="62"/>
    <n v="2"/>
    <n v="1"/>
    <s v="Research Scientist"/>
    <n v="3"/>
    <s v="Divorced"/>
    <n v="2768"/>
    <n v="8416"/>
    <n v="3"/>
    <s v="Y"/>
    <s v="No"/>
    <n v="12"/>
    <x v="0"/>
    <n v="3"/>
    <n v="80"/>
    <n v="1"/>
    <n v="14"/>
    <n v="3"/>
    <n v="3"/>
    <n v="7"/>
    <n v="3"/>
    <n v="5"/>
    <n v="7"/>
    <n v="0"/>
    <x v="0"/>
    <x v="0"/>
    <s v="0-5k"/>
    <x v="0"/>
    <x v="0"/>
    <x v="2"/>
  </r>
  <r>
    <n v="46"/>
    <s v="No"/>
    <x v="0"/>
    <n v="1125"/>
    <x v="0"/>
    <n v="10"/>
    <n v="3"/>
    <s v="Marketing"/>
    <n v="1"/>
    <n v="580"/>
    <n v="3"/>
    <x v="0"/>
    <n v="94"/>
    <n v="2"/>
    <n v="3"/>
    <s v="Sales Executive"/>
    <n v="4"/>
    <s v="Married"/>
    <n v="9071"/>
    <n v="11563"/>
    <n v="2"/>
    <s v="Y"/>
    <s v="Yes"/>
    <n v="19"/>
    <x v="0"/>
    <n v="3"/>
    <n v="80"/>
    <n v="1"/>
    <n v="15"/>
    <n v="3"/>
    <n v="3"/>
    <n v="3"/>
    <n v="2"/>
    <n v="1"/>
    <n v="2"/>
    <n v="0"/>
    <x v="1"/>
    <x v="0"/>
    <s v="5k-10k"/>
    <x v="0"/>
    <x v="0"/>
    <x v="0"/>
  </r>
  <r>
    <n v="31"/>
    <s v="No"/>
    <x v="0"/>
    <n v="1274"/>
    <x v="1"/>
    <n v="9"/>
    <n v="1"/>
    <s v="Life Sciences"/>
    <n v="1"/>
    <n v="581"/>
    <n v="3"/>
    <x v="1"/>
    <n v="33"/>
    <n v="3"/>
    <n v="3"/>
    <s v="Manufacturing Director"/>
    <n v="2"/>
    <s v="Divorced"/>
    <n v="10648"/>
    <n v="14394"/>
    <n v="1"/>
    <s v="Y"/>
    <s v="No"/>
    <n v="25"/>
    <x v="1"/>
    <n v="4"/>
    <n v="80"/>
    <n v="1"/>
    <n v="13"/>
    <n v="6"/>
    <n v="4"/>
    <n v="13"/>
    <n v="8"/>
    <n v="0"/>
    <n v="8"/>
    <n v="0"/>
    <x v="0"/>
    <x v="0"/>
    <s v="10k-15k"/>
    <x v="2"/>
    <x v="1"/>
    <x v="1"/>
  </r>
  <r>
    <n v="33"/>
    <s v="Yes"/>
    <x v="0"/>
    <n v="1277"/>
    <x v="1"/>
    <n v="15"/>
    <n v="1"/>
    <s v="Medical"/>
    <n v="1"/>
    <n v="582"/>
    <n v="2"/>
    <x v="1"/>
    <n v="56"/>
    <n v="3"/>
    <n v="3"/>
    <s v="Manager"/>
    <n v="3"/>
    <s v="Married"/>
    <n v="13610"/>
    <n v="24619"/>
    <n v="7"/>
    <s v="Y"/>
    <s v="Yes"/>
    <n v="12"/>
    <x v="0"/>
    <n v="4"/>
    <n v="80"/>
    <n v="0"/>
    <n v="15"/>
    <n v="2"/>
    <n v="4"/>
    <n v="7"/>
    <n v="6"/>
    <n v="7"/>
    <n v="7"/>
    <n v="1"/>
    <x v="0"/>
    <x v="2"/>
    <s v="10k-15k"/>
    <x v="0"/>
    <x v="0"/>
    <x v="2"/>
  </r>
  <r>
    <n v="33"/>
    <s v="Yes"/>
    <x v="0"/>
    <n v="587"/>
    <x v="1"/>
    <n v="10"/>
    <n v="1"/>
    <s v="Medical"/>
    <n v="1"/>
    <n v="584"/>
    <n v="1"/>
    <x v="1"/>
    <n v="38"/>
    <n v="1"/>
    <n v="1"/>
    <s v="Laboratory Technician"/>
    <n v="4"/>
    <s v="Divorced"/>
    <n v="3408"/>
    <n v="6705"/>
    <n v="7"/>
    <s v="Y"/>
    <s v="No"/>
    <n v="13"/>
    <x v="0"/>
    <n v="1"/>
    <n v="80"/>
    <n v="3"/>
    <n v="8"/>
    <n v="2"/>
    <n v="3"/>
    <n v="4"/>
    <n v="3"/>
    <n v="1"/>
    <n v="3"/>
    <n v="1"/>
    <x v="0"/>
    <x v="0"/>
    <s v="0-5k"/>
    <x v="0"/>
    <x v="0"/>
    <x v="0"/>
  </r>
  <r>
    <n v="30"/>
    <s v="No"/>
    <x v="0"/>
    <n v="413"/>
    <x v="0"/>
    <n v="7"/>
    <n v="1"/>
    <s v="Marketing"/>
    <n v="1"/>
    <n v="585"/>
    <n v="4"/>
    <x v="1"/>
    <n v="57"/>
    <n v="3"/>
    <n v="1"/>
    <s v="Sales Representative"/>
    <n v="2"/>
    <s v="Single"/>
    <n v="2983"/>
    <n v="18398"/>
    <n v="0"/>
    <s v="Y"/>
    <s v="No"/>
    <n v="14"/>
    <x v="0"/>
    <n v="1"/>
    <n v="80"/>
    <n v="0"/>
    <n v="4"/>
    <n v="3"/>
    <n v="3"/>
    <n v="3"/>
    <n v="2"/>
    <n v="1"/>
    <n v="2"/>
    <n v="0"/>
    <x v="2"/>
    <x v="0"/>
    <s v="0-5k"/>
    <x v="0"/>
    <x v="0"/>
    <x v="1"/>
  </r>
  <r>
    <n v="35"/>
    <s v="No"/>
    <x v="0"/>
    <n v="1276"/>
    <x v="1"/>
    <n v="16"/>
    <n v="3"/>
    <s v="Life Sciences"/>
    <n v="1"/>
    <n v="586"/>
    <n v="4"/>
    <x v="1"/>
    <n v="72"/>
    <n v="3"/>
    <n v="3"/>
    <s v="Healthcare Representative"/>
    <n v="3"/>
    <s v="Married"/>
    <n v="7632"/>
    <n v="14295"/>
    <n v="4"/>
    <s v="Y"/>
    <s v="Yes"/>
    <n v="12"/>
    <x v="0"/>
    <n v="3"/>
    <n v="80"/>
    <n v="0"/>
    <n v="10"/>
    <n v="2"/>
    <n v="3"/>
    <n v="8"/>
    <n v="7"/>
    <n v="0"/>
    <n v="0"/>
    <n v="0"/>
    <x v="0"/>
    <x v="2"/>
    <s v="5k-10k"/>
    <x v="0"/>
    <x v="0"/>
    <x v="2"/>
  </r>
  <r>
    <n v="31"/>
    <s v="Yes"/>
    <x v="1"/>
    <n v="534"/>
    <x v="1"/>
    <n v="20"/>
    <n v="3"/>
    <s v="Life Sciences"/>
    <n v="1"/>
    <n v="587"/>
    <n v="1"/>
    <x v="1"/>
    <n v="66"/>
    <n v="3"/>
    <n v="3"/>
    <s v="Healthcare Representative"/>
    <n v="3"/>
    <s v="Married"/>
    <n v="9824"/>
    <n v="22908"/>
    <n v="3"/>
    <s v="Y"/>
    <s v="No"/>
    <n v="12"/>
    <x v="0"/>
    <n v="1"/>
    <n v="80"/>
    <n v="0"/>
    <n v="12"/>
    <n v="2"/>
    <n v="3"/>
    <n v="1"/>
    <n v="0"/>
    <n v="0"/>
    <n v="0"/>
    <n v="1"/>
    <x v="0"/>
    <x v="2"/>
    <s v="5k-10k"/>
    <x v="0"/>
    <x v="0"/>
    <x v="2"/>
  </r>
  <r>
    <n v="34"/>
    <s v="Yes"/>
    <x v="1"/>
    <n v="988"/>
    <x v="2"/>
    <n v="23"/>
    <n v="3"/>
    <s v="Human Resources"/>
    <n v="1"/>
    <n v="590"/>
    <n v="2"/>
    <x v="0"/>
    <n v="43"/>
    <n v="3"/>
    <n v="3"/>
    <s v="Human Resources"/>
    <n v="1"/>
    <s v="Divorced"/>
    <n v="9950"/>
    <n v="11533"/>
    <n v="9"/>
    <s v="Y"/>
    <s v="Yes"/>
    <n v="15"/>
    <x v="0"/>
    <n v="3"/>
    <n v="80"/>
    <n v="3"/>
    <n v="11"/>
    <n v="2"/>
    <n v="3"/>
    <n v="3"/>
    <n v="2"/>
    <n v="0"/>
    <n v="2"/>
    <n v="1"/>
    <x v="0"/>
    <x v="1"/>
    <s v="5k-10k"/>
    <x v="0"/>
    <x v="0"/>
    <x v="3"/>
  </r>
  <r>
    <n v="42"/>
    <s v="No"/>
    <x v="1"/>
    <n v="1474"/>
    <x v="1"/>
    <n v="5"/>
    <n v="2"/>
    <s v="Other"/>
    <n v="1"/>
    <n v="591"/>
    <n v="2"/>
    <x v="1"/>
    <n v="97"/>
    <n v="3"/>
    <n v="1"/>
    <s v="Laboratory Technician"/>
    <n v="3"/>
    <s v="Married"/>
    <n v="2093"/>
    <n v="9260"/>
    <n v="4"/>
    <s v="Y"/>
    <s v="No"/>
    <n v="17"/>
    <x v="0"/>
    <n v="4"/>
    <n v="80"/>
    <n v="1"/>
    <n v="8"/>
    <n v="4"/>
    <n v="3"/>
    <n v="2"/>
    <n v="2"/>
    <n v="2"/>
    <n v="0"/>
    <n v="0"/>
    <x v="0"/>
    <x v="0"/>
    <s v="0-5k"/>
    <x v="0"/>
    <x v="0"/>
    <x v="2"/>
  </r>
  <r>
    <n v="36"/>
    <s v="No"/>
    <x v="2"/>
    <n v="635"/>
    <x v="0"/>
    <n v="10"/>
    <n v="4"/>
    <s v="Medical"/>
    <n v="1"/>
    <n v="592"/>
    <n v="2"/>
    <x v="1"/>
    <n v="32"/>
    <n v="3"/>
    <n v="3"/>
    <s v="Sales Executive"/>
    <n v="4"/>
    <s v="Single"/>
    <n v="9980"/>
    <n v="15318"/>
    <n v="1"/>
    <s v="Y"/>
    <s v="No"/>
    <n v="14"/>
    <x v="0"/>
    <n v="4"/>
    <n v="80"/>
    <n v="0"/>
    <n v="10"/>
    <n v="3"/>
    <n v="2"/>
    <n v="10"/>
    <n v="3"/>
    <n v="9"/>
    <n v="7"/>
    <n v="0"/>
    <x v="0"/>
    <x v="0"/>
    <s v="5k-10k"/>
    <x v="0"/>
    <x v="0"/>
    <x v="0"/>
  </r>
  <r>
    <n v="22"/>
    <s v="Yes"/>
    <x v="1"/>
    <n v="1368"/>
    <x v="1"/>
    <n v="4"/>
    <n v="1"/>
    <s v="Technical Degree"/>
    <n v="1"/>
    <n v="593"/>
    <n v="3"/>
    <x v="1"/>
    <n v="99"/>
    <n v="2"/>
    <n v="1"/>
    <s v="Laboratory Technician"/>
    <n v="3"/>
    <s v="Single"/>
    <n v="3894"/>
    <n v="9129"/>
    <n v="5"/>
    <s v="Y"/>
    <s v="No"/>
    <n v="16"/>
    <x v="0"/>
    <n v="3"/>
    <n v="80"/>
    <n v="0"/>
    <n v="4"/>
    <n v="3"/>
    <n v="3"/>
    <n v="2"/>
    <n v="2"/>
    <n v="1"/>
    <n v="2"/>
    <n v="1"/>
    <x v="2"/>
    <x v="0"/>
    <s v="0-5k"/>
    <x v="0"/>
    <x v="0"/>
    <x v="2"/>
  </r>
  <r>
    <n v="48"/>
    <s v="No"/>
    <x v="0"/>
    <n v="163"/>
    <x v="0"/>
    <n v="2"/>
    <n v="5"/>
    <s v="Marketing"/>
    <n v="1"/>
    <n v="595"/>
    <n v="2"/>
    <x v="0"/>
    <n v="37"/>
    <n v="3"/>
    <n v="2"/>
    <s v="Sales Executive"/>
    <n v="4"/>
    <s v="Married"/>
    <n v="4051"/>
    <n v="19658"/>
    <n v="2"/>
    <s v="Y"/>
    <s v="No"/>
    <n v="14"/>
    <x v="0"/>
    <n v="1"/>
    <n v="80"/>
    <n v="1"/>
    <n v="14"/>
    <n v="2"/>
    <n v="3"/>
    <n v="9"/>
    <n v="7"/>
    <n v="6"/>
    <n v="7"/>
    <n v="0"/>
    <x v="1"/>
    <x v="0"/>
    <s v="0-5k"/>
    <x v="0"/>
    <x v="0"/>
    <x v="0"/>
  </r>
  <r>
    <n v="55"/>
    <s v="No"/>
    <x v="0"/>
    <n v="1117"/>
    <x v="0"/>
    <n v="18"/>
    <n v="5"/>
    <s v="Life Sciences"/>
    <n v="1"/>
    <n v="597"/>
    <n v="1"/>
    <x v="0"/>
    <n v="83"/>
    <n v="3"/>
    <n v="4"/>
    <s v="Manager"/>
    <n v="2"/>
    <s v="Single"/>
    <n v="16835"/>
    <n v="9873"/>
    <n v="3"/>
    <s v="Y"/>
    <s v="No"/>
    <n v="23"/>
    <x v="1"/>
    <n v="4"/>
    <n v="80"/>
    <n v="0"/>
    <n v="37"/>
    <n v="2"/>
    <n v="3"/>
    <n v="10"/>
    <n v="9"/>
    <n v="7"/>
    <n v="7"/>
    <n v="0"/>
    <x v="1"/>
    <x v="2"/>
    <s v="15k+"/>
    <x v="0"/>
    <x v="1"/>
    <x v="1"/>
  </r>
  <r>
    <n v="41"/>
    <s v="No"/>
    <x v="2"/>
    <n v="267"/>
    <x v="0"/>
    <n v="10"/>
    <n v="2"/>
    <s v="Life Sciences"/>
    <n v="1"/>
    <n v="599"/>
    <n v="4"/>
    <x v="1"/>
    <n v="56"/>
    <n v="3"/>
    <n v="2"/>
    <s v="Sales Executive"/>
    <n v="4"/>
    <s v="Single"/>
    <n v="6230"/>
    <n v="13430"/>
    <n v="7"/>
    <s v="Y"/>
    <s v="No"/>
    <n v="14"/>
    <x v="0"/>
    <n v="4"/>
    <n v="80"/>
    <n v="0"/>
    <n v="16"/>
    <n v="3"/>
    <n v="3"/>
    <n v="14"/>
    <n v="3"/>
    <n v="1"/>
    <n v="10"/>
    <n v="0"/>
    <x v="0"/>
    <x v="0"/>
    <s v="5k-10k"/>
    <x v="2"/>
    <x v="0"/>
    <x v="0"/>
  </r>
  <r>
    <n v="35"/>
    <s v="No"/>
    <x v="0"/>
    <n v="619"/>
    <x v="0"/>
    <n v="1"/>
    <n v="3"/>
    <s v="Marketing"/>
    <n v="1"/>
    <n v="600"/>
    <n v="2"/>
    <x v="1"/>
    <n v="85"/>
    <n v="3"/>
    <n v="2"/>
    <s v="Sales Executive"/>
    <n v="3"/>
    <s v="Married"/>
    <n v="4717"/>
    <n v="18659"/>
    <n v="9"/>
    <s v="Y"/>
    <s v="No"/>
    <n v="11"/>
    <x v="0"/>
    <n v="3"/>
    <n v="80"/>
    <n v="0"/>
    <n v="15"/>
    <n v="2"/>
    <n v="3"/>
    <n v="11"/>
    <n v="9"/>
    <n v="6"/>
    <n v="9"/>
    <n v="0"/>
    <x v="0"/>
    <x v="0"/>
    <s v="0-5k"/>
    <x v="2"/>
    <x v="0"/>
    <x v="2"/>
  </r>
  <r>
    <n v="40"/>
    <s v="No"/>
    <x v="0"/>
    <n v="302"/>
    <x v="1"/>
    <n v="6"/>
    <n v="3"/>
    <s v="Life Sciences"/>
    <n v="1"/>
    <n v="601"/>
    <n v="2"/>
    <x v="0"/>
    <n v="75"/>
    <n v="3"/>
    <n v="4"/>
    <s v="Manufacturing Director"/>
    <n v="3"/>
    <s v="Single"/>
    <n v="13237"/>
    <n v="20364"/>
    <n v="7"/>
    <s v="Y"/>
    <s v="No"/>
    <n v="15"/>
    <x v="0"/>
    <n v="3"/>
    <n v="80"/>
    <n v="0"/>
    <n v="22"/>
    <n v="3"/>
    <n v="3"/>
    <n v="20"/>
    <n v="6"/>
    <n v="5"/>
    <n v="13"/>
    <n v="0"/>
    <x v="0"/>
    <x v="0"/>
    <s v="10k-15k"/>
    <x v="2"/>
    <x v="0"/>
    <x v="2"/>
  </r>
  <r>
    <n v="39"/>
    <s v="No"/>
    <x v="1"/>
    <n v="443"/>
    <x v="1"/>
    <n v="8"/>
    <n v="1"/>
    <s v="Life Sciences"/>
    <n v="1"/>
    <n v="602"/>
    <n v="3"/>
    <x v="0"/>
    <n v="48"/>
    <n v="3"/>
    <n v="1"/>
    <s v="Laboratory Technician"/>
    <n v="3"/>
    <s v="Married"/>
    <n v="3755"/>
    <n v="17872"/>
    <n v="1"/>
    <s v="Y"/>
    <s v="No"/>
    <n v="11"/>
    <x v="0"/>
    <n v="1"/>
    <n v="80"/>
    <n v="1"/>
    <n v="8"/>
    <n v="3"/>
    <n v="3"/>
    <n v="8"/>
    <n v="3"/>
    <n v="0"/>
    <n v="7"/>
    <n v="0"/>
    <x v="0"/>
    <x v="0"/>
    <s v="0-5k"/>
    <x v="0"/>
    <x v="0"/>
    <x v="2"/>
  </r>
  <r>
    <n v="31"/>
    <s v="No"/>
    <x v="0"/>
    <n v="828"/>
    <x v="0"/>
    <n v="2"/>
    <n v="1"/>
    <s v="Life Sciences"/>
    <n v="1"/>
    <n v="604"/>
    <n v="2"/>
    <x v="1"/>
    <n v="77"/>
    <n v="3"/>
    <n v="2"/>
    <s v="Sales Executive"/>
    <n v="4"/>
    <s v="Single"/>
    <n v="6582"/>
    <n v="8346"/>
    <n v="4"/>
    <s v="Y"/>
    <s v="Yes"/>
    <n v="13"/>
    <x v="0"/>
    <n v="3"/>
    <n v="80"/>
    <n v="0"/>
    <n v="10"/>
    <n v="2"/>
    <n v="4"/>
    <n v="6"/>
    <n v="5"/>
    <n v="0"/>
    <n v="5"/>
    <n v="0"/>
    <x v="0"/>
    <x v="0"/>
    <s v="5k-10k"/>
    <x v="0"/>
    <x v="0"/>
    <x v="0"/>
  </r>
  <r>
    <n v="42"/>
    <s v="No"/>
    <x v="0"/>
    <n v="319"/>
    <x v="1"/>
    <n v="24"/>
    <n v="3"/>
    <s v="Medical"/>
    <n v="1"/>
    <n v="605"/>
    <n v="4"/>
    <x v="1"/>
    <n v="56"/>
    <n v="3"/>
    <n v="3"/>
    <s v="Manufacturing Director"/>
    <n v="1"/>
    <s v="Married"/>
    <n v="7406"/>
    <n v="6950"/>
    <n v="1"/>
    <s v="Y"/>
    <s v="Yes"/>
    <n v="21"/>
    <x v="1"/>
    <n v="4"/>
    <n v="80"/>
    <n v="1"/>
    <n v="10"/>
    <n v="5"/>
    <n v="2"/>
    <n v="10"/>
    <n v="9"/>
    <n v="5"/>
    <n v="8"/>
    <n v="0"/>
    <x v="0"/>
    <x v="1"/>
    <s v="5k-10k"/>
    <x v="0"/>
    <x v="1"/>
    <x v="3"/>
  </r>
  <r>
    <n v="45"/>
    <s v="No"/>
    <x v="0"/>
    <n v="561"/>
    <x v="0"/>
    <n v="2"/>
    <n v="3"/>
    <s v="Other"/>
    <n v="1"/>
    <n v="606"/>
    <n v="4"/>
    <x v="1"/>
    <n v="61"/>
    <n v="3"/>
    <n v="2"/>
    <s v="Sales Executive"/>
    <n v="2"/>
    <s v="Married"/>
    <n v="4805"/>
    <n v="16177"/>
    <n v="0"/>
    <s v="Y"/>
    <s v="No"/>
    <n v="19"/>
    <x v="0"/>
    <n v="2"/>
    <n v="80"/>
    <n v="1"/>
    <n v="9"/>
    <n v="3"/>
    <n v="4"/>
    <n v="8"/>
    <n v="7"/>
    <n v="3"/>
    <n v="7"/>
    <n v="0"/>
    <x v="0"/>
    <x v="0"/>
    <s v="0-5k"/>
    <x v="0"/>
    <x v="0"/>
    <x v="1"/>
  </r>
  <r>
    <n v="26"/>
    <s v="Yes"/>
    <x v="1"/>
    <n v="426"/>
    <x v="2"/>
    <n v="17"/>
    <n v="4"/>
    <s v="Life Sciences"/>
    <n v="1"/>
    <n v="608"/>
    <n v="2"/>
    <x v="0"/>
    <n v="58"/>
    <n v="3"/>
    <n v="1"/>
    <s v="Human Resources"/>
    <n v="3"/>
    <s v="Divorced"/>
    <n v="2741"/>
    <n v="22808"/>
    <n v="0"/>
    <s v="Y"/>
    <s v="Yes"/>
    <n v="11"/>
    <x v="0"/>
    <n v="2"/>
    <n v="80"/>
    <n v="1"/>
    <n v="8"/>
    <n v="2"/>
    <n v="2"/>
    <n v="7"/>
    <n v="7"/>
    <n v="1"/>
    <n v="0"/>
    <n v="1"/>
    <x v="2"/>
    <x v="2"/>
    <s v="0-5k"/>
    <x v="0"/>
    <x v="0"/>
    <x v="2"/>
  </r>
  <r>
    <n v="29"/>
    <s v="No"/>
    <x v="0"/>
    <n v="232"/>
    <x v="1"/>
    <n v="19"/>
    <n v="3"/>
    <s v="Technical Degree"/>
    <n v="1"/>
    <n v="611"/>
    <n v="4"/>
    <x v="1"/>
    <n v="34"/>
    <n v="3"/>
    <n v="2"/>
    <s v="Manufacturing Director"/>
    <n v="4"/>
    <s v="Divorced"/>
    <n v="4262"/>
    <n v="22645"/>
    <n v="4"/>
    <s v="Y"/>
    <s v="No"/>
    <n v="12"/>
    <x v="0"/>
    <n v="2"/>
    <n v="80"/>
    <n v="2"/>
    <n v="8"/>
    <n v="2"/>
    <n v="4"/>
    <n v="3"/>
    <n v="2"/>
    <n v="1"/>
    <n v="2"/>
    <n v="0"/>
    <x v="2"/>
    <x v="2"/>
    <s v="0-5k"/>
    <x v="0"/>
    <x v="0"/>
    <x v="0"/>
  </r>
  <r>
    <n v="33"/>
    <s v="No"/>
    <x v="0"/>
    <n v="922"/>
    <x v="1"/>
    <n v="1"/>
    <n v="5"/>
    <s v="Medical"/>
    <n v="1"/>
    <n v="612"/>
    <n v="1"/>
    <x v="0"/>
    <n v="95"/>
    <n v="4"/>
    <n v="4"/>
    <s v="Research Director"/>
    <n v="3"/>
    <s v="Divorced"/>
    <n v="16184"/>
    <n v="22578"/>
    <n v="4"/>
    <s v="Y"/>
    <s v="No"/>
    <n v="19"/>
    <x v="0"/>
    <n v="3"/>
    <n v="80"/>
    <n v="1"/>
    <n v="10"/>
    <n v="2"/>
    <n v="3"/>
    <n v="6"/>
    <n v="1"/>
    <n v="0"/>
    <n v="5"/>
    <n v="0"/>
    <x v="0"/>
    <x v="0"/>
    <s v="15k+"/>
    <x v="0"/>
    <x v="0"/>
    <x v="2"/>
  </r>
  <r>
    <n v="31"/>
    <s v="No"/>
    <x v="0"/>
    <n v="688"/>
    <x v="0"/>
    <n v="7"/>
    <n v="3"/>
    <s v="Life Sciences"/>
    <n v="1"/>
    <n v="613"/>
    <n v="3"/>
    <x v="1"/>
    <n v="44"/>
    <n v="2"/>
    <n v="3"/>
    <s v="Manager"/>
    <n v="4"/>
    <s v="Divorced"/>
    <n v="11557"/>
    <n v="25291"/>
    <n v="9"/>
    <s v="Y"/>
    <s v="No"/>
    <n v="21"/>
    <x v="1"/>
    <n v="3"/>
    <n v="80"/>
    <n v="1"/>
    <n v="10"/>
    <n v="3"/>
    <n v="2"/>
    <n v="5"/>
    <n v="4"/>
    <n v="0"/>
    <n v="1"/>
    <n v="0"/>
    <x v="0"/>
    <x v="0"/>
    <s v="10k-15k"/>
    <x v="0"/>
    <x v="1"/>
    <x v="0"/>
  </r>
  <r>
    <n v="18"/>
    <s v="Yes"/>
    <x v="1"/>
    <n v="1306"/>
    <x v="0"/>
    <n v="5"/>
    <n v="3"/>
    <s v="Marketing"/>
    <n v="1"/>
    <n v="614"/>
    <n v="2"/>
    <x v="1"/>
    <n v="69"/>
    <n v="3"/>
    <n v="1"/>
    <s v="Sales Representative"/>
    <n v="2"/>
    <s v="Single"/>
    <n v="1878"/>
    <n v="8059"/>
    <n v="1"/>
    <s v="Y"/>
    <s v="Yes"/>
    <n v="14"/>
    <x v="0"/>
    <n v="4"/>
    <n v="80"/>
    <n v="0"/>
    <n v="0"/>
    <n v="3"/>
    <n v="3"/>
    <n v="0"/>
    <n v="0"/>
    <n v="0"/>
    <n v="0"/>
    <n v="1"/>
    <x v="2"/>
    <x v="0"/>
    <s v="0-5k"/>
    <x v="0"/>
    <x v="0"/>
    <x v="1"/>
  </r>
  <r>
    <n v="40"/>
    <s v="No"/>
    <x v="2"/>
    <n v="1094"/>
    <x v="0"/>
    <n v="28"/>
    <n v="3"/>
    <s v="Other"/>
    <n v="1"/>
    <n v="615"/>
    <n v="3"/>
    <x v="1"/>
    <n v="58"/>
    <n v="1"/>
    <n v="3"/>
    <s v="Sales Executive"/>
    <n v="1"/>
    <s v="Divorced"/>
    <n v="10932"/>
    <n v="11373"/>
    <n v="3"/>
    <s v="Y"/>
    <s v="No"/>
    <n v="15"/>
    <x v="0"/>
    <n v="3"/>
    <n v="80"/>
    <n v="1"/>
    <n v="20"/>
    <n v="2"/>
    <n v="3"/>
    <n v="1"/>
    <n v="0"/>
    <n v="0"/>
    <n v="1"/>
    <n v="0"/>
    <x v="0"/>
    <x v="1"/>
    <s v="10k-15k"/>
    <x v="0"/>
    <x v="0"/>
    <x v="3"/>
  </r>
  <r>
    <n v="41"/>
    <s v="No"/>
    <x v="2"/>
    <n v="509"/>
    <x v="1"/>
    <n v="2"/>
    <n v="4"/>
    <s v="Other"/>
    <n v="1"/>
    <n v="616"/>
    <n v="1"/>
    <x v="0"/>
    <n v="62"/>
    <n v="2"/>
    <n v="2"/>
    <s v="Healthcare Representative"/>
    <n v="3"/>
    <s v="Single"/>
    <n v="6811"/>
    <n v="2112"/>
    <n v="2"/>
    <s v="Y"/>
    <s v="Yes"/>
    <n v="17"/>
    <x v="0"/>
    <n v="1"/>
    <n v="80"/>
    <n v="0"/>
    <n v="10"/>
    <n v="3"/>
    <n v="3"/>
    <n v="8"/>
    <n v="7"/>
    <n v="0"/>
    <n v="7"/>
    <n v="0"/>
    <x v="0"/>
    <x v="0"/>
    <s v="5k-10k"/>
    <x v="0"/>
    <x v="0"/>
    <x v="2"/>
  </r>
  <r>
    <n v="26"/>
    <s v="No"/>
    <x v="0"/>
    <n v="775"/>
    <x v="0"/>
    <n v="29"/>
    <n v="2"/>
    <s v="Medical"/>
    <n v="1"/>
    <n v="618"/>
    <n v="1"/>
    <x v="1"/>
    <n v="45"/>
    <n v="3"/>
    <n v="2"/>
    <s v="Sales Executive"/>
    <n v="3"/>
    <s v="Divorced"/>
    <n v="4306"/>
    <n v="4267"/>
    <n v="5"/>
    <s v="Y"/>
    <s v="No"/>
    <n v="12"/>
    <x v="0"/>
    <n v="1"/>
    <n v="80"/>
    <n v="2"/>
    <n v="8"/>
    <n v="5"/>
    <n v="3"/>
    <n v="0"/>
    <n v="0"/>
    <n v="0"/>
    <n v="0"/>
    <n v="0"/>
    <x v="2"/>
    <x v="1"/>
    <s v="0-5k"/>
    <x v="0"/>
    <x v="0"/>
    <x v="2"/>
  </r>
  <r>
    <n v="35"/>
    <s v="No"/>
    <x v="0"/>
    <n v="195"/>
    <x v="0"/>
    <n v="1"/>
    <n v="3"/>
    <s v="Medical"/>
    <n v="1"/>
    <n v="620"/>
    <n v="1"/>
    <x v="0"/>
    <n v="80"/>
    <n v="3"/>
    <n v="2"/>
    <s v="Sales Executive"/>
    <n v="3"/>
    <s v="Single"/>
    <n v="4859"/>
    <n v="6698"/>
    <n v="1"/>
    <s v="Y"/>
    <s v="No"/>
    <n v="16"/>
    <x v="0"/>
    <n v="4"/>
    <n v="80"/>
    <n v="0"/>
    <n v="5"/>
    <n v="3"/>
    <n v="3"/>
    <n v="5"/>
    <n v="4"/>
    <n v="0"/>
    <n v="3"/>
    <n v="0"/>
    <x v="0"/>
    <x v="0"/>
    <s v="0-5k"/>
    <x v="0"/>
    <x v="0"/>
    <x v="2"/>
  </r>
  <r>
    <n v="34"/>
    <s v="No"/>
    <x v="0"/>
    <n v="258"/>
    <x v="0"/>
    <n v="21"/>
    <n v="4"/>
    <s v="Life Sciences"/>
    <n v="1"/>
    <n v="621"/>
    <n v="4"/>
    <x v="1"/>
    <n v="74"/>
    <n v="4"/>
    <n v="2"/>
    <s v="Sales Executive"/>
    <n v="4"/>
    <s v="Single"/>
    <n v="5337"/>
    <n v="19921"/>
    <n v="1"/>
    <s v="Y"/>
    <s v="No"/>
    <n v="12"/>
    <x v="0"/>
    <n v="4"/>
    <n v="80"/>
    <n v="0"/>
    <n v="10"/>
    <n v="3"/>
    <n v="3"/>
    <n v="10"/>
    <n v="7"/>
    <n v="5"/>
    <n v="7"/>
    <n v="0"/>
    <x v="0"/>
    <x v="1"/>
    <s v="5k-10k"/>
    <x v="0"/>
    <x v="0"/>
    <x v="0"/>
  </r>
  <r>
    <n v="26"/>
    <s v="Yes"/>
    <x v="0"/>
    <n v="471"/>
    <x v="1"/>
    <n v="24"/>
    <n v="3"/>
    <s v="Technical Degree"/>
    <n v="1"/>
    <n v="622"/>
    <n v="3"/>
    <x v="1"/>
    <n v="66"/>
    <n v="1"/>
    <n v="1"/>
    <s v="Laboratory Technician"/>
    <n v="4"/>
    <s v="Single"/>
    <n v="2340"/>
    <n v="23213"/>
    <n v="1"/>
    <s v="Y"/>
    <s v="Yes"/>
    <n v="18"/>
    <x v="0"/>
    <n v="2"/>
    <n v="80"/>
    <n v="0"/>
    <n v="1"/>
    <n v="3"/>
    <n v="1"/>
    <n v="1"/>
    <n v="0"/>
    <n v="0"/>
    <n v="0"/>
    <n v="1"/>
    <x v="2"/>
    <x v="1"/>
    <s v="0-5k"/>
    <x v="0"/>
    <x v="0"/>
    <x v="0"/>
  </r>
  <r>
    <n v="37"/>
    <s v="No"/>
    <x v="0"/>
    <n v="799"/>
    <x v="1"/>
    <n v="1"/>
    <n v="3"/>
    <s v="Technical Degree"/>
    <n v="1"/>
    <n v="623"/>
    <n v="2"/>
    <x v="0"/>
    <n v="59"/>
    <n v="3"/>
    <n v="3"/>
    <s v="Manufacturing Director"/>
    <n v="4"/>
    <s v="Single"/>
    <n v="7491"/>
    <n v="23848"/>
    <n v="4"/>
    <s v="Y"/>
    <s v="No"/>
    <n v="17"/>
    <x v="0"/>
    <n v="4"/>
    <n v="80"/>
    <n v="0"/>
    <n v="12"/>
    <n v="3"/>
    <n v="4"/>
    <n v="6"/>
    <n v="5"/>
    <n v="1"/>
    <n v="2"/>
    <n v="0"/>
    <x v="0"/>
    <x v="0"/>
    <s v="5k-10k"/>
    <x v="0"/>
    <x v="0"/>
    <x v="0"/>
  </r>
  <r>
    <n v="46"/>
    <s v="No"/>
    <x v="1"/>
    <n v="1034"/>
    <x v="1"/>
    <n v="18"/>
    <n v="1"/>
    <s v="Medical"/>
    <n v="1"/>
    <n v="624"/>
    <n v="1"/>
    <x v="0"/>
    <n v="86"/>
    <n v="3"/>
    <n v="3"/>
    <s v="Healthcare Representative"/>
    <n v="3"/>
    <s v="Married"/>
    <n v="10527"/>
    <n v="8984"/>
    <n v="5"/>
    <s v="Y"/>
    <s v="No"/>
    <n v="11"/>
    <x v="0"/>
    <n v="4"/>
    <n v="80"/>
    <n v="0"/>
    <n v="28"/>
    <n v="3"/>
    <n v="2"/>
    <n v="2"/>
    <n v="2"/>
    <n v="1"/>
    <n v="2"/>
    <n v="0"/>
    <x v="1"/>
    <x v="2"/>
    <s v="10k-15k"/>
    <x v="0"/>
    <x v="0"/>
    <x v="2"/>
  </r>
  <r>
    <n v="41"/>
    <s v="No"/>
    <x v="0"/>
    <n v="1276"/>
    <x v="0"/>
    <n v="2"/>
    <n v="5"/>
    <s v="Life Sciences"/>
    <n v="1"/>
    <n v="625"/>
    <n v="2"/>
    <x v="0"/>
    <n v="91"/>
    <n v="3"/>
    <n v="4"/>
    <s v="Manager"/>
    <n v="1"/>
    <s v="Married"/>
    <n v="16595"/>
    <n v="5626"/>
    <n v="7"/>
    <s v="Y"/>
    <s v="No"/>
    <n v="16"/>
    <x v="0"/>
    <n v="2"/>
    <n v="80"/>
    <n v="1"/>
    <n v="22"/>
    <n v="2"/>
    <n v="3"/>
    <n v="18"/>
    <n v="16"/>
    <n v="11"/>
    <n v="8"/>
    <n v="0"/>
    <x v="0"/>
    <x v="0"/>
    <s v="15k+"/>
    <x v="2"/>
    <x v="0"/>
    <x v="3"/>
  </r>
  <r>
    <n v="37"/>
    <s v="No"/>
    <x v="2"/>
    <n v="142"/>
    <x v="0"/>
    <n v="9"/>
    <n v="4"/>
    <s v="Medical"/>
    <n v="1"/>
    <n v="626"/>
    <n v="1"/>
    <x v="1"/>
    <n v="69"/>
    <n v="3"/>
    <n v="3"/>
    <s v="Sales Executive"/>
    <n v="2"/>
    <s v="Divorced"/>
    <n v="8834"/>
    <n v="24666"/>
    <n v="1"/>
    <s v="Y"/>
    <s v="No"/>
    <n v="13"/>
    <x v="0"/>
    <n v="4"/>
    <n v="80"/>
    <n v="1"/>
    <n v="9"/>
    <n v="6"/>
    <n v="3"/>
    <n v="9"/>
    <n v="5"/>
    <n v="7"/>
    <n v="7"/>
    <n v="0"/>
    <x v="0"/>
    <x v="0"/>
    <s v="5k-10k"/>
    <x v="0"/>
    <x v="0"/>
    <x v="1"/>
  </r>
  <r>
    <n v="52"/>
    <s v="No"/>
    <x v="0"/>
    <n v="956"/>
    <x v="1"/>
    <n v="6"/>
    <n v="2"/>
    <s v="Technical Degree"/>
    <n v="1"/>
    <n v="630"/>
    <n v="4"/>
    <x v="1"/>
    <n v="78"/>
    <n v="3"/>
    <n v="2"/>
    <s v="Research Scientist"/>
    <n v="1"/>
    <s v="Divorced"/>
    <n v="5577"/>
    <n v="22087"/>
    <n v="3"/>
    <s v="Y"/>
    <s v="Yes"/>
    <n v="12"/>
    <x v="0"/>
    <n v="2"/>
    <n v="80"/>
    <n v="2"/>
    <n v="18"/>
    <n v="3"/>
    <n v="3"/>
    <n v="10"/>
    <n v="9"/>
    <n v="6"/>
    <n v="9"/>
    <n v="0"/>
    <x v="1"/>
    <x v="0"/>
    <s v="5k-10k"/>
    <x v="0"/>
    <x v="0"/>
    <x v="3"/>
  </r>
  <r>
    <n v="32"/>
    <s v="Yes"/>
    <x v="2"/>
    <n v="1474"/>
    <x v="0"/>
    <n v="11"/>
    <n v="4"/>
    <s v="Other"/>
    <n v="1"/>
    <n v="631"/>
    <n v="4"/>
    <x v="1"/>
    <n v="60"/>
    <n v="4"/>
    <n v="2"/>
    <s v="Sales Executive"/>
    <n v="3"/>
    <s v="Married"/>
    <n v="4707"/>
    <n v="23914"/>
    <n v="8"/>
    <s v="Y"/>
    <s v="No"/>
    <n v="12"/>
    <x v="0"/>
    <n v="4"/>
    <n v="80"/>
    <n v="0"/>
    <n v="6"/>
    <n v="2"/>
    <n v="3"/>
    <n v="4"/>
    <n v="2"/>
    <n v="1"/>
    <n v="2"/>
    <n v="1"/>
    <x v="0"/>
    <x v="2"/>
    <s v="0-5k"/>
    <x v="0"/>
    <x v="0"/>
    <x v="2"/>
  </r>
  <r>
    <n v="24"/>
    <s v="No"/>
    <x v="1"/>
    <n v="535"/>
    <x v="0"/>
    <n v="24"/>
    <n v="3"/>
    <s v="Medical"/>
    <n v="1"/>
    <n v="632"/>
    <n v="4"/>
    <x v="1"/>
    <n v="38"/>
    <n v="3"/>
    <n v="1"/>
    <s v="Sales Representative"/>
    <n v="4"/>
    <s v="Married"/>
    <n v="2400"/>
    <n v="5530"/>
    <n v="0"/>
    <s v="Y"/>
    <s v="No"/>
    <n v="13"/>
    <x v="0"/>
    <n v="3"/>
    <n v="80"/>
    <n v="2"/>
    <n v="3"/>
    <n v="3"/>
    <n v="3"/>
    <n v="2"/>
    <n v="2"/>
    <n v="2"/>
    <n v="1"/>
    <n v="0"/>
    <x v="2"/>
    <x v="1"/>
    <s v="0-5k"/>
    <x v="0"/>
    <x v="0"/>
    <x v="0"/>
  </r>
  <r>
    <n v="38"/>
    <s v="No"/>
    <x v="0"/>
    <n v="1495"/>
    <x v="1"/>
    <n v="10"/>
    <n v="3"/>
    <s v="Medical"/>
    <n v="1"/>
    <n v="634"/>
    <n v="3"/>
    <x v="0"/>
    <n v="76"/>
    <n v="3"/>
    <n v="2"/>
    <s v="Healthcare Representative"/>
    <n v="3"/>
    <s v="Married"/>
    <n v="9824"/>
    <n v="22174"/>
    <n v="3"/>
    <s v="Y"/>
    <s v="No"/>
    <n v="19"/>
    <x v="0"/>
    <n v="3"/>
    <n v="80"/>
    <n v="1"/>
    <n v="18"/>
    <n v="4"/>
    <n v="3"/>
    <n v="1"/>
    <n v="0"/>
    <n v="0"/>
    <n v="0"/>
    <n v="0"/>
    <x v="0"/>
    <x v="0"/>
    <s v="5k-10k"/>
    <x v="0"/>
    <x v="0"/>
    <x v="2"/>
  </r>
  <r>
    <n v="37"/>
    <s v="No"/>
    <x v="0"/>
    <n v="446"/>
    <x v="1"/>
    <n v="1"/>
    <n v="4"/>
    <s v="Life Sciences"/>
    <n v="1"/>
    <n v="635"/>
    <n v="2"/>
    <x v="0"/>
    <n v="65"/>
    <n v="3"/>
    <n v="2"/>
    <s v="Manufacturing Director"/>
    <n v="2"/>
    <s v="Married"/>
    <n v="6447"/>
    <n v="15701"/>
    <n v="6"/>
    <s v="Y"/>
    <s v="No"/>
    <n v="12"/>
    <x v="0"/>
    <n v="2"/>
    <n v="80"/>
    <n v="1"/>
    <n v="8"/>
    <n v="2"/>
    <n v="2"/>
    <n v="6"/>
    <n v="5"/>
    <n v="4"/>
    <n v="3"/>
    <n v="0"/>
    <x v="0"/>
    <x v="0"/>
    <s v="5k-10k"/>
    <x v="0"/>
    <x v="0"/>
    <x v="1"/>
  </r>
  <r>
    <n v="49"/>
    <s v="No"/>
    <x v="0"/>
    <n v="1245"/>
    <x v="1"/>
    <n v="18"/>
    <n v="4"/>
    <s v="Life Sciences"/>
    <n v="1"/>
    <n v="638"/>
    <n v="4"/>
    <x v="1"/>
    <n v="58"/>
    <n v="2"/>
    <n v="5"/>
    <s v="Research Director"/>
    <n v="3"/>
    <s v="Divorced"/>
    <n v="19502"/>
    <n v="2125"/>
    <n v="1"/>
    <s v="Y"/>
    <s v="Yes"/>
    <n v="17"/>
    <x v="0"/>
    <n v="3"/>
    <n v="80"/>
    <n v="1"/>
    <n v="31"/>
    <n v="5"/>
    <n v="3"/>
    <n v="31"/>
    <n v="9"/>
    <n v="0"/>
    <n v="9"/>
    <n v="0"/>
    <x v="1"/>
    <x v="2"/>
    <s v="15k+"/>
    <x v="3"/>
    <x v="0"/>
    <x v="2"/>
  </r>
  <r>
    <n v="24"/>
    <s v="No"/>
    <x v="0"/>
    <n v="691"/>
    <x v="1"/>
    <n v="23"/>
    <n v="3"/>
    <s v="Medical"/>
    <n v="1"/>
    <n v="639"/>
    <n v="2"/>
    <x v="1"/>
    <n v="89"/>
    <n v="4"/>
    <n v="1"/>
    <s v="Research Scientist"/>
    <n v="4"/>
    <s v="Married"/>
    <n v="2725"/>
    <n v="21630"/>
    <n v="1"/>
    <s v="Y"/>
    <s v="Yes"/>
    <n v="11"/>
    <x v="0"/>
    <n v="2"/>
    <n v="80"/>
    <n v="2"/>
    <n v="6"/>
    <n v="3"/>
    <n v="3"/>
    <n v="6"/>
    <n v="5"/>
    <n v="1"/>
    <n v="4"/>
    <n v="0"/>
    <x v="2"/>
    <x v="1"/>
    <s v="0-5k"/>
    <x v="0"/>
    <x v="0"/>
    <x v="0"/>
  </r>
  <r>
    <n v="26"/>
    <s v="No"/>
    <x v="0"/>
    <n v="703"/>
    <x v="0"/>
    <n v="28"/>
    <n v="2"/>
    <s v="Marketing"/>
    <n v="1"/>
    <n v="641"/>
    <n v="1"/>
    <x v="1"/>
    <n v="66"/>
    <n v="3"/>
    <n v="2"/>
    <s v="Sales Executive"/>
    <n v="2"/>
    <s v="Married"/>
    <n v="6272"/>
    <n v="7428"/>
    <n v="1"/>
    <s v="Y"/>
    <s v="No"/>
    <n v="20"/>
    <x v="1"/>
    <n v="4"/>
    <n v="80"/>
    <n v="2"/>
    <n v="6"/>
    <n v="5"/>
    <n v="4"/>
    <n v="5"/>
    <n v="3"/>
    <n v="1"/>
    <n v="4"/>
    <n v="0"/>
    <x v="2"/>
    <x v="1"/>
    <s v="5k-10k"/>
    <x v="0"/>
    <x v="1"/>
    <x v="1"/>
  </r>
  <r>
    <n v="24"/>
    <s v="No"/>
    <x v="0"/>
    <n v="823"/>
    <x v="1"/>
    <n v="17"/>
    <n v="2"/>
    <s v="Other"/>
    <n v="1"/>
    <n v="643"/>
    <n v="4"/>
    <x v="1"/>
    <n v="94"/>
    <n v="2"/>
    <n v="1"/>
    <s v="Laboratory Technician"/>
    <n v="2"/>
    <s v="Married"/>
    <n v="2127"/>
    <n v="9100"/>
    <n v="1"/>
    <s v="Y"/>
    <s v="No"/>
    <n v="21"/>
    <x v="1"/>
    <n v="4"/>
    <n v="80"/>
    <n v="1"/>
    <n v="1"/>
    <n v="2"/>
    <n v="3"/>
    <n v="1"/>
    <n v="0"/>
    <n v="0"/>
    <n v="0"/>
    <n v="0"/>
    <x v="2"/>
    <x v="2"/>
    <s v="0-5k"/>
    <x v="0"/>
    <x v="1"/>
    <x v="1"/>
  </r>
  <r>
    <n v="50"/>
    <s v="No"/>
    <x v="1"/>
    <n v="1246"/>
    <x v="2"/>
    <n v="3"/>
    <n v="3"/>
    <s v="Medical"/>
    <n v="1"/>
    <n v="644"/>
    <n v="1"/>
    <x v="1"/>
    <n v="99"/>
    <n v="3"/>
    <n v="5"/>
    <s v="Manager"/>
    <n v="2"/>
    <s v="Married"/>
    <n v="18200"/>
    <n v="7999"/>
    <n v="1"/>
    <s v="Y"/>
    <s v="No"/>
    <n v="11"/>
    <x v="0"/>
    <n v="3"/>
    <n v="80"/>
    <n v="1"/>
    <n v="32"/>
    <n v="2"/>
    <n v="3"/>
    <n v="32"/>
    <n v="5"/>
    <n v="10"/>
    <n v="7"/>
    <n v="0"/>
    <x v="1"/>
    <x v="0"/>
    <s v="15k+"/>
    <x v="3"/>
    <x v="0"/>
    <x v="1"/>
  </r>
  <r>
    <n v="25"/>
    <s v="No"/>
    <x v="0"/>
    <n v="622"/>
    <x v="0"/>
    <n v="13"/>
    <n v="1"/>
    <s v="Medical"/>
    <n v="1"/>
    <n v="645"/>
    <n v="2"/>
    <x v="1"/>
    <n v="40"/>
    <n v="3"/>
    <n v="1"/>
    <s v="Sales Representative"/>
    <n v="3"/>
    <s v="Married"/>
    <n v="2096"/>
    <n v="26376"/>
    <n v="1"/>
    <s v="Y"/>
    <s v="No"/>
    <n v="11"/>
    <x v="0"/>
    <n v="3"/>
    <n v="80"/>
    <n v="0"/>
    <n v="7"/>
    <n v="1"/>
    <n v="3"/>
    <n v="7"/>
    <n v="4"/>
    <n v="0"/>
    <n v="6"/>
    <n v="0"/>
    <x v="2"/>
    <x v="2"/>
    <s v="0-5k"/>
    <x v="0"/>
    <x v="0"/>
    <x v="2"/>
  </r>
  <r>
    <n v="24"/>
    <s v="Yes"/>
    <x v="1"/>
    <n v="1287"/>
    <x v="1"/>
    <n v="7"/>
    <n v="3"/>
    <s v="Life Sciences"/>
    <n v="1"/>
    <n v="647"/>
    <n v="1"/>
    <x v="0"/>
    <n v="55"/>
    <n v="3"/>
    <n v="1"/>
    <s v="Laboratory Technician"/>
    <n v="3"/>
    <s v="Married"/>
    <n v="2886"/>
    <n v="14168"/>
    <n v="1"/>
    <s v="Y"/>
    <s v="Yes"/>
    <n v="16"/>
    <x v="0"/>
    <n v="4"/>
    <n v="80"/>
    <n v="1"/>
    <n v="6"/>
    <n v="4"/>
    <n v="3"/>
    <n v="6"/>
    <n v="3"/>
    <n v="1"/>
    <n v="2"/>
    <n v="1"/>
    <x v="2"/>
    <x v="0"/>
    <s v="0-5k"/>
    <x v="0"/>
    <x v="0"/>
    <x v="2"/>
  </r>
  <r>
    <n v="30"/>
    <s v="Yes"/>
    <x v="1"/>
    <n v="448"/>
    <x v="0"/>
    <n v="12"/>
    <n v="4"/>
    <s v="Life Sciences"/>
    <n v="1"/>
    <n v="648"/>
    <n v="2"/>
    <x v="1"/>
    <n v="74"/>
    <n v="2"/>
    <n v="1"/>
    <s v="Sales Representative"/>
    <n v="1"/>
    <s v="Married"/>
    <n v="2033"/>
    <n v="14470"/>
    <n v="1"/>
    <s v="Y"/>
    <s v="No"/>
    <n v="18"/>
    <x v="0"/>
    <n v="3"/>
    <n v="80"/>
    <n v="1"/>
    <n v="1"/>
    <n v="2"/>
    <n v="4"/>
    <n v="1"/>
    <n v="0"/>
    <n v="0"/>
    <n v="0"/>
    <n v="1"/>
    <x v="2"/>
    <x v="2"/>
    <s v="0-5k"/>
    <x v="0"/>
    <x v="0"/>
    <x v="3"/>
  </r>
  <r>
    <n v="34"/>
    <s v="No"/>
    <x v="0"/>
    <n v="254"/>
    <x v="1"/>
    <n v="1"/>
    <n v="2"/>
    <s v="Life Sciences"/>
    <n v="1"/>
    <n v="649"/>
    <n v="2"/>
    <x v="1"/>
    <n v="83"/>
    <n v="2"/>
    <n v="1"/>
    <s v="Research Scientist"/>
    <n v="4"/>
    <s v="Married"/>
    <n v="3622"/>
    <n v="22794"/>
    <n v="1"/>
    <s v="Y"/>
    <s v="Yes"/>
    <n v="13"/>
    <x v="0"/>
    <n v="4"/>
    <n v="80"/>
    <n v="1"/>
    <n v="6"/>
    <n v="3"/>
    <n v="3"/>
    <n v="6"/>
    <n v="5"/>
    <n v="1"/>
    <n v="3"/>
    <n v="0"/>
    <x v="0"/>
    <x v="0"/>
    <s v="0-5k"/>
    <x v="0"/>
    <x v="0"/>
    <x v="0"/>
  </r>
  <r>
    <n v="31"/>
    <s v="Yes"/>
    <x v="0"/>
    <n v="1365"/>
    <x v="0"/>
    <n v="13"/>
    <n v="4"/>
    <s v="Medical"/>
    <n v="1"/>
    <n v="650"/>
    <n v="2"/>
    <x v="1"/>
    <n v="46"/>
    <n v="3"/>
    <n v="2"/>
    <s v="Sales Executive"/>
    <n v="1"/>
    <s v="Divorced"/>
    <n v="4233"/>
    <n v="11512"/>
    <n v="2"/>
    <s v="Y"/>
    <s v="No"/>
    <n v="17"/>
    <x v="0"/>
    <n v="3"/>
    <n v="80"/>
    <n v="0"/>
    <n v="9"/>
    <n v="2"/>
    <n v="1"/>
    <n v="3"/>
    <n v="1"/>
    <n v="1"/>
    <n v="2"/>
    <n v="1"/>
    <x v="0"/>
    <x v="2"/>
    <s v="0-5k"/>
    <x v="0"/>
    <x v="0"/>
    <x v="3"/>
  </r>
  <r>
    <n v="35"/>
    <s v="No"/>
    <x v="0"/>
    <n v="538"/>
    <x v="1"/>
    <n v="25"/>
    <n v="2"/>
    <s v="Other"/>
    <n v="1"/>
    <n v="652"/>
    <n v="1"/>
    <x v="1"/>
    <n v="54"/>
    <n v="2"/>
    <n v="2"/>
    <s v="Laboratory Technician"/>
    <n v="4"/>
    <s v="Single"/>
    <n v="3681"/>
    <n v="14004"/>
    <n v="4"/>
    <s v="Y"/>
    <s v="No"/>
    <n v="14"/>
    <x v="0"/>
    <n v="4"/>
    <n v="80"/>
    <n v="0"/>
    <n v="9"/>
    <n v="3"/>
    <n v="3"/>
    <n v="3"/>
    <n v="2"/>
    <n v="0"/>
    <n v="2"/>
    <n v="0"/>
    <x v="0"/>
    <x v="1"/>
    <s v="0-5k"/>
    <x v="0"/>
    <x v="0"/>
    <x v="0"/>
  </r>
  <r>
    <n v="31"/>
    <s v="No"/>
    <x v="0"/>
    <n v="525"/>
    <x v="0"/>
    <n v="6"/>
    <n v="4"/>
    <s v="Medical"/>
    <n v="1"/>
    <n v="653"/>
    <n v="1"/>
    <x v="1"/>
    <n v="66"/>
    <n v="4"/>
    <n v="2"/>
    <s v="Sales Executive"/>
    <n v="4"/>
    <s v="Divorced"/>
    <n v="5460"/>
    <n v="6219"/>
    <n v="4"/>
    <s v="Y"/>
    <s v="No"/>
    <n v="22"/>
    <x v="1"/>
    <n v="4"/>
    <n v="80"/>
    <n v="2"/>
    <n v="13"/>
    <n v="4"/>
    <n v="4"/>
    <n v="7"/>
    <n v="7"/>
    <n v="5"/>
    <n v="7"/>
    <n v="0"/>
    <x v="0"/>
    <x v="0"/>
    <s v="5k-10k"/>
    <x v="0"/>
    <x v="1"/>
    <x v="0"/>
  </r>
  <r>
    <n v="27"/>
    <s v="No"/>
    <x v="0"/>
    <n v="798"/>
    <x v="1"/>
    <n v="6"/>
    <n v="4"/>
    <s v="Medical"/>
    <n v="1"/>
    <n v="655"/>
    <n v="1"/>
    <x v="0"/>
    <n v="66"/>
    <n v="2"/>
    <n v="1"/>
    <s v="Research Scientist"/>
    <n v="3"/>
    <s v="Divorced"/>
    <n v="2187"/>
    <n v="5013"/>
    <n v="0"/>
    <s v="Y"/>
    <s v="No"/>
    <n v="12"/>
    <x v="0"/>
    <n v="3"/>
    <n v="80"/>
    <n v="2"/>
    <n v="6"/>
    <n v="5"/>
    <n v="2"/>
    <n v="5"/>
    <n v="3"/>
    <n v="0"/>
    <n v="3"/>
    <n v="0"/>
    <x v="2"/>
    <x v="0"/>
    <s v="0-5k"/>
    <x v="0"/>
    <x v="0"/>
    <x v="2"/>
  </r>
  <r>
    <n v="37"/>
    <s v="No"/>
    <x v="0"/>
    <n v="558"/>
    <x v="0"/>
    <n v="2"/>
    <n v="3"/>
    <s v="Marketing"/>
    <n v="1"/>
    <n v="656"/>
    <n v="4"/>
    <x v="1"/>
    <n v="75"/>
    <n v="3"/>
    <n v="2"/>
    <s v="Sales Executive"/>
    <n v="3"/>
    <s v="Married"/>
    <n v="9602"/>
    <n v="3010"/>
    <n v="4"/>
    <s v="Y"/>
    <s v="Yes"/>
    <n v="11"/>
    <x v="0"/>
    <n v="3"/>
    <n v="80"/>
    <n v="1"/>
    <n v="17"/>
    <n v="3"/>
    <n v="2"/>
    <n v="3"/>
    <n v="0"/>
    <n v="1"/>
    <n v="0"/>
    <n v="0"/>
    <x v="0"/>
    <x v="0"/>
    <s v="5k-10k"/>
    <x v="0"/>
    <x v="0"/>
    <x v="2"/>
  </r>
  <r>
    <n v="20"/>
    <s v="No"/>
    <x v="0"/>
    <n v="959"/>
    <x v="1"/>
    <n v="1"/>
    <n v="3"/>
    <s v="Life Sciences"/>
    <n v="1"/>
    <n v="657"/>
    <n v="4"/>
    <x v="0"/>
    <n v="83"/>
    <n v="2"/>
    <n v="1"/>
    <s v="Research Scientist"/>
    <n v="2"/>
    <s v="Single"/>
    <n v="2836"/>
    <n v="11757"/>
    <n v="1"/>
    <s v="Y"/>
    <s v="No"/>
    <n v="13"/>
    <x v="0"/>
    <n v="4"/>
    <n v="80"/>
    <n v="0"/>
    <n v="1"/>
    <n v="0"/>
    <n v="4"/>
    <n v="1"/>
    <n v="0"/>
    <n v="0"/>
    <n v="0"/>
    <n v="0"/>
    <x v="2"/>
    <x v="0"/>
    <s v="0-5k"/>
    <x v="0"/>
    <x v="0"/>
    <x v="1"/>
  </r>
  <r>
    <n v="42"/>
    <s v="No"/>
    <x v="0"/>
    <n v="622"/>
    <x v="1"/>
    <n v="2"/>
    <n v="4"/>
    <s v="Life Sciences"/>
    <n v="1"/>
    <n v="659"/>
    <n v="3"/>
    <x v="0"/>
    <n v="81"/>
    <n v="3"/>
    <n v="2"/>
    <s v="Healthcare Representative"/>
    <n v="4"/>
    <s v="Married"/>
    <n v="4089"/>
    <n v="5718"/>
    <n v="1"/>
    <s v="Y"/>
    <s v="No"/>
    <n v="13"/>
    <x v="0"/>
    <n v="2"/>
    <n v="80"/>
    <n v="2"/>
    <n v="10"/>
    <n v="4"/>
    <n v="3"/>
    <n v="10"/>
    <n v="2"/>
    <n v="2"/>
    <n v="2"/>
    <n v="0"/>
    <x v="0"/>
    <x v="0"/>
    <s v="0-5k"/>
    <x v="0"/>
    <x v="0"/>
    <x v="0"/>
  </r>
  <r>
    <n v="43"/>
    <s v="No"/>
    <x v="0"/>
    <n v="782"/>
    <x v="1"/>
    <n v="6"/>
    <n v="4"/>
    <s v="Other"/>
    <n v="1"/>
    <n v="661"/>
    <n v="2"/>
    <x v="1"/>
    <n v="50"/>
    <n v="2"/>
    <n v="4"/>
    <s v="Research Director"/>
    <n v="4"/>
    <s v="Divorced"/>
    <n v="16627"/>
    <n v="2671"/>
    <n v="4"/>
    <s v="Y"/>
    <s v="Yes"/>
    <n v="14"/>
    <x v="0"/>
    <n v="3"/>
    <n v="80"/>
    <n v="1"/>
    <n v="21"/>
    <n v="3"/>
    <n v="2"/>
    <n v="1"/>
    <n v="0"/>
    <n v="0"/>
    <n v="0"/>
    <n v="0"/>
    <x v="0"/>
    <x v="0"/>
    <s v="15k+"/>
    <x v="0"/>
    <x v="0"/>
    <x v="0"/>
  </r>
  <r>
    <n v="38"/>
    <s v="No"/>
    <x v="0"/>
    <n v="362"/>
    <x v="1"/>
    <n v="1"/>
    <n v="1"/>
    <s v="Life Sciences"/>
    <n v="1"/>
    <n v="662"/>
    <n v="3"/>
    <x v="0"/>
    <n v="43"/>
    <n v="3"/>
    <n v="1"/>
    <s v="Research Scientist"/>
    <n v="1"/>
    <s v="Single"/>
    <n v="2619"/>
    <n v="14561"/>
    <n v="3"/>
    <s v="Y"/>
    <s v="No"/>
    <n v="17"/>
    <x v="0"/>
    <n v="4"/>
    <n v="80"/>
    <n v="0"/>
    <n v="8"/>
    <n v="3"/>
    <n v="2"/>
    <n v="0"/>
    <n v="0"/>
    <n v="0"/>
    <n v="0"/>
    <n v="0"/>
    <x v="0"/>
    <x v="0"/>
    <s v="0-5k"/>
    <x v="0"/>
    <x v="0"/>
    <x v="3"/>
  </r>
  <r>
    <n v="43"/>
    <s v="No"/>
    <x v="1"/>
    <n v="1001"/>
    <x v="1"/>
    <n v="9"/>
    <n v="5"/>
    <s v="Medical"/>
    <n v="1"/>
    <n v="663"/>
    <n v="4"/>
    <x v="1"/>
    <n v="72"/>
    <n v="3"/>
    <n v="2"/>
    <s v="Laboratory Technician"/>
    <n v="3"/>
    <s v="Divorced"/>
    <n v="5679"/>
    <n v="19627"/>
    <n v="3"/>
    <s v="Y"/>
    <s v="Yes"/>
    <n v="13"/>
    <x v="0"/>
    <n v="2"/>
    <n v="80"/>
    <n v="1"/>
    <n v="10"/>
    <n v="3"/>
    <n v="3"/>
    <n v="8"/>
    <n v="7"/>
    <n v="4"/>
    <n v="7"/>
    <n v="0"/>
    <x v="0"/>
    <x v="0"/>
    <s v="5k-10k"/>
    <x v="0"/>
    <x v="0"/>
    <x v="2"/>
  </r>
  <r>
    <n v="48"/>
    <s v="No"/>
    <x v="0"/>
    <n v="1236"/>
    <x v="1"/>
    <n v="1"/>
    <n v="4"/>
    <s v="Life Sciences"/>
    <n v="1"/>
    <n v="664"/>
    <n v="4"/>
    <x v="0"/>
    <n v="40"/>
    <n v="2"/>
    <n v="4"/>
    <s v="Manager"/>
    <n v="1"/>
    <s v="Married"/>
    <n v="15402"/>
    <n v="17997"/>
    <n v="7"/>
    <s v="Y"/>
    <s v="No"/>
    <n v="11"/>
    <x v="0"/>
    <n v="1"/>
    <n v="80"/>
    <n v="1"/>
    <n v="21"/>
    <n v="3"/>
    <n v="1"/>
    <n v="3"/>
    <n v="2"/>
    <n v="0"/>
    <n v="2"/>
    <n v="0"/>
    <x v="1"/>
    <x v="0"/>
    <s v="15k+"/>
    <x v="0"/>
    <x v="0"/>
    <x v="3"/>
  </r>
  <r>
    <n v="44"/>
    <s v="No"/>
    <x v="0"/>
    <n v="1112"/>
    <x v="2"/>
    <n v="1"/>
    <n v="4"/>
    <s v="Life Sciences"/>
    <n v="1"/>
    <n v="665"/>
    <n v="1"/>
    <x v="0"/>
    <n v="50"/>
    <n v="2"/>
    <n v="2"/>
    <s v="Human Resources"/>
    <n v="3"/>
    <s v="Single"/>
    <n v="5985"/>
    <n v="26894"/>
    <n v="4"/>
    <s v="Y"/>
    <s v="No"/>
    <n v="11"/>
    <x v="0"/>
    <n v="2"/>
    <n v="80"/>
    <n v="0"/>
    <n v="10"/>
    <n v="1"/>
    <n v="4"/>
    <n v="2"/>
    <n v="2"/>
    <n v="0"/>
    <n v="2"/>
    <n v="0"/>
    <x v="0"/>
    <x v="0"/>
    <s v="5k-10k"/>
    <x v="0"/>
    <x v="0"/>
    <x v="2"/>
  </r>
  <r>
    <n v="34"/>
    <s v="No"/>
    <x v="0"/>
    <n v="204"/>
    <x v="0"/>
    <n v="14"/>
    <n v="3"/>
    <s v="Technical Degree"/>
    <n v="1"/>
    <n v="666"/>
    <n v="3"/>
    <x v="0"/>
    <n v="31"/>
    <n v="3"/>
    <n v="1"/>
    <s v="Sales Representative"/>
    <n v="3"/>
    <s v="Divorced"/>
    <n v="2579"/>
    <n v="2912"/>
    <n v="1"/>
    <s v="Y"/>
    <s v="Yes"/>
    <n v="18"/>
    <x v="0"/>
    <n v="4"/>
    <n v="80"/>
    <n v="2"/>
    <n v="8"/>
    <n v="3"/>
    <n v="3"/>
    <n v="8"/>
    <n v="2"/>
    <n v="0"/>
    <n v="6"/>
    <n v="0"/>
    <x v="0"/>
    <x v="2"/>
    <s v="0-5k"/>
    <x v="0"/>
    <x v="0"/>
    <x v="2"/>
  </r>
  <r>
    <n v="27"/>
    <s v="Yes"/>
    <x v="0"/>
    <n v="1420"/>
    <x v="0"/>
    <n v="2"/>
    <n v="1"/>
    <s v="Marketing"/>
    <n v="1"/>
    <n v="667"/>
    <n v="3"/>
    <x v="1"/>
    <n v="85"/>
    <n v="3"/>
    <n v="1"/>
    <s v="Sales Representative"/>
    <n v="1"/>
    <s v="Divorced"/>
    <n v="3041"/>
    <n v="16346"/>
    <n v="0"/>
    <s v="Y"/>
    <s v="No"/>
    <n v="11"/>
    <x v="0"/>
    <n v="2"/>
    <n v="80"/>
    <n v="1"/>
    <n v="5"/>
    <n v="3"/>
    <n v="3"/>
    <n v="4"/>
    <n v="3"/>
    <n v="0"/>
    <n v="2"/>
    <n v="1"/>
    <x v="2"/>
    <x v="0"/>
    <s v="0-5k"/>
    <x v="0"/>
    <x v="0"/>
    <x v="3"/>
  </r>
  <r>
    <n v="21"/>
    <s v="No"/>
    <x v="0"/>
    <n v="1343"/>
    <x v="0"/>
    <n v="22"/>
    <n v="1"/>
    <s v="Technical Degree"/>
    <n v="1"/>
    <n v="669"/>
    <n v="3"/>
    <x v="1"/>
    <n v="49"/>
    <n v="3"/>
    <n v="1"/>
    <s v="Sales Representative"/>
    <n v="3"/>
    <s v="Single"/>
    <n v="3447"/>
    <n v="24444"/>
    <n v="1"/>
    <s v="Y"/>
    <s v="No"/>
    <n v="11"/>
    <x v="0"/>
    <n v="3"/>
    <n v="80"/>
    <n v="0"/>
    <n v="3"/>
    <n v="2"/>
    <n v="3"/>
    <n v="3"/>
    <n v="2"/>
    <n v="1"/>
    <n v="2"/>
    <n v="0"/>
    <x v="2"/>
    <x v="1"/>
    <s v="0-5k"/>
    <x v="0"/>
    <x v="0"/>
    <x v="2"/>
  </r>
  <r>
    <n v="44"/>
    <s v="No"/>
    <x v="0"/>
    <n v="1315"/>
    <x v="1"/>
    <n v="3"/>
    <n v="4"/>
    <s v="Other"/>
    <n v="1"/>
    <n v="671"/>
    <n v="4"/>
    <x v="1"/>
    <n v="35"/>
    <n v="3"/>
    <n v="5"/>
    <s v="Manager"/>
    <n v="4"/>
    <s v="Married"/>
    <n v="19513"/>
    <n v="9358"/>
    <n v="4"/>
    <s v="Y"/>
    <s v="Yes"/>
    <n v="12"/>
    <x v="0"/>
    <n v="1"/>
    <n v="80"/>
    <n v="1"/>
    <n v="26"/>
    <n v="2"/>
    <n v="4"/>
    <n v="2"/>
    <n v="2"/>
    <n v="0"/>
    <n v="1"/>
    <n v="0"/>
    <x v="0"/>
    <x v="0"/>
    <s v="15k+"/>
    <x v="0"/>
    <x v="0"/>
    <x v="0"/>
  </r>
  <r>
    <n v="22"/>
    <s v="No"/>
    <x v="0"/>
    <n v="604"/>
    <x v="1"/>
    <n v="6"/>
    <n v="1"/>
    <s v="Medical"/>
    <n v="1"/>
    <n v="675"/>
    <n v="1"/>
    <x v="1"/>
    <n v="69"/>
    <n v="3"/>
    <n v="1"/>
    <s v="Research Scientist"/>
    <n v="3"/>
    <s v="Married"/>
    <n v="2773"/>
    <n v="12145"/>
    <n v="0"/>
    <s v="Y"/>
    <s v="No"/>
    <n v="20"/>
    <x v="1"/>
    <n v="4"/>
    <n v="80"/>
    <n v="0"/>
    <n v="3"/>
    <n v="3"/>
    <n v="3"/>
    <n v="2"/>
    <n v="2"/>
    <n v="2"/>
    <n v="2"/>
    <n v="0"/>
    <x v="2"/>
    <x v="0"/>
    <s v="0-5k"/>
    <x v="0"/>
    <x v="1"/>
    <x v="2"/>
  </r>
  <r>
    <n v="33"/>
    <s v="No"/>
    <x v="0"/>
    <n v="1216"/>
    <x v="0"/>
    <n v="8"/>
    <n v="4"/>
    <s v="Marketing"/>
    <n v="1"/>
    <n v="677"/>
    <n v="3"/>
    <x v="1"/>
    <n v="39"/>
    <n v="3"/>
    <n v="2"/>
    <s v="Sales Executive"/>
    <n v="3"/>
    <s v="Divorced"/>
    <n v="7104"/>
    <n v="20431"/>
    <n v="0"/>
    <s v="Y"/>
    <s v="No"/>
    <n v="12"/>
    <x v="0"/>
    <n v="4"/>
    <n v="80"/>
    <n v="0"/>
    <n v="6"/>
    <n v="3"/>
    <n v="3"/>
    <n v="5"/>
    <n v="0"/>
    <n v="1"/>
    <n v="2"/>
    <n v="0"/>
    <x v="0"/>
    <x v="0"/>
    <s v="5k-10k"/>
    <x v="0"/>
    <x v="0"/>
    <x v="2"/>
  </r>
  <r>
    <n v="32"/>
    <s v="No"/>
    <x v="0"/>
    <n v="646"/>
    <x v="1"/>
    <n v="9"/>
    <n v="4"/>
    <s v="Life Sciences"/>
    <n v="1"/>
    <n v="679"/>
    <n v="1"/>
    <x v="0"/>
    <n v="92"/>
    <n v="3"/>
    <n v="2"/>
    <s v="Research Scientist"/>
    <n v="4"/>
    <s v="Married"/>
    <n v="6322"/>
    <n v="18089"/>
    <n v="1"/>
    <s v="Y"/>
    <s v="Yes"/>
    <n v="12"/>
    <x v="0"/>
    <n v="4"/>
    <n v="80"/>
    <n v="1"/>
    <n v="6"/>
    <n v="2"/>
    <n v="2"/>
    <n v="6"/>
    <n v="4"/>
    <n v="0"/>
    <n v="5"/>
    <n v="0"/>
    <x v="0"/>
    <x v="0"/>
    <s v="5k-10k"/>
    <x v="0"/>
    <x v="0"/>
    <x v="0"/>
  </r>
  <r>
    <n v="30"/>
    <s v="No"/>
    <x v="1"/>
    <n v="160"/>
    <x v="1"/>
    <n v="3"/>
    <n v="3"/>
    <s v="Medical"/>
    <n v="1"/>
    <n v="680"/>
    <n v="3"/>
    <x v="0"/>
    <n v="71"/>
    <n v="3"/>
    <n v="1"/>
    <s v="Research Scientist"/>
    <n v="3"/>
    <s v="Divorced"/>
    <n v="2083"/>
    <n v="22653"/>
    <n v="1"/>
    <s v="Y"/>
    <s v="No"/>
    <n v="20"/>
    <x v="1"/>
    <n v="3"/>
    <n v="80"/>
    <n v="1"/>
    <n v="1"/>
    <n v="2"/>
    <n v="3"/>
    <n v="1"/>
    <n v="0"/>
    <n v="0"/>
    <n v="0"/>
    <n v="0"/>
    <x v="2"/>
    <x v="0"/>
    <s v="0-5k"/>
    <x v="0"/>
    <x v="1"/>
    <x v="2"/>
  </r>
  <r>
    <n v="53"/>
    <s v="No"/>
    <x v="0"/>
    <n v="238"/>
    <x v="0"/>
    <n v="1"/>
    <n v="1"/>
    <s v="Medical"/>
    <n v="1"/>
    <n v="682"/>
    <n v="4"/>
    <x v="0"/>
    <n v="34"/>
    <n v="3"/>
    <n v="2"/>
    <s v="Sales Executive"/>
    <n v="1"/>
    <s v="Single"/>
    <n v="8381"/>
    <n v="7507"/>
    <n v="7"/>
    <s v="Y"/>
    <s v="No"/>
    <n v="20"/>
    <x v="1"/>
    <n v="4"/>
    <n v="80"/>
    <n v="0"/>
    <n v="18"/>
    <n v="2"/>
    <n v="4"/>
    <n v="14"/>
    <n v="7"/>
    <n v="8"/>
    <n v="10"/>
    <n v="0"/>
    <x v="1"/>
    <x v="0"/>
    <s v="5k-10k"/>
    <x v="2"/>
    <x v="1"/>
    <x v="3"/>
  </r>
  <r>
    <n v="34"/>
    <s v="No"/>
    <x v="0"/>
    <n v="1397"/>
    <x v="1"/>
    <n v="1"/>
    <n v="5"/>
    <s v="Life Sciences"/>
    <n v="1"/>
    <n v="683"/>
    <n v="2"/>
    <x v="1"/>
    <n v="42"/>
    <n v="3"/>
    <n v="1"/>
    <s v="Research Scientist"/>
    <n v="4"/>
    <s v="Married"/>
    <n v="2691"/>
    <n v="7660"/>
    <n v="1"/>
    <s v="Y"/>
    <s v="No"/>
    <n v="12"/>
    <x v="0"/>
    <n v="4"/>
    <n v="80"/>
    <n v="1"/>
    <n v="10"/>
    <n v="4"/>
    <n v="2"/>
    <n v="10"/>
    <n v="9"/>
    <n v="8"/>
    <n v="8"/>
    <n v="0"/>
    <x v="0"/>
    <x v="0"/>
    <s v="0-5k"/>
    <x v="0"/>
    <x v="0"/>
    <x v="0"/>
  </r>
  <r>
    <n v="45"/>
    <s v="Yes"/>
    <x v="1"/>
    <n v="306"/>
    <x v="0"/>
    <n v="26"/>
    <n v="4"/>
    <s v="Life Sciences"/>
    <n v="1"/>
    <n v="684"/>
    <n v="1"/>
    <x v="0"/>
    <n v="100"/>
    <n v="3"/>
    <n v="2"/>
    <s v="Sales Executive"/>
    <n v="1"/>
    <s v="Married"/>
    <n v="4286"/>
    <n v="5630"/>
    <n v="2"/>
    <s v="Y"/>
    <s v="No"/>
    <n v="14"/>
    <x v="0"/>
    <n v="4"/>
    <n v="80"/>
    <n v="2"/>
    <n v="5"/>
    <n v="4"/>
    <n v="3"/>
    <n v="1"/>
    <n v="1"/>
    <n v="0"/>
    <n v="0"/>
    <n v="1"/>
    <x v="0"/>
    <x v="1"/>
    <s v="0-5k"/>
    <x v="0"/>
    <x v="0"/>
    <x v="3"/>
  </r>
  <r>
    <n v="26"/>
    <s v="No"/>
    <x v="0"/>
    <n v="991"/>
    <x v="1"/>
    <n v="6"/>
    <n v="3"/>
    <s v="Life Sciences"/>
    <n v="1"/>
    <n v="686"/>
    <n v="3"/>
    <x v="0"/>
    <n v="71"/>
    <n v="3"/>
    <n v="1"/>
    <s v="Laboratory Technician"/>
    <n v="4"/>
    <s v="Married"/>
    <n v="2659"/>
    <n v="17759"/>
    <n v="1"/>
    <s v="Y"/>
    <s v="Yes"/>
    <n v="13"/>
    <x v="0"/>
    <n v="3"/>
    <n v="80"/>
    <n v="1"/>
    <n v="3"/>
    <n v="2"/>
    <n v="3"/>
    <n v="3"/>
    <n v="2"/>
    <n v="0"/>
    <n v="2"/>
    <n v="0"/>
    <x v="2"/>
    <x v="0"/>
    <s v="0-5k"/>
    <x v="0"/>
    <x v="0"/>
    <x v="0"/>
  </r>
  <r>
    <n v="37"/>
    <s v="No"/>
    <x v="0"/>
    <n v="482"/>
    <x v="1"/>
    <n v="3"/>
    <n v="3"/>
    <s v="Other"/>
    <n v="1"/>
    <n v="689"/>
    <n v="3"/>
    <x v="1"/>
    <n v="36"/>
    <n v="3"/>
    <n v="3"/>
    <s v="Manufacturing Director"/>
    <n v="3"/>
    <s v="Married"/>
    <n v="9434"/>
    <n v="9606"/>
    <n v="1"/>
    <s v="Y"/>
    <s v="No"/>
    <n v="15"/>
    <x v="0"/>
    <n v="3"/>
    <n v="80"/>
    <n v="1"/>
    <n v="10"/>
    <n v="2"/>
    <n v="3"/>
    <n v="10"/>
    <n v="7"/>
    <n v="7"/>
    <n v="8"/>
    <n v="0"/>
    <x v="0"/>
    <x v="0"/>
    <s v="5k-10k"/>
    <x v="0"/>
    <x v="0"/>
    <x v="2"/>
  </r>
  <r>
    <n v="29"/>
    <s v="No"/>
    <x v="0"/>
    <n v="1176"/>
    <x v="0"/>
    <n v="3"/>
    <n v="2"/>
    <s v="Medical"/>
    <n v="1"/>
    <n v="690"/>
    <n v="2"/>
    <x v="0"/>
    <n v="62"/>
    <n v="3"/>
    <n v="2"/>
    <s v="Sales Executive"/>
    <n v="3"/>
    <s v="Married"/>
    <n v="5561"/>
    <n v="3487"/>
    <n v="1"/>
    <s v="Y"/>
    <s v="No"/>
    <n v="14"/>
    <x v="0"/>
    <n v="1"/>
    <n v="80"/>
    <n v="1"/>
    <n v="6"/>
    <n v="5"/>
    <n v="2"/>
    <n v="6"/>
    <n v="0"/>
    <n v="1"/>
    <n v="2"/>
    <n v="0"/>
    <x v="2"/>
    <x v="0"/>
    <s v="5k-10k"/>
    <x v="0"/>
    <x v="0"/>
    <x v="2"/>
  </r>
  <r>
    <n v="35"/>
    <s v="No"/>
    <x v="0"/>
    <n v="1017"/>
    <x v="1"/>
    <n v="6"/>
    <n v="4"/>
    <s v="Life Sciences"/>
    <n v="1"/>
    <n v="691"/>
    <n v="2"/>
    <x v="1"/>
    <n v="82"/>
    <n v="1"/>
    <n v="2"/>
    <s v="Research Scientist"/>
    <n v="4"/>
    <s v="Single"/>
    <n v="6646"/>
    <n v="19368"/>
    <n v="1"/>
    <s v="Y"/>
    <s v="No"/>
    <n v="13"/>
    <x v="0"/>
    <n v="2"/>
    <n v="80"/>
    <n v="0"/>
    <n v="17"/>
    <n v="3"/>
    <n v="3"/>
    <n v="17"/>
    <n v="11"/>
    <n v="11"/>
    <n v="8"/>
    <n v="0"/>
    <x v="0"/>
    <x v="0"/>
    <s v="5k-10k"/>
    <x v="2"/>
    <x v="0"/>
    <x v="0"/>
  </r>
  <r>
    <n v="33"/>
    <s v="No"/>
    <x v="1"/>
    <n v="1296"/>
    <x v="1"/>
    <n v="6"/>
    <n v="3"/>
    <s v="Life Sciences"/>
    <n v="1"/>
    <n v="692"/>
    <n v="3"/>
    <x v="1"/>
    <n v="30"/>
    <n v="3"/>
    <n v="2"/>
    <s v="Healthcare Representative"/>
    <n v="4"/>
    <s v="Divorced"/>
    <n v="7725"/>
    <n v="5335"/>
    <n v="3"/>
    <s v="Y"/>
    <s v="No"/>
    <n v="23"/>
    <x v="1"/>
    <n v="3"/>
    <n v="80"/>
    <n v="1"/>
    <n v="15"/>
    <n v="2"/>
    <n v="1"/>
    <n v="13"/>
    <n v="11"/>
    <n v="4"/>
    <n v="7"/>
    <n v="0"/>
    <x v="0"/>
    <x v="0"/>
    <s v="5k-10k"/>
    <x v="2"/>
    <x v="1"/>
    <x v="0"/>
  </r>
  <r>
    <n v="54"/>
    <s v="No"/>
    <x v="0"/>
    <n v="397"/>
    <x v="2"/>
    <n v="19"/>
    <n v="4"/>
    <s v="Medical"/>
    <n v="1"/>
    <n v="698"/>
    <n v="3"/>
    <x v="1"/>
    <n v="88"/>
    <n v="3"/>
    <n v="3"/>
    <s v="Human Resources"/>
    <n v="2"/>
    <s v="Married"/>
    <n v="10725"/>
    <n v="6729"/>
    <n v="2"/>
    <s v="Y"/>
    <s v="No"/>
    <n v="15"/>
    <x v="0"/>
    <n v="3"/>
    <n v="80"/>
    <n v="1"/>
    <n v="16"/>
    <n v="1"/>
    <n v="4"/>
    <n v="9"/>
    <n v="7"/>
    <n v="7"/>
    <n v="1"/>
    <n v="0"/>
    <x v="1"/>
    <x v="2"/>
    <s v="10k-15k"/>
    <x v="0"/>
    <x v="0"/>
    <x v="1"/>
  </r>
  <r>
    <n v="36"/>
    <s v="No"/>
    <x v="0"/>
    <n v="913"/>
    <x v="1"/>
    <n v="9"/>
    <n v="2"/>
    <s v="Medical"/>
    <n v="1"/>
    <n v="699"/>
    <n v="2"/>
    <x v="1"/>
    <n v="48"/>
    <n v="2"/>
    <n v="2"/>
    <s v="Manufacturing Director"/>
    <n v="2"/>
    <s v="Divorced"/>
    <n v="8847"/>
    <n v="13934"/>
    <n v="2"/>
    <s v="Y"/>
    <s v="Yes"/>
    <n v="11"/>
    <x v="0"/>
    <n v="3"/>
    <n v="80"/>
    <n v="1"/>
    <n v="13"/>
    <n v="2"/>
    <n v="3"/>
    <n v="3"/>
    <n v="2"/>
    <n v="0"/>
    <n v="2"/>
    <n v="0"/>
    <x v="0"/>
    <x v="0"/>
    <s v="5k-10k"/>
    <x v="0"/>
    <x v="0"/>
    <x v="1"/>
  </r>
  <r>
    <n v="27"/>
    <s v="No"/>
    <x v="0"/>
    <n v="1115"/>
    <x v="1"/>
    <n v="3"/>
    <n v="4"/>
    <s v="Medical"/>
    <n v="1"/>
    <n v="700"/>
    <n v="1"/>
    <x v="1"/>
    <n v="54"/>
    <n v="2"/>
    <n v="1"/>
    <s v="Research Scientist"/>
    <n v="4"/>
    <s v="Single"/>
    <n v="2045"/>
    <n v="15174"/>
    <n v="0"/>
    <s v="Y"/>
    <s v="No"/>
    <n v="13"/>
    <x v="0"/>
    <n v="4"/>
    <n v="80"/>
    <n v="0"/>
    <n v="5"/>
    <n v="0"/>
    <n v="3"/>
    <n v="4"/>
    <n v="2"/>
    <n v="1"/>
    <n v="1"/>
    <n v="0"/>
    <x v="2"/>
    <x v="0"/>
    <s v="0-5k"/>
    <x v="0"/>
    <x v="0"/>
    <x v="0"/>
  </r>
  <r>
    <n v="20"/>
    <s v="Yes"/>
    <x v="0"/>
    <n v="1362"/>
    <x v="1"/>
    <n v="10"/>
    <n v="1"/>
    <s v="Medical"/>
    <n v="1"/>
    <n v="701"/>
    <n v="4"/>
    <x v="1"/>
    <n v="32"/>
    <n v="3"/>
    <n v="1"/>
    <s v="Research Scientist"/>
    <n v="3"/>
    <s v="Single"/>
    <n v="1009"/>
    <n v="26999"/>
    <n v="1"/>
    <s v="Y"/>
    <s v="Yes"/>
    <n v="11"/>
    <x v="0"/>
    <n v="4"/>
    <n v="80"/>
    <n v="0"/>
    <n v="1"/>
    <n v="5"/>
    <n v="3"/>
    <n v="1"/>
    <n v="0"/>
    <n v="1"/>
    <n v="1"/>
    <n v="1"/>
    <x v="2"/>
    <x v="0"/>
    <s v="0-5k"/>
    <x v="0"/>
    <x v="0"/>
    <x v="2"/>
  </r>
  <r>
    <n v="33"/>
    <s v="Yes"/>
    <x v="1"/>
    <n v="1076"/>
    <x v="1"/>
    <n v="3"/>
    <n v="3"/>
    <s v="Life Sciences"/>
    <n v="1"/>
    <n v="702"/>
    <n v="1"/>
    <x v="1"/>
    <n v="70"/>
    <n v="3"/>
    <n v="1"/>
    <s v="Research Scientist"/>
    <n v="1"/>
    <s v="Single"/>
    <n v="3348"/>
    <n v="3164"/>
    <n v="1"/>
    <s v="Y"/>
    <s v="Yes"/>
    <n v="11"/>
    <x v="0"/>
    <n v="1"/>
    <n v="80"/>
    <n v="0"/>
    <n v="10"/>
    <n v="3"/>
    <n v="3"/>
    <n v="10"/>
    <n v="8"/>
    <n v="9"/>
    <n v="7"/>
    <n v="1"/>
    <x v="0"/>
    <x v="0"/>
    <s v="0-5k"/>
    <x v="0"/>
    <x v="0"/>
    <x v="3"/>
  </r>
  <r>
    <n v="35"/>
    <s v="No"/>
    <x v="2"/>
    <n v="727"/>
    <x v="1"/>
    <n v="3"/>
    <n v="3"/>
    <s v="Life Sciences"/>
    <n v="1"/>
    <n v="704"/>
    <n v="3"/>
    <x v="1"/>
    <n v="41"/>
    <n v="2"/>
    <n v="1"/>
    <s v="Laboratory Technician"/>
    <n v="3"/>
    <s v="Married"/>
    <n v="1281"/>
    <n v="16900"/>
    <n v="1"/>
    <s v="Y"/>
    <s v="No"/>
    <n v="18"/>
    <x v="0"/>
    <n v="3"/>
    <n v="80"/>
    <n v="2"/>
    <n v="1"/>
    <n v="3"/>
    <n v="3"/>
    <n v="1"/>
    <n v="0"/>
    <n v="0"/>
    <n v="0"/>
    <n v="0"/>
    <x v="0"/>
    <x v="0"/>
    <s v="0-5k"/>
    <x v="0"/>
    <x v="0"/>
    <x v="2"/>
  </r>
  <r>
    <n v="23"/>
    <s v="No"/>
    <x v="0"/>
    <n v="885"/>
    <x v="1"/>
    <n v="4"/>
    <n v="3"/>
    <s v="Medical"/>
    <n v="1"/>
    <n v="705"/>
    <n v="1"/>
    <x v="1"/>
    <n v="58"/>
    <n v="4"/>
    <n v="1"/>
    <s v="Research Scientist"/>
    <n v="1"/>
    <s v="Married"/>
    <n v="2819"/>
    <n v="8544"/>
    <n v="2"/>
    <s v="Y"/>
    <s v="No"/>
    <n v="16"/>
    <x v="0"/>
    <n v="1"/>
    <n v="80"/>
    <n v="1"/>
    <n v="5"/>
    <n v="3"/>
    <n v="4"/>
    <n v="3"/>
    <n v="2"/>
    <n v="0"/>
    <n v="2"/>
    <n v="0"/>
    <x v="2"/>
    <x v="0"/>
    <s v="0-5k"/>
    <x v="0"/>
    <x v="0"/>
    <x v="3"/>
  </r>
  <r>
    <n v="25"/>
    <s v="No"/>
    <x v="0"/>
    <n v="810"/>
    <x v="0"/>
    <n v="8"/>
    <n v="3"/>
    <s v="Life Sciences"/>
    <n v="1"/>
    <n v="707"/>
    <n v="4"/>
    <x v="1"/>
    <n v="57"/>
    <n v="4"/>
    <n v="2"/>
    <s v="Sales Executive"/>
    <n v="2"/>
    <s v="Married"/>
    <n v="4851"/>
    <n v="15678"/>
    <n v="0"/>
    <s v="Y"/>
    <s v="No"/>
    <n v="22"/>
    <x v="1"/>
    <n v="3"/>
    <n v="80"/>
    <n v="1"/>
    <n v="4"/>
    <n v="4"/>
    <n v="3"/>
    <n v="3"/>
    <n v="2"/>
    <n v="1"/>
    <n v="2"/>
    <n v="0"/>
    <x v="2"/>
    <x v="0"/>
    <s v="0-5k"/>
    <x v="0"/>
    <x v="1"/>
    <x v="1"/>
  </r>
  <r>
    <n v="38"/>
    <s v="No"/>
    <x v="0"/>
    <n v="243"/>
    <x v="0"/>
    <n v="7"/>
    <n v="4"/>
    <s v="Marketing"/>
    <n v="1"/>
    <n v="709"/>
    <n v="4"/>
    <x v="0"/>
    <n v="46"/>
    <n v="2"/>
    <n v="2"/>
    <s v="Sales Executive"/>
    <n v="4"/>
    <s v="Single"/>
    <n v="4028"/>
    <n v="7791"/>
    <n v="0"/>
    <s v="Y"/>
    <s v="No"/>
    <n v="20"/>
    <x v="1"/>
    <n v="1"/>
    <n v="80"/>
    <n v="0"/>
    <n v="8"/>
    <n v="2"/>
    <n v="3"/>
    <n v="7"/>
    <n v="7"/>
    <n v="0"/>
    <n v="5"/>
    <n v="0"/>
    <x v="0"/>
    <x v="0"/>
    <s v="0-5k"/>
    <x v="0"/>
    <x v="1"/>
    <x v="0"/>
  </r>
  <r>
    <n v="29"/>
    <s v="No"/>
    <x v="1"/>
    <n v="806"/>
    <x v="1"/>
    <n v="1"/>
    <n v="4"/>
    <s v="Life Sciences"/>
    <n v="1"/>
    <n v="710"/>
    <n v="2"/>
    <x v="1"/>
    <n v="76"/>
    <n v="1"/>
    <n v="1"/>
    <s v="Research Scientist"/>
    <n v="4"/>
    <s v="Divorced"/>
    <n v="2720"/>
    <n v="18959"/>
    <n v="1"/>
    <s v="Y"/>
    <s v="No"/>
    <n v="18"/>
    <x v="0"/>
    <n v="4"/>
    <n v="80"/>
    <n v="1"/>
    <n v="10"/>
    <n v="5"/>
    <n v="3"/>
    <n v="10"/>
    <n v="7"/>
    <n v="2"/>
    <n v="8"/>
    <n v="0"/>
    <x v="2"/>
    <x v="0"/>
    <s v="0-5k"/>
    <x v="0"/>
    <x v="0"/>
    <x v="0"/>
  </r>
  <r>
    <n v="48"/>
    <s v="No"/>
    <x v="0"/>
    <n v="817"/>
    <x v="0"/>
    <n v="2"/>
    <n v="1"/>
    <s v="Marketing"/>
    <n v="1"/>
    <n v="712"/>
    <n v="2"/>
    <x v="1"/>
    <n v="56"/>
    <n v="4"/>
    <n v="2"/>
    <s v="Sales Executive"/>
    <n v="2"/>
    <s v="Married"/>
    <n v="8120"/>
    <n v="18597"/>
    <n v="3"/>
    <s v="Y"/>
    <s v="No"/>
    <n v="12"/>
    <x v="0"/>
    <n v="4"/>
    <n v="80"/>
    <n v="0"/>
    <n v="12"/>
    <n v="3"/>
    <n v="3"/>
    <n v="2"/>
    <n v="2"/>
    <n v="2"/>
    <n v="2"/>
    <n v="0"/>
    <x v="1"/>
    <x v="0"/>
    <s v="5k-10k"/>
    <x v="0"/>
    <x v="0"/>
    <x v="1"/>
  </r>
  <r>
    <n v="27"/>
    <s v="No"/>
    <x v="1"/>
    <n v="1410"/>
    <x v="0"/>
    <n v="3"/>
    <n v="1"/>
    <s v="Medical"/>
    <n v="1"/>
    <n v="714"/>
    <n v="4"/>
    <x v="0"/>
    <n v="71"/>
    <n v="4"/>
    <n v="2"/>
    <s v="Sales Executive"/>
    <n v="4"/>
    <s v="Divorced"/>
    <n v="4647"/>
    <n v="16673"/>
    <n v="1"/>
    <s v="Y"/>
    <s v="Yes"/>
    <n v="20"/>
    <x v="1"/>
    <n v="2"/>
    <n v="80"/>
    <n v="2"/>
    <n v="6"/>
    <n v="3"/>
    <n v="3"/>
    <n v="6"/>
    <n v="5"/>
    <n v="0"/>
    <n v="4"/>
    <n v="0"/>
    <x v="2"/>
    <x v="0"/>
    <s v="0-5k"/>
    <x v="0"/>
    <x v="1"/>
    <x v="0"/>
  </r>
  <r>
    <n v="37"/>
    <s v="No"/>
    <x v="0"/>
    <n v="1225"/>
    <x v="1"/>
    <n v="10"/>
    <n v="2"/>
    <s v="Life Sciences"/>
    <n v="1"/>
    <n v="715"/>
    <n v="4"/>
    <x v="1"/>
    <n v="80"/>
    <n v="4"/>
    <n v="1"/>
    <s v="Research Scientist"/>
    <n v="4"/>
    <s v="Single"/>
    <n v="4680"/>
    <n v="15232"/>
    <n v="3"/>
    <s v="Y"/>
    <s v="No"/>
    <n v="17"/>
    <x v="0"/>
    <n v="1"/>
    <n v="80"/>
    <n v="0"/>
    <n v="4"/>
    <n v="2"/>
    <n v="3"/>
    <n v="1"/>
    <n v="0"/>
    <n v="0"/>
    <n v="0"/>
    <n v="0"/>
    <x v="0"/>
    <x v="0"/>
    <s v="0-5k"/>
    <x v="0"/>
    <x v="0"/>
    <x v="0"/>
  </r>
  <r>
    <n v="50"/>
    <s v="No"/>
    <x v="0"/>
    <n v="1207"/>
    <x v="1"/>
    <n v="28"/>
    <n v="1"/>
    <s v="Medical"/>
    <n v="1"/>
    <n v="716"/>
    <n v="4"/>
    <x v="1"/>
    <n v="74"/>
    <n v="4"/>
    <n v="1"/>
    <s v="Laboratory Technician"/>
    <n v="3"/>
    <s v="Married"/>
    <n v="3221"/>
    <n v="3297"/>
    <n v="1"/>
    <s v="Y"/>
    <s v="Yes"/>
    <n v="11"/>
    <x v="0"/>
    <n v="3"/>
    <n v="80"/>
    <n v="3"/>
    <n v="20"/>
    <n v="3"/>
    <n v="3"/>
    <n v="20"/>
    <n v="8"/>
    <n v="3"/>
    <n v="8"/>
    <n v="0"/>
    <x v="1"/>
    <x v="1"/>
    <s v="0-5k"/>
    <x v="2"/>
    <x v="0"/>
    <x v="2"/>
  </r>
  <r>
    <n v="34"/>
    <s v="No"/>
    <x v="0"/>
    <n v="1442"/>
    <x v="1"/>
    <n v="9"/>
    <n v="3"/>
    <s v="Medical"/>
    <n v="1"/>
    <n v="717"/>
    <n v="4"/>
    <x v="0"/>
    <n v="46"/>
    <n v="2"/>
    <n v="3"/>
    <s v="Healthcare Representative"/>
    <n v="2"/>
    <s v="Single"/>
    <n v="8621"/>
    <n v="17654"/>
    <n v="1"/>
    <s v="Y"/>
    <s v="No"/>
    <n v="14"/>
    <x v="0"/>
    <n v="2"/>
    <n v="80"/>
    <n v="0"/>
    <n v="9"/>
    <n v="3"/>
    <n v="4"/>
    <n v="8"/>
    <n v="7"/>
    <n v="7"/>
    <n v="7"/>
    <n v="0"/>
    <x v="0"/>
    <x v="0"/>
    <s v="5k-10k"/>
    <x v="0"/>
    <x v="0"/>
    <x v="1"/>
  </r>
  <r>
    <n v="24"/>
    <s v="Yes"/>
    <x v="0"/>
    <n v="693"/>
    <x v="0"/>
    <n v="3"/>
    <n v="2"/>
    <s v="Life Sciences"/>
    <n v="1"/>
    <n v="720"/>
    <n v="1"/>
    <x v="0"/>
    <n v="65"/>
    <n v="3"/>
    <n v="2"/>
    <s v="Sales Executive"/>
    <n v="3"/>
    <s v="Single"/>
    <n v="4577"/>
    <n v="24785"/>
    <n v="9"/>
    <s v="Y"/>
    <s v="No"/>
    <n v="14"/>
    <x v="0"/>
    <n v="1"/>
    <n v="80"/>
    <n v="0"/>
    <n v="4"/>
    <n v="3"/>
    <n v="3"/>
    <n v="2"/>
    <n v="2"/>
    <n v="2"/>
    <n v="0"/>
    <n v="1"/>
    <x v="2"/>
    <x v="0"/>
    <s v="0-5k"/>
    <x v="0"/>
    <x v="0"/>
    <x v="2"/>
  </r>
  <r>
    <n v="39"/>
    <s v="No"/>
    <x v="0"/>
    <n v="408"/>
    <x v="1"/>
    <n v="2"/>
    <n v="4"/>
    <s v="Technical Degree"/>
    <n v="1"/>
    <n v="721"/>
    <n v="4"/>
    <x v="0"/>
    <n v="80"/>
    <n v="2"/>
    <n v="2"/>
    <s v="Healthcare Representative"/>
    <n v="3"/>
    <s v="Single"/>
    <n v="4553"/>
    <n v="20978"/>
    <n v="1"/>
    <s v="Y"/>
    <s v="No"/>
    <n v="11"/>
    <x v="0"/>
    <n v="1"/>
    <n v="80"/>
    <n v="0"/>
    <n v="20"/>
    <n v="4"/>
    <n v="3"/>
    <n v="20"/>
    <n v="7"/>
    <n v="11"/>
    <n v="10"/>
    <n v="0"/>
    <x v="0"/>
    <x v="0"/>
    <s v="0-5k"/>
    <x v="2"/>
    <x v="0"/>
    <x v="2"/>
  </r>
  <r>
    <n v="32"/>
    <s v="No"/>
    <x v="0"/>
    <n v="929"/>
    <x v="0"/>
    <n v="10"/>
    <n v="3"/>
    <s v="Marketing"/>
    <n v="1"/>
    <n v="722"/>
    <n v="4"/>
    <x v="1"/>
    <n v="55"/>
    <n v="3"/>
    <n v="2"/>
    <s v="Sales Executive"/>
    <n v="4"/>
    <s v="Single"/>
    <n v="5396"/>
    <n v="21703"/>
    <n v="1"/>
    <s v="Y"/>
    <s v="No"/>
    <n v="12"/>
    <x v="0"/>
    <n v="4"/>
    <n v="80"/>
    <n v="0"/>
    <n v="10"/>
    <n v="2"/>
    <n v="2"/>
    <n v="10"/>
    <n v="7"/>
    <n v="0"/>
    <n v="8"/>
    <n v="0"/>
    <x v="0"/>
    <x v="0"/>
    <s v="5k-10k"/>
    <x v="0"/>
    <x v="0"/>
    <x v="0"/>
  </r>
  <r>
    <n v="50"/>
    <s v="Yes"/>
    <x v="1"/>
    <n v="562"/>
    <x v="0"/>
    <n v="8"/>
    <n v="2"/>
    <s v="Technical Degree"/>
    <n v="1"/>
    <n v="723"/>
    <n v="2"/>
    <x v="1"/>
    <n v="50"/>
    <n v="3"/>
    <n v="2"/>
    <s v="Sales Executive"/>
    <n v="3"/>
    <s v="Married"/>
    <n v="6796"/>
    <n v="23452"/>
    <n v="3"/>
    <s v="Y"/>
    <s v="Yes"/>
    <n v="14"/>
    <x v="0"/>
    <n v="1"/>
    <n v="80"/>
    <n v="1"/>
    <n v="18"/>
    <n v="4"/>
    <n v="3"/>
    <n v="4"/>
    <n v="3"/>
    <n v="1"/>
    <n v="3"/>
    <n v="1"/>
    <x v="1"/>
    <x v="0"/>
    <s v="5k-10k"/>
    <x v="0"/>
    <x v="0"/>
    <x v="2"/>
  </r>
  <r>
    <n v="38"/>
    <s v="No"/>
    <x v="0"/>
    <n v="827"/>
    <x v="1"/>
    <n v="1"/>
    <n v="4"/>
    <s v="Life Sciences"/>
    <n v="1"/>
    <n v="724"/>
    <n v="2"/>
    <x v="0"/>
    <n v="33"/>
    <n v="4"/>
    <n v="2"/>
    <s v="Healthcare Representative"/>
    <n v="4"/>
    <s v="Single"/>
    <n v="7625"/>
    <n v="19383"/>
    <n v="0"/>
    <s v="Y"/>
    <s v="No"/>
    <n v="13"/>
    <x v="0"/>
    <n v="3"/>
    <n v="80"/>
    <n v="0"/>
    <n v="10"/>
    <n v="4"/>
    <n v="2"/>
    <n v="9"/>
    <n v="7"/>
    <n v="1"/>
    <n v="8"/>
    <n v="0"/>
    <x v="0"/>
    <x v="0"/>
    <s v="5k-10k"/>
    <x v="0"/>
    <x v="0"/>
    <x v="0"/>
  </r>
  <r>
    <n v="27"/>
    <s v="No"/>
    <x v="0"/>
    <n v="608"/>
    <x v="1"/>
    <n v="1"/>
    <n v="2"/>
    <s v="Life Sciences"/>
    <n v="1"/>
    <n v="725"/>
    <n v="3"/>
    <x v="0"/>
    <n v="68"/>
    <n v="3"/>
    <n v="3"/>
    <s v="Manufacturing Director"/>
    <n v="1"/>
    <s v="Married"/>
    <n v="7412"/>
    <n v="6009"/>
    <n v="1"/>
    <s v="Y"/>
    <s v="No"/>
    <n v="11"/>
    <x v="0"/>
    <n v="4"/>
    <n v="80"/>
    <n v="0"/>
    <n v="9"/>
    <n v="3"/>
    <n v="3"/>
    <n v="9"/>
    <n v="7"/>
    <n v="0"/>
    <n v="7"/>
    <n v="0"/>
    <x v="2"/>
    <x v="0"/>
    <s v="5k-10k"/>
    <x v="0"/>
    <x v="0"/>
    <x v="3"/>
  </r>
  <r>
    <n v="32"/>
    <s v="No"/>
    <x v="0"/>
    <n v="1018"/>
    <x v="1"/>
    <n v="3"/>
    <n v="2"/>
    <s v="Life Sciences"/>
    <n v="1"/>
    <n v="727"/>
    <n v="3"/>
    <x v="0"/>
    <n v="39"/>
    <n v="3"/>
    <n v="3"/>
    <s v="Research Director"/>
    <n v="4"/>
    <s v="Single"/>
    <n v="11159"/>
    <n v="19373"/>
    <n v="3"/>
    <s v="Y"/>
    <s v="No"/>
    <n v="15"/>
    <x v="0"/>
    <n v="4"/>
    <n v="80"/>
    <n v="0"/>
    <n v="10"/>
    <n v="6"/>
    <n v="3"/>
    <n v="7"/>
    <n v="7"/>
    <n v="7"/>
    <n v="7"/>
    <n v="0"/>
    <x v="0"/>
    <x v="0"/>
    <s v="10k-15k"/>
    <x v="0"/>
    <x v="0"/>
    <x v="0"/>
  </r>
  <r>
    <n v="47"/>
    <s v="No"/>
    <x v="0"/>
    <n v="703"/>
    <x v="0"/>
    <n v="14"/>
    <n v="4"/>
    <s v="Marketing"/>
    <n v="1"/>
    <n v="728"/>
    <n v="4"/>
    <x v="1"/>
    <n v="42"/>
    <n v="3"/>
    <n v="2"/>
    <s v="Sales Executive"/>
    <n v="1"/>
    <s v="Single"/>
    <n v="4960"/>
    <n v="11825"/>
    <n v="2"/>
    <s v="Y"/>
    <s v="No"/>
    <n v="12"/>
    <x v="0"/>
    <n v="4"/>
    <n v="80"/>
    <n v="0"/>
    <n v="20"/>
    <n v="2"/>
    <n v="3"/>
    <n v="7"/>
    <n v="7"/>
    <n v="1"/>
    <n v="7"/>
    <n v="0"/>
    <x v="1"/>
    <x v="2"/>
    <s v="0-5k"/>
    <x v="0"/>
    <x v="0"/>
    <x v="3"/>
  </r>
  <r>
    <n v="40"/>
    <s v="No"/>
    <x v="1"/>
    <n v="580"/>
    <x v="0"/>
    <n v="5"/>
    <n v="4"/>
    <s v="Life Sciences"/>
    <n v="1"/>
    <n v="729"/>
    <n v="4"/>
    <x v="1"/>
    <n v="48"/>
    <n v="2"/>
    <n v="3"/>
    <s v="Sales Executive"/>
    <n v="1"/>
    <s v="Married"/>
    <n v="10475"/>
    <n v="23772"/>
    <n v="5"/>
    <s v="Y"/>
    <s v="Yes"/>
    <n v="21"/>
    <x v="1"/>
    <n v="3"/>
    <n v="80"/>
    <n v="1"/>
    <n v="20"/>
    <n v="2"/>
    <n v="3"/>
    <n v="18"/>
    <n v="13"/>
    <n v="1"/>
    <n v="12"/>
    <n v="0"/>
    <x v="0"/>
    <x v="0"/>
    <s v="10k-15k"/>
    <x v="2"/>
    <x v="1"/>
    <x v="3"/>
  </r>
  <r>
    <n v="53"/>
    <s v="No"/>
    <x v="0"/>
    <n v="970"/>
    <x v="1"/>
    <n v="7"/>
    <n v="3"/>
    <s v="Life Sciences"/>
    <n v="1"/>
    <n v="730"/>
    <n v="3"/>
    <x v="1"/>
    <n v="59"/>
    <n v="4"/>
    <n v="4"/>
    <s v="Research Director"/>
    <n v="3"/>
    <s v="Married"/>
    <n v="14814"/>
    <n v="13514"/>
    <n v="3"/>
    <s v="Y"/>
    <s v="No"/>
    <n v="19"/>
    <x v="0"/>
    <n v="3"/>
    <n v="80"/>
    <n v="0"/>
    <n v="32"/>
    <n v="3"/>
    <n v="3"/>
    <n v="5"/>
    <n v="1"/>
    <n v="1"/>
    <n v="3"/>
    <n v="0"/>
    <x v="1"/>
    <x v="0"/>
    <s v="10k-15k"/>
    <x v="0"/>
    <x v="0"/>
    <x v="2"/>
  </r>
  <r>
    <n v="41"/>
    <s v="No"/>
    <x v="0"/>
    <n v="427"/>
    <x v="2"/>
    <n v="10"/>
    <n v="4"/>
    <s v="Human Resources"/>
    <n v="1"/>
    <n v="731"/>
    <n v="2"/>
    <x v="1"/>
    <n v="73"/>
    <n v="2"/>
    <n v="5"/>
    <s v="Manager"/>
    <n v="4"/>
    <s v="Divorced"/>
    <n v="19141"/>
    <n v="8861"/>
    <n v="3"/>
    <s v="Y"/>
    <s v="No"/>
    <n v="15"/>
    <x v="0"/>
    <n v="2"/>
    <n v="80"/>
    <n v="3"/>
    <n v="23"/>
    <n v="2"/>
    <n v="2"/>
    <n v="21"/>
    <n v="6"/>
    <n v="12"/>
    <n v="6"/>
    <n v="0"/>
    <x v="0"/>
    <x v="0"/>
    <s v="15k+"/>
    <x v="1"/>
    <x v="0"/>
    <x v="0"/>
  </r>
  <r>
    <n v="60"/>
    <s v="No"/>
    <x v="0"/>
    <n v="1179"/>
    <x v="0"/>
    <n v="16"/>
    <n v="4"/>
    <s v="Marketing"/>
    <n v="1"/>
    <n v="732"/>
    <n v="1"/>
    <x v="1"/>
    <n v="84"/>
    <n v="3"/>
    <n v="2"/>
    <s v="Sales Executive"/>
    <n v="1"/>
    <s v="Single"/>
    <n v="5405"/>
    <n v="11924"/>
    <n v="8"/>
    <s v="Y"/>
    <s v="No"/>
    <n v="14"/>
    <x v="0"/>
    <n v="4"/>
    <n v="80"/>
    <n v="0"/>
    <n v="10"/>
    <n v="1"/>
    <n v="3"/>
    <n v="2"/>
    <n v="2"/>
    <n v="2"/>
    <n v="2"/>
    <n v="0"/>
    <x v="1"/>
    <x v="2"/>
    <s v="5k-10k"/>
    <x v="0"/>
    <x v="0"/>
    <x v="3"/>
  </r>
  <r>
    <n v="27"/>
    <s v="No"/>
    <x v="1"/>
    <n v="294"/>
    <x v="1"/>
    <n v="10"/>
    <n v="2"/>
    <s v="Life Sciences"/>
    <n v="1"/>
    <n v="733"/>
    <n v="4"/>
    <x v="1"/>
    <n v="32"/>
    <n v="3"/>
    <n v="3"/>
    <s v="Manufacturing Director"/>
    <n v="1"/>
    <s v="Divorced"/>
    <n v="8793"/>
    <n v="4809"/>
    <n v="1"/>
    <s v="Y"/>
    <s v="No"/>
    <n v="21"/>
    <x v="1"/>
    <n v="3"/>
    <n v="80"/>
    <n v="2"/>
    <n v="9"/>
    <n v="4"/>
    <n v="2"/>
    <n v="9"/>
    <n v="7"/>
    <n v="1"/>
    <n v="7"/>
    <n v="0"/>
    <x v="2"/>
    <x v="0"/>
    <s v="5k-10k"/>
    <x v="0"/>
    <x v="1"/>
    <x v="3"/>
  </r>
  <r>
    <n v="41"/>
    <s v="No"/>
    <x v="0"/>
    <n v="314"/>
    <x v="2"/>
    <n v="1"/>
    <n v="3"/>
    <s v="Human Resources"/>
    <n v="1"/>
    <n v="734"/>
    <n v="4"/>
    <x v="1"/>
    <n v="59"/>
    <n v="2"/>
    <n v="5"/>
    <s v="Manager"/>
    <n v="3"/>
    <s v="Married"/>
    <n v="19189"/>
    <n v="19562"/>
    <n v="1"/>
    <s v="Y"/>
    <s v="No"/>
    <n v="12"/>
    <x v="0"/>
    <n v="2"/>
    <n v="80"/>
    <n v="1"/>
    <n v="22"/>
    <n v="3"/>
    <n v="3"/>
    <n v="22"/>
    <n v="7"/>
    <n v="2"/>
    <n v="10"/>
    <n v="0"/>
    <x v="0"/>
    <x v="0"/>
    <s v="15k+"/>
    <x v="1"/>
    <x v="0"/>
    <x v="2"/>
  </r>
  <r>
    <n v="50"/>
    <s v="No"/>
    <x v="0"/>
    <n v="316"/>
    <x v="0"/>
    <n v="8"/>
    <n v="4"/>
    <s v="Marketing"/>
    <n v="1"/>
    <n v="738"/>
    <n v="4"/>
    <x v="1"/>
    <n v="54"/>
    <n v="3"/>
    <n v="1"/>
    <s v="Sales Representative"/>
    <n v="2"/>
    <s v="Married"/>
    <n v="3875"/>
    <n v="9983"/>
    <n v="7"/>
    <s v="Y"/>
    <s v="No"/>
    <n v="15"/>
    <x v="0"/>
    <n v="4"/>
    <n v="80"/>
    <n v="1"/>
    <n v="4"/>
    <n v="2"/>
    <n v="3"/>
    <n v="2"/>
    <n v="2"/>
    <n v="2"/>
    <n v="2"/>
    <n v="0"/>
    <x v="1"/>
    <x v="0"/>
    <s v="0-5k"/>
    <x v="0"/>
    <x v="0"/>
    <x v="1"/>
  </r>
  <r>
    <n v="28"/>
    <s v="Yes"/>
    <x v="0"/>
    <n v="654"/>
    <x v="1"/>
    <n v="1"/>
    <n v="2"/>
    <s v="Life Sciences"/>
    <n v="1"/>
    <n v="741"/>
    <n v="1"/>
    <x v="0"/>
    <n v="67"/>
    <n v="1"/>
    <n v="1"/>
    <s v="Research Scientist"/>
    <n v="2"/>
    <s v="Single"/>
    <n v="2216"/>
    <n v="3872"/>
    <n v="7"/>
    <s v="Y"/>
    <s v="Yes"/>
    <n v="13"/>
    <x v="0"/>
    <n v="4"/>
    <n v="80"/>
    <n v="0"/>
    <n v="10"/>
    <n v="4"/>
    <n v="3"/>
    <n v="7"/>
    <n v="7"/>
    <n v="3"/>
    <n v="7"/>
    <n v="1"/>
    <x v="2"/>
    <x v="0"/>
    <s v="0-5k"/>
    <x v="0"/>
    <x v="0"/>
    <x v="1"/>
  </r>
  <r>
    <n v="36"/>
    <s v="No"/>
    <x v="2"/>
    <n v="427"/>
    <x v="1"/>
    <n v="8"/>
    <n v="3"/>
    <s v="Life Sciences"/>
    <n v="1"/>
    <n v="742"/>
    <n v="1"/>
    <x v="0"/>
    <n v="63"/>
    <n v="4"/>
    <n v="3"/>
    <s v="Research Director"/>
    <n v="1"/>
    <s v="Married"/>
    <n v="11713"/>
    <n v="20335"/>
    <n v="9"/>
    <s v="Y"/>
    <s v="No"/>
    <n v="14"/>
    <x v="0"/>
    <n v="1"/>
    <n v="80"/>
    <n v="1"/>
    <n v="10"/>
    <n v="2"/>
    <n v="3"/>
    <n v="8"/>
    <n v="7"/>
    <n v="0"/>
    <n v="5"/>
    <n v="0"/>
    <x v="0"/>
    <x v="0"/>
    <s v="10k-15k"/>
    <x v="0"/>
    <x v="0"/>
    <x v="3"/>
  </r>
  <r>
    <n v="38"/>
    <s v="No"/>
    <x v="0"/>
    <n v="168"/>
    <x v="1"/>
    <n v="1"/>
    <n v="3"/>
    <s v="Life Sciences"/>
    <n v="1"/>
    <n v="743"/>
    <n v="3"/>
    <x v="0"/>
    <n v="81"/>
    <n v="3"/>
    <n v="3"/>
    <s v="Manufacturing Director"/>
    <n v="3"/>
    <s v="Single"/>
    <n v="7861"/>
    <n v="15397"/>
    <n v="4"/>
    <s v="Y"/>
    <s v="Yes"/>
    <n v="14"/>
    <x v="0"/>
    <n v="4"/>
    <n v="80"/>
    <n v="0"/>
    <n v="10"/>
    <n v="4"/>
    <n v="4"/>
    <n v="1"/>
    <n v="0"/>
    <n v="0"/>
    <n v="0"/>
    <n v="0"/>
    <x v="0"/>
    <x v="0"/>
    <s v="5k-10k"/>
    <x v="0"/>
    <x v="0"/>
    <x v="2"/>
  </r>
  <r>
    <n v="44"/>
    <s v="No"/>
    <x v="2"/>
    <n v="381"/>
    <x v="1"/>
    <n v="24"/>
    <n v="3"/>
    <s v="Medical"/>
    <n v="1"/>
    <n v="744"/>
    <n v="1"/>
    <x v="1"/>
    <n v="49"/>
    <n v="1"/>
    <n v="1"/>
    <s v="Laboratory Technician"/>
    <n v="3"/>
    <s v="Single"/>
    <n v="3708"/>
    <n v="2104"/>
    <n v="2"/>
    <s v="Y"/>
    <s v="No"/>
    <n v="14"/>
    <x v="0"/>
    <n v="3"/>
    <n v="80"/>
    <n v="0"/>
    <n v="9"/>
    <n v="5"/>
    <n v="3"/>
    <n v="5"/>
    <n v="2"/>
    <n v="1"/>
    <n v="4"/>
    <n v="0"/>
    <x v="0"/>
    <x v="1"/>
    <s v="0-5k"/>
    <x v="0"/>
    <x v="0"/>
    <x v="2"/>
  </r>
  <r>
    <n v="47"/>
    <s v="No"/>
    <x v="1"/>
    <n v="217"/>
    <x v="0"/>
    <n v="3"/>
    <n v="3"/>
    <s v="Medical"/>
    <n v="1"/>
    <n v="746"/>
    <n v="4"/>
    <x v="0"/>
    <n v="49"/>
    <n v="3"/>
    <n v="4"/>
    <s v="Sales Executive"/>
    <n v="3"/>
    <s v="Divorced"/>
    <n v="13770"/>
    <n v="10225"/>
    <n v="9"/>
    <s v="Y"/>
    <s v="Yes"/>
    <n v="12"/>
    <x v="0"/>
    <n v="4"/>
    <n v="80"/>
    <n v="2"/>
    <n v="28"/>
    <n v="2"/>
    <n v="2"/>
    <n v="22"/>
    <n v="2"/>
    <n v="11"/>
    <n v="13"/>
    <n v="0"/>
    <x v="1"/>
    <x v="0"/>
    <s v="10k-15k"/>
    <x v="1"/>
    <x v="0"/>
    <x v="2"/>
  </r>
  <r>
    <n v="30"/>
    <s v="No"/>
    <x v="0"/>
    <n v="501"/>
    <x v="0"/>
    <n v="27"/>
    <n v="5"/>
    <s v="Marketing"/>
    <n v="1"/>
    <n v="747"/>
    <n v="3"/>
    <x v="1"/>
    <n v="99"/>
    <n v="3"/>
    <n v="2"/>
    <s v="Sales Executive"/>
    <n v="4"/>
    <s v="Divorced"/>
    <n v="5304"/>
    <n v="25275"/>
    <n v="7"/>
    <s v="Y"/>
    <s v="No"/>
    <n v="23"/>
    <x v="1"/>
    <n v="4"/>
    <n v="80"/>
    <n v="1"/>
    <n v="10"/>
    <n v="2"/>
    <n v="2"/>
    <n v="8"/>
    <n v="7"/>
    <n v="7"/>
    <n v="7"/>
    <n v="0"/>
    <x v="2"/>
    <x v="1"/>
    <s v="5k-10k"/>
    <x v="0"/>
    <x v="1"/>
    <x v="0"/>
  </r>
  <r>
    <n v="29"/>
    <s v="No"/>
    <x v="0"/>
    <n v="1396"/>
    <x v="0"/>
    <n v="10"/>
    <n v="3"/>
    <s v="Life Sciences"/>
    <n v="1"/>
    <n v="749"/>
    <n v="3"/>
    <x v="1"/>
    <n v="99"/>
    <n v="3"/>
    <n v="1"/>
    <s v="Sales Representative"/>
    <n v="3"/>
    <s v="Single"/>
    <n v="2642"/>
    <n v="2755"/>
    <n v="1"/>
    <s v="Y"/>
    <s v="No"/>
    <n v="11"/>
    <x v="0"/>
    <n v="3"/>
    <n v="80"/>
    <n v="0"/>
    <n v="1"/>
    <n v="6"/>
    <n v="3"/>
    <n v="1"/>
    <n v="0"/>
    <n v="0"/>
    <n v="0"/>
    <n v="0"/>
    <x v="2"/>
    <x v="0"/>
    <s v="0-5k"/>
    <x v="0"/>
    <x v="0"/>
    <x v="2"/>
  </r>
  <r>
    <n v="42"/>
    <s v="Yes"/>
    <x v="1"/>
    <n v="933"/>
    <x v="1"/>
    <n v="19"/>
    <n v="3"/>
    <s v="Medical"/>
    <n v="1"/>
    <n v="752"/>
    <n v="3"/>
    <x v="1"/>
    <n v="57"/>
    <n v="4"/>
    <n v="1"/>
    <s v="Research Scientist"/>
    <n v="3"/>
    <s v="Divorced"/>
    <n v="2759"/>
    <n v="20366"/>
    <n v="6"/>
    <s v="Y"/>
    <s v="Yes"/>
    <n v="12"/>
    <x v="0"/>
    <n v="4"/>
    <n v="80"/>
    <n v="0"/>
    <n v="7"/>
    <n v="2"/>
    <n v="3"/>
    <n v="2"/>
    <n v="2"/>
    <n v="2"/>
    <n v="2"/>
    <n v="1"/>
    <x v="0"/>
    <x v="2"/>
    <s v="0-5k"/>
    <x v="0"/>
    <x v="0"/>
    <x v="2"/>
  </r>
  <r>
    <n v="43"/>
    <s v="No"/>
    <x v="1"/>
    <n v="775"/>
    <x v="0"/>
    <n v="15"/>
    <n v="3"/>
    <s v="Life Sciences"/>
    <n v="1"/>
    <n v="754"/>
    <n v="4"/>
    <x v="1"/>
    <n v="47"/>
    <n v="2"/>
    <n v="2"/>
    <s v="Sales Executive"/>
    <n v="4"/>
    <s v="Married"/>
    <n v="6804"/>
    <n v="23683"/>
    <n v="3"/>
    <s v="Y"/>
    <s v="No"/>
    <n v="18"/>
    <x v="0"/>
    <n v="3"/>
    <n v="80"/>
    <n v="1"/>
    <n v="7"/>
    <n v="5"/>
    <n v="3"/>
    <n v="2"/>
    <n v="2"/>
    <n v="2"/>
    <n v="2"/>
    <n v="0"/>
    <x v="0"/>
    <x v="2"/>
    <s v="5k-10k"/>
    <x v="0"/>
    <x v="0"/>
    <x v="0"/>
  </r>
  <r>
    <n v="34"/>
    <s v="No"/>
    <x v="0"/>
    <n v="970"/>
    <x v="1"/>
    <n v="8"/>
    <n v="2"/>
    <s v="Medical"/>
    <n v="1"/>
    <n v="757"/>
    <n v="2"/>
    <x v="0"/>
    <n v="96"/>
    <n v="3"/>
    <n v="2"/>
    <s v="Healthcare Representative"/>
    <n v="3"/>
    <s v="Single"/>
    <n v="6142"/>
    <n v="7360"/>
    <n v="3"/>
    <s v="Y"/>
    <s v="No"/>
    <n v="11"/>
    <x v="0"/>
    <n v="4"/>
    <n v="80"/>
    <n v="0"/>
    <n v="10"/>
    <n v="2"/>
    <n v="3"/>
    <n v="5"/>
    <n v="1"/>
    <n v="4"/>
    <n v="3"/>
    <n v="0"/>
    <x v="0"/>
    <x v="0"/>
    <s v="5k-10k"/>
    <x v="0"/>
    <x v="0"/>
    <x v="2"/>
  </r>
  <r>
    <n v="23"/>
    <s v="No"/>
    <x v="0"/>
    <n v="650"/>
    <x v="1"/>
    <n v="9"/>
    <n v="1"/>
    <s v="Medical"/>
    <n v="1"/>
    <n v="758"/>
    <n v="2"/>
    <x v="1"/>
    <n v="37"/>
    <n v="3"/>
    <n v="1"/>
    <s v="Laboratory Technician"/>
    <n v="1"/>
    <s v="Married"/>
    <n v="2500"/>
    <n v="4344"/>
    <n v="1"/>
    <s v="Y"/>
    <s v="No"/>
    <n v="14"/>
    <x v="0"/>
    <n v="4"/>
    <n v="80"/>
    <n v="1"/>
    <n v="5"/>
    <n v="2"/>
    <n v="4"/>
    <n v="4"/>
    <n v="3"/>
    <n v="0"/>
    <n v="2"/>
    <n v="0"/>
    <x v="2"/>
    <x v="0"/>
    <s v="0-5k"/>
    <x v="0"/>
    <x v="0"/>
    <x v="3"/>
  </r>
  <r>
    <n v="39"/>
    <s v="No"/>
    <x v="0"/>
    <n v="141"/>
    <x v="2"/>
    <n v="3"/>
    <n v="3"/>
    <s v="Human Resources"/>
    <n v="1"/>
    <n v="760"/>
    <n v="3"/>
    <x v="0"/>
    <n v="44"/>
    <n v="4"/>
    <n v="2"/>
    <s v="Human Resources"/>
    <n v="2"/>
    <s v="Married"/>
    <n v="6389"/>
    <n v="18767"/>
    <n v="9"/>
    <s v="Y"/>
    <s v="No"/>
    <n v="15"/>
    <x v="0"/>
    <n v="3"/>
    <n v="80"/>
    <n v="1"/>
    <n v="12"/>
    <n v="3"/>
    <n v="1"/>
    <n v="8"/>
    <n v="3"/>
    <n v="3"/>
    <n v="6"/>
    <n v="0"/>
    <x v="0"/>
    <x v="0"/>
    <s v="5k-10k"/>
    <x v="0"/>
    <x v="0"/>
    <x v="1"/>
  </r>
  <r>
    <n v="56"/>
    <s v="No"/>
    <x v="0"/>
    <n v="832"/>
    <x v="1"/>
    <n v="9"/>
    <n v="3"/>
    <s v="Medical"/>
    <n v="1"/>
    <n v="762"/>
    <n v="3"/>
    <x v="1"/>
    <n v="81"/>
    <n v="3"/>
    <n v="4"/>
    <s v="Healthcare Representative"/>
    <n v="4"/>
    <s v="Married"/>
    <n v="11103"/>
    <n v="20420"/>
    <n v="7"/>
    <s v="Y"/>
    <s v="No"/>
    <n v="11"/>
    <x v="0"/>
    <n v="3"/>
    <n v="80"/>
    <n v="0"/>
    <n v="30"/>
    <n v="1"/>
    <n v="2"/>
    <n v="10"/>
    <n v="7"/>
    <n v="1"/>
    <n v="1"/>
    <n v="0"/>
    <x v="1"/>
    <x v="0"/>
    <s v="10k-15k"/>
    <x v="0"/>
    <x v="0"/>
    <x v="0"/>
  </r>
  <r>
    <n v="40"/>
    <s v="No"/>
    <x v="0"/>
    <n v="804"/>
    <x v="1"/>
    <n v="2"/>
    <n v="1"/>
    <s v="Medical"/>
    <n v="1"/>
    <n v="763"/>
    <n v="4"/>
    <x v="0"/>
    <n v="86"/>
    <n v="2"/>
    <n v="1"/>
    <s v="Research Scientist"/>
    <n v="4"/>
    <s v="Single"/>
    <n v="2342"/>
    <n v="22929"/>
    <n v="0"/>
    <s v="Y"/>
    <s v="Yes"/>
    <n v="20"/>
    <x v="1"/>
    <n v="4"/>
    <n v="80"/>
    <n v="0"/>
    <n v="5"/>
    <n v="2"/>
    <n v="2"/>
    <n v="4"/>
    <n v="2"/>
    <n v="2"/>
    <n v="3"/>
    <n v="0"/>
    <x v="0"/>
    <x v="0"/>
    <s v="0-5k"/>
    <x v="0"/>
    <x v="1"/>
    <x v="0"/>
  </r>
  <r>
    <n v="27"/>
    <s v="No"/>
    <x v="0"/>
    <n v="975"/>
    <x v="1"/>
    <n v="7"/>
    <n v="3"/>
    <s v="Medical"/>
    <n v="1"/>
    <n v="764"/>
    <n v="4"/>
    <x v="0"/>
    <n v="55"/>
    <n v="2"/>
    <n v="2"/>
    <s v="Healthcare Representative"/>
    <n v="1"/>
    <s v="Single"/>
    <n v="6811"/>
    <n v="23398"/>
    <n v="8"/>
    <s v="Y"/>
    <s v="No"/>
    <n v="19"/>
    <x v="0"/>
    <n v="1"/>
    <n v="80"/>
    <n v="0"/>
    <n v="9"/>
    <n v="2"/>
    <n v="1"/>
    <n v="7"/>
    <n v="6"/>
    <n v="0"/>
    <n v="7"/>
    <n v="0"/>
    <x v="2"/>
    <x v="0"/>
    <s v="5k-10k"/>
    <x v="0"/>
    <x v="0"/>
    <x v="3"/>
  </r>
  <r>
    <n v="29"/>
    <s v="No"/>
    <x v="0"/>
    <n v="1090"/>
    <x v="0"/>
    <n v="10"/>
    <n v="3"/>
    <s v="Marketing"/>
    <n v="1"/>
    <n v="766"/>
    <n v="4"/>
    <x v="1"/>
    <n v="83"/>
    <n v="3"/>
    <n v="1"/>
    <s v="Sales Representative"/>
    <n v="2"/>
    <s v="Divorced"/>
    <n v="2297"/>
    <n v="17967"/>
    <n v="1"/>
    <s v="Y"/>
    <s v="No"/>
    <n v="14"/>
    <x v="0"/>
    <n v="4"/>
    <n v="80"/>
    <n v="2"/>
    <n v="2"/>
    <n v="2"/>
    <n v="3"/>
    <n v="2"/>
    <n v="2"/>
    <n v="2"/>
    <n v="2"/>
    <n v="0"/>
    <x v="2"/>
    <x v="0"/>
    <s v="0-5k"/>
    <x v="0"/>
    <x v="0"/>
    <x v="1"/>
  </r>
  <r>
    <n v="53"/>
    <s v="No"/>
    <x v="0"/>
    <n v="346"/>
    <x v="1"/>
    <n v="6"/>
    <n v="3"/>
    <s v="Life Sciences"/>
    <n v="1"/>
    <n v="769"/>
    <n v="4"/>
    <x v="1"/>
    <n v="86"/>
    <n v="3"/>
    <n v="2"/>
    <s v="Laboratory Technician"/>
    <n v="4"/>
    <s v="Single"/>
    <n v="2450"/>
    <n v="10919"/>
    <n v="2"/>
    <s v="Y"/>
    <s v="No"/>
    <n v="17"/>
    <x v="0"/>
    <n v="4"/>
    <n v="80"/>
    <n v="0"/>
    <n v="19"/>
    <n v="4"/>
    <n v="3"/>
    <n v="2"/>
    <n v="2"/>
    <n v="2"/>
    <n v="2"/>
    <n v="0"/>
    <x v="1"/>
    <x v="0"/>
    <s v="0-5k"/>
    <x v="0"/>
    <x v="0"/>
    <x v="0"/>
  </r>
  <r>
    <n v="35"/>
    <s v="No"/>
    <x v="2"/>
    <n v="1225"/>
    <x v="1"/>
    <n v="2"/>
    <n v="4"/>
    <s v="Life Sciences"/>
    <n v="1"/>
    <n v="771"/>
    <n v="4"/>
    <x v="0"/>
    <n v="61"/>
    <n v="3"/>
    <n v="2"/>
    <s v="Healthcare Representative"/>
    <n v="1"/>
    <s v="Divorced"/>
    <n v="5093"/>
    <n v="4761"/>
    <n v="2"/>
    <s v="Y"/>
    <s v="No"/>
    <n v="11"/>
    <x v="0"/>
    <n v="1"/>
    <n v="80"/>
    <n v="1"/>
    <n v="16"/>
    <n v="2"/>
    <n v="4"/>
    <n v="1"/>
    <n v="0"/>
    <n v="0"/>
    <n v="0"/>
    <n v="0"/>
    <x v="0"/>
    <x v="0"/>
    <s v="5k-10k"/>
    <x v="0"/>
    <x v="0"/>
    <x v="3"/>
  </r>
  <r>
    <n v="32"/>
    <s v="No"/>
    <x v="1"/>
    <n v="430"/>
    <x v="1"/>
    <n v="24"/>
    <n v="4"/>
    <s v="Life Sciences"/>
    <n v="1"/>
    <n v="772"/>
    <n v="1"/>
    <x v="1"/>
    <n v="80"/>
    <n v="3"/>
    <n v="2"/>
    <s v="Laboratory Technician"/>
    <n v="4"/>
    <s v="Married"/>
    <n v="5309"/>
    <n v="21146"/>
    <n v="1"/>
    <s v="Y"/>
    <s v="No"/>
    <n v="15"/>
    <x v="0"/>
    <n v="4"/>
    <n v="80"/>
    <n v="2"/>
    <n v="10"/>
    <n v="2"/>
    <n v="3"/>
    <n v="10"/>
    <n v="8"/>
    <n v="4"/>
    <n v="7"/>
    <n v="0"/>
    <x v="0"/>
    <x v="1"/>
    <s v="5k-10k"/>
    <x v="0"/>
    <x v="0"/>
    <x v="0"/>
  </r>
  <r>
    <n v="38"/>
    <s v="No"/>
    <x v="0"/>
    <n v="268"/>
    <x v="1"/>
    <n v="2"/>
    <n v="5"/>
    <s v="Medical"/>
    <n v="1"/>
    <n v="773"/>
    <n v="4"/>
    <x v="1"/>
    <n v="92"/>
    <n v="3"/>
    <n v="1"/>
    <s v="Research Scientist"/>
    <n v="3"/>
    <s v="Married"/>
    <n v="3057"/>
    <n v="20471"/>
    <n v="6"/>
    <s v="Y"/>
    <s v="Yes"/>
    <n v="13"/>
    <x v="0"/>
    <n v="2"/>
    <n v="80"/>
    <n v="1"/>
    <n v="6"/>
    <n v="0"/>
    <n v="1"/>
    <n v="1"/>
    <n v="0"/>
    <n v="0"/>
    <n v="1"/>
    <n v="0"/>
    <x v="0"/>
    <x v="0"/>
    <s v="0-5k"/>
    <x v="0"/>
    <x v="0"/>
    <x v="2"/>
  </r>
  <r>
    <n v="34"/>
    <s v="No"/>
    <x v="0"/>
    <n v="167"/>
    <x v="1"/>
    <n v="8"/>
    <n v="5"/>
    <s v="Life Sciences"/>
    <n v="1"/>
    <n v="775"/>
    <n v="2"/>
    <x v="0"/>
    <n v="32"/>
    <n v="3"/>
    <n v="2"/>
    <s v="Manufacturing Director"/>
    <n v="1"/>
    <s v="Divorced"/>
    <n v="5121"/>
    <n v="4187"/>
    <n v="3"/>
    <s v="Y"/>
    <s v="No"/>
    <n v="14"/>
    <x v="0"/>
    <n v="3"/>
    <n v="80"/>
    <n v="1"/>
    <n v="7"/>
    <n v="3"/>
    <n v="3"/>
    <n v="0"/>
    <n v="0"/>
    <n v="0"/>
    <n v="0"/>
    <n v="0"/>
    <x v="0"/>
    <x v="0"/>
    <s v="5k-10k"/>
    <x v="0"/>
    <x v="0"/>
    <x v="3"/>
  </r>
  <r>
    <n v="52"/>
    <s v="No"/>
    <x v="0"/>
    <n v="621"/>
    <x v="0"/>
    <n v="3"/>
    <n v="4"/>
    <s v="Marketing"/>
    <n v="1"/>
    <n v="776"/>
    <n v="3"/>
    <x v="1"/>
    <n v="31"/>
    <n v="2"/>
    <n v="4"/>
    <s v="Manager"/>
    <n v="1"/>
    <s v="Married"/>
    <n v="16856"/>
    <n v="10084"/>
    <n v="1"/>
    <s v="Y"/>
    <s v="No"/>
    <n v="11"/>
    <x v="0"/>
    <n v="1"/>
    <n v="80"/>
    <n v="0"/>
    <n v="34"/>
    <n v="3"/>
    <n v="4"/>
    <n v="34"/>
    <n v="6"/>
    <n v="1"/>
    <n v="16"/>
    <n v="0"/>
    <x v="1"/>
    <x v="0"/>
    <s v="15k+"/>
    <x v="3"/>
    <x v="0"/>
    <x v="3"/>
  </r>
  <r>
    <n v="33"/>
    <s v="Yes"/>
    <x v="0"/>
    <n v="527"/>
    <x v="1"/>
    <n v="1"/>
    <n v="4"/>
    <s v="Other"/>
    <n v="1"/>
    <n v="780"/>
    <n v="4"/>
    <x v="1"/>
    <n v="63"/>
    <n v="3"/>
    <n v="1"/>
    <s v="Research Scientist"/>
    <n v="4"/>
    <s v="Single"/>
    <n v="2686"/>
    <n v="5207"/>
    <n v="1"/>
    <s v="Y"/>
    <s v="Yes"/>
    <n v="13"/>
    <x v="0"/>
    <n v="3"/>
    <n v="80"/>
    <n v="0"/>
    <n v="10"/>
    <n v="2"/>
    <n v="2"/>
    <n v="10"/>
    <n v="9"/>
    <n v="7"/>
    <n v="8"/>
    <n v="1"/>
    <x v="0"/>
    <x v="0"/>
    <s v="0-5k"/>
    <x v="0"/>
    <x v="0"/>
    <x v="0"/>
  </r>
  <r>
    <n v="25"/>
    <s v="No"/>
    <x v="0"/>
    <n v="883"/>
    <x v="0"/>
    <n v="26"/>
    <n v="1"/>
    <s v="Medical"/>
    <n v="1"/>
    <n v="781"/>
    <n v="3"/>
    <x v="0"/>
    <n v="32"/>
    <n v="3"/>
    <n v="2"/>
    <s v="Sales Executive"/>
    <n v="4"/>
    <s v="Single"/>
    <n v="6180"/>
    <n v="22807"/>
    <n v="1"/>
    <s v="Y"/>
    <s v="No"/>
    <n v="23"/>
    <x v="1"/>
    <n v="2"/>
    <n v="80"/>
    <n v="0"/>
    <n v="6"/>
    <n v="5"/>
    <n v="2"/>
    <n v="6"/>
    <n v="5"/>
    <n v="1"/>
    <n v="4"/>
    <n v="0"/>
    <x v="2"/>
    <x v="1"/>
    <s v="5k-10k"/>
    <x v="0"/>
    <x v="1"/>
    <x v="0"/>
  </r>
  <r>
    <n v="45"/>
    <s v="No"/>
    <x v="0"/>
    <n v="954"/>
    <x v="0"/>
    <n v="2"/>
    <n v="2"/>
    <s v="Technical Degree"/>
    <n v="1"/>
    <n v="783"/>
    <n v="2"/>
    <x v="1"/>
    <n v="46"/>
    <n v="1"/>
    <n v="2"/>
    <s v="Sales Representative"/>
    <n v="3"/>
    <s v="Single"/>
    <n v="6632"/>
    <n v="12388"/>
    <n v="0"/>
    <s v="Y"/>
    <s v="No"/>
    <n v="13"/>
    <x v="0"/>
    <n v="1"/>
    <n v="80"/>
    <n v="0"/>
    <n v="9"/>
    <n v="3"/>
    <n v="3"/>
    <n v="8"/>
    <n v="7"/>
    <n v="3"/>
    <n v="1"/>
    <n v="0"/>
    <x v="0"/>
    <x v="0"/>
    <s v="5k-10k"/>
    <x v="0"/>
    <x v="0"/>
    <x v="2"/>
  </r>
  <r>
    <n v="23"/>
    <s v="No"/>
    <x v="0"/>
    <n v="310"/>
    <x v="1"/>
    <n v="10"/>
    <n v="1"/>
    <s v="Medical"/>
    <n v="1"/>
    <n v="784"/>
    <n v="1"/>
    <x v="1"/>
    <n v="79"/>
    <n v="4"/>
    <n v="1"/>
    <s v="Research Scientist"/>
    <n v="3"/>
    <s v="Single"/>
    <n v="3505"/>
    <n v="19630"/>
    <n v="1"/>
    <s v="Y"/>
    <s v="No"/>
    <n v="18"/>
    <x v="0"/>
    <n v="4"/>
    <n v="80"/>
    <n v="0"/>
    <n v="2"/>
    <n v="3"/>
    <n v="3"/>
    <n v="2"/>
    <n v="2"/>
    <n v="0"/>
    <n v="2"/>
    <n v="0"/>
    <x v="2"/>
    <x v="0"/>
    <s v="0-5k"/>
    <x v="0"/>
    <x v="0"/>
    <x v="2"/>
  </r>
  <r>
    <n v="47"/>
    <s v="Yes"/>
    <x v="1"/>
    <n v="719"/>
    <x v="0"/>
    <n v="27"/>
    <n v="2"/>
    <s v="Life Sciences"/>
    <n v="1"/>
    <n v="785"/>
    <n v="2"/>
    <x v="0"/>
    <n v="77"/>
    <n v="4"/>
    <n v="2"/>
    <s v="Sales Executive"/>
    <n v="3"/>
    <s v="Single"/>
    <n v="6397"/>
    <n v="10339"/>
    <n v="4"/>
    <s v="Y"/>
    <s v="Yes"/>
    <n v="12"/>
    <x v="0"/>
    <n v="4"/>
    <n v="80"/>
    <n v="0"/>
    <n v="8"/>
    <n v="2"/>
    <n v="3"/>
    <n v="5"/>
    <n v="4"/>
    <n v="1"/>
    <n v="3"/>
    <n v="1"/>
    <x v="1"/>
    <x v="1"/>
    <s v="5k-10k"/>
    <x v="0"/>
    <x v="0"/>
    <x v="2"/>
  </r>
  <r>
    <n v="34"/>
    <s v="No"/>
    <x v="0"/>
    <n v="304"/>
    <x v="0"/>
    <n v="2"/>
    <n v="3"/>
    <s v="Other"/>
    <n v="1"/>
    <n v="786"/>
    <n v="4"/>
    <x v="1"/>
    <n v="60"/>
    <n v="3"/>
    <n v="2"/>
    <s v="Sales Executive"/>
    <n v="4"/>
    <s v="Single"/>
    <n v="6274"/>
    <n v="18686"/>
    <n v="1"/>
    <s v="Y"/>
    <s v="No"/>
    <n v="22"/>
    <x v="1"/>
    <n v="3"/>
    <n v="80"/>
    <n v="0"/>
    <n v="6"/>
    <n v="5"/>
    <n v="3"/>
    <n v="6"/>
    <n v="5"/>
    <n v="1"/>
    <n v="4"/>
    <n v="0"/>
    <x v="0"/>
    <x v="0"/>
    <s v="5k-10k"/>
    <x v="0"/>
    <x v="1"/>
    <x v="0"/>
  </r>
  <r>
    <n v="55"/>
    <s v="Yes"/>
    <x v="0"/>
    <n v="725"/>
    <x v="1"/>
    <n v="2"/>
    <n v="3"/>
    <s v="Medical"/>
    <n v="1"/>
    <n v="787"/>
    <n v="4"/>
    <x v="1"/>
    <n v="78"/>
    <n v="3"/>
    <n v="5"/>
    <s v="Manager"/>
    <n v="1"/>
    <s v="Married"/>
    <n v="19859"/>
    <n v="21199"/>
    <n v="5"/>
    <s v="Y"/>
    <s v="Yes"/>
    <n v="13"/>
    <x v="0"/>
    <n v="4"/>
    <n v="80"/>
    <n v="1"/>
    <n v="24"/>
    <n v="2"/>
    <n v="3"/>
    <n v="5"/>
    <n v="2"/>
    <n v="1"/>
    <n v="4"/>
    <n v="1"/>
    <x v="1"/>
    <x v="0"/>
    <s v="15k+"/>
    <x v="0"/>
    <x v="0"/>
    <x v="3"/>
  </r>
  <r>
    <n v="36"/>
    <s v="No"/>
    <x v="2"/>
    <n v="1434"/>
    <x v="0"/>
    <n v="8"/>
    <n v="4"/>
    <s v="Life Sciences"/>
    <n v="1"/>
    <n v="789"/>
    <n v="1"/>
    <x v="1"/>
    <n v="76"/>
    <n v="2"/>
    <n v="3"/>
    <s v="Sales Executive"/>
    <n v="1"/>
    <s v="Single"/>
    <n v="7587"/>
    <n v="14229"/>
    <n v="1"/>
    <s v="Y"/>
    <s v="No"/>
    <n v="15"/>
    <x v="0"/>
    <n v="2"/>
    <n v="80"/>
    <n v="0"/>
    <n v="10"/>
    <n v="1"/>
    <n v="3"/>
    <n v="10"/>
    <n v="7"/>
    <n v="0"/>
    <n v="9"/>
    <n v="0"/>
    <x v="0"/>
    <x v="0"/>
    <s v="5k-10k"/>
    <x v="0"/>
    <x v="0"/>
    <x v="3"/>
  </r>
  <r>
    <n v="52"/>
    <s v="No"/>
    <x v="2"/>
    <n v="715"/>
    <x v="1"/>
    <n v="19"/>
    <n v="4"/>
    <s v="Medical"/>
    <n v="1"/>
    <n v="791"/>
    <n v="4"/>
    <x v="1"/>
    <n v="41"/>
    <n v="3"/>
    <n v="1"/>
    <s v="Research Scientist"/>
    <n v="4"/>
    <s v="Married"/>
    <n v="4258"/>
    <n v="26589"/>
    <n v="0"/>
    <s v="Y"/>
    <s v="No"/>
    <n v="18"/>
    <x v="0"/>
    <n v="1"/>
    <n v="80"/>
    <n v="1"/>
    <n v="5"/>
    <n v="3"/>
    <n v="3"/>
    <n v="4"/>
    <n v="3"/>
    <n v="1"/>
    <n v="2"/>
    <n v="0"/>
    <x v="1"/>
    <x v="2"/>
    <s v="0-5k"/>
    <x v="0"/>
    <x v="0"/>
    <x v="0"/>
  </r>
  <r>
    <n v="26"/>
    <s v="No"/>
    <x v="1"/>
    <n v="575"/>
    <x v="1"/>
    <n v="1"/>
    <n v="2"/>
    <s v="Life Sciences"/>
    <n v="1"/>
    <n v="792"/>
    <n v="1"/>
    <x v="0"/>
    <n v="71"/>
    <n v="1"/>
    <n v="1"/>
    <s v="Laboratory Technician"/>
    <n v="4"/>
    <s v="Divorced"/>
    <n v="4364"/>
    <n v="5288"/>
    <n v="3"/>
    <s v="Y"/>
    <s v="No"/>
    <n v="14"/>
    <x v="0"/>
    <n v="1"/>
    <n v="80"/>
    <n v="1"/>
    <n v="5"/>
    <n v="2"/>
    <n v="3"/>
    <n v="2"/>
    <n v="2"/>
    <n v="2"/>
    <n v="0"/>
    <n v="0"/>
    <x v="2"/>
    <x v="0"/>
    <s v="0-5k"/>
    <x v="0"/>
    <x v="0"/>
    <x v="0"/>
  </r>
  <r>
    <n v="29"/>
    <s v="No"/>
    <x v="0"/>
    <n v="657"/>
    <x v="1"/>
    <n v="27"/>
    <n v="3"/>
    <s v="Medical"/>
    <n v="1"/>
    <n v="793"/>
    <n v="2"/>
    <x v="0"/>
    <n v="66"/>
    <n v="3"/>
    <n v="2"/>
    <s v="Healthcare Representative"/>
    <n v="3"/>
    <s v="Married"/>
    <n v="4335"/>
    <n v="25549"/>
    <n v="4"/>
    <s v="Y"/>
    <s v="No"/>
    <n v="12"/>
    <x v="0"/>
    <n v="1"/>
    <n v="80"/>
    <n v="1"/>
    <n v="11"/>
    <n v="3"/>
    <n v="2"/>
    <n v="8"/>
    <n v="7"/>
    <n v="1"/>
    <n v="1"/>
    <n v="0"/>
    <x v="2"/>
    <x v="1"/>
    <s v="0-5k"/>
    <x v="0"/>
    <x v="0"/>
    <x v="2"/>
  </r>
  <r>
    <n v="26"/>
    <s v="Yes"/>
    <x v="0"/>
    <n v="1146"/>
    <x v="0"/>
    <n v="8"/>
    <n v="3"/>
    <s v="Technical Degree"/>
    <n v="1"/>
    <n v="796"/>
    <n v="4"/>
    <x v="1"/>
    <n v="38"/>
    <n v="2"/>
    <n v="2"/>
    <s v="Sales Executive"/>
    <n v="1"/>
    <s v="Single"/>
    <n v="5326"/>
    <n v="3064"/>
    <n v="6"/>
    <s v="Y"/>
    <s v="No"/>
    <n v="17"/>
    <x v="0"/>
    <n v="3"/>
    <n v="80"/>
    <n v="0"/>
    <n v="6"/>
    <n v="2"/>
    <n v="2"/>
    <n v="4"/>
    <n v="3"/>
    <n v="1"/>
    <n v="2"/>
    <n v="1"/>
    <x v="2"/>
    <x v="0"/>
    <s v="5k-10k"/>
    <x v="0"/>
    <x v="0"/>
    <x v="3"/>
  </r>
  <r>
    <n v="34"/>
    <s v="No"/>
    <x v="0"/>
    <n v="182"/>
    <x v="1"/>
    <n v="1"/>
    <n v="4"/>
    <s v="Life Sciences"/>
    <n v="1"/>
    <n v="797"/>
    <n v="2"/>
    <x v="0"/>
    <n v="72"/>
    <n v="4"/>
    <n v="1"/>
    <s v="Research Scientist"/>
    <n v="4"/>
    <s v="Single"/>
    <n v="3280"/>
    <n v="13551"/>
    <n v="2"/>
    <s v="Y"/>
    <s v="No"/>
    <n v="16"/>
    <x v="0"/>
    <n v="3"/>
    <n v="80"/>
    <n v="0"/>
    <n v="10"/>
    <n v="2"/>
    <n v="3"/>
    <n v="4"/>
    <n v="2"/>
    <n v="1"/>
    <n v="3"/>
    <n v="0"/>
    <x v="0"/>
    <x v="0"/>
    <s v="0-5k"/>
    <x v="0"/>
    <x v="0"/>
    <x v="0"/>
  </r>
  <r>
    <n v="54"/>
    <s v="No"/>
    <x v="0"/>
    <n v="376"/>
    <x v="1"/>
    <n v="19"/>
    <n v="4"/>
    <s v="Medical"/>
    <n v="1"/>
    <n v="799"/>
    <n v="4"/>
    <x v="0"/>
    <n v="95"/>
    <n v="3"/>
    <n v="2"/>
    <s v="Manufacturing Director"/>
    <n v="1"/>
    <s v="Divorced"/>
    <n v="5485"/>
    <n v="22670"/>
    <n v="9"/>
    <s v="Y"/>
    <s v="Yes"/>
    <n v="11"/>
    <x v="0"/>
    <n v="2"/>
    <n v="80"/>
    <n v="2"/>
    <n v="9"/>
    <n v="4"/>
    <n v="3"/>
    <n v="5"/>
    <n v="3"/>
    <n v="1"/>
    <n v="4"/>
    <n v="0"/>
    <x v="1"/>
    <x v="2"/>
    <s v="5k-10k"/>
    <x v="0"/>
    <x v="0"/>
    <x v="3"/>
  </r>
  <r>
    <n v="27"/>
    <s v="No"/>
    <x v="1"/>
    <n v="829"/>
    <x v="0"/>
    <n v="8"/>
    <n v="1"/>
    <s v="Marketing"/>
    <n v="1"/>
    <n v="800"/>
    <n v="3"/>
    <x v="1"/>
    <n v="84"/>
    <n v="3"/>
    <n v="2"/>
    <s v="Sales Executive"/>
    <n v="4"/>
    <s v="Married"/>
    <n v="4342"/>
    <n v="24008"/>
    <n v="0"/>
    <s v="Y"/>
    <s v="No"/>
    <n v="19"/>
    <x v="0"/>
    <n v="2"/>
    <n v="80"/>
    <n v="1"/>
    <n v="5"/>
    <n v="3"/>
    <n v="3"/>
    <n v="4"/>
    <n v="2"/>
    <n v="1"/>
    <n v="1"/>
    <n v="0"/>
    <x v="2"/>
    <x v="0"/>
    <s v="0-5k"/>
    <x v="0"/>
    <x v="0"/>
    <x v="0"/>
  </r>
  <r>
    <n v="37"/>
    <s v="No"/>
    <x v="0"/>
    <n v="571"/>
    <x v="1"/>
    <n v="10"/>
    <n v="1"/>
    <s v="Life Sciences"/>
    <n v="1"/>
    <n v="802"/>
    <n v="4"/>
    <x v="0"/>
    <n v="82"/>
    <n v="3"/>
    <n v="1"/>
    <s v="Research Scientist"/>
    <n v="1"/>
    <s v="Divorced"/>
    <n v="2782"/>
    <n v="19905"/>
    <n v="0"/>
    <s v="Y"/>
    <s v="Yes"/>
    <n v="13"/>
    <x v="0"/>
    <n v="2"/>
    <n v="80"/>
    <n v="2"/>
    <n v="6"/>
    <n v="3"/>
    <n v="2"/>
    <n v="5"/>
    <n v="3"/>
    <n v="4"/>
    <n v="3"/>
    <n v="0"/>
    <x v="0"/>
    <x v="0"/>
    <s v="0-5k"/>
    <x v="0"/>
    <x v="0"/>
    <x v="3"/>
  </r>
  <r>
    <n v="38"/>
    <s v="No"/>
    <x v="1"/>
    <n v="240"/>
    <x v="1"/>
    <n v="2"/>
    <n v="4"/>
    <s v="Life Sciences"/>
    <n v="1"/>
    <n v="803"/>
    <n v="1"/>
    <x v="0"/>
    <n v="75"/>
    <n v="4"/>
    <n v="2"/>
    <s v="Manufacturing Director"/>
    <n v="1"/>
    <s v="Single"/>
    <n v="5980"/>
    <n v="26085"/>
    <n v="6"/>
    <s v="Y"/>
    <s v="Yes"/>
    <n v="12"/>
    <x v="0"/>
    <n v="4"/>
    <n v="80"/>
    <n v="0"/>
    <n v="17"/>
    <n v="2"/>
    <n v="3"/>
    <n v="15"/>
    <n v="7"/>
    <n v="4"/>
    <n v="12"/>
    <n v="0"/>
    <x v="0"/>
    <x v="0"/>
    <s v="5k-10k"/>
    <x v="2"/>
    <x v="0"/>
    <x v="3"/>
  </r>
  <r>
    <n v="34"/>
    <s v="No"/>
    <x v="0"/>
    <n v="121"/>
    <x v="1"/>
    <n v="2"/>
    <n v="4"/>
    <s v="Medical"/>
    <n v="1"/>
    <n v="804"/>
    <n v="3"/>
    <x v="0"/>
    <n v="86"/>
    <n v="2"/>
    <n v="1"/>
    <s v="Research Scientist"/>
    <n v="1"/>
    <s v="Single"/>
    <n v="4381"/>
    <n v="7530"/>
    <n v="1"/>
    <s v="Y"/>
    <s v="No"/>
    <n v="11"/>
    <x v="0"/>
    <n v="3"/>
    <n v="80"/>
    <n v="0"/>
    <n v="6"/>
    <n v="3"/>
    <n v="3"/>
    <n v="6"/>
    <n v="5"/>
    <n v="1"/>
    <n v="3"/>
    <n v="0"/>
    <x v="0"/>
    <x v="0"/>
    <s v="0-5k"/>
    <x v="0"/>
    <x v="0"/>
    <x v="3"/>
  </r>
  <r>
    <n v="35"/>
    <s v="No"/>
    <x v="0"/>
    <n v="384"/>
    <x v="0"/>
    <n v="8"/>
    <n v="4"/>
    <s v="Life Sciences"/>
    <n v="1"/>
    <n v="805"/>
    <n v="1"/>
    <x v="0"/>
    <n v="72"/>
    <n v="3"/>
    <n v="1"/>
    <s v="Sales Representative"/>
    <n v="4"/>
    <s v="Married"/>
    <n v="2572"/>
    <n v="20317"/>
    <n v="1"/>
    <s v="Y"/>
    <s v="No"/>
    <n v="16"/>
    <x v="0"/>
    <n v="2"/>
    <n v="80"/>
    <n v="1"/>
    <n v="3"/>
    <n v="1"/>
    <n v="2"/>
    <n v="3"/>
    <n v="2"/>
    <n v="0"/>
    <n v="2"/>
    <n v="0"/>
    <x v="0"/>
    <x v="0"/>
    <s v="0-5k"/>
    <x v="0"/>
    <x v="0"/>
    <x v="0"/>
  </r>
  <r>
    <n v="30"/>
    <s v="No"/>
    <x v="0"/>
    <n v="921"/>
    <x v="1"/>
    <n v="1"/>
    <n v="3"/>
    <s v="Life Sciences"/>
    <n v="1"/>
    <n v="806"/>
    <n v="4"/>
    <x v="1"/>
    <n v="38"/>
    <n v="1"/>
    <n v="1"/>
    <s v="Laboratory Technician"/>
    <n v="3"/>
    <s v="Married"/>
    <n v="3833"/>
    <n v="24375"/>
    <n v="3"/>
    <s v="Y"/>
    <s v="No"/>
    <n v="21"/>
    <x v="1"/>
    <n v="3"/>
    <n v="80"/>
    <n v="2"/>
    <n v="7"/>
    <n v="2"/>
    <n v="3"/>
    <n v="2"/>
    <n v="2"/>
    <n v="0"/>
    <n v="2"/>
    <n v="0"/>
    <x v="2"/>
    <x v="0"/>
    <s v="0-5k"/>
    <x v="0"/>
    <x v="1"/>
    <x v="2"/>
  </r>
  <r>
    <n v="40"/>
    <s v="No"/>
    <x v="1"/>
    <n v="791"/>
    <x v="1"/>
    <n v="2"/>
    <n v="2"/>
    <s v="Medical"/>
    <n v="1"/>
    <n v="807"/>
    <n v="3"/>
    <x v="0"/>
    <n v="38"/>
    <n v="4"/>
    <n v="2"/>
    <s v="Healthcare Representative"/>
    <n v="2"/>
    <s v="Married"/>
    <n v="4244"/>
    <n v="9931"/>
    <n v="1"/>
    <s v="Y"/>
    <s v="No"/>
    <n v="24"/>
    <x v="1"/>
    <n v="4"/>
    <n v="80"/>
    <n v="1"/>
    <n v="8"/>
    <n v="2"/>
    <n v="3"/>
    <n v="8"/>
    <n v="7"/>
    <n v="3"/>
    <n v="7"/>
    <n v="0"/>
    <x v="0"/>
    <x v="0"/>
    <s v="0-5k"/>
    <x v="0"/>
    <x v="1"/>
    <x v="1"/>
  </r>
  <r>
    <n v="34"/>
    <s v="No"/>
    <x v="0"/>
    <n v="1111"/>
    <x v="0"/>
    <n v="8"/>
    <n v="2"/>
    <s v="Life Sciences"/>
    <n v="1"/>
    <n v="808"/>
    <n v="3"/>
    <x v="0"/>
    <n v="93"/>
    <n v="3"/>
    <n v="2"/>
    <s v="Sales Executive"/>
    <n v="1"/>
    <s v="Married"/>
    <n v="6500"/>
    <n v="13305"/>
    <n v="5"/>
    <s v="Y"/>
    <s v="No"/>
    <n v="17"/>
    <x v="0"/>
    <n v="2"/>
    <n v="80"/>
    <n v="1"/>
    <n v="6"/>
    <n v="1"/>
    <n v="3"/>
    <n v="3"/>
    <n v="2"/>
    <n v="1"/>
    <n v="2"/>
    <n v="0"/>
    <x v="0"/>
    <x v="0"/>
    <s v="5k-10k"/>
    <x v="0"/>
    <x v="0"/>
    <x v="3"/>
  </r>
  <r>
    <n v="42"/>
    <s v="No"/>
    <x v="1"/>
    <n v="570"/>
    <x v="1"/>
    <n v="8"/>
    <n v="3"/>
    <s v="Life Sciences"/>
    <n v="1"/>
    <n v="809"/>
    <n v="2"/>
    <x v="1"/>
    <n v="66"/>
    <n v="3"/>
    <n v="5"/>
    <s v="Manager"/>
    <n v="4"/>
    <s v="Divorced"/>
    <n v="18430"/>
    <n v="16225"/>
    <n v="1"/>
    <s v="Y"/>
    <s v="No"/>
    <n v="13"/>
    <x v="0"/>
    <n v="2"/>
    <n v="80"/>
    <n v="1"/>
    <n v="24"/>
    <n v="4"/>
    <n v="2"/>
    <n v="24"/>
    <n v="7"/>
    <n v="14"/>
    <n v="9"/>
    <n v="0"/>
    <x v="0"/>
    <x v="0"/>
    <s v="15k+"/>
    <x v="1"/>
    <x v="0"/>
    <x v="0"/>
  </r>
  <r>
    <n v="23"/>
    <s v="Yes"/>
    <x v="0"/>
    <n v="1243"/>
    <x v="1"/>
    <n v="6"/>
    <n v="3"/>
    <s v="Life Sciences"/>
    <n v="1"/>
    <n v="811"/>
    <n v="3"/>
    <x v="1"/>
    <n v="63"/>
    <n v="4"/>
    <n v="1"/>
    <s v="Laboratory Technician"/>
    <n v="1"/>
    <s v="Married"/>
    <n v="1601"/>
    <n v="3445"/>
    <n v="1"/>
    <s v="Y"/>
    <s v="Yes"/>
    <n v="21"/>
    <x v="1"/>
    <n v="3"/>
    <n v="80"/>
    <n v="2"/>
    <n v="1"/>
    <n v="2"/>
    <n v="3"/>
    <n v="0"/>
    <n v="0"/>
    <n v="0"/>
    <n v="0"/>
    <n v="1"/>
    <x v="2"/>
    <x v="0"/>
    <s v="0-5k"/>
    <x v="0"/>
    <x v="1"/>
    <x v="3"/>
  </r>
  <r>
    <n v="24"/>
    <s v="No"/>
    <x v="2"/>
    <n v="1092"/>
    <x v="1"/>
    <n v="9"/>
    <n v="3"/>
    <s v="Life Sciences"/>
    <n v="1"/>
    <n v="812"/>
    <n v="3"/>
    <x v="1"/>
    <n v="60"/>
    <n v="2"/>
    <n v="1"/>
    <s v="Laboratory Technician"/>
    <n v="2"/>
    <s v="Divorced"/>
    <n v="2694"/>
    <n v="26551"/>
    <n v="1"/>
    <s v="Y"/>
    <s v="No"/>
    <n v="11"/>
    <x v="0"/>
    <n v="3"/>
    <n v="80"/>
    <n v="3"/>
    <n v="1"/>
    <n v="4"/>
    <n v="3"/>
    <n v="1"/>
    <n v="0"/>
    <n v="0"/>
    <n v="0"/>
    <n v="0"/>
    <x v="2"/>
    <x v="0"/>
    <s v="0-5k"/>
    <x v="0"/>
    <x v="0"/>
    <x v="1"/>
  </r>
  <r>
    <n v="52"/>
    <s v="No"/>
    <x v="0"/>
    <n v="1325"/>
    <x v="1"/>
    <n v="11"/>
    <n v="4"/>
    <s v="Life Sciences"/>
    <n v="1"/>
    <n v="813"/>
    <n v="4"/>
    <x v="0"/>
    <n v="82"/>
    <n v="3"/>
    <n v="2"/>
    <s v="Laboratory Technician"/>
    <n v="3"/>
    <s v="Married"/>
    <n v="3149"/>
    <n v="21821"/>
    <n v="8"/>
    <s v="Y"/>
    <s v="No"/>
    <n v="20"/>
    <x v="1"/>
    <n v="2"/>
    <n v="80"/>
    <n v="1"/>
    <n v="9"/>
    <n v="3"/>
    <n v="3"/>
    <n v="5"/>
    <n v="2"/>
    <n v="1"/>
    <n v="4"/>
    <n v="0"/>
    <x v="1"/>
    <x v="2"/>
    <s v="0-5k"/>
    <x v="0"/>
    <x v="1"/>
    <x v="2"/>
  </r>
  <r>
    <n v="50"/>
    <s v="No"/>
    <x v="0"/>
    <n v="691"/>
    <x v="1"/>
    <n v="2"/>
    <n v="3"/>
    <s v="Medical"/>
    <n v="1"/>
    <n v="815"/>
    <n v="3"/>
    <x v="1"/>
    <n v="64"/>
    <n v="3"/>
    <n v="4"/>
    <s v="Research Director"/>
    <n v="3"/>
    <s v="Married"/>
    <n v="17639"/>
    <n v="6881"/>
    <n v="5"/>
    <s v="Y"/>
    <s v="No"/>
    <n v="16"/>
    <x v="0"/>
    <n v="4"/>
    <n v="80"/>
    <n v="0"/>
    <n v="30"/>
    <n v="3"/>
    <n v="3"/>
    <n v="4"/>
    <n v="3"/>
    <n v="0"/>
    <n v="3"/>
    <n v="0"/>
    <x v="1"/>
    <x v="0"/>
    <s v="15k+"/>
    <x v="0"/>
    <x v="0"/>
    <x v="2"/>
  </r>
  <r>
    <n v="29"/>
    <s v="Yes"/>
    <x v="0"/>
    <n v="805"/>
    <x v="1"/>
    <n v="1"/>
    <n v="2"/>
    <s v="Life Sciences"/>
    <n v="1"/>
    <n v="816"/>
    <n v="2"/>
    <x v="0"/>
    <n v="36"/>
    <n v="2"/>
    <n v="1"/>
    <s v="Laboratory Technician"/>
    <n v="1"/>
    <s v="Married"/>
    <n v="2319"/>
    <n v="6689"/>
    <n v="1"/>
    <s v="Y"/>
    <s v="Yes"/>
    <n v="11"/>
    <x v="0"/>
    <n v="4"/>
    <n v="80"/>
    <n v="1"/>
    <n v="1"/>
    <n v="1"/>
    <n v="3"/>
    <n v="1"/>
    <n v="0"/>
    <n v="0"/>
    <n v="0"/>
    <n v="1"/>
    <x v="2"/>
    <x v="0"/>
    <s v="0-5k"/>
    <x v="0"/>
    <x v="0"/>
    <x v="3"/>
  </r>
  <r>
    <n v="33"/>
    <s v="No"/>
    <x v="0"/>
    <n v="213"/>
    <x v="1"/>
    <n v="7"/>
    <n v="3"/>
    <s v="Medical"/>
    <n v="1"/>
    <n v="817"/>
    <n v="3"/>
    <x v="1"/>
    <n v="49"/>
    <n v="3"/>
    <n v="3"/>
    <s v="Research Director"/>
    <n v="3"/>
    <s v="Married"/>
    <n v="11691"/>
    <n v="25995"/>
    <n v="0"/>
    <s v="Y"/>
    <s v="No"/>
    <n v="11"/>
    <x v="0"/>
    <n v="4"/>
    <n v="80"/>
    <n v="0"/>
    <n v="14"/>
    <n v="3"/>
    <n v="4"/>
    <n v="13"/>
    <n v="9"/>
    <n v="3"/>
    <n v="7"/>
    <n v="0"/>
    <x v="0"/>
    <x v="0"/>
    <s v="10k-15k"/>
    <x v="2"/>
    <x v="0"/>
    <x v="2"/>
  </r>
  <r>
    <n v="33"/>
    <s v="Yes"/>
    <x v="0"/>
    <n v="118"/>
    <x v="0"/>
    <n v="16"/>
    <n v="3"/>
    <s v="Marketing"/>
    <n v="1"/>
    <n v="819"/>
    <n v="1"/>
    <x v="0"/>
    <n v="69"/>
    <n v="3"/>
    <n v="2"/>
    <s v="Sales Executive"/>
    <n v="1"/>
    <s v="Single"/>
    <n v="5324"/>
    <n v="26507"/>
    <n v="5"/>
    <s v="Y"/>
    <s v="No"/>
    <n v="15"/>
    <x v="0"/>
    <n v="3"/>
    <n v="80"/>
    <n v="0"/>
    <n v="6"/>
    <n v="3"/>
    <n v="3"/>
    <n v="3"/>
    <n v="2"/>
    <n v="0"/>
    <n v="2"/>
    <n v="1"/>
    <x v="0"/>
    <x v="2"/>
    <s v="5k-10k"/>
    <x v="0"/>
    <x v="0"/>
    <x v="3"/>
  </r>
  <r>
    <n v="47"/>
    <s v="No"/>
    <x v="0"/>
    <n v="202"/>
    <x v="1"/>
    <n v="2"/>
    <n v="2"/>
    <s v="Other"/>
    <n v="1"/>
    <n v="820"/>
    <n v="3"/>
    <x v="0"/>
    <n v="33"/>
    <n v="3"/>
    <n v="4"/>
    <s v="Manager"/>
    <n v="4"/>
    <s v="Married"/>
    <n v="16752"/>
    <n v="12982"/>
    <n v="1"/>
    <s v="Y"/>
    <s v="Yes"/>
    <n v="11"/>
    <x v="0"/>
    <n v="3"/>
    <n v="80"/>
    <n v="1"/>
    <n v="26"/>
    <n v="3"/>
    <n v="2"/>
    <n v="26"/>
    <n v="14"/>
    <n v="3"/>
    <n v="0"/>
    <n v="0"/>
    <x v="1"/>
    <x v="0"/>
    <s v="15k+"/>
    <x v="1"/>
    <x v="0"/>
    <x v="0"/>
  </r>
  <r>
    <n v="36"/>
    <s v="No"/>
    <x v="0"/>
    <n v="676"/>
    <x v="1"/>
    <n v="1"/>
    <n v="3"/>
    <s v="Other"/>
    <n v="1"/>
    <n v="823"/>
    <n v="3"/>
    <x v="0"/>
    <n v="35"/>
    <n v="3"/>
    <n v="2"/>
    <s v="Manufacturing Director"/>
    <n v="2"/>
    <s v="Married"/>
    <n v="5228"/>
    <n v="23361"/>
    <n v="0"/>
    <s v="Y"/>
    <s v="No"/>
    <n v="15"/>
    <x v="0"/>
    <n v="1"/>
    <n v="80"/>
    <n v="1"/>
    <n v="10"/>
    <n v="2"/>
    <n v="3"/>
    <n v="9"/>
    <n v="7"/>
    <n v="0"/>
    <n v="5"/>
    <n v="0"/>
    <x v="0"/>
    <x v="0"/>
    <s v="5k-10k"/>
    <x v="0"/>
    <x v="0"/>
    <x v="1"/>
  </r>
  <r>
    <n v="29"/>
    <s v="No"/>
    <x v="0"/>
    <n v="1252"/>
    <x v="1"/>
    <n v="23"/>
    <n v="2"/>
    <s v="Life Sciences"/>
    <n v="1"/>
    <n v="824"/>
    <n v="3"/>
    <x v="1"/>
    <n v="81"/>
    <n v="4"/>
    <n v="1"/>
    <s v="Research Scientist"/>
    <n v="3"/>
    <s v="Married"/>
    <n v="2700"/>
    <n v="23779"/>
    <n v="1"/>
    <s v="Y"/>
    <s v="No"/>
    <n v="24"/>
    <x v="1"/>
    <n v="3"/>
    <n v="80"/>
    <n v="1"/>
    <n v="10"/>
    <n v="3"/>
    <n v="3"/>
    <n v="10"/>
    <n v="7"/>
    <n v="0"/>
    <n v="7"/>
    <n v="0"/>
    <x v="2"/>
    <x v="1"/>
    <s v="0-5k"/>
    <x v="0"/>
    <x v="1"/>
    <x v="2"/>
  </r>
  <r>
    <n v="58"/>
    <s v="Yes"/>
    <x v="0"/>
    <n v="286"/>
    <x v="1"/>
    <n v="2"/>
    <n v="4"/>
    <s v="Life Sciences"/>
    <n v="1"/>
    <n v="825"/>
    <n v="4"/>
    <x v="1"/>
    <n v="31"/>
    <n v="3"/>
    <n v="5"/>
    <s v="Research Director"/>
    <n v="2"/>
    <s v="Single"/>
    <n v="19246"/>
    <n v="25761"/>
    <n v="7"/>
    <s v="Y"/>
    <s v="Yes"/>
    <n v="12"/>
    <x v="0"/>
    <n v="4"/>
    <n v="80"/>
    <n v="0"/>
    <n v="40"/>
    <n v="2"/>
    <n v="3"/>
    <n v="31"/>
    <n v="15"/>
    <n v="13"/>
    <n v="8"/>
    <n v="1"/>
    <x v="1"/>
    <x v="0"/>
    <s v="15k+"/>
    <x v="3"/>
    <x v="0"/>
    <x v="1"/>
  </r>
  <r>
    <n v="35"/>
    <s v="No"/>
    <x v="0"/>
    <n v="1258"/>
    <x v="1"/>
    <n v="1"/>
    <n v="4"/>
    <s v="Life Sciences"/>
    <n v="1"/>
    <n v="826"/>
    <n v="4"/>
    <x v="0"/>
    <n v="40"/>
    <n v="4"/>
    <n v="1"/>
    <s v="Research Scientist"/>
    <n v="3"/>
    <s v="Single"/>
    <n v="2506"/>
    <n v="13301"/>
    <n v="3"/>
    <s v="Y"/>
    <s v="No"/>
    <n v="13"/>
    <x v="0"/>
    <n v="3"/>
    <n v="80"/>
    <n v="0"/>
    <n v="7"/>
    <n v="0"/>
    <n v="3"/>
    <n v="2"/>
    <n v="2"/>
    <n v="2"/>
    <n v="2"/>
    <n v="0"/>
    <x v="0"/>
    <x v="0"/>
    <s v="0-5k"/>
    <x v="0"/>
    <x v="0"/>
    <x v="2"/>
  </r>
  <r>
    <n v="42"/>
    <s v="No"/>
    <x v="0"/>
    <n v="932"/>
    <x v="1"/>
    <n v="1"/>
    <n v="2"/>
    <s v="Life Sciences"/>
    <n v="1"/>
    <n v="827"/>
    <n v="4"/>
    <x v="0"/>
    <n v="43"/>
    <n v="2"/>
    <n v="2"/>
    <s v="Manufacturing Director"/>
    <n v="4"/>
    <s v="Married"/>
    <n v="6062"/>
    <n v="4051"/>
    <n v="9"/>
    <s v="Y"/>
    <s v="Yes"/>
    <n v="13"/>
    <x v="0"/>
    <n v="4"/>
    <n v="80"/>
    <n v="1"/>
    <n v="8"/>
    <n v="4"/>
    <n v="3"/>
    <n v="4"/>
    <n v="3"/>
    <n v="0"/>
    <n v="2"/>
    <n v="0"/>
    <x v="0"/>
    <x v="0"/>
    <s v="5k-10k"/>
    <x v="0"/>
    <x v="0"/>
    <x v="0"/>
  </r>
  <r>
    <n v="28"/>
    <s v="Yes"/>
    <x v="0"/>
    <n v="890"/>
    <x v="1"/>
    <n v="2"/>
    <n v="4"/>
    <s v="Medical"/>
    <n v="1"/>
    <n v="828"/>
    <n v="3"/>
    <x v="1"/>
    <n v="46"/>
    <n v="3"/>
    <n v="1"/>
    <s v="Research Scientist"/>
    <n v="3"/>
    <s v="Single"/>
    <n v="4382"/>
    <n v="16374"/>
    <n v="6"/>
    <s v="Y"/>
    <s v="No"/>
    <n v="17"/>
    <x v="0"/>
    <n v="4"/>
    <n v="80"/>
    <n v="0"/>
    <n v="5"/>
    <n v="3"/>
    <n v="2"/>
    <n v="2"/>
    <n v="2"/>
    <n v="2"/>
    <n v="1"/>
    <n v="1"/>
    <x v="2"/>
    <x v="0"/>
    <s v="0-5k"/>
    <x v="0"/>
    <x v="0"/>
    <x v="2"/>
  </r>
  <r>
    <n v="36"/>
    <s v="No"/>
    <x v="0"/>
    <n v="1041"/>
    <x v="2"/>
    <n v="13"/>
    <n v="3"/>
    <s v="Human Resources"/>
    <n v="1"/>
    <n v="829"/>
    <n v="3"/>
    <x v="1"/>
    <n v="36"/>
    <n v="3"/>
    <n v="1"/>
    <s v="Human Resources"/>
    <n v="2"/>
    <s v="Married"/>
    <n v="2143"/>
    <n v="25527"/>
    <n v="4"/>
    <s v="Y"/>
    <s v="No"/>
    <n v="13"/>
    <x v="0"/>
    <n v="2"/>
    <n v="80"/>
    <n v="1"/>
    <n v="8"/>
    <n v="2"/>
    <n v="3"/>
    <n v="5"/>
    <n v="2"/>
    <n v="0"/>
    <n v="4"/>
    <n v="0"/>
    <x v="0"/>
    <x v="2"/>
    <s v="0-5k"/>
    <x v="0"/>
    <x v="0"/>
    <x v="1"/>
  </r>
  <r>
    <n v="32"/>
    <s v="No"/>
    <x v="0"/>
    <n v="859"/>
    <x v="1"/>
    <n v="4"/>
    <n v="3"/>
    <s v="Life Sciences"/>
    <n v="1"/>
    <n v="830"/>
    <n v="3"/>
    <x v="0"/>
    <n v="98"/>
    <n v="2"/>
    <n v="2"/>
    <s v="Manufacturing Director"/>
    <n v="3"/>
    <s v="Married"/>
    <n v="6162"/>
    <n v="19124"/>
    <n v="1"/>
    <s v="Y"/>
    <s v="No"/>
    <n v="12"/>
    <x v="0"/>
    <n v="3"/>
    <n v="80"/>
    <n v="1"/>
    <n v="14"/>
    <n v="3"/>
    <n v="3"/>
    <n v="14"/>
    <n v="13"/>
    <n v="6"/>
    <n v="8"/>
    <n v="0"/>
    <x v="0"/>
    <x v="0"/>
    <s v="5k-10k"/>
    <x v="2"/>
    <x v="0"/>
    <x v="2"/>
  </r>
  <r>
    <n v="40"/>
    <s v="No"/>
    <x v="1"/>
    <n v="720"/>
    <x v="1"/>
    <n v="16"/>
    <n v="4"/>
    <s v="Medical"/>
    <n v="1"/>
    <n v="832"/>
    <n v="1"/>
    <x v="1"/>
    <n v="51"/>
    <n v="2"/>
    <n v="2"/>
    <s v="Laboratory Technician"/>
    <n v="3"/>
    <s v="Single"/>
    <n v="5094"/>
    <n v="11983"/>
    <n v="6"/>
    <s v="Y"/>
    <s v="No"/>
    <n v="14"/>
    <x v="0"/>
    <n v="4"/>
    <n v="80"/>
    <n v="0"/>
    <n v="10"/>
    <n v="6"/>
    <n v="3"/>
    <n v="1"/>
    <n v="0"/>
    <n v="0"/>
    <n v="0"/>
    <n v="0"/>
    <x v="0"/>
    <x v="2"/>
    <s v="5k-10k"/>
    <x v="0"/>
    <x v="0"/>
    <x v="2"/>
  </r>
  <r>
    <n v="30"/>
    <s v="No"/>
    <x v="0"/>
    <n v="946"/>
    <x v="1"/>
    <n v="2"/>
    <n v="3"/>
    <s v="Medical"/>
    <n v="1"/>
    <n v="833"/>
    <n v="3"/>
    <x v="0"/>
    <n v="52"/>
    <n v="2"/>
    <n v="2"/>
    <s v="Manufacturing Director"/>
    <n v="4"/>
    <s v="Single"/>
    <n v="6877"/>
    <n v="20234"/>
    <n v="5"/>
    <s v="Y"/>
    <s v="Yes"/>
    <n v="24"/>
    <x v="1"/>
    <n v="2"/>
    <n v="80"/>
    <n v="0"/>
    <n v="12"/>
    <n v="4"/>
    <n v="2"/>
    <n v="0"/>
    <n v="0"/>
    <n v="0"/>
    <n v="0"/>
    <n v="0"/>
    <x v="2"/>
    <x v="0"/>
    <s v="5k-10k"/>
    <x v="0"/>
    <x v="1"/>
    <x v="0"/>
  </r>
  <r>
    <n v="45"/>
    <s v="No"/>
    <x v="0"/>
    <n v="252"/>
    <x v="1"/>
    <n v="2"/>
    <n v="3"/>
    <s v="Life Sciences"/>
    <n v="1"/>
    <n v="834"/>
    <n v="2"/>
    <x v="0"/>
    <n v="95"/>
    <n v="2"/>
    <n v="1"/>
    <s v="Research Scientist"/>
    <n v="3"/>
    <s v="Single"/>
    <n v="2274"/>
    <n v="6153"/>
    <n v="1"/>
    <s v="Y"/>
    <s v="No"/>
    <n v="14"/>
    <x v="0"/>
    <n v="4"/>
    <n v="80"/>
    <n v="0"/>
    <n v="1"/>
    <n v="3"/>
    <n v="3"/>
    <n v="1"/>
    <n v="0"/>
    <n v="0"/>
    <n v="0"/>
    <n v="0"/>
    <x v="0"/>
    <x v="0"/>
    <s v="0-5k"/>
    <x v="0"/>
    <x v="0"/>
    <x v="2"/>
  </r>
  <r>
    <n v="42"/>
    <s v="No"/>
    <x v="0"/>
    <n v="933"/>
    <x v="1"/>
    <n v="29"/>
    <n v="3"/>
    <s v="Life Sciences"/>
    <n v="1"/>
    <n v="836"/>
    <n v="2"/>
    <x v="1"/>
    <n v="98"/>
    <n v="3"/>
    <n v="2"/>
    <s v="Manufacturing Director"/>
    <n v="2"/>
    <s v="Married"/>
    <n v="4434"/>
    <n v="11806"/>
    <n v="1"/>
    <s v="Y"/>
    <s v="No"/>
    <n v="13"/>
    <x v="0"/>
    <n v="4"/>
    <n v="80"/>
    <n v="1"/>
    <n v="10"/>
    <n v="3"/>
    <n v="2"/>
    <n v="9"/>
    <n v="8"/>
    <n v="7"/>
    <n v="8"/>
    <n v="0"/>
    <x v="0"/>
    <x v="1"/>
    <s v="0-5k"/>
    <x v="0"/>
    <x v="0"/>
    <x v="1"/>
  </r>
  <r>
    <n v="38"/>
    <s v="No"/>
    <x v="1"/>
    <n v="471"/>
    <x v="1"/>
    <n v="12"/>
    <n v="3"/>
    <s v="Life Sciences"/>
    <n v="1"/>
    <n v="837"/>
    <n v="1"/>
    <x v="1"/>
    <n v="45"/>
    <n v="2"/>
    <n v="2"/>
    <s v="Healthcare Representative"/>
    <n v="1"/>
    <s v="Divorced"/>
    <n v="6288"/>
    <n v="4284"/>
    <n v="2"/>
    <s v="Y"/>
    <s v="No"/>
    <n v="15"/>
    <x v="0"/>
    <n v="3"/>
    <n v="80"/>
    <n v="1"/>
    <n v="13"/>
    <n v="3"/>
    <n v="2"/>
    <n v="4"/>
    <n v="3"/>
    <n v="1"/>
    <n v="2"/>
    <n v="0"/>
    <x v="0"/>
    <x v="2"/>
    <s v="5k-10k"/>
    <x v="0"/>
    <x v="0"/>
    <x v="3"/>
  </r>
  <r>
    <n v="34"/>
    <s v="No"/>
    <x v="1"/>
    <n v="702"/>
    <x v="1"/>
    <n v="16"/>
    <n v="4"/>
    <s v="Life Sciences"/>
    <n v="1"/>
    <n v="838"/>
    <n v="3"/>
    <x v="0"/>
    <n v="100"/>
    <n v="2"/>
    <n v="1"/>
    <s v="Research Scientist"/>
    <n v="4"/>
    <s v="Single"/>
    <n v="2553"/>
    <n v="8306"/>
    <n v="1"/>
    <s v="Y"/>
    <s v="No"/>
    <n v="16"/>
    <x v="0"/>
    <n v="3"/>
    <n v="80"/>
    <n v="0"/>
    <n v="6"/>
    <n v="3"/>
    <n v="3"/>
    <n v="5"/>
    <n v="2"/>
    <n v="1"/>
    <n v="3"/>
    <n v="0"/>
    <x v="0"/>
    <x v="2"/>
    <s v="0-5k"/>
    <x v="0"/>
    <x v="0"/>
    <x v="0"/>
  </r>
  <r>
    <n v="49"/>
    <s v="Yes"/>
    <x v="0"/>
    <n v="1184"/>
    <x v="0"/>
    <n v="11"/>
    <n v="3"/>
    <s v="Marketing"/>
    <n v="1"/>
    <n v="840"/>
    <n v="3"/>
    <x v="0"/>
    <n v="43"/>
    <n v="3"/>
    <n v="3"/>
    <s v="Sales Executive"/>
    <n v="4"/>
    <s v="Married"/>
    <n v="7654"/>
    <n v="5860"/>
    <n v="1"/>
    <s v="Y"/>
    <s v="No"/>
    <n v="18"/>
    <x v="0"/>
    <n v="1"/>
    <n v="80"/>
    <n v="2"/>
    <n v="9"/>
    <n v="3"/>
    <n v="4"/>
    <n v="9"/>
    <n v="8"/>
    <n v="7"/>
    <n v="7"/>
    <n v="1"/>
    <x v="1"/>
    <x v="2"/>
    <s v="5k-10k"/>
    <x v="0"/>
    <x v="0"/>
    <x v="0"/>
  </r>
  <r>
    <n v="55"/>
    <s v="Yes"/>
    <x v="0"/>
    <n v="436"/>
    <x v="0"/>
    <n v="2"/>
    <n v="1"/>
    <s v="Medical"/>
    <n v="1"/>
    <n v="842"/>
    <n v="3"/>
    <x v="1"/>
    <n v="37"/>
    <n v="3"/>
    <n v="2"/>
    <s v="Sales Executive"/>
    <n v="4"/>
    <s v="Single"/>
    <n v="5160"/>
    <n v="21519"/>
    <n v="4"/>
    <s v="Y"/>
    <s v="No"/>
    <n v="16"/>
    <x v="0"/>
    <n v="3"/>
    <n v="80"/>
    <n v="0"/>
    <n v="12"/>
    <n v="3"/>
    <n v="2"/>
    <n v="9"/>
    <n v="7"/>
    <n v="7"/>
    <n v="3"/>
    <n v="1"/>
    <x v="1"/>
    <x v="0"/>
    <s v="5k-10k"/>
    <x v="0"/>
    <x v="0"/>
    <x v="0"/>
  </r>
  <r>
    <n v="43"/>
    <s v="No"/>
    <x v="0"/>
    <n v="589"/>
    <x v="1"/>
    <n v="14"/>
    <n v="2"/>
    <s v="Life Sciences"/>
    <n v="1"/>
    <n v="843"/>
    <n v="2"/>
    <x v="1"/>
    <n v="94"/>
    <n v="3"/>
    <n v="4"/>
    <s v="Research Director"/>
    <n v="1"/>
    <s v="Married"/>
    <n v="17159"/>
    <n v="5200"/>
    <n v="6"/>
    <s v="Y"/>
    <s v="No"/>
    <n v="24"/>
    <x v="1"/>
    <n v="3"/>
    <n v="80"/>
    <n v="1"/>
    <n v="22"/>
    <n v="3"/>
    <n v="3"/>
    <n v="4"/>
    <n v="1"/>
    <n v="1"/>
    <n v="0"/>
    <n v="0"/>
    <x v="0"/>
    <x v="2"/>
    <s v="15k+"/>
    <x v="0"/>
    <x v="1"/>
    <x v="3"/>
  </r>
  <r>
    <n v="27"/>
    <s v="No"/>
    <x v="0"/>
    <n v="269"/>
    <x v="1"/>
    <n v="5"/>
    <n v="1"/>
    <s v="Technical Degree"/>
    <n v="1"/>
    <n v="844"/>
    <n v="3"/>
    <x v="1"/>
    <n v="42"/>
    <n v="2"/>
    <n v="3"/>
    <s v="Research Director"/>
    <n v="4"/>
    <s v="Divorced"/>
    <n v="12808"/>
    <n v="8842"/>
    <n v="1"/>
    <s v="Y"/>
    <s v="Yes"/>
    <n v="16"/>
    <x v="0"/>
    <n v="2"/>
    <n v="80"/>
    <n v="1"/>
    <n v="9"/>
    <n v="3"/>
    <n v="3"/>
    <n v="9"/>
    <n v="8"/>
    <n v="0"/>
    <n v="8"/>
    <n v="0"/>
    <x v="2"/>
    <x v="0"/>
    <s v="10k-15k"/>
    <x v="0"/>
    <x v="0"/>
    <x v="0"/>
  </r>
  <r>
    <n v="35"/>
    <s v="No"/>
    <x v="0"/>
    <n v="950"/>
    <x v="1"/>
    <n v="7"/>
    <n v="3"/>
    <s v="Other"/>
    <n v="1"/>
    <n v="845"/>
    <n v="3"/>
    <x v="1"/>
    <n v="59"/>
    <n v="3"/>
    <n v="3"/>
    <s v="Manufacturing Director"/>
    <n v="3"/>
    <s v="Single"/>
    <n v="10221"/>
    <n v="18869"/>
    <n v="3"/>
    <s v="Y"/>
    <s v="No"/>
    <n v="21"/>
    <x v="1"/>
    <n v="2"/>
    <n v="80"/>
    <n v="0"/>
    <n v="17"/>
    <n v="3"/>
    <n v="4"/>
    <n v="8"/>
    <n v="5"/>
    <n v="1"/>
    <n v="6"/>
    <n v="0"/>
    <x v="0"/>
    <x v="0"/>
    <s v="10k-15k"/>
    <x v="0"/>
    <x v="1"/>
    <x v="2"/>
  </r>
  <r>
    <n v="28"/>
    <s v="No"/>
    <x v="0"/>
    <n v="760"/>
    <x v="0"/>
    <n v="2"/>
    <n v="4"/>
    <s v="Marketing"/>
    <n v="1"/>
    <n v="846"/>
    <n v="2"/>
    <x v="0"/>
    <n v="81"/>
    <n v="3"/>
    <n v="2"/>
    <s v="Sales Executive"/>
    <n v="2"/>
    <s v="Married"/>
    <n v="4779"/>
    <n v="3698"/>
    <n v="1"/>
    <s v="Y"/>
    <s v="Yes"/>
    <n v="20"/>
    <x v="1"/>
    <n v="1"/>
    <n v="80"/>
    <n v="0"/>
    <n v="8"/>
    <n v="2"/>
    <n v="3"/>
    <n v="8"/>
    <n v="7"/>
    <n v="7"/>
    <n v="5"/>
    <n v="0"/>
    <x v="2"/>
    <x v="0"/>
    <s v="0-5k"/>
    <x v="0"/>
    <x v="1"/>
    <x v="1"/>
  </r>
  <r>
    <n v="34"/>
    <s v="No"/>
    <x v="0"/>
    <n v="829"/>
    <x v="2"/>
    <n v="3"/>
    <n v="2"/>
    <s v="Human Resources"/>
    <n v="1"/>
    <n v="847"/>
    <n v="3"/>
    <x v="1"/>
    <n v="88"/>
    <n v="3"/>
    <n v="1"/>
    <s v="Human Resources"/>
    <n v="4"/>
    <s v="Married"/>
    <n v="3737"/>
    <n v="2243"/>
    <n v="0"/>
    <s v="Y"/>
    <s v="No"/>
    <n v="19"/>
    <x v="0"/>
    <n v="3"/>
    <n v="80"/>
    <n v="1"/>
    <n v="4"/>
    <n v="1"/>
    <n v="1"/>
    <n v="3"/>
    <n v="2"/>
    <n v="0"/>
    <n v="2"/>
    <n v="0"/>
    <x v="0"/>
    <x v="0"/>
    <s v="0-5k"/>
    <x v="0"/>
    <x v="0"/>
    <x v="0"/>
  </r>
  <r>
    <n v="26"/>
    <s v="Yes"/>
    <x v="1"/>
    <n v="887"/>
    <x v="1"/>
    <n v="5"/>
    <n v="2"/>
    <s v="Medical"/>
    <n v="1"/>
    <n v="848"/>
    <n v="3"/>
    <x v="0"/>
    <n v="88"/>
    <n v="2"/>
    <n v="1"/>
    <s v="Research Scientist"/>
    <n v="3"/>
    <s v="Married"/>
    <n v="2366"/>
    <n v="20898"/>
    <n v="1"/>
    <s v="Y"/>
    <s v="Yes"/>
    <n v="14"/>
    <x v="0"/>
    <n v="1"/>
    <n v="80"/>
    <n v="1"/>
    <n v="8"/>
    <n v="2"/>
    <n v="3"/>
    <n v="8"/>
    <n v="7"/>
    <n v="1"/>
    <n v="7"/>
    <n v="1"/>
    <x v="2"/>
    <x v="0"/>
    <s v="0-5k"/>
    <x v="0"/>
    <x v="0"/>
    <x v="2"/>
  </r>
  <r>
    <n v="27"/>
    <s v="No"/>
    <x v="2"/>
    <n v="443"/>
    <x v="1"/>
    <n v="3"/>
    <n v="3"/>
    <s v="Medical"/>
    <n v="1"/>
    <n v="850"/>
    <n v="4"/>
    <x v="1"/>
    <n v="50"/>
    <n v="3"/>
    <n v="1"/>
    <s v="Research Scientist"/>
    <n v="4"/>
    <s v="Married"/>
    <n v="1706"/>
    <n v="16571"/>
    <n v="1"/>
    <s v="Y"/>
    <s v="No"/>
    <n v="11"/>
    <x v="0"/>
    <n v="3"/>
    <n v="80"/>
    <n v="3"/>
    <n v="0"/>
    <n v="6"/>
    <n v="2"/>
    <n v="0"/>
    <n v="0"/>
    <n v="0"/>
    <n v="0"/>
    <n v="0"/>
    <x v="2"/>
    <x v="0"/>
    <s v="0-5k"/>
    <x v="0"/>
    <x v="0"/>
    <x v="0"/>
  </r>
  <r>
    <n v="51"/>
    <s v="No"/>
    <x v="0"/>
    <n v="1318"/>
    <x v="0"/>
    <n v="26"/>
    <n v="4"/>
    <s v="Marketing"/>
    <n v="1"/>
    <n v="851"/>
    <n v="1"/>
    <x v="0"/>
    <n v="66"/>
    <n v="3"/>
    <n v="4"/>
    <s v="Manager"/>
    <n v="3"/>
    <s v="Married"/>
    <n v="16307"/>
    <n v="5594"/>
    <n v="2"/>
    <s v="Y"/>
    <s v="No"/>
    <n v="14"/>
    <x v="0"/>
    <n v="3"/>
    <n v="80"/>
    <n v="1"/>
    <n v="29"/>
    <n v="2"/>
    <n v="2"/>
    <n v="20"/>
    <n v="6"/>
    <n v="4"/>
    <n v="17"/>
    <n v="0"/>
    <x v="1"/>
    <x v="1"/>
    <s v="15k+"/>
    <x v="2"/>
    <x v="0"/>
    <x v="2"/>
  </r>
  <r>
    <n v="44"/>
    <s v="No"/>
    <x v="0"/>
    <n v="625"/>
    <x v="1"/>
    <n v="4"/>
    <n v="3"/>
    <s v="Medical"/>
    <n v="1"/>
    <n v="852"/>
    <n v="4"/>
    <x v="1"/>
    <n v="50"/>
    <n v="3"/>
    <n v="2"/>
    <s v="Healthcare Representative"/>
    <n v="2"/>
    <s v="Single"/>
    <n v="5933"/>
    <n v="5197"/>
    <n v="9"/>
    <s v="Y"/>
    <s v="No"/>
    <n v="12"/>
    <x v="0"/>
    <n v="4"/>
    <n v="80"/>
    <n v="0"/>
    <n v="10"/>
    <n v="2"/>
    <n v="2"/>
    <n v="5"/>
    <n v="2"/>
    <n v="2"/>
    <n v="3"/>
    <n v="0"/>
    <x v="0"/>
    <x v="0"/>
    <s v="5k-10k"/>
    <x v="0"/>
    <x v="0"/>
    <x v="1"/>
  </r>
  <r>
    <n v="25"/>
    <s v="No"/>
    <x v="0"/>
    <n v="180"/>
    <x v="1"/>
    <n v="2"/>
    <n v="1"/>
    <s v="Medical"/>
    <n v="1"/>
    <n v="854"/>
    <n v="1"/>
    <x v="1"/>
    <n v="65"/>
    <n v="4"/>
    <n v="1"/>
    <s v="Research Scientist"/>
    <n v="1"/>
    <s v="Single"/>
    <n v="3424"/>
    <n v="21632"/>
    <n v="7"/>
    <s v="Y"/>
    <s v="No"/>
    <n v="13"/>
    <x v="0"/>
    <n v="3"/>
    <n v="80"/>
    <n v="0"/>
    <n v="6"/>
    <n v="3"/>
    <n v="2"/>
    <n v="4"/>
    <n v="3"/>
    <n v="0"/>
    <n v="1"/>
    <n v="0"/>
    <x v="2"/>
    <x v="0"/>
    <s v="0-5k"/>
    <x v="0"/>
    <x v="0"/>
    <x v="3"/>
  </r>
  <r>
    <n v="33"/>
    <s v="No"/>
    <x v="0"/>
    <n v="586"/>
    <x v="0"/>
    <n v="1"/>
    <n v="3"/>
    <s v="Medical"/>
    <n v="1"/>
    <n v="855"/>
    <n v="1"/>
    <x v="1"/>
    <n v="48"/>
    <n v="4"/>
    <n v="2"/>
    <s v="Sales Executive"/>
    <n v="1"/>
    <s v="Divorced"/>
    <n v="4037"/>
    <n v="21816"/>
    <n v="1"/>
    <s v="Y"/>
    <s v="No"/>
    <n v="22"/>
    <x v="1"/>
    <n v="1"/>
    <n v="80"/>
    <n v="1"/>
    <n v="9"/>
    <n v="5"/>
    <n v="3"/>
    <n v="9"/>
    <n v="8"/>
    <n v="0"/>
    <n v="8"/>
    <n v="0"/>
    <x v="0"/>
    <x v="0"/>
    <s v="0-5k"/>
    <x v="0"/>
    <x v="1"/>
    <x v="3"/>
  </r>
  <r>
    <n v="35"/>
    <s v="No"/>
    <x v="0"/>
    <n v="1343"/>
    <x v="1"/>
    <n v="27"/>
    <n v="1"/>
    <s v="Medical"/>
    <n v="1"/>
    <n v="856"/>
    <n v="3"/>
    <x v="0"/>
    <n v="53"/>
    <n v="2"/>
    <n v="1"/>
    <s v="Research Scientist"/>
    <n v="1"/>
    <s v="Single"/>
    <n v="2559"/>
    <n v="17852"/>
    <n v="1"/>
    <s v="Y"/>
    <s v="No"/>
    <n v="11"/>
    <x v="0"/>
    <n v="4"/>
    <n v="80"/>
    <n v="0"/>
    <n v="6"/>
    <n v="3"/>
    <n v="2"/>
    <n v="6"/>
    <n v="5"/>
    <n v="1"/>
    <n v="1"/>
    <n v="0"/>
    <x v="0"/>
    <x v="1"/>
    <s v="0-5k"/>
    <x v="0"/>
    <x v="0"/>
    <x v="3"/>
  </r>
  <r>
    <n v="36"/>
    <s v="No"/>
    <x v="0"/>
    <n v="928"/>
    <x v="0"/>
    <n v="1"/>
    <n v="2"/>
    <s v="Life Sciences"/>
    <n v="1"/>
    <n v="857"/>
    <n v="2"/>
    <x v="1"/>
    <n v="56"/>
    <n v="3"/>
    <n v="2"/>
    <s v="Sales Executive"/>
    <n v="4"/>
    <s v="Married"/>
    <n v="6201"/>
    <n v="2823"/>
    <n v="1"/>
    <s v="Y"/>
    <s v="Yes"/>
    <n v="14"/>
    <x v="0"/>
    <n v="4"/>
    <n v="80"/>
    <n v="1"/>
    <n v="18"/>
    <n v="1"/>
    <n v="2"/>
    <n v="18"/>
    <n v="14"/>
    <n v="4"/>
    <n v="11"/>
    <n v="0"/>
    <x v="0"/>
    <x v="0"/>
    <s v="5k-10k"/>
    <x v="2"/>
    <x v="0"/>
    <x v="0"/>
  </r>
  <r>
    <n v="32"/>
    <s v="No"/>
    <x v="0"/>
    <n v="117"/>
    <x v="0"/>
    <n v="13"/>
    <n v="4"/>
    <s v="Life Sciences"/>
    <n v="1"/>
    <n v="859"/>
    <n v="2"/>
    <x v="1"/>
    <n v="73"/>
    <n v="3"/>
    <n v="2"/>
    <s v="Sales Executive"/>
    <n v="4"/>
    <s v="Divorced"/>
    <n v="4403"/>
    <n v="9250"/>
    <n v="2"/>
    <s v="Y"/>
    <s v="No"/>
    <n v="11"/>
    <x v="0"/>
    <n v="3"/>
    <n v="80"/>
    <n v="1"/>
    <n v="8"/>
    <n v="3"/>
    <n v="2"/>
    <n v="5"/>
    <n v="2"/>
    <n v="0"/>
    <n v="3"/>
    <n v="0"/>
    <x v="0"/>
    <x v="2"/>
    <s v="0-5k"/>
    <x v="0"/>
    <x v="0"/>
    <x v="0"/>
  </r>
  <r>
    <n v="30"/>
    <s v="No"/>
    <x v="1"/>
    <n v="1012"/>
    <x v="1"/>
    <n v="5"/>
    <n v="4"/>
    <s v="Life Sciences"/>
    <n v="1"/>
    <n v="861"/>
    <n v="2"/>
    <x v="1"/>
    <n v="75"/>
    <n v="2"/>
    <n v="1"/>
    <s v="Research Scientist"/>
    <n v="4"/>
    <s v="Divorced"/>
    <n v="3761"/>
    <n v="2373"/>
    <n v="9"/>
    <s v="Y"/>
    <s v="No"/>
    <n v="12"/>
    <x v="0"/>
    <n v="2"/>
    <n v="80"/>
    <n v="1"/>
    <n v="10"/>
    <n v="3"/>
    <n v="2"/>
    <n v="5"/>
    <n v="4"/>
    <n v="0"/>
    <n v="3"/>
    <n v="0"/>
    <x v="2"/>
    <x v="0"/>
    <s v="0-5k"/>
    <x v="0"/>
    <x v="0"/>
    <x v="0"/>
  </r>
  <r>
    <n v="53"/>
    <s v="No"/>
    <x v="0"/>
    <n v="661"/>
    <x v="0"/>
    <n v="7"/>
    <n v="2"/>
    <s v="Marketing"/>
    <n v="1"/>
    <n v="862"/>
    <n v="1"/>
    <x v="0"/>
    <n v="78"/>
    <n v="2"/>
    <n v="3"/>
    <s v="Sales Executive"/>
    <n v="4"/>
    <s v="Married"/>
    <n v="10934"/>
    <n v="20715"/>
    <n v="7"/>
    <s v="Y"/>
    <s v="Yes"/>
    <n v="18"/>
    <x v="0"/>
    <n v="4"/>
    <n v="80"/>
    <n v="1"/>
    <n v="35"/>
    <n v="3"/>
    <n v="3"/>
    <n v="5"/>
    <n v="2"/>
    <n v="0"/>
    <n v="4"/>
    <n v="0"/>
    <x v="1"/>
    <x v="0"/>
    <s v="10k-15k"/>
    <x v="0"/>
    <x v="0"/>
    <x v="0"/>
  </r>
  <r>
    <n v="45"/>
    <s v="No"/>
    <x v="0"/>
    <n v="930"/>
    <x v="0"/>
    <n v="9"/>
    <n v="3"/>
    <s v="Marketing"/>
    <n v="1"/>
    <n v="864"/>
    <n v="4"/>
    <x v="1"/>
    <n v="74"/>
    <n v="3"/>
    <n v="3"/>
    <s v="Sales Executive"/>
    <n v="1"/>
    <s v="Divorced"/>
    <n v="10761"/>
    <n v="19239"/>
    <n v="4"/>
    <s v="Y"/>
    <s v="Yes"/>
    <n v="12"/>
    <x v="0"/>
    <n v="3"/>
    <n v="80"/>
    <n v="1"/>
    <n v="18"/>
    <n v="2"/>
    <n v="3"/>
    <n v="5"/>
    <n v="4"/>
    <n v="0"/>
    <n v="2"/>
    <n v="0"/>
    <x v="0"/>
    <x v="0"/>
    <s v="10k-15k"/>
    <x v="0"/>
    <x v="0"/>
    <x v="3"/>
  </r>
  <r>
    <n v="32"/>
    <s v="No"/>
    <x v="0"/>
    <n v="638"/>
    <x v="1"/>
    <n v="8"/>
    <n v="2"/>
    <s v="Medical"/>
    <n v="1"/>
    <n v="865"/>
    <n v="3"/>
    <x v="0"/>
    <n v="91"/>
    <n v="4"/>
    <n v="2"/>
    <s v="Research Scientist"/>
    <n v="3"/>
    <s v="Married"/>
    <n v="5175"/>
    <n v="22162"/>
    <n v="5"/>
    <s v="Y"/>
    <s v="No"/>
    <n v="12"/>
    <x v="0"/>
    <n v="3"/>
    <n v="80"/>
    <n v="1"/>
    <n v="9"/>
    <n v="3"/>
    <n v="2"/>
    <n v="5"/>
    <n v="3"/>
    <n v="1"/>
    <n v="3"/>
    <n v="0"/>
    <x v="0"/>
    <x v="0"/>
    <s v="5k-10k"/>
    <x v="0"/>
    <x v="0"/>
    <x v="2"/>
  </r>
  <r>
    <n v="52"/>
    <s v="No"/>
    <x v="1"/>
    <n v="890"/>
    <x v="1"/>
    <n v="25"/>
    <n v="4"/>
    <s v="Medical"/>
    <n v="1"/>
    <n v="867"/>
    <n v="3"/>
    <x v="0"/>
    <n v="81"/>
    <n v="2"/>
    <n v="4"/>
    <s v="Manufacturing Director"/>
    <n v="4"/>
    <s v="Married"/>
    <n v="13826"/>
    <n v="19028"/>
    <n v="3"/>
    <s v="Y"/>
    <s v="No"/>
    <n v="22"/>
    <x v="1"/>
    <n v="3"/>
    <n v="80"/>
    <n v="0"/>
    <n v="31"/>
    <n v="3"/>
    <n v="3"/>
    <n v="9"/>
    <n v="8"/>
    <n v="0"/>
    <n v="0"/>
    <n v="0"/>
    <x v="1"/>
    <x v="1"/>
    <s v="10k-15k"/>
    <x v="0"/>
    <x v="1"/>
    <x v="0"/>
  </r>
  <r>
    <n v="37"/>
    <s v="No"/>
    <x v="0"/>
    <n v="342"/>
    <x v="0"/>
    <n v="16"/>
    <n v="4"/>
    <s v="Marketing"/>
    <n v="1"/>
    <n v="868"/>
    <n v="4"/>
    <x v="1"/>
    <n v="66"/>
    <n v="2"/>
    <n v="2"/>
    <s v="Sales Executive"/>
    <n v="3"/>
    <s v="Divorced"/>
    <n v="6334"/>
    <n v="24558"/>
    <n v="4"/>
    <s v="Y"/>
    <s v="No"/>
    <n v="19"/>
    <x v="0"/>
    <n v="4"/>
    <n v="80"/>
    <n v="2"/>
    <n v="9"/>
    <n v="2"/>
    <n v="3"/>
    <n v="1"/>
    <n v="0"/>
    <n v="0"/>
    <n v="0"/>
    <n v="0"/>
    <x v="0"/>
    <x v="2"/>
    <s v="5k-10k"/>
    <x v="0"/>
    <x v="0"/>
    <x v="2"/>
  </r>
  <r>
    <n v="28"/>
    <s v="No"/>
    <x v="0"/>
    <n v="1169"/>
    <x v="2"/>
    <n v="8"/>
    <n v="2"/>
    <s v="Medical"/>
    <n v="1"/>
    <n v="869"/>
    <n v="2"/>
    <x v="1"/>
    <n v="63"/>
    <n v="2"/>
    <n v="1"/>
    <s v="Human Resources"/>
    <n v="4"/>
    <s v="Divorced"/>
    <n v="4936"/>
    <n v="23965"/>
    <n v="1"/>
    <s v="Y"/>
    <s v="No"/>
    <n v="13"/>
    <x v="0"/>
    <n v="4"/>
    <n v="80"/>
    <n v="1"/>
    <n v="6"/>
    <n v="6"/>
    <n v="3"/>
    <n v="5"/>
    <n v="1"/>
    <n v="0"/>
    <n v="4"/>
    <n v="0"/>
    <x v="2"/>
    <x v="0"/>
    <s v="0-5k"/>
    <x v="0"/>
    <x v="0"/>
    <x v="0"/>
  </r>
  <r>
    <n v="22"/>
    <s v="No"/>
    <x v="0"/>
    <n v="1230"/>
    <x v="1"/>
    <n v="1"/>
    <n v="2"/>
    <s v="Life Sciences"/>
    <n v="1"/>
    <n v="872"/>
    <n v="4"/>
    <x v="1"/>
    <n v="33"/>
    <n v="2"/>
    <n v="2"/>
    <s v="Manufacturing Director"/>
    <n v="4"/>
    <s v="Married"/>
    <n v="4775"/>
    <n v="19146"/>
    <n v="6"/>
    <s v="Y"/>
    <s v="No"/>
    <n v="22"/>
    <x v="1"/>
    <n v="1"/>
    <n v="80"/>
    <n v="2"/>
    <n v="4"/>
    <n v="2"/>
    <n v="1"/>
    <n v="2"/>
    <n v="2"/>
    <n v="2"/>
    <n v="2"/>
    <n v="0"/>
    <x v="2"/>
    <x v="0"/>
    <s v="0-5k"/>
    <x v="0"/>
    <x v="1"/>
    <x v="0"/>
  </r>
  <r>
    <n v="44"/>
    <s v="No"/>
    <x v="0"/>
    <n v="986"/>
    <x v="1"/>
    <n v="8"/>
    <n v="4"/>
    <s v="Life Sciences"/>
    <n v="1"/>
    <n v="874"/>
    <n v="1"/>
    <x v="1"/>
    <n v="62"/>
    <n v="4"/>
    <n v="1"/>
    <s v="Laboratory Technician"/>
    <n v="4"/>
    <s v="Married"/>
    <n v="2818"/>
    <n v="5044"/>
    <n v="2"/>
    <s v="Y"/>
    <s v="Yes"/>
    <n v="24"/>
    <x v="1"/>
    <n v="3"/>
    <n v="80"/>
    <n v="1"/>
    <n v="10"/>
    <n v="2"/>
    <n v="2"/>
    <n v="3"/>
    <n v="2"/>
    <n v="0"/>
    <n v="2"/>
    <n v="0"/>
    <x v="0"/>
    <x v="0"/>
    <s v="0-5k"/>
    <x v="0"/>
    <x v="1"/>
    <x v="0"/>
  </r>
  <r>
    <n v="42"/>
    <s v="No"/>
    <x v="1"/>
    <n v="1271"/>
    <x v="1"/>
    <n v="2"/>
    <n v="1"/>
    <s v="Medical"/>
    <n v="1"/>
    <n v="875"/>
    <n v="2"/>
    <x v="1"/>
    <n v="35"/>
    <n v="3"/>
    <n v="1"/>
    <s v="Research Scientist"/>
    <n v="4"/>
    <s v="Single"/>
    <n v="2515"/>
    <n v="9068"/>
    <n v="5"/>
    <s v="Y"/>
    <s v="Yes"/>
    <n v="14"/>
    <x v="0"/>
    <n v="4"/>
    <n v="80"/>
    <n v="0"/>
    <n v="8"/>
    <n v="2"/>
    <n v="3"/>
    <n v="2"/>
    <n v="1"/>
    <n v="2"/>
    <n v="2"/>
    <n v="0"/>
    <x v="0"/>
    <x v="0"/>
    <s v="0-5k"/>
    <x v="0"/>
    <x v="0"/>
    <x v="0"/>
  </r>
  <r>
    <n v="36"/>
    <s v="No"/>
    <x v="0"/>
    <n v="1278"/>
    <x v="2"/>
    <n v="8"/>
    <n v="3"/>
    <s v="Life Sciences"/>
    <n v="1"/>
    <n v="878"/>
    <n v="1"/>
    <x v="1"/>
    <n v="77"/>
    <n v="2"/>
    <n v="1"/>
    <s v="Human Resources"/>
    <n v="1"/>
    <s v="Married"/>
    <n v="2342"/>
    <n v="8635"/>
    <n v="0"/>
    <s v="Y"/>
    <s v="No"/>
    <n v="21"/>
    <x v="1"/>
    <n v="3"/>
    <n v="80"/>
    <n v="0"/>
    <n v="6"/>
    <n v="3"/>
    <n v="3"/>
    <n v="5"/>
    <n v="4"/>
    <n v="0"/>
    <n v="3"/>
    <n v="0"/>
    <x v="0"/>
    <x v="0"/>
    <s v="0-5k"/>
    <x v="0"/>
    <x v="1"/>
    <x v="3"/>
  </r>
  <r>
    <n v="25"/>
    <s v="No"/>
    <x v="0"/>
    <n v="141"/>
    <x v="0"/>
    <n v="3"/>
    <n v="1"/>
    <s v="Other"/>
    <n v="1"/>
    <n v="879"/>
    <n v="3"/>
    <x v="1"/>
    <n v="98"/>
    <n v="3"/>
    <n v="2"/>
    <s v="Sales Executive"/>
    <n v="1"/>
    <s v="Married"/>
    <n v="4194"/>
    <n v="14363"/>
    <n v="1"/>
    <s v="Y"/>
    <s v="Yes"/>
    <n v="18"/>
    <x v="0"/>
    <n v="4"/>
    <n v="80"/>
    <n v="0"/>
    <n v="5"/>
    <n v="3"/>
    <n v="3"/>
    <n v="5"/>
    <n v="3"/>
    <n v="0"/>
    <n v="3"/>
    <n v="0"/>
    <x v="2"/>
    <x v="0"/>
    <s v="0-5k"/>
    <x v="0"/>
    <x v="0"/>
    <x v="3"/>
  </r>
  <r>
    <n v="35"/>
    <s v="No"/>
    <x v="0"/>
    <n v="607"/>
    <x v="1"/>
    <n v="9"/>
    <n v="3"/>
    <s v="Life Sciences"/>
    <n v="1"/>
    <n v="880"/>
    <n v="4"/>
    <x v="0"/>
    <n v="66"/>
    <n v="2"/>
    <n v="3"/>
    <s v="Manufacturing Director"/>
    <n v="3"/>
    <s v="Married"/>
    <n v="10685"/>
    <n v="23457"/>
    <n v="1"/>
    <s v="Y"/>
    <s v="Yes"/>
    <n v="20"/>
    <x v="1"/>
    <n v="2"/>
    <n v="80"/>
    <n v="1"/>
    <n v="17"/>
    <n v="2"/>
    <n v="3"/>
    <n v="17"/>
    <n v="14"/>
    <n v="5"/>
    <n v="15"/>
    <n v="0"/>
    <x v="0"/>
    <x v="0"/>
    <s v="10k-15k"/>
    <x v="2"/>
    <x v="1"/>
    <x v="2"/>
  </r>
  <r>
    <n v="35"/>
    <s v="Yes"/>
    <x v="1"/>
    <n v="130"/>
    <x v="1"/>
    <n v="25"/>
    <n v="4"/>
    <s v="Life Sciences"/>
    <n v="1"/>
    <n v="881"/>
    <n v="4"/>
    <x v="0"/>
    <n v="96"/>
    <n v="3"/>
    <n v="1"/>
    <s v="Research Scientist"/>
    <n v="2"/>
    <s v="Divorced"/>
    <n v="2022"/>
    <n v="16612"/>
    <n v="1"/>
    <s v="Y"/>
    <s v="Yes"/>
    <n v="19"/>
    <x v="0"/>
    <n v="1"/>
    <n v="80"/>
    <n v="1"/>
    <n v="10"/>
    <n v="3"/>
    <n v="2"/>
    <n v="10"/>
    <n v="2"/>
    <n v="7"/>
    <n v="8"/>
    <n v="1"/>
    <x v="0"/>
    <x v="1"/>
    <s v="0-5k"/>
    <x v="0"/>
    <x v="0"/>
    <x v="1"/>
  </r>
  <r>
    <n v="32"/>
    <s v="No"/>
    <x v="2"/>
    <n v="300"/>
    <x v="1"/>
    <n v="1"/>
    <n v="3"/>
    <s v="Life Sciences"/>
    <n v="1"/>
    <n v="882"/>
    <n v="4"/>
    <x v="1"/>
    <n v="61"/>
    <n v="3"/>
    <n v="1"/>
    <s v="Laboratory Technician"/>
    <n v="4"/>
    <s v="Divorced"/>
    <n v="2314"/>
    <n v="9148"/>
    <n v="0"/>
    <s v="Y"/>
    <s v="No"/>
    <n v="12"/>
    <x v="0"/>
    <n v="2"/>
    <n v="80"/>
    <n v="1"/>
    <n v="4"/>
    <n v="2"/>
    <n v="3"/>
    <n v="3"/>
    <n v="0"/>
    <n v="0"/>
    <n v="2"/>
    <n v="0"/>
    <x v="0"/>
    <x v="0"/>
    <s v="0-5k"/>
    <x v="0"/>
    <x v="0"/>
    <x v="0"/>
  </r>
  <r>
    <n v="25"/>
    <s v="No"/>
    <x v="0"/>
    <n v="583"/>
    <x v="0"/>
    <n v="4"/>
    <n v="1"/>
    <s v="Marketing"/>
    <n v="1"/>
    <n v="885"/>
    <n v="3"/>
    <x v="1"/>
    <n v="87"/>
    <n v="2"/>
    <n v="2"/>
    <s v="Sales Executive"/>
    <n v="1"/>
    <s v="Married"/>
    <n v="4256"/>
    <n v="18154"/>
    <n v="1"/>
    <s v="Y"/>
    <s v="No"/>
    <n v="12"/>
    <x v="0"/>
    <n v="1"/>
    <n v="80"/>
    <n v="0"/>
    <n v="5"/>
    <n v="1"/>
    <n v="4"/>
    <n v="5"/>
    <n v="2"/>
    <n v="0"/>
    <n v="3"/>
    <n v="0"/>
    <x v="2"/>
    <x v="0"/>
    <s v="0-5k"/>
    <x v="0"/>
    <x v="0"/>
    <x v="3"/>
  </r>
  <r>
    <n v="49"/>
    <s v="No"/>
    <x v="0"/>
    <n v="1418"/>
    <x v="1"/>
    <n v="1"/>
    <n v="3"/>
    <s v="Technical Degree"/>
    <n v="1"/>
    <n v="887"/>
    <n v="3"/>
    <x v="0"/>
    <n v="36"/>
    <n v="3"/>
    <n v="1"/>
    <s v="Research Scientist"/>
    <n v="1"/>
    <s v="Married"/>
    <n v="3580"/>
    <n v="10554"/>
    <n v="2"/>
    <s v="Y"/>
    <s v="No"/>
    <n v="16"/>
    <x v="0"/>
    <n v="2"/>
    <n v="80"/>
    <n v="1"/>
    <n v="7"/>
    <n v="2"/>
    <n v="3"/>
    <n v="4"/>
    <n v="2"/>
    <n v="0"/>
    <n v="2"/>
    <n v="0"/>
    <x v="1"/>
    <x v="0"/>
    <s v="0-5k"/>
    <x v="0"/>
    <x v="0"/>
    <x v="3"/>
  </r>
  <r>
    <n v="24"/>
    <s v="No"/>
    <x v="2"/>
    <n v="1269"/>
    <x v="1"/>
    <n v="4"/>
    <n v="1"/>
    <s v="Life Sciences"/>
    <n v="1"/>
    <n v="888"/>
    <n v="1"/>
    <x v="1"/>
    <n v="46"/>
    <n v="2"/>
    <n v="1"/>
    <s v="Laboratory Technician"/>
    <n v="4"/>
    <s v="Married"/>
    <n v="3162"/>
    <n v="10778"/>
    <n v="0"/>
    <s v="Y"/>
    <s v="No"/>
    <n v="17"/>
    <x v="0"/>
    <n v="4"/>
    <n v="80"/>
    <n v="0"/>
    <n v="6"/>
    <n v="2"/>
    <n v="2"/>
    <n v="5"/>
    <n v="2"/>
    <n v="3"/>
    <n v="4"/>
    <n v="0"/>
    <x v="2"/>
    <x v="0"/>
    <s v="0-5k"/>
    <x v="0"/>
    <x v="0"/>
    <x v="0"/>
  </r>
  <r>
    <n v="32"/>
    <s v="No"/>
    <x v="1"/>
    <n v="379"/>
    <x v="0"/>
    <n v="5"/>
    <n v="2"/>
    <s v="Life Sciences"/>
    <n v="1"/>
    <n v="889"/>
    <n v="2"/>
    <x v="1"/>
    <n v="48"/>
    <n v="3"/>
    <n v="2"/>
    <s v="Sales Executive"/>
    <n v="2"/>
    <s v="Married"/>
    <n v="6524"/>
    <n v="8891"/>
    <n v="1"/>
    <s v="Y"/>
    <s v="No"/>
    <n v="14"/>
    <x v="0"/>
    <n v="4"/>
    <n v="80"/>
    <n v="1"/>
    <n v="10"/>
    <n v="3"/>
    <n v="3"/>
    <n v="10"/>
    <n v="8"/>
    <n v="5"/>
    <n v="3"/>
    <n v="0"/>
    <x v="0"/>
    <x v="0"/>
    <s v="5k-10k"/>
    <x v="0"/>
    <x v="0"/>
    <x v="1"/>
  </r>
  <r>
    <n v="38"/>
    <s v="No"/>
    <x v="0"/>
    <n v="395"/>
    <x v="0"/>
    <n v="9"/>
    <n v="3"/>
    <s v="Marketing"/>
    <n v="1"/>
    <n v="893"/>
    <n v="2"/>
    <x v="1"/>
    <n v="98"/>
    <n v="2"/>
    <n v="1"/>
    <s v="Sales Representative"/>
    <n v="2"/>
    <s v="Married"/>
    <n v="2899"/>
    <n v="12102"/>
    <n v="0"/>
    <s v="Y"/>
    <s v="No"/>
    <n v="19"/>
    <x v="0"/>
    <n v="4"/>
    <n v="80"/>
    <n v="1"/>
    <n v="3"/>
    <n v="3"/>
    <n v="3"/>
    <n v="2"/>
    <n v="2"/>
    <n v="1"/>
    <n v="2"/>
    <n v="0"/>
    <x v="0"/>
    <x v="0"/>
    <s v="0-5k"/>
    <x v="0"/>
    <x v="0"/>
    <x v="1"/>
  </r>
  <r>
    <n v="42"/>
    <s v="No"/>
    <x v="0"/>
    <n v="1265"/>
    <x v="1"/>
    <n v="3"/>
    <n v="3"/>
    <s v="Life Sciences"/>
    <n v="1"/>
    <n v="894"/>
    <n v="3"/>
    <x v="0"/>
    <n v="95"/>
    <n v="4"/>
    <n v="2"/>
    <s v="Laboratory Technician"/>
    <n v="4"/>
    <s v="Married"/>
    <n v="5231"/>
    <n v="23726"/>
    <n v="2"/>
    <s v="Y"/>
    <s v="Yes"/>
    <n v="13"/>
    <x v="0"/>
    <n v="2"/>
    <n v="80"/>
    <n v="1"/>
    <n v="17"/>
    <n v="1"/>
    <n v="2"/>
    <n v="5"/>
    <n v="3"/>
    <n v="1"/>
    <n v="3"/>
    <n v="0"/>
    <x v="0"/>
    <x v="0"/>
    <s v="5k-10k"/>
    <x v="0"/>
    <x v="0"/>
    <x v="0"/>
  </r>
  <r>
    <n v="31"/>
    <s v="No"/>
    <x v="0"/>
    <n v="1222"/>
    <x v="1"/>
    <n v="11"/>
    <n v="4"/>
    <s v="Life Sciences"/>
    <n v="1"/>
    <n v="895"/>
    <n v="4"/>
    <x v="1"/>
    <n v="48"/>
    <n v="3"/>
    <n v="1"/>
    <s v="Research Scientist"/>
    <n v="4"/>
    <s v="Married"/>
    <n v="2356"/>
    <n v="14871"/>
    <n v="3"/>
    <s v="Y"/>
    <s v="Yes"/>
    <n v="19"/>
    <x v="0"/>
    <n v="2"/>
    <n v="80"/>
    <n v="1"/>
    <n v="8"/>
    <n v="2"/>
    <n v="3"/>
    <n v="6"/>
    <n v="4"/>
    <n v="0"/>
    <n v="2"/>
    <n v="0"/>
    <x v="0"/>
    <x v="2"/>
    <s v="0-5k"/>
    <x v="0"/>
    <x v="0"/>
    <x v="0"/>
  </r>
  <r>
    <n v="29"/>
    <s v="Yes"/>
    <x v="0"/>
    <n v="341"/>
    <x v="0"/>
    <n v="1"/>
    <n v="3"/>
    <s v="Medical"/>
    <n v="1"/>
    <n v="896"/>
    <n v="2"/>
    <x v="0"/>
    <n v="48"/>
    <n v="2"/>
    <n v="1"/>
    <s v="Sales Representative"/>
    <n v="3"/>
    <s v="Divorced"/>
    <n v="2800"/>
    <n v="23522"/>
    <n v="6"/>
    <s v="Y"/>
    <s v="Yes"/>
    <n v="19"/>
    <x v="0"/>
    <n v="3"/>
    <n v="80"/>
    <n v="3"/>
    <n v="5"/>
    <n v="3"/>
    <n v="3"/>
    <n v="3"/>
    <n v="2"/>
    <n v="0"/>
    <n v="2"/>
    <n v="1"/>
    <x v="2"/>
    <x v="0"/>
    <s v="0-5k"/>
    <x v="0"/>
    <x v="0"/>
    <x v="2"/>
  </r>
  <r>
    <n v="53"/>
    <s v="No"/>
    <x v="0"/>
    <n v="868"/>
    <x v="0"/>
    <n v="8"/>
    <n v="3"/>
    <s v="Marketing"/>
    <n v="1"/>
    <n v="897"/>
    <n v="1"/>
    <x v="1"/>
    <n v="73"/>
    <n v="3"/>
    <n v="4"/>
    <s v="Sales Executive"/>
    <n v="4"/>
    <s v="Married"/>
    <n v="11836"/>
    <n v="22789"/>
    <n v="5"/>
    <s v="Y"/>
    <s v="No"/>
    <n v="14"/>
    <x v="0"/>
    <n v="3"/>
    <n v="80"/>
    <n v="1"/>
    <n v="28"/>
    <n v="3"/>
    <n v="3"/>
    <n v="2"/>
    <n v="0"/>
    <n v="2"/>
    <n v="2"/>
    <n v="0"/>
    <x v="1"/>
    <x v="0"/>
    <s v="10k-15k"/>
    <x v="0"/>
    <x v="0"/>
    <x v="0"/>
  </r>
  <r>
    <n v="35"/>
    <s v="No"/>
    <x v="0"/>
    <n v="672"/>
    <x v="1"/>
    <n v="25"/>
    <n v="3"/>
    <s v="Technical Degree"/>
    <n v="1"/>
    <n v="899"/>
    <n v="4"/>
    <x v="1"/>
    <n v="78"/>
    <n v="2"/>
    <n v="3"/>
    <s v="Manufacturing Director"/>
    <n v="2"/>
    <s v="Married"/>
    <n v="10903"/>
    <n v="9129"/>
    <n v="3"/>
    <s v="Y"/>
    <s v="No"/>
    <n v="16"/>
    <x v="0"/>
    <n v="1"/>
    <n v="80"/>
    <n v="0"/>
    <n v="16"/>
    <n v="2"/>
    <n v="3"/>
    <n v="13"/>
    <n v="10"/>
    <n v="4"/>
    <n v="8"/>
    <n v="0"/>
    <x v="0"/>
    <x v="1"/>
    <s v="10k-15k"/>
    <x v="2"/>
    <x v="0"/>
    <x v="1"/>
  </r>
  <r>
    <n v="37"/>
    <s v="No"/>
    <x v="1"/>
    <n v="1231"/>
    <x v="0"/>
    <n v="21"/>
    <n v="2"/>
    <s v="Medical"/>
    <n v="1"/>
    <n v="900"/>
    <n v="3"/>
    <x v="0"/>
    <n v="54"/>
    <n v="3"/>
    <n v="1"/>
    <s v="Sales Representative"/>
    <n v="4"/>
    <s v="Married"/>
    <n v="2973"/>
    <n v="21222"/>
    <n v="5"/>
    <s v="Y"/>
    <s v="No"/>
    <n v="15"/>
    <x v="0"/>
    <n v="2"/>
    <n v="80"/>
    <n v="1"/>
    <n v="10"/>
    <n v="3"/>
    <n v="3"/>
    <n v="5"/>
    <n v="4"/>
    <n v="0"/>
    <n v="0"/>
    <n v="0"/>
    <x v="0"/>
    <x v="1"/>
    <s v="0-5k"/>
    <x v="0"/>
    <x v="0"/>
    <x v="0"/>
  </r>
  <r>
    <n v="53"/>
    <s v="No"/>
    <x v="0"/>
    <n v="102"/>
    <x v="1"/>
    <n v="23"/>
    <n v="4"/>
    <s v="Life Sciences"/>
    <n v="1"/>
    <n v="901"/>
    <n v="4"/>
    <x v="0"/>
    <n v="72"/>
    <n v="3"/>
    <n v="4"/>
    <s v="Research Director"/>
    <n v="4"/>
    <s v="Single"/>
    <n v="14275"/>
    <n v="20206"/>
    <n v="6"/>
    <s v="Y"/>
    <s v="No"/>
    <n v="18"/>
    <x v="0"/>
    <n v="3"/>
    <n v="80"/>
    <n v="0"/>
    <n v="33"/>
    <n v="0"/>
    <n v="3"/>
    <n v="12"/>
    <n v="9"/>
    <n v="3"/>
    <n v="8"/>
    <n v="0"/>
    <x v="1"/>
    <x v="1"/>
    <s v="10k-15k"/>
    <x v="2"/>
    <x v="0"/>
    <x v="0"/>
  </r>
  <r>
    <n v="43"/>
    <s v="No"/>
    <x v="1"/>
    <n v="422"/>
    <x v="1"/>
    <n v="1"/>
    <n v="3"/>
    <s v="Life Sciences"/>
    <n v="1"/>
    <n v="902"/>
    <n v="4"/>
    <x v="0"/>
    <n v="33"/>
    <n v="3"/>
    <n v="2"/>
    <s v="Healthcare Representative"/>
    <n v="4"/>
    <s v="Married"/>
    <n v="5562"/>
    <n v="21782"/>
    <n v="4"/>
    <s v="Y"/>
    <s v="No"/>
    <n v="13"/>
    <x v="0"/>
    <n v="2"/>
    <n v="80"/>
    <n v="1"/>
    <n v="12"/>
    <n v="2"/>
    <n v="2"/>
    <n v="5"/>
    <n v="2"/>
    <n v="2"/>
    <n v="2"/>
    <n v="0"/>
    <x v="0"/>
    <x v="0"/>
    <s v="5k-10k"/>
    <x v="0"/>
    <x v="0"/>
    <x v="0"/>
  </r>
  <r>
    <n v="47"/>
    <s v="No"/>
    <x v="0"/>
    <n v="249"/>
    <x v="0"/>
    <n v="2"/>
    <n v="2"/>
    <s v="Marketing"/>
    <n v="1"/>
    <n v="903"/>
    <n v="3"/>
    <x v="0"/>
    <n v="35"/>
    <n v="3"/>
    <n v="2"/>
    <s v="Sales Executive"/>
    <n v="4"/>
    <s v="Married"/>
    <n v="4537"/>
    <n v="17783"/>
    <n v="0"/>
    <s v="Y"/>
    <s v="Yes"/>
    <n v="22"/>
    <x v="1"/>
    <n v="1"/>
    <n v="80"/>
    <n v="1"/>
    <n v="8"/>
    <n v="2"/>
    <n v="3"/>
    <n v="7"/>
    <n v="6"/>
    <n v="7"/>
    <n v="7"/>
    <n v="0"/>
    <x v="1"/>
    <x v="0"/>
    <s v="0-5k"/>
    <x v="0"/>
    <x v="1"/>
    <x v="0"/>
  </r>
  <r>
    <n v="37"/>
    <s v="No"/>
    <x v="2"/>
    <n v="1252"/>
    <x v="0"/>
    <n v="19"/>
    <n v="2"/>
    <s v="Medical"/>
    <n v="1"/>
    <n v="904"/>
    <n v="1"/>
    <x v="1"/>
    <n v="32"/>
    <n v="3"/>
    <n v="3"/>
    <s v="Sales Executive"/>
    <n v="2"/>
    <s v="Single"/>
    <n v="7642"/>
    <n v="4814"/>
    <n v="1"/>
    <s v="Y"/>
    <s v="Yes"/>
    <n v="13"/>
    <x v="0"/>
    <n v="4"/>
    <n v="80"/>
    <n v="0"/>
    <n v="10"/>
    <n v="2"/>
    <n v="3"/>
    <n v="10"/>
    <n v="0"/>
    <n v="0"/>
    <n v="9"/>
    <n v="0"/>
    <x v="0"/>
    <x v="2"/>
    <s v="5k-10k"/>
    <x v="0"/>
    <x v="0"/>
    <x v="1"/>
  </r>
  <r>
    <n v="50"/>
    <s v="No"/>
    <x v="2"/>
    <n v="881"/>
    <x v="1"/>
    <n v="2"/>
    <n v="4"/>
    <s v="Life Sciences"/>
    <n v="1"/>
    <n v="905"/>
    <n v="1"/>
    <x v="1"/>
    <n v="98"/>
    <n v="3"/>
    <n v="4"/>
    <s v="Manager"/>
    <n v="1"/>
    <s v="Divorced"/>
    <n v="17924"/>
    <n v="4544"/>
    <n v="1"/>
    <s v="Y"/>
    <s v="No"/>
    <n v="11"/>
    <x v="0"/>
    <n v="4"/>
    <n v="80"/>
    <n v="1"/>
    <n v="31"/>
    <n v="3"/>
    <n v="3"/>
    <n v="31"/>
    <n v="6"/>
    <n v="14"/>
    <n v="7"/>
    <n v="0"/>
    <x v="1"/>
    <x v="0"/>
    <s v="15k+"/>
    <x v="3"/>
    <x v="0"/>
    <x v="3"/>
  </r>
  <r>
    <n v="39"/>
    <s v="No"/>
    <x v="0"/>
    <n v="1383"/>
    <x v="2"/>
    <n v="2"/>
    <n v="3"/>
    <s v="Life Sciences"/>
    <n v="1"/>
    <n v="909"/>
    <n v="4"/>
    <x v="0"/>
    <n v="42"/>
    <n v="2"/>
    <n v="2"/>
    <s v="Human Resources"/>
    <n v="4"/>
    <s v="Married"/>
    <n v="5204"/>
    <n v="7790"/>
    <n v="8"/>
    <s v="Y"/>
    <s v="No"/>
    <n v="11"/>
    <x v="0"/>
    <n v="3"/>
    <n v="80"/>
    <n v="2"/>
    <n v="13"/>
    <n v="2"/>
    <n v="3"/>
    <n v="5"/>
    <n v="4"/>
    <n v="0"/>
    <n v="4"/>
    <n v="0"/>
    <x v="0"/>
    <x v="0"/>
    <s v="5k-10k"/>
    <x v="0"/>
    <x v="0"/>
    <x v="0"/>
  </r>
  <r>
    <n v="33"/>
    <s v="No"/>
    <x v="0"/>
    <n v="1075"/>
    <x v="2"/>
    <n v="3"/>
    <n v="2"/>
    <s v="Human Resources"/>
    <n v="1"/>
    <n v="910"/>
    <n v="4"/>
    <x v="1"/>
    <n v="57"/>
    <n v="3"/>
    <n v="1"/>
    <s v="Human Resources"/>
    <n v="2"/>
    <s v="Divorced"/>
    <n v="2277"/>
    <n v="22650"/>
    <n v="3"/>
    <s v="Y"/>
    <s v="Yes"/>
    <n v="11"/>
    <x v="0"/>
    <n v="3"/>
    <n v="80"/>
    <n v="1"/>
    <n v="7"/>
    <n v="4"/>
    <n v="4"/>
    <n v="4"/>
    <n v="3"/>
    <n v="0"/>
    <n v="3"/>
    <n v="0"/>
    <x v="0"/>
    <x v="0"/>
    <s v="0-5k"/>
    <x v="0"/>
    <x v="0"/>
    <x v="1"/>
  </r>
  <r>
    <n v="32"/>
    <s v="Yes"/>
    <x v="0"/>
    <n v="374"/>
    <x v="1"/>
    <n v="25"/>
    <n v="4"/>
    <s v="Life Sciences"/>
    <n v="1"/>
    <n v="911"/>
    <n v="1"/>
    <x v="1"/>
    <n v="87"/>
    <n v="3"/>
    <n v="1"/>
    <s v="Laboratory Technician"/>
    <n v="4"/>
    <s v="Single"/>
    <n v="2795"/>
    <n v="18016"/>
    <n v="1"/>
    <s v="Y"/>
    <s v="Yes"/>
    <n v="24"/>
    <x v="1"/>
    <n v="3"/>
    <n v="80"/>
    <n v="0"/>
    <n v="1"/>
    <n v="2"/>
    <n v="1"/>
    <n v="1"/>
    <n v="0"/>
    <n v="0"/>
    <n v="1"/>
    <n v="1"/>
    <x v="0"/>
    <x v="1"/>
    <s v="0-5k"/>
    <x v="0"/>
    <x v="1"/>
    <x v="0"/>
  </r>
  <r>
    <n v="29"/>
    <s v="No"/>
    <x v="0"/>
    <n v="1086"/>
    <x v="1"/>
    <n v="7"/>
    <n v="1"/>
    <s v="Medical"/>
    <n v="1"/>
    <n v="912"/>
    <n v="1"/>
    <x v="0"/>
    <n v="62"/>
    <n v="2"/>
    <n v="1"/>
    <s v="Laboratory Technician"/>
    <n v="4"/>
    <s v="Divorced"/>
    <n v="2532"/>
    <n v="6054"/>
    <n v="6"/>
    <s v="Y"/>
    <s v="No"/>
    <n v="14"/>
    <x v="0"/>
    <n v="3"/>
    <n v="80"/>
    <n v="3"/>
    <n v="8"/>
    <n v="5"/>
    <n v="3"/>
    <n v="4"/>
    <n v="3"/>
    <n v="0"/>
    <n v="3"/>
    <n v="0"/>
    <x v="2"/>
    <x v="0"/>
    <s v="0-5k"/>
    <x v="0"/>
    <x v="0"/>
    <x v="0"/>
  </r>
  <r>
    <n v="44"/>
    <s v="No"/>
    <x v="0"/>
    <n v="661"/>
    <x v="1"/>
    <n v="9"/>
    <n v="2"/>
    <s v="Life Sciences"/>
    <n v="1"/>
    <n v="913"/>
    <n v="2"/>
    <x v="1"/>
    <n v="61"/>
    <n v="3"/>
    <n v="1"/>
    <s v="Research Scientist"/>
    <n v="1"/>
    <s v="Married"/>
    <n v="2559"/>
    <n v="7508"/>
    <n v="1"/>
    <s v="Y"/>
    <s v="Yes"/>
    <n v="13"/>
    <x v="0"/>
    <n v="4"/>
    <n v="80"/>
    <n v="0"/>
    <n v="8"/>
    <n v="0"/>
    <n v="3"/>
    <n v="8"/>
    <n v="7"/>
    <n v="7"/>
    <n v="1"/>
    <n v="0"/>
    <x v="0"/>
    <x v="0"/>
    <s v="0-5k"/>
    <x v="0"/>
    <x v="0"/>
    <x v="3"/>
  </r>
  <r>
    <n v="28"/>
    <s v="No"/>
    <x v="0"/>
    <n v="821"/>
    <x v="0"/>
    <n v="5"/>
    <n v="4"/>
    <s v="Medical"/>
    <n v="1"/>
    <n v="916"/>
    <n v="1"/>
    <x v="1"/>
    <n v="98"/>
    <n v="3"/>
    <n v="2"/>
    <s v="Sales Executive"/>
    <n v="4"/>
    <s v="Single"/>
    <n v="4908"/>
    <n v="24252"/>
    <n v="1"/>
    <s v="Y"/>
    <s v="No"/>
    <n v="14"/>
    <x v="0"/>
    <n v="2"/>
    <n v="80"/>
    <n v="0"/>
    <n v="4"/>
    <n v="3"/>
    <n v="3"/>
    <n v="4"/>
    <n v="2"/>
    <n v="0"/>
    <n v="2"/>
    <n v="0"/>
    <x v="2"/>
    <x v="0"/>
    <s v="0-5k"/>
    <x v="0"/>
    <x v="0"/>
    <x v="0"/>
  </r>
  <r>
    <n v="58"/>
    <s v="Yes"/>
    <x v="1"/>
    <n v="781"/>
    <x v="1"/>
    <n v="2"/>
    <n v="1"/>
    <s v="Life Sciences"/>
    <n v="1"/>
    <n v="918"/>
    <n v="4"/>
    <x v="1"/>
    <n v="57"/>
    <n v="2"/>
    <n v="1"/>
    <s v="Laboratory Technician"/>
    <n v="4"/>
    <s v="Divorced"/>
    <n v="2380"/>
    <n v="13384"/>
    <n v="9"/>
    <s v="Y"/>
    <s v="Yes"/>
    <n v="14"/>
    <x v="0"/>
    <n v="4"/>
    <n v="80"/>
    <n v="1"/>
    <n v="3"/>
    <n v="3"/>
    <n v="2"/>
    <n v="1"/>
    <n v="0"/>
    <n v="0"/>
    <n v="0"/>
    <n v="1"/>
    <x v="1"/>
    <x v="0"/>
    <s v="0-5k"/>
    <x v="0"/>
    <x v="0"/>
    <x v="0"/>
  </r>
  <r>
    <n v="43"/>
    <s v="No"/>
    <x v="0"/>
    <n v="177"/>
    <x v="1"/>
    <n v="8"/>
    <n v="3"/>
    <s v="Life Sciences"/>
    <n v="1"/>
    <n v="920"/>
    <n v="1"/>
    <x v="0"/>
    <n v="55"/>
    <n v="3"/>
    <n v="2"/>
    <s v="Manufacturing Director"/>
    <n v="2"/>
    <s v="Divorced"/>
    <n v="4765"/>
    <n v="23814"/>
    <n v="4"/>
    <s v="Y"/>
    <s v="No"/>
    <n v="21"/>
    <x v="1"/>
    <n v="3"/>
    <n v="80"/>
    <n v="1"/>
    <n v="4"/>
    <n v="2"/>
    <n v="4"/>
    <n v="1"/>
    <n v="0"/>
    <n v="0"/>
    <n v="0"/>
    <n v="0"/>
    <x v="0"/>
    <x v="0"/>
    <s v="0-5k"/>
    <x v="0"/>
    <x v="1"/>
    <x v="1"/>
  </r>
  <r>
    <n v="20"/>
    <s v="Yes"/>
    <x v="0"/>
    <n v="500"/>
    <x v="0"/>
    <n v="2"/>
    <n v="3"/>
    <s v="Medical"/>
    <n v="1"/>
    <n v="922"/>
    <n v="3"/>
    <x v="0"/>
    <n v="49"/>
    <n v="2"/>
    <n v="1"/>
    <s v="Sales Representative"/>
    <n v="3"/>
    <s v="Single"/>
    <n v="2044"/>
    <n v="22052"/>
    <n v="1"/>
    <s v="Y"/>
    <s v="No"/>
    <n v="13"/>
    <x v="0"/>
    <n v="4"/>
    <n v="80"/>
    <n v="0"/>
    <n v="2"/>
    <n v="3"/>
    <n v="2"/>
    <n v="2"/>
    <n v="2"/>
    <n v="0"/>
    <n v="2"/>
    <n v="1"/>
    <x v="2"/>
    <x v="0"/>
    <s v="0-5k"/>
    <x v="0"/>
    <x v="0"/>
    <x v="2"/>
  </r>
  <r>
    <n v="21"/>
    <s v="Yes"/>
    <x v="0"/>
    <n v="1427"/>
    <x v="1"/>
    <n v="18"/>
    <n v="1"/>
    <s v="Other"/>
    <n v="1"/>
    <n v="923"/>
    <n v="4"/>
    <x v="0"/>
    <n v="65"/>
    <n v="3"/>
    <n v="1"/>
    <s v="Research Scientist"/>
    <n v="4"/>
    <s v="Single"/>
    <n v="2693"/>
    <n v="8870"/>
    <n v="1"/>
    <s v="Y"/>
    <s v="No"/>
    <n v="19"/>
    <x v="0"/>
    <n v="1"/>
    <n v="80"/>
    <n v="0"/>
    <n v="1"/>
    <n v="3"/>
    <n v="2"/>
    <n v="1"/>
    <n v="0"/>
    <n v="0"/>
    <n v="0"/>
    <n v="1"/>
    <x v="2"/>
    <x v="2"/>
    <s v="0-5k"/>
    <x v="0"/>
    <x v="0"/>
    <x v="0"/>
  </r>
  <r>
    <n v="36"/>
    <s v="No"/>
    <x v="0"/>
    <n v="1425"/>
    <x v="1"/>
    <n v="14"/>
    <n v="1"/>
    <s v="Life Sciences"/>
    <n v="1"/>
    <n v="924"/>
    <n v="3"/>
    <x v="1"/>
    <n v="68"/>
    <n v="3"/>
    <n v="2"/>
    <s v="Healthcare Representative"/>
    <n v="4"/>
    <s v="Married"/>
    <n v="6586"/>
    <n v="4821"/>
    <n v="0"/>
    <s v="Y"/>
    <s v="Yes"/>
    <n v="17"/>
    <x v="0"/>
    <n v="1"/>
    <n v="80"/>
    <n v="1"/>
    <n v="17"/>
    <n v="2"/>
    <n v="2"/>
    <n v="16"/>
    <n v="8"/>
    <n v="4"/>
    <n v="11"/>
    <n v="0"/>
    <x v="0"/>
    <x v="2"/>
    <s v="5k-10k"/>
    <x v="2"/>
    <x v="0"/>
    <x v="0"/>
  </r>
  <r>
    <n v="47"/>
    <s v="No"/>
    <x v="0"/>
    <n v="1454"/>
    <x v="0"/>
    <n v="2"/>
    <n v="4"/>
    <s v="Life Sciences"/>
    <n v="1"/>
    <n v="925"/>
    <n v="4"/>
    <x v="0"/>
    <n v="65"/>
    <n v="2"/>
    <n v="1"/>
    <s v="Sales Representative"/>
    <n v="4"/>
    <s v="Single"/>
    <n v="3294"/>
    <n v="13137"/>
    <n v="1"/>
    <s v="Y"/>
    <s v="Yes"/>
    <n v="18"/>
    <x v="0"/>
    <n v="1"/>
    <n v="80"/>
    <n v="0"/>
    <n v="3"/>
    <n v="3"/>
    <n v="2"/>
    <n v="3"/>
    <n v="2"/>
    <n v="1"/>
    <n v="2"/>
    <n v="0"/>
    <x v="1"/>
    <x v="0"/>
    <s v="0-5k"/>
    <x v="0"/>
    <x v="0"/>
    <x v="0"/>
  </r>
  <r>
    <n v="22"/>
    <s v="Yes"/>
    <x v="0"/>
    <n v="617"/>
    <x v="1"/>
    <n v="3"/>
    <n v="1"/>
    <s v="Life Sciences"/>
    <n v="1"/>
    <n v="926"/>
    <n v="2"/>
    <x v="0"/>
    <n v="34"/>
    <n v="3"/>
    <n v="2"/>
    <s v="Manufacturing Director"/>
    <n v="3"/>
    <s v="Married"/>
    <n v="4171"/>
    <n v="10022"/>
    <n v="0"/>
    <s v="Y"/>
    <s v="Yes"/>
    <n v="19"/>
    <x v="0"/>
    <n v="1"/>
    <n v="80"/>
    <n v="1"/>
    <n v="4"/>
    <n v="3"/>
    <n v="4"/>
    <n v="3"/>
    <n v="2"/>
    <n v="0"/>
    <n v="2"/>
    <n v="1"/>
    <x v="2"/>
    <x v="0"/>
    <s v="0-5k"/>
    <x v="0"/>
    <x v="0"/>
    <x v="2"/>
  </r>
  <r>
    <n v="41"/>
    <s v="Yes"/>
    <x v="0"/>
    <n v="1085"/>
    <x v="1"/>
    <n v="2"/>
    <n v="4"/>
    <s v="Life Sciences"/>
    <n v="1"/>
    <n v="927"/>
    <n v="2"/>
    <x v="0"/>
    <n v="57"/>
    <n v="1"/>
    <n v="1"/>
    <s v="Laboratory Technician"/>
    <n v="4"/>
    <s v="Divorced"/>
    <n v="2778"/>
    <n v="17725"/>
    <n v="4"/>
    <s v="Y"/>
    <s v="Yes"/>
    <n v="13"/>
    <x v="0"/>
    <n v="3"/>
    <n v="80"/>
    <n v="1"/>
    <n v="10"/>
    <n v="1"/>
    <n v="2"/>
    <n v="7"/>
    <n v="7"/>
    <n v="1"/>
    <n v="0"/>
    <n v="1"/>
    <x v="0"/>
    <x v="0"/>
    <s v="0-5k"/>
    <x v="0"/>
    <x v="0"/>
    <x v="0"/>
  </r>
  <r>
    <n v="28"/>
    <s v="No"/>
    <x v="0"/>
    <n v="995"/>
    <x v="1"/>
    <n v="9"/>
    <n v="3"/>
    <s v="Medical"/>
    <n v="1"/>
    <n v="930"/>
    <n v="3"/>
    <x v="0"/>
    <n v="77"/>
    <n v="3"/>
    <n v="1"/>
    <s v="Research Scientist"/>
    <n v="3"/>
    <s v="Divorced"/>
    <n v="2377"/>
    <n v="9834"/>
    <n v="5"/>
    <s v="Y"/>
    <s v="No"/>
    <n v="18"/>
    <x v="0"/>
    <n v="2"/>
    <n v="80"/>
    <n v="1"/>
    <n v="6"/>
    <n v="2"/>
    <n v="3"/>
    <n v="2"/>
    <n v="2"/>
    <n v="2"/>
    <n v="2"/>
    <n v="0"/>
    <x v="2"/>
    <x v="0"/>
    <s v="0-5k"/>
    <x v="0"/>
    <x v="0"/>
    <x v="2"/>
  </r>
  <r>
    <n v="39"/>
    <s v="Yes"/>
    <x v="0"/>
    <n v="1122"/>
    <x v="1"/>
    <n v="6"/>
    <n v="3"/>
    <s v="Medical"/>
    <n v="1"/>
    <n v="932"/>
    <n v="4"/>
    <x v="1"/>
    <n v="70"/>
    <n v="3"/>
    <n v="1"/>
    <s v="Laboratory Technician"/>
    <n v="1"/>
    <s v="Married"/>
    <n v="2404"/>
    <n v="4303"/>
    <n v="7"/>
    <s v="Y"/>
    <s v="Yes"/>
    <n v="21"/>
    <x v="1"/>
    <n v="4"/>
    <n v="80"/>
    <n v="0"/>
    <n v="8"/>
    <n v="2"/>
    <n v="1"/>
    <n v="2"/>
    <n v="2"/>
    <n v="2"/>
    <n v="2"/>
    <n v="1"/>
    <x v="0"/>
    <x v="0"/>
    <s v="0-5k"/>
    <x v="0"/>
    <x v="1"/>
    <x v="3"/>
  </r>
  <r>
    <n v="27"/>
    <s v="No"/>
    <x v="0"/>
    <n v="618"/>
    <x v="1"/>
    <n v="4"/>
    <n v="3"/>
    <s v="Life Sciences"/>
    <n v="1"/>
    <n v="933"/>
    <n v="2"/>
    <x v="0"/>
    <n v="76"/>
    <n v="3"/>
    <n v="1"/>
    <s v="Research Scientist"/>
    <n v="3"/>
    <s v="Single"/>
    <n v="2318"/>
    <n v="17808"/>
    <n v="1"/>
    <s v="Y"/>
    <s v="No"/>
    <n v="19"/>
    <x v="0"/>
    <n v="3"/>
    <n v="80"/>
    <n v="0"/>
    <n v="1"/>
    <n v="2"/>
    <n v="3"/>
    <n v="1"/>
    <n v="1"/>
    <n v="0"/>
    <n v="0"/>
    <n v="0"/>
    <x v="2"/>
    <x v="0"/>
    <s v="0-5k"/>
    <x v="0"/>
    <x v="0"/>
    <x v="2"/>
  </r>
  <r>
    <n v="34"/>
    <s v="No"/>
    <x v="0"/>
    <n v="546"/>
    <x v="1"/>
    <n v="10"/>
    <n v="3"/>
    <s v="Life Sciences"/>
    <n v="1"/>
    <n v="934"/>
    <n v="2"/>
    <x v="1"/>
    <n v="83"/>
    <n v="3"/>
    <n v="1"/>
    <s v="Laboratory Technician"/>
    <n v="2"/>
    <s v="Divorced"/>
    <n v="2008"/>
    <n v="6896"/>
    <n v="1"/>
    <s v="Y"/>
    <s v="No"/>
    <n v="14"/>
    <x v="0"/>
    <n v="2"/>
    <n v="80"/>
    <n v="2"/>
    <n v="1"/>
    <n v="3"/>
    <n v="3"/>
    <n v="1"/>
    <n v="0"/>
    <n v="1"/>
    <n v="0"/>
    <n v="0"/>
    <x v="0"/>
    <x v="0"/>
    <s v="0-5k"/>
    <x v="0"/>
    <x v="0"/>
    <x v="1"/>
  </r>
  <r>
    <n v="42"/>
    <s v="No"/>
    <x v="0"/>
    <n v="462"/>
    <x v="0"/>
    <n v="14"/>
    <n v="2"/>
    <s v="Medical"/>
    <n v="1"/>
    <n v="936"/>
    <n v="3"/>
    <x v="0"/>
    <n v="68"/>
    <n v="2"/>
    <n v="2"/>
    <s v="Sales Executive"/>
    <n v="3"/>
    <s v="Single"/>
    <n v="6244"/>
    <n v="7824"/>
    <n v="7"/>
    <s v="Y"/>
    <s v="No"/>
    <n v="17"/>
    <x v="0"/>
    <n v="1"/>
    <n v="80"/>
    <n v="0"/>
    <n v="10"/>
    <n v="6"/>
    <n v="3"/>
    <n v="5"/>
    <n v="4"/>
    <n v="0"/>
    <n v="3"/>
    <n v="0"/>
    <x v="0"/>
    <x v="2"/>
    <s v="5k-10k"/>
    <x v="0"/>
    <x v="0"/>
    <x v="2"/>
  </r>
  <r>
    <n v="33"/>
    <s v="No"/>
    <x v="0"/>
    <n v="1198"/>
    <x v="1"/>
    <n v="1"/>
    <n v="4"/>
    <s v="Other"/>
    <n v="1"/>
    <n v="939"/>
    <n v="3"/>
    <x v="1"/>
    <n v="100"/>
    <n v="2"/>
    <n v="1"/>
    <s v="Research Scientist"/>
    <n v="1"/>
    <s v="Single"/>
    <n v="2799"/>
    <n v="3339"/>
    <n v="3"/>
    <s v="Y"/>
    <s v="Yes"/>
    <n v="11"/>
    <x v="0"/>
    <n v="2"/>
    <n v="80"/>
    <n v="0"/>
    <n v="6"/>
    <n v="1"/>
    <n v="3"/>
    <n v="3"/>
    <n v="2"/>
    <n v="0"/>
    <n v="2"/>
    <n v="0"/>
    <x v="0"/>
    <x v="0"/>
    <s v="0-5k"/>
    <x v="0"/>
    <x v="0"/>
    <x v="3"/>
  </r>
  <r>
    <n v="58"/>
    <s v="No"/>
    <x v="0"/>
    <n v="1272"/>
    <x v="1"/>
    <n v="5"/>
    <n v="3"/>
    <s v="Technical Degree"/>
    <n v="1"/>
    <n v="940"/>
    <n v="3"/>
    <x v="0"/>
    <n v="37"/>
    <n v="2"/>
    <n v="3"/>
    <s v="Healthcare Representative"/>
    <n v="2"/>
    <s v="Divorced"/>
    <n v="10552"/>
    <n v="9255"/>
    <n v="2"/>
    <s v="Y"/>
    <s v="Yes"/>
    <n v="13"/>
    <x v="0"/>
    <n v="4"/>
    <n v="80"/>
    <n v="1"/>
    <n v="24"/>
    <n v="3"/>
    <n v="3"/>
    <n v="6"/>
    <n v="0"/>
    <n v="0"/>
    <n v="4"/>
    <n v="0"/>
    <x v="1"/>
    <x v="0"/>
    <s v="10k-15k"/>
    <x v="0"/>
    <x v="0"/>
    <x v="1"/>
  </r>
  <r>
    <n v="31"/>
    <s v="No"/>
    <x v="0"/>
    <n v="154"/>
    <x v="0"/>
    <n v="7"/>
    <n v="4"/>
    <s v="Life Sciences"/>
    <n v="1"/>
    <n v="941"/>
    <n v="2"/>
    <x v="1"/>
    <n v="41"/>
    <n v="2"/>
    <n v="1"/>
    <s v="Sales Representative"/>
    <n v="3"/>
    <s v="Married"/>
    <n v="2329"/>
    <n v="11737"/>
    <n v="3"/>
    <s v="Y"/>
    <s v="No"/>
    <n v="15"/>
    <x v="0"/>
    <n v="2"/>
    <n v="80"/>
    <n v="0"/>
    <n v="13"/>
    <n v="2"/>
    <n v="4"/>
    <n v="7"/>
    <n v="7"/>
    <n v="5"/>
    <n v="2"/>
    <n v="0"/>
    <x v="0"/>
    <x v="0"/>
    <s v="0-5k"/>
    <x v="0"/>
    <x v="0"/>
    <x v="2"/>
  </r>
  <r>
    <n v="35"/>
    <s v="No"/>
    <x v="0"/>
    <n v="1137"/>
    <x v="1"/>
    <n v="21"/>
    <n v="1"/>
    <s v="Life Sciences"/>
    <n v="1"/>
    <n v="942"/>
    <n v="4"/>
    <x v="0"/>
    <n v="51"/>
    <n v="3"/>
    <n v="2"/>
    <s v="Healthcare Representative"/>
    <n v="4"/>
    <s v="Married"/>
    <n v="4014"/>
    <n v="19170"/>
    <n v="1"/>
    <s v="Y"/>
    <s v="Yes"/>
    <n v="25"/>
    <x v="1"/>
    <n v="4"/>
    <n v="80"/>
    <n v="1"/>
    <n v="10"/>
    <n v="2"/>
    <n v="1"/>
    <n v="10"/>
    <n v="6"/>
    <n v="0"/>
    <n v="7"/>
    <n v="0"/>
    <x v="0"/>
    <x v="1"/>
    <s v="0-5k"/>
    <x v="0"/>
    <x v="1"/>
    <x v="0"/>
  </r>
  <r>
    <n v="49"/>
    <s v="No"/>
    <x v="0"/>
    <n v="527"/>
    <x v="1"/>
    <n v="8"/>
    <n v="2"/>
    <s v="Other"/>
    <n v="1"/>
    <n v="944"/>
    <n v="1"/>
    <x v="0"/>
    <n v="51"/>
    <n v="3"/>
    <n v="3"/>
    <s v="Laboratory Technician"/>
    <n v="2"/>
    <s v="Married"/>
    <n v="7403"/>
    <n v="22477"/>
    <n v="4"/>
    <s v="Y"/>
    <s v="No"/>
    <n v="11"/>
    <x v="0"/>
    <n v="3"/>
    <n v="80"/>
    <n v="1"/>
    <n v="29"/>
    <n v="3"/>
    <n v="2"/>
    <n v="26"/>
    <n v="9"/>
    <n v="1"/>
    <n v="7"/>
    <n v="0"/>
    <x v="1"/>
    <x v="0"/>
    <s v="5k-10k"/>
    <x v="1"/>
    <x v="0"/>
    <x v="1"/>
  </r>
  <r>
    <n v="48"/>
    <s v="No"/>
    <x v="0"/>
    <n v="1469"/>
    <x v="1"/>
    <n v="20"/>
    <n v="4"/>
    <s v="Medical"/>
    <n v="1"/>
    <n v="945"/>
    <n v="4"/>
    <x v="1"/>
    <n v="51"/>
    <n v="3"/>
    <n v="1"/>
    <s v="Research Scientist"/>
    <n v="3"/>
    <s v="Married"/>
    <n v="2259"/>
    <n v="5543"/>
    <n v="4"/>
    <s v="Y"/>
    <s v="No"/>
    <n v="17"/>
    <x v="0"/>
    <n v="1"/>
    <n v="80"/>
    <n v="2"/>
    <n v="13"/>
    <n v="2"/>
    <n v="2"/>
    <n v="0"/>
    <n v="0"/>
    <n v="0"/>
    <n v="0"/>
    <n v="0"/>
    <x v="1"/>
    <x v="2"/>
    <s v="0-5k"/>
    <x v="0"/>
    <x v="0"/>
    <x v="2"/>
  </r>
  <r>
    <n v="31"/>
    <s v="No"/>
    <x v="2"/>
    <n v="1188"/>
    <x v="0"/>
    <n v="20"/>
    <n v="2"/>
    <s v="Marketing"/>
    <n v="1"/>
    <n v="947"/>
    <n v="4"/>
    <x v="0"/>
    <n v="45"/>
    <n v="3"/>
    <n v="2"/>
    <s v="Sales Executive"/>
    <n v="3"/>
    <s v="Married"/>
    <n v="6932"/>
    <n v="24406"/>
    <n v="1"/>
    <s v="Y"/>
    <s v="No"/>
    <n v="13"/>
    <x v="0"/>
    <n v="4"/>
    <n v="80"/>
    <n v="1"/>
    <n v="9"/>
    <n v="2"/>
    <n v="2"/>
    <n v="9"/>
    <n v="8"/>
    <n v="0"/>
    <n v="0"/>
    <n v="0"/>
    <x v="0"/>
    <x v="2"/>
    <s v="5k-10k"/>
    <x v="0"/>
    <x v="0"/>
    <x v="2"/>
  </r>
  <r>
    <n v="36"/>
    <s v="No"/>
    <x v="0"/>
    <n v="188"/>
    <x v="1"/>
    <n v="7"/>
    <n v="4"/>
    <s v="Other"/>
    <n v="1"/>
    <n v="949"/>
    <n v="2"/>
    <x v="1"/>
    <n v="65"/>
    <n v="3"/>
    <n v="1"/>
    <s v="Research Scientist"/>
    <n v="4"/>
    <s v="Single"/>
    <n v="4678"/>
    <n v="23293"/>
    <n v="2"/>
    <s v="Y"/>
    <s v="No"/>
    <n v="18"/>
    <x v="0"/>
    <n v="3"/>
    <n v="80"/>
    <n v="0"/>
    <n v="8"/>
    <n v="6"/>
    <n v="3"/>
    <n v="6"/>
    <n v="2"/>
    <n v="0"/>
    <n v="1"/>
    <n v="0"/>
    <x v="0"/>
    <x v="0"/>
    <s v="0-5k"/>
    <x v="0"/>
    <x v="0"/>
    <x v="0"/>
  </r>
  <r>
    <n v="38"/>
    <s v="No"/>
    <x v="0"/>
    <n v="1333"/>
    <x v="1"/>
    <n v="1"/>
    <n v="3"/>
    <s v="Technical Degree"/>
    <n v="1"/>
    <n v="950"/>
    <n v="4"/>
    <x v="0"/>
    <n v="80"/>
    <n v="3"/>
    <n v="3"/>
    <s v="Research Director"/>
    <n v="1"/>
    <s v="Married"/>
    <n v="13582"/>
    <n v="16292"/>
    <n v="1"/>
    <s v="Y"/>
    <s v="No"/>
    <n v="13"/>
    <x v="0"/>
    <n v="2"/>
    <n v="80"/>
    <n v="1"/>
    <n v="15"/>
    <n v="3"/>
    <n v="3"/>
    <n v="15"/>
    <n v="12"/>
    <n v="5"/>
    <n v="11"/>
    <n v="0"/>
    <x v="0"/>
    <x v="0"/>
    <s v="10k-15k"/>
    <x v="2"/>
    <x v="0"/>
    <x v="3"/>
  </r>
  <r>
    <n v="32"/>
    <s v="No"/>
    <x v="2"/>
    <n v="1184"/>
    <x v="1"/>
    <n v="1"/>
    <n v="3"/>
    <s v="Life Sciences"/>
    <n v="1"/>
    <n v="951"/>
    <n v="3"/>
    <x v="0"/>
    <n v="70"/>
    <n v="2"/>
    <n v="1"/>
    <s v="Laboratory Technician"/>
    <n v="2"/>
    <s v="Married"/>
    <n v="2332"/>
    <n v="3974"/>
    <n v="6"/>
    <s v="Y"/>
    <s v="No"/>
    <n v="20"/>
    <x v="1"/>
    <n v="3"/>
    <n v="80"/>
    <n v="0"/>
    <n v="5"/>
    <n v="3"/>
    <n v="3"/>
    <n v="3"/>
    <n v="0"/>
    <n v="0"/>
    <n v="2"/>
    <n v="0"/>
    <x v="0"/>
    <x v="0"/>
    <s v="0-5k"/>
    <x v="0"/>
    <x v="1"/>
    <x v="1"/>
  </r>
  <r>
    <n v="25"/>
    <s v="Yes"/>
    <x v="0"/>
    <n v="867"/>
    <x v="0"/>
    <n v="19"/>
    <n v="2"/>
    <s v="Marketing"/>
    <n v="1"/>
    <n v="952"/>
    <n v="3"/>
    <x v="1"/>
    <n v="36"/>
    <n v="2"/>
    <n v="1"/>
    <s v="Sales Representative"/>
    <n v="2"/>
    <s v="Married"/>
    <n v="2413"/>
    <n v="18798"/>
    <n v="1"/>
    <s v="Y"/>
    <s v="Yes"/>
    <n v="18"/>
    <x v="0"/>
    <n v="3"/>
    <n v="80"/>
    <n v="3"/>
    <n v="1"/>
    <n v="2"/>
    <n v="3"/>
    <n v="1"/>
    <n v="0"/>
    <n v="0"/>
    <n v="0"/>
    <n v="1"/>
    <x v="2"/>
    <x v="2"/>
    <s v="0-5k"/>
    <x v="0"/>
    <x v="0"/>
    <x v="1"/>
  </r>
  <r>
    <n v="40"/>
    <s v="No"/>
    <x v="0"/>
    <n v="658"/>
    <x v="0"/>
    <n v="10"/>
    <n v="4"/>
    <s v="Marketing"/>
    <n v="1"/>
    <n v="954"/>
    <n v="1"/>
    <x v="1"/>
    <n v="67"/>
    <n v="2"/>
    <n v="3"/>
    <s v="Sales Executive"/>
    <n v="2"/>
    <s v="Divorced"/>
    <n v="9705"/>
    <n v="20652"/>
    <n v="2"/>
    <s v="Y"/>
    <s v="No"/>
    <n v="12"/>
    <x v="0"/>
    <n v="2"/>
    <n v="80"/>
    <n v="1"/>
    <n v="11"/>
    <n v="2"/>
    <n v="2"/>
    <n v="1"/>
    <n v="0"/>
    <n v="0"/>
    <n v="0"/>
    <n v="0"/>
    <x v="0"/>
    <x v="0"/>
    <s v="5k-10k"/>
    <x v="0"/>
    <x v="0"/>
    <x v="1"/>
  </r>
  <r>
    <n v="26"/>
    <s v="No"/>
    <x v="1"/>
    <n v="1283"/>
    <x v="0"/>
    <n v="1"/>
    <n v="3"/>
    <s v="Medical"/>
    <n v="1"/>
    <n v="956"/>
    <n v="3"/>
    <x v="1"/>
    <n v="52"/>
    <n v="2"/>
    <n v="2"/>
    <s v="Sales Executive"/>
    <n v="1"/>
    <s v="Single"/>
    <n v="4294"/>
    <n v="11148"/>
    <n v="1"/>
    <s v="Y"/>
    <s v="No"/>
    <n v="12"/>
    <x v="0"/>
    <n v="2"/>
    <n v="80"/>
    <n v="0"/>
    <n v="7"/>
    <n v="2"/>
    <n v="3"/>
    <n v="7"/>
    <n v="7"/>
    <n v="0"/>
    <n v="7"/>
    <n v="0"/>
    <x v="2"/>
    <x v="0"/>
    <s v="0-5k"/>
    <x v="0"/>
    <x v="0"/>
    <x v="3"/>
  </r>
  <r>
    <n v="41"/>
    <s v="No"/>
    <x v="0"/>
    <n v="263"/>
    <x v="1"/>
    <n v="6"/>
    <n v="3"/>
    <s v="Medical"/>
    <n v="1"/>
    <n v="957"/>
    <n v="4"/>
    <x v="1"/>
    <n v="59"/>
    <n v="3"/>
    <n v="1"/>
    <s v="Laboratory Technician"/>
    <n v="1"/>
    <s v="Single"/>
    <n v="4721"/>
    <n v="3119"/>
    <n v="2"/>
    <s v="Y"/>
    <s v="Yes"/>
    <n v="13"/>
    <x v="0"/>
    <n v="3"/>
    <n v="80"/>
    <n v="0"/>
    <n v="20"/>
    <n v="3"/>
    <n v="3"/>
    <n v="18"/>
    <n v="13"/>
    <n v="2"/>
    <n v="17"/>
    <n v="0"/>
    <x v="0"/>
    <x v="0"/>
    <s v="0-5k"/>
    <x v="2"/>
    <x v="0"/>
    <x v="3"/>
  </r>
  <r>
    <n v="36"/>
    <s v="No"/>
    <x v="0"/>
    <n v="938"/>
    <x v="1"/>
    <n v="2"/>
    <n v="4"/>
    <s v="Medical"/>
    <n v="1"/>
    <n v="958"/>
    <n v="3"/>
    <x v="1"/>
    <n v="79"/>
    <n v="3"/>
    <n v="1"/>
    <s v="Laboratory Technician"/>
    <n v="3"/>
    <s v="Single"/>
    <n v="2519"/>
    <n v="12287"/>
    <n v="4"/>
    <s v="Y"/>
    <s v="No"/>
    <n v="21"/>
    <x v="1"/>
    <n v="3"/>
    <n v="80"/>
    <n v="0"/>
    <n v="16"/>
    <n v="6"/>
    <n v="3"/>
    <n v="11"/>
    <n v="8"/>
    <n v="3"/>
    <n v="9"/>
    <n v="0"/>
    <x v="0"/>
    <x v="0"/>
    <s v="0-5k"/>
    <x v="2"/>
    <x v="1"/>
    <x v="2"/>
  </r>
  <r>
    <n v="19"/>
    <s v="Yes"/>
    <x v="0"/>
    <n v="419"/>
    <x v="0"/>
    <n v="21"/>
    <n v="3"/>
    <s v="Other"/>
    <n v="1"/>
    <n v="959"/>
    <n v="4"/>
    <x v="1"/>
    <n v="37"/>
    <n v="2"/>
    <n v="1"/>
    <s v="Sales Representative"/>
    <n v="2"/>
    <s v="Single"/>
    <n v="2121"/>
    <n v="9947"/>
    <n v="1"/>
    <s v="Y"/>
    <s v="Yes"/>
    <n v="13"/>
    <x v="0"/>
    <n v="2"/>
    <n v="80"/>
    <n v="0"/>
    <n v="1"/>
    <n v="3"/>
    <n v="4"/>
    <n v="1"/>
    <n v="0"/>
    <n v="0"/>
    <n v="0"/>
    <n v="1"/>
    <x v="2"/>
    <x v="1"/>
    <s v="0-5k"/>
    <x v="0"/>
    <x v="0"/>
    <x v="1"/>
  </r>
  <r>
    <n v="20"/>
    <s v="Yes"/>
    <x v="0"/>
    <n v="129"/>
    <x v="1"/>
    <n v="4"/>
    <n v="3"/>
    <s v="Technical Degree"/>
    <n v="1"/>
    <n v="960"/>
    <n v="1"/>
    <x v="1"/>
    <n v="84"/>
    <n v="3"/>
    <n v="1"/>
    <s v="Laboratory Technician"/>
    <n v="1"/>
    <s v="Single"/>
    <n v="2973"/>
    <n v="13008"/>
    <n v="1"/>
    <s v="Y"/>
    <s v="No"/>
    <n v="19"/>
    <x v="0"/>
    <n v="2"/>
    <n v="80"/>
    <n v="0"/>
    <n v="1"/>
    <n v="2"/>
    <n v="3"/>
    <n v="1"/>
    <n v="0"/>
    <n v="0"/>
    <n v="0"/>
    <n v="1"/>
    <x v="2"/>
    <x v="0"/>
    <s v="0-5k"/>
    <x v="0"/>
    <x v="0"/>
    <x v="3"/>
  </r>
  <r>
    <n v="31"/>
    <s v="No"/>
    <x v="0"/>
    <n v="616"/>
    <x v="1"/>
    <n v="12"/>
    <n v="3"/>
    <s v="Medical"/>
    <n v="1"/>
    <n v="961"/>
    <n v="4"/>
    <x v="0"/>
    <n v="41"/>
    <n v="3"/>
    <n v="2"/>
    <s v="Healthcare Representative"/>
    <n v="4"/>
    <s v="Married"/>
    <n v="5855"/>
    <n v="17369"/>
    <n v="0"/>
    <s v="Y"/>
    <s v="Yes"/>
    <n v="11"/>
    <x v="0"/>
    <n v="3"/>
    <n v="80"/>
    <n v="2"/>
    <n v="10"/>
    <n v="2"/>
    <n v="1"/>
    <n v="9"/>
    <n v="7"/>
    <n v="8"/>
    <n v="5"/>
    <n v="0"/>
    <x v="0"/>
    <x v="2"/>
    <s v="5k-10k"/>
    <x v="0"/>
    <x v="0"/>
    <x v="0"/>
  </r>
  <r>
    <n v="40"/>
    <s v="No"/>
    <x v="1"/>
    <n v="1469"/>
    <x v="1"/>
    <n v="9"/>
    <n v="4"/>
    <s v="Medical"/>
    <n v="1"/>
    <n v="964"/>
    <n v="4"/>
    <x v="1"/>
    <n v="35"/>
    <n v="3"/>
    <n v="1"/>
    <s v="Research Scientist"/>
    <n v="2"/>
    <s v="Divorced"/>
    <n v="3617"/>
    <n v="25063"/>
    <n v="8"/>
    <s v="Y"/>
    <s v="Yes"/>
    <n v="14"/>
    <x v="0"/>
    <n v="4"/>
    <n v="80"/>
    <n v="1"/>
    <n v="3"/>
    <n v="2"/>
    <n v="3"/>
    <n v="1"/>
    <n v="1"/>
    <n v="0"/>
    <n v="0"/>
    <n v="0"/>
    <x v="0"/>
    <x v="0"/>
    <s v="0-5k"/>
    <x v="0"/>
    <x v="0"/>
    <x v="1"/>
  </r>
  <r>
    <n v="32"/>
    <s v="No"/>
    <x v="0"/>
    <n v="498"/>
    <x v="1"/>
    <n v="3"/>
    <n v="4"/>
    <s v="Medical"/>
    <n v="1"/>
    <n v="966"/>
    <n v="3"/>
    <x v="0"/>
    <n v="93"/>
    <n v="3"/>
    <n v="2"/>
    <s v="Manufacturing Director"/>
    <n v="1"/>
    <s v="Married"/>
    <n v="6725"/>
    <n v="13554"/>
    <n v="1"/>
    <s v="Y"/>
    <s v="No"/>
    <n v="12"/>
    <x v="0"/>
    <n v="3"/>
    <n v="80"/>
    <n v="1"/>
    <n v="8"/>
    <n v="2"/>
    <n v="4"/>
    <n v="8"/>
    <n v="7"/>
    <n v="6"/>
    <n v="3"/>
    <n v="0"/>
    <x v="0"/>
    <x v="0"/>
    <s v="5k-10k"/>
    <x v="0"/>
    <x v="0"/>
    <x v="3"/>
  </r>
  <r>
    <n v="36"/>
    <s v="Yes"/>
    <x v="0"/>
    <n v="530"/>
    <x v="0"/>
    <n v="3"/>
    <n v="1"/>
    <s v="Life Sciences"/>
    <n v="1"/>
    <n v="967"/>
    <n v="3"/>
    <x v="1"/>
    <n v="51"/>
    <n v="2"/>
    <n v="3"/>
    <s v="Sales Executive"/>
    <n v="4"/>
    <s v="Married"/>
    <n v="10325"/>
    <n v="5518"/>
    <n v="1"/>
    <s v="Y"/>
    <s v="Yes"/>
    <n v="11"/>
    <x v="0"/>
    <n v="1"/>
    <n v="80"/>
    <n v="1"/>
    <n v="16"/>
    <n v="6"/>
    <n v="3"/>
    <n v="16"/>
    <n v="7"/>
    <n v="3"/>
    <n v="7"/>
    <n v="1"/>
    <x v="0"/>
    <x v="0"/>
    <s v="10k-15k"/>
    <x v="2"/>
    <x v="0"/>
    <x v="0"/>
  </r>
  <r>
    <n v="33"/>
    <s v="No"/>
    <x v="0"/>
    <n v="1069"/>
    <x v="1"/>
    <n v="1"/>
    <n v="3"/>
    <s v="Life Sciences"/>
    <n v="1"/>
    <n v="969"/>
    <n v="2"/>
    <x v="0"/>
    <n v="42"/>
    <n v="2"/>
    <n v="2"/>
    <s v="Healthcare Representative"/>
    <n v="4"/>
    <s v="Single"/>
    <n v="6949"/>
    <n v="12291"/>
    <n v="0"/>
    <s v="Y"/>
    <s v="No"/>
    <n v="14"/>
    <x v="0"/>
    <n v="1"/>
    <n v="80"/>
    <n v="0"/>
    <n v="6"/>
    <n v="3"/>
    <n v="3"/>
    <n v="5"/>
    <n v="0"/>
    <n v="1"/>
    <n v="4"/>
    <n v="0"/>
    <x v="0"/>
    <x v="0"/>
    <s v="5k-10k"/>
    <x v="0"/>
    <x v="0"/>
    <x v="0"/>
  </r>
  <r>
    <n v="37"/>
    <s v="Yes"/>
    <x v="0"/>
    <n v="625"/>
    <x v="0"/>
    <n v="1"/>
    <n v="4"/>
    <s v="Life Sciences"/>
    <n v="1"/>
    <n v="970"/>
    <n v="1"/>
    <x v="1"/>
    <n v="46"/>
    <n v="2"/>
    <n v="3"/>
    <s v="Sales Executive"/>
    <n v="3"/>
    <s v="Married"/>
    <n v="10609"/>
    <n v="14922"/>
    <n v="5"/>
    <s v="Y"/>
    <s v="No"/>
    <n v="11"/>
    <x v="0"/>
    <n v="3"/>
    <n v="80"/>
    <n v="0"/>
    <n v="17"/>
    <n v="2"/>
    <n v="1"/>
    <n v="14"/>
    <n v="1"/>
    <n v="11"/>
    <n v="7"/>
    <n v="1"/>
    <x v="0"/>
    <x v="0"/>
    <s v="10k-15k"/>
    <x v="2"/>
    <x v="0"/>
    <x v="2"/>
  </r>
  <r>
    <n v="45"/>
    <s v="No"/>
    <x v="2"/>
    <n v="805"/>
    <x v="1"/>
    <n v="4"/>
    <n v="2"/>
    <s v="Life Sciences"/>
    <n v="1"/>
    <n v="972"/>
    <n v="3"/>
    <x v="1"/>
    <n v="57"/>
    <n v="3"/>
    <n v="2"/>
    <s v="Laboratory Technician"/>
    <n v="2"/>
    <s v="Married"/>
    <n v="4447"/>
    <n v="23163"/>
    <n v="1"/>
    <s v="Y"/>
    <s v="No"/>
    <n v="12"/>
    <x v="0"/>
    <n v="2"/>
    <n v="80"/>
    <n v="0"/>
    <n v="9"/>
    <n v="5"/>
    <n v="2"/>
    <n v="9"/>
    <n v="7"/>
    <n v="0"/>
    <n v="8"/>
    <n v="0"/>
    <x v="0"/>
    <x v="0"/>
    <s v="0-5k"/>
    <x v="0"/>
    <x v="0"/>
    <x v="1"/>
  </r>
  <r>
    <n v="29"/>
    <s v="No"/>
    <x v="1"/>
    <n v="1404"/>
    <x v="0"/>
    <n v="20"/>
    <n v="3"/>
    <s v="Technical Degree"/>
    <n v="1"/>
    <n v="974"/>
    <n v="3"/>
    <x v="0"/>
    <n v="84"/>
    <n v="3"/>
    <n v="1"/>
    <s v="Sales Representative"/>
    <n v="4"/>
    <s v="Married"/>
    <n v="2157"/>
    <n v="18203"/>
    <n v="1"/>
    <s v="Y"/>
    <s v="No"/>
    <n v="15"/>
    <x v="0"/>
    <n v="2"/>
    <n v="80"/>
    <n v="1"/>
    <n v="3"/>
    <n v="5"/>
    <n v="3"/>
    <n v="3"/>
    <n v="1"/>
    <n v="0"/>
    <n v="2"/>
    <n v="0"/>
    <x v="2"/>
    <x v="2"/>
    <s v="0-5k"/>
    <x v="0"/>
    <x v="0"/>
    <x v="0"/>
  </r>
  <r>
    <n v="35"/>
    <s v="No"/>
    <x v="0"/>
    <n v="1219"/>
    <x v="0"/>
    <n v="18"/>
    <n v="3"/>
    <s v="Medical"/>
    <n v="1"/>
    <n v="975"/>
    <n v="3"/>
    <x v="0"/>
    <n v="86"/>
    <n v="3"/>
    <n v="2"/>
    <s v="Sales Executive"/>
    <n v="3"/>
    <s v="Married"/>
    <n v="4601"/>
    <n v="6179"/>
    <n v="1"/>
    <s v="Y"/>
    <s v="No"/>
    <n v="16"/>
    <x v="0"/>
    <n v="2"/>
    <n v="80"/>
    <n v="0"/>
    <n v="5"/>
    <n v="3"/>
    <n v="3"/>
    <n v="5"/>
    <n v="2"/>
    <n v="1"/>
    <n v="0"/>
    <n v="0"/>
    <x v="0"/>
    <x v="2"/>
    <s v="0-5k"/>
    <x v="0"/>
    <x v="0"/>
    <x v="2"/>
  </r>
  <r>
    <n v="52"/>
    <s v="No"/>
    <x v="0"/>
    <n v="1053"/>
    <x v="1"/>
    <n v="1"/>
    <n v="2"/>
    <s v="Life Sciences"/>
    <n v="1"/>
    <n v="976"/>
    <n v="4"/>
    <x v="1"/>
    <n v="70"/>
    <n v="3"/>
    <n v="4"/>
    <s v="Manager"/>
    <n v="4"/>
    <s v="Married"/>
    <n v="17099"/>
    <n v="13829"/>
    <n v="2"/>
    <s v="Y"/>
    <s v="No"/>
    <n v="15"/>
    <x v="0"/>
    <n v="2"/>
    <n v="80"/>
    <n v="1"/>
    <n v="26"/>
    <n v="2"/>
    <n v="2"/>
    <n v="9"/>
    <n v="8"/>
    <n v="7"/>
    <n v="8"/>
    <n v="0"/>
    <x v="1"/>
    <x v="0"/>
    <s v="15k+"/>
    <x v="0"/>
    <x v="0"/>
    <x v="0"/>
  </r>
  <r>
    <n v="58"/>
    <s v="Yes"/>
    <x v="0"/>
    <n v="289"/>
    <x v="1"/>
    <n v="2"/>
    <n v="3"/>
    <s v="Technical Degree"/>
    <n v="1"/>
    <n v="977"/>
    <n v="4"/>
    <x v="1"/>
    <n v="51"/>
    <n v="3"/>
    <n v="1"/>
    <s v="Research Scientist"/>
    <n v="3"/>
    <s v="Single"/>
    <n v="2479"/>
    <n v="26227"/>
    <n v="4"/>
    <s v="Y"/>
    <s v="No"/>
    <n v="24"/>
    <x v="1"/>
    <n v="1"/>
    <n v="80"/>
    <n v="0"/>
    <n v="7"/>
    <n v="4"/>
    <n v="3"/>
    <n v="1"/>
    <n v="0"/>
    <n v="0"/>
    <n v="0"/>
    <n v="1"/>
    <x v="1"/>
    <x v="0"/>
    <s v="0-5k"/>
    <x v="0"/>
    <x v="1"/>
    <x v="2"/>
  </r>
  <r>
    <n v="53"/>
    <s v="No"/>
    <x v="0"/>
    <n v="1376"/>
    <x v="0"/>
    <n v="2"/>
    <n v="2"/>
    <s v="Medical"/>
    <n v="1"/>
    <n v="981"/>
    <n v="3"/>
    <x v="1"/>
    <n v="45"/>
    <n v="3"/>
    <n v="4"/>
    <s v="Manager"/>
    <n v="3"/>
    <s v="Divorced"/>
    <n v="14852"/>
    <n v="13938"/>
    <n v="6"/>
    <s v="Y"/>
    <s v="No"/>
    <n v="13"/>
    <x v="0"/>
    <n v="3"/>
    <n v="80"/>
    <n v="1"/>
    <n v="22"/>
    <n v="3"/>
    <n v="4"/>
    <n v="17"/>
    <n v="13"/>
    <n v="15"/>
    <n v="2"/>
    <n v="0"/>
    <x v="1"/>
    <x v="0"/>
    <s v="10k-15k"/>
    <x v="2"/>
    <x v="0"/>
    <x v="2"/>
  </r>
  <r>
    <n v="30"/>
    <s v="No"/>
    <x v="0"/>
    <n v="231"/>
    <x v="0"/>
    <n v="8"/>
    <n v="2"/>
    <s v="Other"/>
    <n v="1"/>
    <n v="982"/>
    <n v="3"/>
    <x v="1"/>
    <n v="62"/>
    <n v="3"/>
    <n v="3"/>
    <s v="Sales Executive"/>
    <n v="3"/>
    <s v="Divorced"/>
    <n v="7264"/>
    <n v="9977"/>
    <n v="5"/>
    <s v="Y"/>
    <s v="No"/>
    <n v="11"/>
    <x v="0"/>
    <n v="1"/>
    <n v="80"/>
    <n v="1"/>
    <n v="10"/>
    <n v="2"/>
    <n v="4"/>
    <n v="8"/>
    <n v="4"/>
    <n v="7"/>
    <n v="7"/>
    <n v="0"/>
    <x v="2"/>
    <x v="0"/>
    <s v="5k-10k"/>
    <x v="0"/>
    <x v="0"/>
    <x v="2"/>
  </r>
  <r>
    <n v="38"/>
    <s v="No"/>
    <x v="2"/>
    <n v="152"/>
    <x v="0"/>
    <n v="10"/>
    <n v="3"/>
    <s v="Technical Degree"/>
    <n v="1"/>
    <n v="983"/>
    <n v="3"/>
    <x v="0"/>
    <n v="85"/>
    <n v="3"/>
    <n v="2"/>
    <s v="Sales Executive"/>
    <n v="4"/>
    <s v="Single"/>
    <n v="5666"/>
    <n v="19899"/>
    <n v="1"/>
    <s v="Y"/>
    <s v="Yes"/>
    <n v="13"/>
    <x v="0"/>
    <n v="2"/>
    <n v="80"/>
    <n v="0"/>
    <n v="6"/>
    <n v="1"/>
    <n v="3"/>
    <n v="5"/>
    <n v="3"/>
    <n v="1"/>
    <n v="3"/>
    <n v="0"/>
    <x v="0"/>
    <x v="0"/>
    <s v="5k-10k"/>
    <x v="0"/>
    <x v="0"/>
    <x v="0"/>
  </r>
  <r>
    <n v="35"/>
    <s v="No"/>
    <x v="0"/>
    <n v="882"/>
    <x v="0"/>
    <n v="3"/>
    <n v="4"/>
    <s v="Life Sciences"/>
    <n v="1"/>
    <n v="984"/>
    <n v="4"/>
    <x v="1"/>
    <n v="92"/>
    <n v="3"/>
    <n v="3"/>
    <s v="Sales Executive"/>
    <n v="4"/>
    <s v="Divorced"/>
    <n v="7823"/>
    <n v="6812"/>
    <n v="6"/>
    <s v="Y"/>
    <s v="No"/>
    <n v="13"/>
    <x v="0"/>
    <n v="2"/>
    <n v="80"/>
    <n v="1"/>
    <n v="12"/>
    <n v="2"/>
    <n v="3"/>
    <n v="10"/>
    <n v="9"/>
    <n v="0"/>
    <n v="8"/>
    <n v="0"/>
    <x v="0"/>
    <x v="0"/>
    <s v="5k-10k"/>
    <x v="0"/>
    <x v="0"/>
    <x v="0"/>
  </r>
  <r>
    <n v="39"/>
    <s v="No"/>
    <x v="0"/>
    <n v="903"/>
    <x v="0"/>
    <n v="2"/>
    <n v="5"/>
    <s v="Life Sciences"/>
    <n v="1"/>
    <n v="985"/>
    <n v="1"/>
    <x v="1"/>
    <n v="41"/>
    <n v="4"/>
    <n v="3"/>
    <s v="Sales Executive"/>
    <n v="3"/>
    <s v="Single"/>
    <n v="7880"/>
    <n v="2560"/>
    <n v="0"/>
    <s v="Y"/>
    <s v="No"/>
    <n v="18"/>
    <x v="0"/>
    <n v="4"/>
    <n v="80"/>
    <n v="0"/>
    <n v="9"/>
    <n v="3"/>
    <n v="3"/>
    <n v="8"/>
    <n v="7"/>
    <n v="0"/>
    <n v="7"/>
    <n v="0"/>
    <x v="0"/>
    <x v="0"/>
    <s v="5k-10k"/>
    <x v="0"/>
    <x v="0"/>
    <x v="2"/>
  </r>
  <r>
    <n v="40"/>
    <s v="Yes"/>
    <x v="2"/>
    <n v="1479"/>
    <x v="0"/>
    <n v="24"/>
    <n v="3"/>
    <s v="Life Sciences"/>
    <n v="1"/>
    <n v="986"/>
    <n v="2"/>
    <x v="0"/>
    <n v="100"/>
    <n v="4"/>
    <n v="4"/>
    <s v="Sales Executive"/>
    <n v="2"/>
    <s v="Single"/>
    <n v="13194"/>
    <n v="17071"/>
    <n v="4"/>
    <s v="Y"/>
    <s v="Yes"/>
    <n v="16"/>
    <x v="0"/>
    <n v="4"/>
    <n v="80"/>
    <n v="0"/>
    <n v="22"/>
    <n v="2"/>
    <n v="2"/>
    <n v="1"/>
    <n v="0"/>
    <n v="0"/>
    <n v="0"/>
    <n v="1"/>
    <x v="0"/>
    <x v="1"/>
    <s v="10k-15k"/>
    <x v="0"/>
    <x v="0"/>
    <x v="1"/>
  </r>
  <r>
    <n v="47"/>
    <s v="No"/>
    <x v="1"/>
    <n v="1379"/>
    <x v="1"/>
    <n v="16"/>
    <n v="4"/>
    <s v="Medical"/>
    <n v="1"/>
    <n v="987"/>
    <n v="3"/>
    <x v="1"/>
    <n v="64"/>
    <n v="4"/>
    <n v="2"/>
    <s v="Manufacturing Director"/>
    <n v="3"/>
    <s v="Divorced"/>
    <n v="5067"/>
    <n v="6759"/>
    <n v="1"/>
    <s v="Y"/>
    <s v="Yes"/>
    <n v="19"/>
    <x v="0"/>
    <n v="3"/>
    <n v="80"/>
    <n v="0"/>
    <n v="20"/>
    <n v="3"/>
    <n v="4"/>
    <n v="19"/>
    <n v="10"/>
    <n v="2"/>
    <n v="7"/>
    <n v="0"/>
    <x v="1"/>
    <x v="2"/>
    <s v="5k-10k"/>
    <x v="2"/>
    <x v="0"/>
    <x v="2"/>
  </r>
  <r>
    <n v="36"/>
    <s v="No"/>
    <x v="2"/>
    <n v="1229"/>
    <x v="0"/>
    <n v="8"/>
    <n v="4"/>
    <s v="Technical Degree"/>
    <n v="1"/>
    <n v="990"/>
    <n v="1"/>
    <x v="1"/>
    <n v="84"/>
    <n v="3"/>
    <n v="2"/>
    <s v="Sales Executive"/>
    <n v="4"/>
    <s v="Divorced"/>
    <n v="5079"/>
    <n v="25952"/>
    <n v="4"/>
    <s v="Y"/>
    <s v="No"/>
    <n v="13"/>
    <x v="0"/>
    <n v="4"/>
    <n v="80"/>
    <n v="2"/>
    <n v="12"/>
    <n v="3"/>
    <n v="3"/>
    <n v="7"/>
    <n v="7"/>
    <n v="0"/>
    <n v="7"/>
    <n v="0"/>
    <x v="0"/>
    <x v="0"/>
    <s v="5k-10k"/>
    <x v="0"/>
    <x v="0"/>
    <x v="0"/>
  </r>
  <r>
    <n v="31"/>
    <s v="Yes"/>
    <x v="2"/>
    <n v="335"/>
    <x v="1"/>
    <n v="9"/>
    <n v="2"/>
    <s v="Medical"/>
    <n v="1"/>
    <n v="991"/>
    <n v="3"/>
    <x v="1"/>
    <n v="46"/>
    <n v="2"/>
    <n v="1"/>
    <s v="Research Scientist"/>
    <n v="1"/>
    <s v="Single"/>
    <n v="2321"/>
    <n v="10322"/>
    <n v="0"/>
    <s v="Y"/>
    <s v="Yes"/>
    <n v="22"/>
    <x v="1"/>
    <n v="1"/>
    <n v="80"/>
    <n v="0"/>
    <n v="4"/>
    <n v="0"/>
    <n v="3"/>
    <n v="3"/>
    <n v="2"/>
    <n v="1"/>
    <n v="2"/>
    <n v="1"/>
    <x v="0"/>
    <x v="0"/>
    <s v="0-5k"/>
    <x v="0"/>
    <x v="1"/>
    <x v="3"/>
  </r>
  <r>
    <n v="33"/>
    <s v="No"/>
    <x v="2"/>
    <n v="722"/>
    <x v="0"/>
    <n v="17"/>
    <n v="3"/>
    <s v="Life Sciences"/>
    <n v="1"/>
    <n v="992"/>
    <n v="4"/>
    <x v="1"/>
    <n v="38"/>
    <n v="3"/>
    <n v="4"/>
    <s v="Manager"/>
    <n v="3"/>
    <s v="Single"/>
    <n v="17444"/>
    <n v="20489"/>
    <n v="1"/>
    <s v="Y"/>
    <s v="No"/>
    <n v="11"/>
    <x v="0"/>
    <n v="4"/>
    <n v="80"/>
    <n v="0"/>
    <n v="10"/>
    <n v="2"/>
    <n v="3"/>
    <n v="10"/>
    <n v="8"/>
    <n v="6"/>
    <n v="0"/>
    <n v="0"/>
    <x v="0"/>
    <x v="2"/>
    <s v="15k+"/>
    <x v="0"/>
    <x v="0"/>
    <x v="2"/>
  </r>
  <r>
    <n v="29"/>
    <s v="Yes"/>
    <x v="0"/>
    <n v="906"/>
    <x v="1"/>
    <n v="10"/>
    <n v="3"/>
    <s v="Life Sciences"/>
    <n v="1"/>
    <n v="994"/>
    <n v="4"/>
    <x v="0"/>
    <n v="92"/>
    <n v="2"/>
    <n v="1"/>
    <s v="Research Scientist"/>
    <n v="1"/>
    <s v="Single"/>
    <n v="2404"/>
    <n v="11479"/>
    <n v="6"/>
    <s v="Y"/>
    <s v="Yes"/>
    <n v="20"/>
    <x v="1"/>
    <n v="3"/>
    <n v="80"/>
    <n v="0"/>
    <n v="3"/>
    <n v="5"/>
    <n v="3"/>
    <n v="0"/>
    <n v="0"/>
    <n v="0"/>
    <n v="0"/>
    <n v="1"/>
    <x v="2"/>
    <x v="0"/>
    <s v="0-5k"/>
    <x v="0"/>
    <x v="1"/>
    <x v="3"/>
  </r>
  <r>
    <n v="33"/>
    <s v="No"/>
    <x v="0"/>
    <n v="461"/>
    <x v="1"/>
    <n v="13"/>
    <n v="1"/>
    <s v="Life Sciences"/>
    <n v="1"/>
    <n v="995"/>
    <n v="2"/>
    <x v="0"/>
    <n v="53"/>
    <n v="3"/>
    <n v="1"/>
    <s v="Research Scientist"/>
    <n v="4"/>
    <s v="Single"/>
    <n v="3452"/>
    <n v="17241"/>
    <n v="3"/>
    <s v="Y"/>
    <s v="No"/>
    <n v="18"/>
    <x v="0"/>
    <n v="1"/>
    <n v="80"/>
    <n v="0"/>
    <n v="5"/>
    <n v="4"/>
    <n v="3"/>
    <n v="3"/>
    <n v="2"/>
    <n v="0"/>
    <n v="2"/>
    <n v="0"/>
    <x v="0"/>
    <x v="2"/>
    <s v="0-5k"/>
    <x v="0"/>
    <x v="0"/>
    <x v="0"/>
  </r>
  <r>
    <n v="45"/>
    <s v="No"/>
    <x v="0"/>
    <n v="974"/>
    <x v="1"/>
    <n v="1"/>
    <n v="4"/>
    <s v="Medical"/>
    <n v="1"/>
    <n v="996"/>
    <n v="4"/>
    <x v="0"/>
    <n v="91"/>
    <n v="3"/>
    <n v="1"/>
    <s v="Laboratory Technician"/>
    <n v="4"/>
    <s v="Divorced"/>
    <n v="2270"/>
    <n v="11005"/>
    <n v="3"/>
    <s v="Y"/>
    <s v="No"/>
    <n v="14"/>
    <x v="0"/>
    <n v="4"/>
    <n v="80"/>
    <n v="2"/>
    <n v="8"/>
    <n v="2"/>
    <n v="3"/>
    <n v="5"/>
    <n v="3"/>
    <n v="0"/>
    <n v="2"/>
    <n v="0"/>
    <x v="0"/>
    <x v="0"/>
    <s v="0-5k"/>
    <x v="0"/>
    <x v="0"/>
    <x v="0"/>
  </r>
  <r>
    <n v="50"/>
    <s v="No"/>
    <x v="0"/>
    <n v="1126"/>
    <x v="1"/>
    <n v="1"/>
    <n v="2"/>
    <s v="Medical"/>
    <n v="1"/>
    <n v="997"/>
    <n v="4"/>
    <x v="1"/>
    <n v="66"/>
    <n v="3"/>
    <n v="4"/>
    <s v="Research Director"/>
    <n v="4"/>
    <s v="Divorced"/>
    <n v="17399"/>
    <n v="6615"/>
    <n v="9"/>
    <s v="Y"/>
    <s v="No"/>
    <n v="22"/>
    <x v="1"/>
    <n v="3"/>
    <n v="80"/>
    <n v="1"/>
    <n v="32"/>
    <n v="1"/>
    <n v="2"/>
    <n v="5"/>
    <n v="4"/>
    <n v="1"/>
    <n v="3"/>
    <n v="0"/>
    <x v="1"/>
    <x v="0"/>
    <s v="15k+"/>
    <x v="0"/>
    <x v="1"/>
    <x v="0"/>
  </r>
  <r>
    <n v="33"/>
    <s v="No"/>
    <x v="1"/>
    <n v="827"/>
    <x v="1"/>
    <n v="1"/>
    <n v="4"/>
    <s v="Other"/>
    <n v="1"/>
    <n v="998"/>
    <n v="3"/>
    <x v="0"/>
    <n v="84"/>
    <n v="4"/>
    <n v="2"/>
    <s v="Healthcare Representative"/>
    <n v="2"/>
    <s v="Married"/>
    <n v="5488"/>
    <n v="20161"/>
    <n v="1"/>
    <s v="Y"/>
    <s v="Yes"/>
    <n v="13"/>
    <x v="0"/>
    <n v="1"/>
    <n v="80"/>
    <n v="1"/>
    <n v="6"/>
    <n v="2"/>
    <n v="3"/>
    <n v="6"/>
    <n v="5"/>
    <n v="1"/>
    <n v="2"/>
    <n v="0"/>
    <x v="0"/>
    <x v="0"/>
    <s v="5k-10k"/>
    <x v="0"/>
    <x v="0"/>
    <x v="1"/>
  </r>
  <r>
    <n v="41"/>
    <s v="No"/>
    <x v="1"/>
    <n v="840"/>
    <x v="1"/>
    <n v="9"/>
    <n v="3"/>
    <s v="Medical"/>
    <n v="1"/>
    <n v="999"/>
    <n v="1"/>
    <x v="1"/>
    <n v="64"/>
    <n v="3"/>
    <n v="5"/>
    <s v="Research Director"/>
    <n v="3"/>
    <s v="Divorced"/>
    <n v="19419"/>
    <n v="3735"/>
    <n v="2"/>
    <s v="Y"/>
    <s v="No"/>
    <n v="17"/>
    <x v="0"/>
    <n v="2"/>
    <n v="80"/>
    <n v="1"/>
    <n v="21"/>
    <n v="2"/>
    <n v="4"/>
    <n v="18"/>
    <n v="16"/>
    <n v="0"/>
    <n v="11"/>
    <n v="0"/>
    <x v="0"/>
    <x v="0"/>
    <s v="15k+"/>
    <x v="2"/>
    <x v="0"/>
    <x v="2"/>
  </r>
  <r>
    <n v="27"/>
    <s v="No"/>
    <x v="0"/>
    <n v="1134"/>
    <x v="1"/>
    <n v="16"/>
    <n v="4"/>
    <s v="Technical Degree"/>
    <n v="1"/>
    <n v="1001"/>
    <n v="3"/>
    <x v="0"/>
    <n v="37"/>
    <n v="3"/>
    <n v="1"/>
    <s v="Laboratory Technician"/>
    <n v="2"/>
    <s v="Married"/>
    <n v="2811"/>
    <n v="12086"/>
    <n v="9"/>
    <s v="Y"/>
    <s v="No"/>
    <n v="14"/>
    <x v="0"/>
    <n v="2"/>
    <n v="80"/>
    <n v="1"/>
    <n v="4"/>
    <n v="2"/>
    <n v="3"/>
    <n v="2"/>
    <n v="2"/>
    <n v="2"/>
    <n v="2"/>
    <n v="0"/>
    <x v="2"/>
    <x v="2"/>
    <s v="0-5k"/>
    <x v="0"/>
    <x v="0"/>
    <x v="1"/>
  </r>
  <r>
    <n v="45"/>
    <s v="No"/>
    <x v="2"/>
    <n v="248"/>
    <x v="1"/>
    <n v="23"/>
    <n v="2"/>
    <s v="Life Sciences"/>
    <n v="1"/>
    <n v="1002"/>
    <n v="4"/>
    <x v="1"/>
    <n v="42"/>
    <n v="3"/>
    <n v="2"/>
    <s v="Laboratory Technician"/>
    <n v="1"/>
    <s v="Married"/>
    <n v="3633"/>
    <n v="14039"/>
    <n v="1"/>
    <s v="Y"/>
    <s v="Yes"/>
    <n v="15"/>
    <x v="0"/>
    <n v="3"/>
    <n v="80"/>
    <n v="1"/>
    <n v="9"/>
    <n v="2"/>
    <n v="3"/>
    <n v="9"/>
    <n v="8"/>
    <n v="0"/>
    <n v="8"/>
    <n v="0"/>
    <x v="0"/>
    <x v="1"/>
    <s v="0-5k"/>
    <x v="0"/>
    <x v="0"/>
    <x v="3"/>
  </r>
  <r>
    <n v="47"/>
    <s v="No"/>
    <x v="0"/>
    <n v="955"/>
    <x v="0"/>
    <n v="4"/>
    <n v="2"/>
    <s v="Life Sciences"/>
    <n v="1"/>
    <n v="1003"/>
    <n v="4"/>
    <x v="0"/>
    <n v="83"/>
    <n v="3"/>
    <n v="2"/>
    <s v="Sales Executive"/>
    <n v="4"/>
    <s v="Single"/>
    <n v="4163"/>
    <n v="8571"/>
    <n v="1"/>
    <s v="Y"/>
    <s v="Yes"/>
    <n v="17"/>
    <x v="0"/>
    <n v="3"/>
    <n v="80"/>
    <n v="0"/>
    <n v="9"/>
    <n v="0"/>
    <n v="3"/>
    <n v="9"/>
    <n v="0"/>
    <n v="0"/>
    <n v="7"/>
    <n v="0"/>
    <x v="1"/>
    <x v="0"/>
    <s v="0-5k"/>
    <x v="0"/>
    <x v="0"/>
    <x v="0"/>
  </r>
  <r>
    <n v="30"/>
    <s v="Yes"/>
    <x v="0"/>
    <n v="138"/>
    <x v="1"/>
    <n v="22"/>
    <n v="3"/>
    <s v="Life Sciences"/>
    <n v="1"/>
    <n v="1004"/>
    <n v="1"/>
    <x v="0"/>
    <n v="48"/>
    <n v="3"/>
    <n v="1"/>
    <s v="Research Scientist"/>
    <n v="3"/>
    <s v="Married"/>
    <n v="2132"/>
    <n v="11539"/>
    <n v="4"/>
    <s v="Y"/>
    <s v="Yes"/>
    <n v="11"/>
    <x v="0"/>
    <n v="2"/>
    <n v="80"/>
    <n v="0"/>
    <n v="7"/>
    <n v="2"/>
    <n v="3"/>
    <n v="5"/>
    <n v="2"/>
    <n v="0"/>
    <n v="1"/>
    <n v="1"/>
    <x v="2"/>
    <x v="1"/>
    <s v="0-5k"/>
    <x v="0"/>
    <x v="0"/>
    <x v="2"/>
  </r>
  <r>
    <n v="50"/>
    <s v="No"/>
    <x v="0"/>
    <n v="939"/>
    <x v="1"/>
    <n v="24"/>
    <n v="3"/>
    <s v="Life Sciences"/>
    <n v="1"/>
    <n v="1005"/>
    <n v="4"/>
    <x v="1"/>
    <n v="95"/>
    <n v="3"/>
    <n v="4"/>
    <s v="Manufacturing Director"/>
    <n v="3"/>
    <s v="Married"/>
    <n v="13973"/>
    <n v="4161"/>
    <n v="3"/>
    <s v="Y"/>
    <s v="Yes"/>
    <n v="18"/>
    <x v="0"/>
    <n v="4"/>
    <n v="80"/>
    <n v="1"/>
    <n v="22"/>
    <n v="2"/>
    <n v="3"/>
    <n v="12"/>
    <n v="11"/>
    <n v="1"/>
    <n v="5"/>
    <n v="0"/>
    <x v="1"/>
    <x v="1"/>
    <s v="10k-15k"/>
    <x v="2"/>
    <x v="0"/>
    <x v="2"/>
  </r>
  <r>
    <n v="38"/>
    <s v="No"/>
    <x v="1"/>
    <n v="1391"/>
    <x v="1"/>
    <n v="10"/>
    <n v="1"/>
    <s v="Medical"/>
    <n v="1"/>
    <n v="1006"/>
    <n v="3"/>
    <x v="1"/>
    <n v="66"/>
    <n v="3"/>
    <n v="1"/>
    <s v="Research Scientist"/>
    <n v="3"/>
    <s v="Married"/>
    <n v="2684"/>
    <n v="12127"/>
    <n v="0"/>
    <s v="Y"/>
    <s v="No"/>
    <n v="17"/>
    <x v="0"/>
    <n v="2"/>
    <n v="80"/>
    <n v="1"/>
    <n v="3"/>
    <n v="0"/>
    <n v="2"/>
    <n v="2"/>
    <n v="1"/>
    <n v="0"/>
    <n v="2"/>
    <n v="0"/>
    <x v="0"/>
    <x v="0"/>
    <s v="0-5k"/>
    <x v="0"/>
    <x v="0"/>
    <x v="2"/>
  </r>
  <r>
    <n v="46"/>
    <s v="No"/>
    <x v="0"/>
    <n v="566"/>
    <x v="1"/>
    <n v="7"/>
    <n v="2"/>
    <s v="Medical"/>
    <n v="1"/>
    <n v="1007"/>
    <n v="4"/>
    <x v="1"/>
    <n v="75"/>
    <n v="3"/>
    <n v="3"/>
    <s v="Manufacturing Director"/>
    <n v="3"/>
    <s v="Divorced"/>
    <n v="10845"/>
    <n v="24208"/>
    <n v="6"/>
    <s v="Y"/>
    <s v="No"/>
    <n v="13"/>
    <x v="0"/>
    <n v="2"/>
    <n v="80"/>
    <n v="1"/>
    <n v="13"/>
    <n v="3"/>
    <n v="3"/>
    <n v="8"/>
    <n v="7"/>
    <n v="0"/>
    <n v="7"/>
    <n v="0"/>
    <x v="1"/>
    <x v="0"/>
    <s v="10k-15k"/>
    <x v="0"/>
    <x v="0"/>
    <x v="2"/>
  </r>
  <r>
    <n v="24"/>
    <s v="No"/>
    <x v="0"/>
    <n v="1206"/>
    <x v="1"/>
    <n v="17"/>
    <n v="1"/>
    <s v="Medical"/>
    <n v="1"/>
    <n v="1009"/>
    <n v="4"/>
    <x v="0"/>
    <n v="41"/>
    <n v="2"/>
    <n v="2"/>
    <s v="Manufacturing Director"/>
    <n v="3"/>
    <s v="Divorced"/>
    <n v="4377"/>
    <n v="24117"/>
    <n v="1"/>
    <s v="Y"/>
    <s v="No"/>
    <n v="15"/>
    <x v="0"/>
    <n v="2"/>
    <n v="80"/>
    <n v="2"/>
    <n v="5"/>
    <n v="6"/>
    <n v="3"/>
    <n v="4"/>
    <n v="2"/>
    <n v="3"/>
    <n v="2"/>
    <n v="0"/>
    <x v="2"/>
    <x v="2"/>
    <s v="0-5k"/>
    <x v="0"/>
    <x v="0"/>
    <x v="2"/>
  </r>
  <r>
    <n v="35"/>
    <s v="Yes"/>
    <x v="0"/>
    <n v="622"/>
    <x v="1"/>
    <n v="14"/>
    <n v="4"/>
    <s v="Other"/>
    <n v="1"/>
    <n v="1010"/>
    <n v="3"/>
    <x v="1"/>
    <n v="39"/>
    <n v="2"/>
    <n v="1"/>
    <s v="Laboratory Technician"/>
    <n v="2"/>
    <s v="Divorced"/>
    <n v="3743"/>
    <n v="10074"/>
    <n v="1"/>
    <s v="Y"/>
    <s v="Yes"/>
    <n v="24"/>
    <x v="1"/>
    <n v="4"/>
    <n v="80"/>
    <n v="1"/>
    <n v="5"/>
    <n v="2"/>
    <n v="1"/>
    <n v="4"/>
    <n v="2"/>
    <n v="0"/>
    <n v="2"/>
    <n v="1"/>
    <x v="0"/>
    <x v="2"/>
    <s v="0-5k"/>
    <x v="0"/>
    <x v="1"/>
    <x v="1"/>
  </r>
  <r>
    <n v="31"/>
    <s v="No"/>
    <x v="1"/>
    <n v="853"/>
    <x v="1"/>
    <n v="1"/>
    <n v="1"/>
    <s v="Life Sciences"/>
    <n v="1"/>
    <n v="1011"/>
    <n v="3"/>
    <x v="0"/>
    <n v="96"/>
    <n v="3"/>
    <n v="2"/>
    <s v="Manufacturing Director"/>
    <n v="1"/>
    <s v="Married"/>
    <n v="4148"/>
    <n v="11275"/>
    <n v="1"/>
    <s v="Y"/>
    <s v="No"/>
    <n v="12"/>
    <x v="0"/>
    <n v="3"/>
    <n v="80"/>
    <n v="1"/>
    <n v="4"/>
    <n v="1"/>
    <n v="3"/>
    <n v="4"/>
    <n v="3"/>
    <n v="0"/>
    <n v="3"/>
    <n v="0"/>
    <x v="0"/>
    <x v="0"/>
    <s v="0-5k"/>
    <x v="0"/>
    <x v="0"/>
    <x v="3"/>
  </r>
  <r>
    <n v="18"/>
    <s v="No"/>
    <x v="2"/>
    <n v="287"/>
    <x v="1"/>
    <n v="5"/>
    <n v="2"/>
    <s v="Life Sciences"/>
    <n v="1"/>
    <n v="1012"/>
    <n v="2"/>
    <x v="1"/>
    <n v="73"/>
    <n v="3"/>
    <n v="1"/>
    <s v="Research Scientist"/>
    <n v="4"/>
    <s v="Single"/>
    <n v="1051"/>
    <n v="13493"/>
    <n v="1"/>
    <s v="Y"/>
    <s v="No"/>
    <n v="15"/>
    <x v="0"/>
    <n v="4"/>
    <n v="80"/>
    <n v="0"/>
    <n v="0"/>
    <n v="2"/>
    <n v="3"/>
    <n v="0"/>
    <n v="0"/>
    <n v="0"/>
    <n v="0"/>
    <n v="0"/>
    <x v="2"/>
    <x v="0"/>
    <s v="0-5k"/>
    <x v="0"/>
    <x v="0"/>
    <x v="0"/>
  </r>
  <r>
    <n v="54"/>
    <s v="No"/>
    <x v="0"/>
    <n v="1441"/>
    <x v="1"/>
    <n v="17"/>
    <n v="3"/>
    <s v="Technical Degree"/>
    <n v="1"/>
    <n v="1013"/>
    <n v="3"/>
    <x v="0"/>
    <n v="56"/>
    <n v="3"/>
    <n v="3"/>
    <s v="Manufacturing Director"/>
    <n v="3"/>
    <s v="Married"/>
    <n v="10739"/>
    <n v="13943"/>
    <n v="8"/>
    <s v="Y"/>
    <s v="No"/>
    <n v="11"/>
    <x v="0"/>
    <n v="3"/>
    <n v="80"/>
    <n v="1"/>
    <n v="22"/>
    <n v="2"/>
    <n v="3"/>
    <n v="10"/>
    <n v="7"/>
    <n v="0"/>
    <n v="8"/>
    <n v="0"/>
    <x v="1"/>
    <x v="2"/>
    <s v="10k-15k"/>
    <x v="0"/>
    <x v="0"/>
    <x v="2"/>
  </r>
  <r>
    <n v="35"/>
    <s v="No"/>
    <x v="0"/>
    <n v="583"/>
    <x v="1"/>
    <n v="25"/>
    <n v="4"/>
    <s v="Medical"/>
    <n v="1"/>
    <n v="1014"/>
    <n v="3"/>
    <x v="0"/>
    <n v="57"/>
    <n v="3"/>
    <n v="3"/>
    <s v="Healthcare Representative"/>
    <n v="3"/>
    <s v="Divorced"/>
    <n v="10388"/>
    <n v="6975"/>
    <n v="1"/>
    <s v="Y"/>
    <s v="Yes"/>
    <n v="11"/>
    <x v="0"/>
    <n v="3"/>
    <n v="80"/>
    <n v="1"/>
    <n v="16"/>
    <n v="3"/>
    <n v="2"/>
    <n v="16"/>
    <n v="10"/>
    <n v="10"/>
    <n v="1"/>
    <n v="0"/>
    <x v="0"/>
    <x v="1"/>
    <s v="10k-15k"/>
    <x v="2"/>
    <x v="0"/>
    <x v="2"/>
  </r>
  <r>
    <n v="30"/>
    <s v="No"/>
    <x v="0"/>
    <n v="153"/>
    <x v="1"/>
    <n v="8"/>
    <n v="2"/>
    <s v="Life Sciences"/>
    <n v="1"/>
    <n v="1015"/>
    <n v="2"/>
    <x v="0"/>
    <n v="73"/>
    <n v="4"/>
    <n v="3"/>
    <s v="Research Director"/>
    <n v="1"/>
    <s v="Married"/>
    <n v="11416"/>
    <n v="17802"/>
    <n v="0"/>
    <s v="Y"/>
    <s v="Yes"/>
    <n v="12"/>
    <x v="0"/>
    <n v="3"/>
    <n v="80"/>
    <n v="3"/>
    <n v="9"/>
    <n v="4"/>
    <n v="2"/>
    <n v="8"/>
    <n v="7"/>
    <n v="1"/>
    <n v="7"/>
    <n v="0"/>
    <x v="2"/>
    <x v="0"/>
    <s v="10k-15k"/>
    <x v="0"/>
    <x v="0"/>
    <x v="3"/>
  </r>
  <r>
    <n v="20"/>
    <s v="Yes"/>
    <x v="0"/>
    <n v="1097"/>
    <x v="1"/>
    <n v="11"/>
    <n v="3"/>
    <s v="Medical"/>
    <n v="1"/>
    <n v="1016"/>
    <n v="4"/>
    <x v="0"/>
    <n v="98"/>
    <n v="2"/>
    <n v="1"/>
    <s v="Research Scientist"/>
    <n v="1"/>
    <s v="Single"/>
    <n v="2600"/>
    <n v="18275"/>
    <n v="1"/>
    <s v="Y"/>
    <s v="Yes"/>
    <n v="15"/>
    <x v="0"/>
    <n v="1"/>
    <n v="80"/>
    <n v="0"/>
    <n v="1"/>
    <n v="2"/>
    <n v="3"/>
    <n v="1"/>
    <n v="0"/>
    <n v="0"/>
    <n v="0"/>
    <n v="1"/>
    <x v="2"/>
    <x v="2"/>
    <s v="0-5k"/>
    <x v="0"/>
    <x v="0"/>
    <x v="3"/>
  </r>
  <r>
    <n v="30"/>
    <s v="Yes"/>
    <x v="1"/>
    <n v="109"/>
    <x v="1"/>
    <n v="5"/>
    <n v="3"/>
    <s v="Medical"/>
    <n v="1"/>
    <n v="1017"/>
    <n v="2"/>
    <x v="0"/>
    <n v="60"/>
    <n v="3"/>
    <n v="1"/>
    <s v="Laboratory Technician"/>
    <n v="2"/>
    <s v="Single"/>
    <n v="2422"/>
    <n v="25725"/>
    <n v="0"/>
    <s v="Y"/>
    <s v="No"/>
    <n v="17"/>
    <x v="0"/>
    <n v="1"/>
    <n v="80"/>
    <n v="0"/>
    <n v="4"/>
    <n v="3"/>
    <n v="3"/>
    <n v="3"/>
    <n v="2"/>
    <n v="1"/>
    <n v="2"/>
    <n v="1"/>
    <x v="2"/>
    <x v="0"/>
    <s v="0-5k"/>
    <x v="0"/>
    <x v="0"/>
    <x v="1"/>
  </r>
  <r>
    <n v="26"/>
    <s v="No"/>
    <x v="0"/>
    <n v="1066"/>
    <x v="1"/>
    <n v="2"/>
    <n v="2"/>
    <s v="Medical"/>
    <n v="1"/>
    <n v="1018"/>
    <n v="4"/>
    <x v="1"/>
    <n v="32"/>
    <n v="4"/>
    <n v="2"/>
    <s v="Manufacturing Director"/>
    <n v="4"/>
    <s v="Married"/>
    <n v="5472"/>
    <n v="3334"/>
    <n v="1"/>
    <s v="Y"/>
    <s v="No"/>
    <n v="12"/>
    <x v="0"/>
    <n v="2"/>
    <n v="80"/>
    <n v="0"/>
    <n v="8"/>
    <n v="2"/>
    <n v="3"/>
    <n v="8"/>
    <n v="7"/>
    <n v="1"/>
    <n v="3"/>
    <n v="0"/>
    <x v="2"/>
    <x v="0"/>
    <s v="5k-10k"/>
    <x v="0"/>
    <x v="0"/>
    <x v="0"/>
  </r>
  <r>
    <n v="22"/>
    <s v="No"/>
    <x v="0"/>
    <n v="217"/>
    <x v="1"/>
    <n v="8"/>
    <n v="1"/>
    <s v="Life Sciences"/>
    <n v="1"/>
    <n v="1019"/>
    <n v="2"/>
    <x v="1"/>
    <n v="94"/>
    <n v="1"/>
    <n v="1"/>
    <s v="Laboratory Technician"/>
    <n v="1"/>
    <s v="Married"/>
    <n v="2451"/>
    <n v="6881"/>
    <n v="1"/>
    <s v="Y"/>
    <s v="No"/>
    <n v="15"/>
    <x v="0"/>
    <n v="1"/>
    <n v="80"/>
    <n v="1"/>
    <n v="4"/>
    <n v="3"/>
    <n v="2"/>
    <n v="4"/>
    <n v="3"/>
    <n v="1"/>
    <n v="1"/>
    <n v="0"/>
    <x v="2"/>
    <x v="0"/>
    <s v="0-5k"/>
    <x v="0"/>
    <x v="0"/>
    <x v="3"/>
  </r>
  <r>
    <n v="48"/>
    <s v="No"/>
    <x v="0"/>
    <n v="277"/>
    <x v="1"/>
    <n v="6"/>
    <n v="3"/>
    <s v="Life Sciences"/>
    <n v="1"/>
    <n v="1022"/>
    <n v="1"/>
    <x v="1"/>
    <n v="97"/>
    <n v="2"/>
    <n v="2"/>
    <s v="Healthcare Representative"/>
    <n v="3"/>
    <s v="Single"/>
    <n v="4240"/>
    <n v="13119"/>
    <n v="2"/>
    <s v="Y"/>
    <s v="No"/>
    <n v="13"/>
    <x v="0"/>
    <n v="4"/>
    <n v="80"/>
    <n v="0"/>
    <n v="19"/>
    <n v="0"/>
    <n v="3"/>
    <n v="2"/>
    <n v="2"/>
    <n v="2"/>
    <n v="2"/>
    <n v="0"/>
    <x v="1"/>
    <x v="0"/>
    <s v="0-5k"/>
    <x v="0"/>
    <x v="0"/>
    <x v="2"/>
  </r>
  <r>
    <n v="48"/>
    <s v="No"/>
    <x v="0"/>
    <n v="1355"/>
    <x v="1"/>
    <n v="4"/>
    <n v="4"/>
    <s v="Life Sciences"/>
    <n v="1"/>
    <n v="1024"/>
    <n v="3"/>
    <x v="1"/>
    <n v="78"/>
    <n v="2"/>
    <n v="3"/>
    <s v="Healthcare Representative"/>
    <n v="3"/>
    <s v="Single"/>
    <n v="10999"/>
    <n v="22245"/>
    <n v="7"/>
    <s v="Y"/>
    <s v="No"/>
    <n v="14"/>
    <x v="0"/>
    <n v="2"/>
    <n v="80"/>
    <n v="0"/>
    <n v="27"/>
    <n v="3"/>
    <n v="3"/>
    <n v="15"/>
    <n v="11"/>
    <n v="4"/>
    <n v="8"/>
    <n v="0"/>
    <x v="1"/>
    <x v="0"/>
    <s v="10k-15k"/>
    <x v="2"/>
    <x v="0"/>
    <x v="2"/>
  </r>
  <r>
    <n v="41"/>
    <s v="No"/>
    <x v="0"/>
    <n v="549"/>
    <x v="1"/>
    <n v="7"/>
    <n v="2"/>
    <s v="Medical"/>
    <n v="1"/>
    <n v="1025"/>
    <n v="4"/>
    <x v="0"/>
    <n v="42"/>
    <n v="3"/>
    <n v="2"/>
    <s v="Manufacturing Director"/>
    <n v="3"/>
    <s v="Single"/>
    <n v="5003"/>
    <n v="23371"/>
    <n v="6"/>
    <s v="Y"/>
    <s v="No"/>
    <n v="14"/>
    <x v="0"/>
    <n v="2"/>
    <n v="80"/>
    <n v="0"/>
    <n v="8"/>
    <n v="6"/>
    <n v="3"/>
    <n v="2"/>
    <n v="2"/>
    <n v="2"/>
    <n v="1"/>
    <n v="0"/>
    <x v="0"/>
    <x v="0"/>
    <s v="5k-10k"/>
    <x v="0"/>
    <x v="0"/>
    <x v="2"/>
  </r>
  <r>
    <n v="39"/>
    <s v="No"/>
    <x v="0"/>
    <n v="466"/>
    <x v="1"/>
    <n v="1"/>
    <n v="1"/>
    <s v="Life Sciences"/>
    <n v="1"/>
    <n v="1026"/>
    <n v="4"/>
    <x v="0"/>
    <n v="65"/>
    <n v="2"/>
    <n v="4"/>
    <s v="Manufacturing Director"/>
    <n v="4"/>
    <s v="Married"/>
    <n v="12742"/>
    <n v="7060"/>
    <n v="1"/>
    <s v="Y"/>
    <s v="No"/>
    <n v="16"/>
    <x v="0"/>
    <n v="3"/>
    <n v="80"/>
    <n v="1"/>
    <n v="21"/>
    <n v="3"/>
    <n v="3"/>
    <n v="21"/>
    <n v="6"/>
    <n v="11"/>
    <n v="8"/>
    <n v="0"/>
    <x v="0"/>
    <x v="0"/>
    <s v="10k-15k"/>
    <x v="1"/>
    <x v="0"/>
    <x v="0"/>
  </r>
  <r>
    <n v="27"/>
    <s v="No"/>
    <x v="0"/>
    <n v="1055"/>
    <x v="1"/>
    <n v="2"/>
    <n v="4"/>
    <s v="Life Sciences"/>
    <n v="1"/>
    <n v="1027"/>
    <n v="1"/>
    <x v="0"/>
    <n v="47"/>
    <n v="3"/>
    <n v="2"/>
    <s v="Manufacturing Director"/>
    <n v="4"/>
    <s v="Married"/>
    <n v="4227"/>
    <n v="4658"/>
    <n v="0"/>
    <s v="Y"/>
    <s v="No"/>
    <n v="18"/>
    <x v="0"/>
    <n v="2"/>
    <n v="80"/>
    <n v="1"/>
    <n v="4"/>
    <n v="2"/>
    <n v="3"/>
    <n v="3"/>
    <n v="2"/>
    <n v="2"/>
    <n v="2"/>
    <n v="0"/>
    <x v="2"/>
    <x v="0"/>
    <s v="0-5k"/>
    <x v="0"/>
    <x v="0"/>
    <x v="0"/>
  </r>
  <r>
    <n v="35"/>
    <s v="No"/>
    <x v="0"/>
    <n v="802"/>
    <x v="1"/>
    <n v="10"/>
    <n v="3"/>
    <s v="Other"/>
    <n v="1"/>
    <n v="1028"/>
    <n v="2"/>
    <x v="1"/>
    <n v="45"/>
    <n v="3"/>
    <n v="1"/>
    <s v="Laboratory Technician"/>
    <n v="4"/>
    <s v="Divorced"/>
    <n v="3917"/>
    <n v="9541"/>
    <n v="1"/>
    <s v="Y"/>
    <s v="No"/>
    <n v="20"/>
    <x v="1"/>
    <n v="1"/>
    <n v="80"/>
    <n v="1"/>
    <n v="3"/>
    <n v="4"/>
    <n v="2"/>
    <n v="3"/>
    <n v="2"/>
    <n v="1"/>
    <n v="2"/>
    <n v="0"/>
    <x v="0"/>
    <x v="0"/>
    <s v="0-5k"/>
    <x v="0"/>
    <x v="1"/>
    <x v="0"/>
  </r>
  <r>
    <n v="42"/>
    <s v="No"/>
    <x v="0"/>
    <n v="265"/>
    <x v="0"/>
    <n v="5"/>
    <n v="2"/>
    <s v="Marketing"/>
    <n v="1"/>
    <n v="1029"/>
    <n v="4"/>
    <x v="1"/>
    <n v="90"/>
    <n v="3"/>
    <n v="5"/>
    <s v="Manager"/>
    <n v="3"/>
    <s v="Married"/>
    <n v="18303"/>
    <n v="7770"/>
    <n v="6"/>
    <s v="Y"/>
    <s v="No"/>
    <n v="13"/>
    <x v="0"/>
    <n v="2"/>
    <n v="80"/>
    <n v="0"/>
    <n v="21"/>
    <n v="3"/>
    <n v="4"/>
    <n v="1"/>
    <n v="0"/>
    <n v="0"/>
    <n v="0"/>
    <n v="0"/>
    <x v="0"/>
    <x v="0"/>
    <s v="15k+"/>
    <x v="0"/>
    <x v="0"/>
    <x v="2"/>
  </r>
  <r>
    <n v="50"/>
    <s v="No"/>
    <x v="0"/>
    <n v="804"/>
    <x v="1"/>
    <n v="9"/>
    <n v="3"/>
    <s v="Life Sciences"/>
    <n v="1"/>
    <n v="1030"/>
    <n v="1"/>
    <x v="1"/>
    <n v="64"/>
    <n v="3"/>
    <n v="1"/>
    <s v="Laboratory Technician"/>
    <n v="4"/>
    <s v="Married"/>
    <n v="2380"/>
    <n v="20165"/>
    <n v="4"/>
    <s v="Y"/>
    <s v="No"/>
    <n v="18"/>
    <x v="0"/>
    <n v="2"/>
    <n v="80"/>
    <n v="0"/>
    <n v="8"/>
    <n v="5"/>
    <n v="3"/>
    <n v="1"/>
    <n v="0"/>
    <n v="0"/>
    <n v="0"/>
    <n v="0"/>
    <x v="1"/>
    <x v="0"/>
    <s v="0-5k"/>
    <x v="0"/>
    <x v="0"/>
    <x v="0"/>
  </r>
  <r>
    <n v="59"/>
    <s v="No"/>
    <x v="0"/>
    <n v="715"/>
    <x v="1"/>
    <n v="2"/>
    <n v="3"/>
    <s v="Life Sciences"/>
    <n v="1"/>
    <n v="1032"/>
    <n v="3"/>
    <x v="0"/>
    <n v="69"/>
    <n v="2"/>
    <n v="4"/>
    <s v="Manufacturing Director"/>
    <n v="4"/>
    <s v="Single"/>
    <n v="13726"/>
    <n v="21829"/>
    <n v="3"/>
    <s v="Y"/>
    <s v="Yes"/>
    <n v="13"/>
    <x v="0"/>
    <n v="1"/>
    <n v="80"/>
    <n v="0"/>
    <n v="30"/>
    <n v="4"/>
    <n v="3"/>
    <n v="5"/>
    <n v="3"/>
    <n v="4"/>
    <n v="3"/>
    <n v="0"/>
    <x v="1"/>
    <x v="0"/>
    <s v="10k-15k"/>
    <x v="0"/>
    <x v="0"/>
    <x v="0"/>
  </r>
  <r>
    <n v="37"/>
    <s v="Yes"/>
    <x v="0"/>
    <n v="1141"/>
    <x v="1"/>
    <n v="11"/>
    <n v="2"/>
    <s v="Medical"/>
    <n v="1"/>
    <n v="1033"/>
    <n v="1"/>
    <x v="0"/>
    <n v="61"/>
    <n v="1"/>
    <n v="2"/>
    <s v="Healthcare Representative"/>
    <n v="2"/>
    <s v="Married"/>
    <n v="4777"/>
    <n v="14382"/>
    <n v="5"/>
    <s v="Y"/>
    <s v="No"/>
    <n v="15"/>
    <x v="0"/>
    <n v="1"/>
    <n v="80"/>
    <n v="0"/>
    <n v="15"/>
    <n v="2"/>
    <n v="1"/>
    <n v="1"/>
    <n v="0"/>
    <n v="0"/>
    <n v="0"/>
    <n v="1"/>
    <x v="0"/>
    <x v="2"/>
    <s v="0-5k"/>
    <x v="0"/>
    <x v="0"/>
    <x v="1"/>
  </r>
  <r>
    <n v="55"/>
    <s v="No"/>
    <x v="1"/>
    <n v="135"/>
    <x v="1"/>
    <n v="18"/>
    <n v="4"/>
    <s v="Medical"/>
    <n v="1"/>
    <n v="1034"/>
    <n v="3"/>
    <x v="1"/>
    <n v="62"/>
    <n v="3"/>
    <n v="2"/>
    <s v="Healthcare Representative"/>
    <n v="2"/>
    <s v="Married"/>
    <n v="6385"/>
    <n v="12992"/>
    <n v="3"/>
    <s v="Y"/>
    <s v="Yes"/>
    <n v="14"/>
    <x v="0"/>
    <n v="4"/>
    <n v="80"/>
    <n v="2"/>
    <n v="17"/>
    <n v="3"/>
    <n v="3"/>
    <n v="8"/>
    <n v="7"/>
    <n v="6"/>
    <n v="7"/>
    <n v="0"/>
    <x v="1"/>
    <x v="2"/>
    <s v="5k-10k"/>
    <x v="0"/>
    <x v="0"/>
    <x v="1"/>
  </r>
  <r>
    <n v="41"/>
    <s v="No"/>
    <x v="2"/>
    <n v="247"/>
    <x v="1"/>
    <n v="7"/>
    <n v="1"/>
    <s v="Life Sciences"/>
    <n v="1"/>
    <n v="1035"/>
    <n v="2"/>
    <x v="0"/>
    <n v="55"/>
    <n v="1"/>
    <n v="5"/>
    <s v="Research Director"/>
    <n v="3"/>
    <s v="Divorced"/>
    <n v="19973"/>
    <n v="20284"/>
    <n v="1"/>
    <s v="Y"/>
    <s v="No"/>
    <n v="22"/>
    <x v="1"/>
    <n v="2"/>
    <n v="80"/>
    <n v="2"/>
    <n v="21"/>
    <n v="3"/>
    <n v="3"/>
    <n v="21"/>
    <n v="16"/>
    <n v="5"/>
    <n v="10"/>
    <n v="0"/>
    <x v="0"/>
    <x v="0"/>
    <s v="15k+"/>
    <x v="1"/>
    <x v="1"/>
    <x v="2"/>
  </r>
  <r>
    <n v="38"/>
    <s v="No"/>
    <x v="0"/>
    <n v="1035"/>
    <x v="0"/>
    <n v="3"/>
    <n v="4"/>
    <s v="Life Sciences"/>
    <n v="1"/>
    <n v="1036"/>
    <n v="2"/>
    <x v="1"/>
    <n v="42"/>
    <n v="3"/>
    <n v="2"/>
    <s v="Sales Executive"/>
    <n v="4"/>
    <s v="Single"/>
    <n v="6861"/>
    <n v="4981"/>
    <n v="8"/>
    <s v="Y"/>
    <s v="Yes"/>
    <n v="12"/>
    <x v="0"/>
    <n v="3"/>
    <n v="80"/>
    <n v="0"/>
    <n v="19"/>
    <n v="1"/>
    <n v="3"/>
    <n v="1"/>
    <n v="0"/>
    <n v="0"/>
    <n v="0"/>
    <n v="0"/>
    <x v="0"/>
    <x v="0"/>
    <s v="5k-10k"/>
    <x v="0"/>
    <x v="0"/>
    <x v="0"/>
  </r>
  <r>
    <n v="26"/>
    <s v="Yes"/>
    <x v="2"/>
    <n v="265"/>
    <x v="0"/>
    <n v="29"/>
    <n v="2"/>
    <s v="Medical"/>
    <n v="1"/>
    <n v="1037"/>
    <n v="2"/>
    <x v="1"/>
    <n v="79"/>
    <n v="1"/>
    <n v="2"/>
    <s v="Sales Executive"/>
    <n v="1"/>
    <s v="Single"/>
    <n v="4969"/>
    <n v="21813"/>
    <n v="8"/>
    <s v="Y"/>
    <s v="No"/>
    <n v="18"/>
    <x v="0"/>
    <n v="4"/>
    <n v="80"/>
    <n v="0"/>
    <n v="7"/>
    <n v="6"/>
    <n v="3"/>
    <n v="2"/>
    <n v="2"/>
    <n v="2"/>
    <n v="2"/>
    <n v="1"/>
    <x v="2"/>
    <x v="1"/>
    <s v="0-5k"/>
    <x v="0"/>
    <x v="0"/>
    <x v="3"/>
  </r>
  <r>
    <n v="52"/>
    <s v="Yes"/>
    <x v="0"/>
    <n v="266"/>
    <x v="0"/>
    <n v="2"/>
    <n v="1"/>
    <s v="Marketing"/>
    <n v="1"/>
    <n v="1038"/>
    <n v="1"/>
    <x v="0"/>
    <n v="57"/>
    <n v="1"/>
    <n v="5"/>
    <s v="Manager"/>
    <n v="4"/>
    <s v="Married"/>
    <n v="19845"/>
    <n v="25846"/>
    <n v="1"/>
    <s v="Y"/>
    <s v="No"/>
    <n v="15"/>
    <x v="0"/>
    <n v="4"/>
    <n v="80"/>
    <n v="1"/>
    <n v="33"/>
    <n v="3"/>
    <n v="3"/>
    <n v="32"/>
    <n v="14"/>
    <n v="6"/>
    <n v="9"/>
    <n v="1"/>
    <x v="1"/>
    <x v="0"/>
    <s v="15k+"/>
    <x v="3"/>
    <x v="0"/>
    <x v="0"/>
  </r>
  <r>
    <n v="44"/>
    <s v="No"/>
    <x v="0"/>
    <n v="1448"/>
    <x v="0"/>
    <n v="28"/>
    <n v="3"/>
    <s v="Medical"/>
    <n v="1"/>
    <n v="1039"/>
    <n v="4"/>
    <x v="0"/>
    <n v="53"/>
    <n v="4"/>
    <n v="4"/>
    <s v="Sales Executive"/>
    <n v="4"/>
    <s v="Married"/>
    <n v="13320"/>
    <n v="11737"/>
    <n v="3"/>
    <s v="Y"/>
    <s v="Yes"/>
    <n v="18"/>
    <x v="0"/>
    <n v="3"/>
    <n v="80"/>
    <n v="1"/>
    <n v="23"/>
    <n v="2"/>
    <n v="3"/>
    <n v="12"/>
    <n v="11"/>
    <n v="11"/>
    <n v="11"/>
    <n v="0"/>
    <x v="0"/>
    <x v="1"/>
    <s v="10k-15k"/>
    <x v="2"/>
    <x v="0"/>
    <x v="0"/>
  </r>
  <r>
    <n v="50"/>
    <s v="No"/>
    <x v="2"/>
    <n v="145"/>
    <x v="0"/>
    <n v="1"/>
    <n v="3"/>
    <s v="Life Sciences"/>
    <n v="1"/>
    <n v="1040"/>
    <n v="4"/>
    <x v="0"/>
    <n v="95"/>
    <n v="3"/>
    <n v="2"/>
    <s v="Sales Executive"/>
    <n v="3"/>
    <s v="Married"/>
    <n v="6347"/>
    <n v="24920"/>
    <n v="0"/>
    <s v="Y"/>
    <s v="No"/>
    <n v="12"/>
    <x v="0"/>
    <n v="1"/>
    <n v="80"/>
    <n v="1"/>
    <n v="19"/>
    <n v="3"/>
    <n v="3"/>
    <n v="18"/>
    <n v="7"/>
    <n v="0"/>
    <n v="13"/>
    <n v="0"/>
    <x v="1"/>
    <x v="0"/>
    <s v="5k-10k"/>
    <x v="2"/>
    <x v="0"/>
    <x v="2"/>
  </r>
  <r>
    <n v="36"/>
    <s v="Yes"/>
    <x v="0"/>
    <n v="885"/>
    <x v="1"/>
    <n v="16"/>
    <n v="4"/>
    <s v="Life Sciences"/>
    <n v="1"/>
    <n v="1042"/>
    <n v="3"/>
    <x v="0"/>
    <n v="43"/>
    <n v="4"/>
    <n v="1"/>
    <s v="Laboratory Technician"/>
    <n v="1"/>
    <s v="Single"/>
    <n v="2743"/>
    <n v="8269"/>
    <n v="1"/>
    <s v="Y"/>
    <s v="No"/>
    <n v="16"/>
    <x v="0"/>
    <n v="3"/>
    <n v="80"/>
    <n v="0"/>
    <n v="18"/>
    <n v="1"/>
    <n v="3"/>
    <n v="17"/>
    <n v="13"/>
    <n v="15"/>
    <n v="14"/>
    <n v="1"/>
    <x v="0"/>
    <x v="2"/>
    <s v="0-5k"/>
    <x v="2"/>
    <x v="0"/>
    <x v="3"/>
  </r>
  <r>
    <n v="39"/>
    <s v="No"/>
    <x v="1"/>
    <n v="945"/>
    <x v="1"/>
    <n v="22"/>
    <n v="3"/>
    <s v="Medical"/>
    <n v="1"/>
    <n v="1043"/>
    <n v="4"/>
    <x v="0"/>
    <n v="82"/>
    <n v="3"/>
    <n v="3"/>
    <s v="Manufacturing Director"/>
    <n v="1"/>
    <s v="Single"/>
    <n v="10880"/>
    <n v="5083"/>
    <n v="1"/>
    <s v="Y"/>
    <s v="Yes"/>
    <n v="13"/>
    <x v="0"/>
    <n v="3"/>
    <n v="80"/>
    <n v="0"/>
    <n v="21"/>
    <n v="2"/>
    <n v="3"/>
    <n v="21"/>
    <n v="6"/>
    <n v="2"/>
    <n v="8"/>
    <n v="0"/>
    <x v="0"/>
    <x v="1"/>
    <s v="10k-15k"/>
    <x v="1"/>
    <x v="0"/>
    <x v="3"/>
  </r>
  <r>
    <n v="33"/>
    <s v="No"/>
    <x v="2"/>
    <n v="1038"/>
    <x v="0"/>
    <n v="8"/>
    <n v="1"/>
    <s v="Life Sciences"/>
    <n v="1"/>
    <n v="1044"/>
    <n v="2"/>
    <x v="0"/>
    <n v="88"/>
    <n v="2"/>
    <n v="1"/>
    <s v="Sales Representative"/>
    <n v="4"/>
    <s v="Single"/>
    <n v="2342"/>
    <n v="21437"/>
    <n v="0"/>
    <s v="Y"/>
    <s v="No"/>
    <n v="19"/>
    <x v="0"/>
    <n v="4"/>
    <n v="80"/>
    <n v="0"/>
    <n v="3"/>
    <n v="2"/>
    <n v="2"/>
    <n v="2"/>
    <n v="2"/>
    <n v="2"/>
    <n v="2"/>
    <n v="0"/>
    <x v="0"/>
    <x v="0"/>
    <s v="0-5k"/>
    <x v="0"/>
    <x v="0"/>
    <x v="0"/>
  </r>
  <r>
    <n v="45"/>
    <s v="No"/>
    <x v="0"/>
    <n v="1234"/>
    <x v="0"/>
    <n v="11"/>
    <n v="2"/>
    <s v="Life Sciences"/>
    <n v="1"/>
    <n v="1045"/>
    <n v="4"/>
    <x v="0"/>
    <n v="90"/>
    <n v="3"/>
    <n v="4"/>
    <s v="Manager"/>
    <n v="4"/>
    <s v="Married"/>
    <n v="17650"/>
    <n v="5404"/>
    <n v="3"/>
    <s v="Y"/>
    <s v="No"/>
    <n v="13"/>
    <x v="0"/>
    <n v="2"/>
    <n v="80"/>
    <n v="1"/>
    <n v="26"/>
    <n v="4"/>
    <n v="4"/>
    <n v="9"/>
    <n v="3"/>
    <n v="1"/>
    <n v="1"/>
    <n v="0"/>
    <x v="0"/>
    <x v="2"/>
    <s v="15k+"/>
    <x v="0"/>
    <x v="0"/>
    <x v="0"/>
  </r>
  <r>
    <n v="32"/>
    <s v="No"/>
    <x v="2"/>
    <n v="1109"/>
    <x v="1"/>
    <n v="29"/>
    <n v="4"/>
    <s v="Medical"/>
    <n v="1"/>
    <n v="1046"/>
    <n v="4"/>
    <x v="0"/>
    <n v="69"/>
    <n v="3"/>
    <n v="1"/>
    <s v="Laboratory Technician"/>
    <n v="3"/>
    <s v="Single"/>
    <n v="4025"/>
    <n v="11135"/>
    <n v="9"/>
    <s v="Y"/>
    <s v="No"/>
    <n v="12"/>
    <x v="0"/>
    <n v="2"/>
    <n v="80"/>
    <n v="0"/>
    <n v="10"/>
    <n v="2"/>
    <n v="3"/>
    <n v="8"/>
    <n v="7"/>
    <n v="7"/>
    <n v="7"/>
    <n v="0"/>
    <x v="0"/>
    <x v="1"/>
    <s v="0-5k"/>
    <x v="0"/>
    <x v="0"/>
    <x v="2"/>
  </r>
  <r>
    <n v="34"/>
    <s v="No"/>
    <x v="0"/>
    <n v="216"/>
    <x v="0"/>
    <n v="1"/>
    <n v="4"/>
    <s v="Marketing"/>
    <n v="1"/>
    <n v="1047"/>
    <n v="2"/>
    <x v="1"/>
    <n v="75"/>
    <n v="4"/>
    <n v="2"/>
    <s v="Sales Executive"/>
    <n v="4"/>
    <s v="Divorced"/>
    <n v="9725"/>
    <n v="12278"/>
    <n v="0"/>
    <s v="Y"/>
    <s v="No"/>
    <n v="11"/>
    <x v="0"/>
    <n v="4"/>
    <n v="80"/>
    <n v="1"/>
    <n v="16"/>
    <n v="2"/>
    <n v="2"/>
    <n v="15"/>
    <n v="1"/>
    <n v="0"/>
    <n v="9"/>
    <n v="0"/>
    <x v="0"/>
    <x v="0"/>
    <s v="5k-10k"/>
    <x v="2"/>
    <x v="0"/>
    <x v="0"/>
  </r>
  <r>
    <n v="59"/>
    <s v="No"/>
    <x v="0"/>
    <n v="1089"/>
    <x v="0"/>
    <n v="1"/>
    <n v="2"/>
    <s v="Technical Degree"/>
    <n v="1"/>
    <n v="1048"/>
    <n v="2"/>
    <x v="1"/>
    <n v="66"/>
    <n v="3"/>
    <n v="3"/>
    <s v="Manager"/>
    <n v="4"/>
    <s v="Married"/>
    <n v="11904"/>
    <n v="11038"/>
    <n v="3"/>
    <s v="Y"/>
    <s v="Yes"/>
    <n v="14"/>
    <x v="0"/>
    <n v="3"/>
    <n v="80"/>
    <n v="1"/>
    <n v="14"/>
    <n v="1"/>
    <n v="1"/>
    <n v="6"/>
    <n v="4"/>
    <n v="0"/>
    <n v="4"/>
    <n v="0"/>
    <x v="1"/>
    <x v="0"/>
    <s v="10k-15k"/>
    <x v="0"/>
    <x v="0"/>
    <x v="0"/>
  </r>
  <r>
    <n v="45"/>
    <s v="No"/>
    <x v="0"/>
    <n v="788"/>
    <x v="2"/>
    <n v="24"/>
    <n v="4"/>
    <s v="Medical"/>
    <n v="1"/>
    <n v="1049"/>
    <n v="2"/>
    <x v="1"/>
    <n v="36"/>
    <n v="3"/>
    <n v="1"/>
    <s v="Human Resources"/>
    <n v="2"/>
    <s v="Single"/>
    <n v="2177"/>
    <n v="8318"/>
    <n v="1"/>
    <s v="Y"/>
    <s v="No"/>
    <n v="16"/>
    <x v="0"/>
    <n v="1"/>
    <n v="80"/>
    <n v="0"/>
    <n v="6"/>
    <n v="3"/>
    <n v="3"/>
    <n v="6"/>
    <n v="3"/>
    <n v="0"/>
    <n v="4"/>
    <n v="0"/>
    <x v="0"/>
    <x v="1"/>
    <s v="0-5k"/>
    <x v="0"/>
    <x v="0"/>
    <x v="1"/>
  </r>
  <r>
    <n v="53"/>
    <s v="No"/>
    <x v="1"/>
    <n v="124"/>
    <x v="0"/>
    <n v="2"/>
    <n v="3"/>
    <s v="Marketing"/>
    <n v="1"/>
    <n v="1050"/>
    <n v="3"/>
    <x v="0"/>
    <n v="38"/>
    <n v="2"/>
    <n v="3"/>
    <s v="Sales Executive"/>
    <n v="2"/>
    <s v="Married"/>
    <n v="7525"/>
    <n v="23537"/>
    <n v="2"/>
    <s v="Y"/>
    <s v="No"/>
    <n v="12"/>
    <x v="0"/>
    <n v="1"/>
    <n v="80"/>
    <n v="1"/>
    <n v="30"/>
    <n v="2"/>
    <n v="3"/>
    <n v="15"/>
    <n v="7"/>
    <n v="6"/>
    <n v="12"/>
    <n v="0"/>
    <x v="1"/>
    <x v="0"/>
    <s v="5k-10k"/>
    <x v="2"/>
    <x v="0"/>
    <x v="1"/>
  </r>
  <r>
    <n v="36"/>
    <s v="Yes"/>
    <x v="0"/>
    <n v="660"/>
    <x v="1"/>
    <n v="15"/>
    <n v="3"/>
    <s v="Other"/>
    <n v="1"/>
    <n v="1052"/>
    <n v="1"/>
    <x v="1"/>
    <n v="81"/>
    <n v="3"/>
    <n v="2"/>
    <s v="Laboratory Technician"/>
    <n v="3"/>
    <s v="Divorced"/>
    <n v="4834"/>
    <n v="7858"/>
    <n v="7"/>
    <s v="Y"/>
    <s v="No"/>
    <n v="14"/>
    <x v="0"/>
    <n v="2"/>
    <n v="80"/>
    <n v="1"/>
    <n v="9"/>
    <n v="3"/>
    <n v="2"/>
    <n v="1"/>
    <n v="0"/>
    <n v="0"/>
    <n v="0"/>
    <n v="1"/>
    <x v="0"/>
    <x v="2"/>
    <s v="0-5k"/>
    <x v="0"/>
    <x v="0"/>
    <x v="2"/>
  </r>
  <r>
    <n v="26"/>
    <s v="Yes"/>
    <x v="1"/>
    <n v="342"/>
    <x v="1"/>
    <n v="2"/>
    <n v="3"/>
    <s v="Life Sciences"/>
    <n v="1"/>
    <n v="1053"/>
    <n v="1"/>
    <x v="1"/>
    <n v="57"/>
    <n v="3"/>
    <n v="1"/>
    <s v="Research Scientist"/>
    <n v="1"/>
    <s v="Married"/>
    <n v="2042"/>
    <n v="15346"/>
    <n v="6"/>
    <s v="Y"/>
    <s v="Yes"/>
    <n v="14"/>
    <x v="0"/>
    <n v="2"/>
    <n v="80"/>
    <n v="1"/>
    <n v="6"/>
    <n v="2"/>
    <n v="3"/>
    <n v="3"/>
    <n v="2"/>
    <n v="1"/>
    <n v="2"/>
    <n v="1"/>
    <x v="2"/>
    <x v="0"/>
    <s v="0-5k"/>
    <x v="0"/>
    <x v="0"/>
    <x v="3"/>
  </r>
  <r>
    <n v="34"/>
    <s v="No"/>
    <x v="0"/>
    <n v="1333"/>
    <x v="0"/>
    <n v="10"/>
    <n v="4"/>
    <s v="Life Sciences"/>
    <n v="1"/>
    <n v="1055"/>
    <n v="3"/>
    <x v="0"/>
    <n v="87"/>
    <n v="3"/>
    <n v="1"/>
    <s v="Sales Representative"/>
    <n v="3"/>
    <s v="Married"/>
    <n v="2220"/>
    <n v="18410"/>
    <n v="1"/>
    <s v="Y"/>
    <s v="Yes"/>
    <n v="19"/>
    <x v="0"/>
    <n v="4"/>
    <n v="80"/>
    <n v="1"/>
    <n v="1"/>
    <n v="2"/>
    <n v="3"/>
    <n v="1"/>
    <n v="1"/>
    <n v="0"/>
    <n v="0"/>
    <n v="0"/>
    <x v="0"/>
    <x v="0"/>
    <s v="0-5k"/>
    <x v="0"/>
    <x v="0"/>
    <x v="2"/>
  </r>
  <r>
    <n v="28"/>
    <s v="No"/>
    <x v="0"/>
    <n v="1144"/>
    <x v="0"/>
    <n v="10"/>
    <n v="1"/>
    <s v="Medical"/>
    <n v="1"/>
    <n v="1056"/>
    <n v="4"/>
    <x v="1"/>
    <n v="74"/>
    <n v="3"/>
    <n v="1"/>
    <s v="Sales Representative"/>
    <n v="2"/>
    <s v="Married"/>
    <n v="1052"/>
    <n v="23384"/>
    <n v="1"/>
    <s v="Y"/>
    <s v="No"/>
    <n v="22"/>
    <x v="1"/>
    <n v="2"/>
    <n v="80"/>
    <n v="0"/>
    <n v="1"/>
    <n v="5"/>
    <n v="3"/>
    <n v="1"/>
    <n v="0"/>
    <n v="0"/>
    <n v="0"/>
    <n v="0"/>
    <x v="2"/>
    <x v="0"/>
    <s v="0-5k"/>
    <x v="0"/>
    <x v="1"/>
    <x v="1"/>
  </r>
  <r>
    <n v="38"/>
    <s v="No"/>
    <x v="1"/>
    <n v="1186"/>
    <x v="1"/>
    <n v="3"/>
    <n v="4"/>
    <s v="Other"/>
    <n v="1"/>
    <n v="1060"/>
    <n v="3"/>
    <x v="1"/>
    <n v="44"/>
    <n v="3"/>
    <n v="1"/>
    <s v="Research Scientist"/>
    <n v="3"/>
    <s v="Married"/>
    <n v="2821"/>
    <n v="2997"/>
    <n v="3"/>
    <s v="Y"/>
    <s v="No"/>
    <n v="16"/>
    <x v="0"/>
    <n v="1"/>
    <n v="80"/>
    <n v="1"/>
    <n v="8"/>
    <n v="2"/>
    <n v="3"/>
    <n v="2"/>
    <n v="2"/>
    <n v="2"/>
    <n v="2"/>
    <n v="0"/>
    <x v="0"/>
    <x v="0"/>
    <s v="0-5k"/>
    <x v="0"/>
    <x v="0"/>
    <x v="2"/>
  </r>
  <r>
    <n v="50"/>
    <s v="No"/>
    <x v="0"/>
    <n v="1464"/>
    <x v="1"/>
    <n v="2"/>
    <n v="4"/>
    <s v="Medical"/>
    <n v="1"/>
    <n v="1061"/>
    <n v="2"/>
    <x v="1"/>
    <n v="62"/>
    <n v="3"/>
    <n v="5"/>
    <s v="Research Director"/>
    <n v="3"/>
    <s v="Married"/>
    <n v="19237"/>
    <n v="12853"/>
    <n v="2"/>
    <s v="Y"/>
    <s v="Yes"/>
    <n v="11"/>
    <x v="0"/>
    <n v="4"/>
    <n v="80"/>
    <n v="1"/>
    <n v="29"/>
    <n v="2"/>
    <n v="2"/>
    <n v="8"/>
    <n v="1"/>
    <n v="7"/>
    <n v="7"/>
    <n v="0"/>
    <x v="1"/>
    <x v="0"/>
    <s v="15k+"/>
    <x v="0"/>
    <x v="0"/>
    <x v="2"/>
  </r>
  <r>
    <n v="37"/>
    <s v="No"/>
    <x v="0"/>
    <n v="124"/>
    <x v="1"/>
    <n v="3"/>
    <n v="3"/>
    <s v="Other"/>
    <n v="1"/>
    <n v="1062"/>
    <n v="4"/>
    <x v="0"/>
    <n v="35"/>
    <n v="3"/>
    <n v="2"/>
    <s v="Healthcare Representative"/>
    <n v="2"/>
    <s v="Single"/>
    <n v="4107"/>
    <n v="13848"/>
    <n v="3"/>
    <s v="Y"/>
    <s v="No"/>
    <n v="15"/>
    <x v="0"/>
    <n v="1"/>
    <n v="80"/>
    <n v="0"/>
    <n v="8"/>
    <n v="3"/>
    <n v="2"/>
    <n v="4"/>
    <n v="3"/>
    <n v="0"/>
    <n v="1"/>
    <n v="0"/>
    <x v="0"/>
    <x v="0"/>
    <s v="0-5k"/>
    <x v="0"/>
    <x v="0"/>
    <x v="1"/>
  </r>
  <r>
    <n v="40"/>
    <s v="No"/>
    <x v="0"/>
    <n v="300"/>
    <x v="0"/>
    <n v="26"/>
    <n v="3"/>
    <s v="Marketing"/>
    <n v="1"/>
    <n v="1066"/>
    <n v="3"/>
    <x v="1"/>
    <n v="74"/>
    <n v="3"/>
    <n v="2"/>
    <s v="Sales Executive"/>
    <n v="1"/>
    <s v="Married"/>
    <n v="8396"/>
    <n v="22217"/>
    <n v="1"/>
    <s v="Y"/>
    <s v="No"/>
    <n v="14"/>
    <x v="0"/>
    <n v="2"/>
    <n v="80"/>
    <n v="1"/>
    <n v="8"/>
    <n v="3"/>
    <n v="2"/>
    <n v="7"/>
    <n v="7"/>
    <n v="7"/>
    <n v="5"/>
    <n v="0"/>
    <x v="0"/>
    <x v="1"/>
    <s v="5k-10k"/>
    <x v="0"/>
    <x v="0"/>
    <x v="3"/>
  </r>
  <r>
    <n v="26"/>
    <s v="No"/>
    <x v="1"/>
    <n v="921"/>
    <x v="1"/>
    <n v="1"/>
    <n v="1"/>
    <s v="Medical"/>
    <n v="1"/>
    <n v="1068"/>
    <n v="1"/>
    <x v="0"/>
    <n v="66"/>
    <n v="2"/>
    <n v="1"/>
    <s v="Research Scientist"/>
    <n v="3"/>
    <s v="Divorced"/>
    <n v="2007"/>
    <n v="25265"/>
    <n v="1"/>
    <s v="Y"/>
    <s v="No"/>
    <n v="13"/>
    <x v="0"/>
    <n v="3"/>
    <n v="80"/>
    <n v="2"/>
    <n v="5"/>
    <n v="5"/>
    <n v="3"/>
    <n v="5"/>
    <n v="3"/>
    <n v="1"/>
    <n v="3"/>
    <n v="0"/>
    <x v="2"/>
    <x v="0"/>
    <s v="0-5k"/>
    <x v="0"/>
    <x v="0"/>
    <x v="2"/>
  </r>
  <r>
    <n v="46"/>
    <s v="No"/>
    <x v="0"/>
    <n v="430"/>
    <x v="1"/>
    <n v="1"/>
    <n v="4"/>
    <s v="Medical"/>
    <n v="1"/>
    <n v="1069"/>
    <n v="4"/>
    <x v="1"/>
    <n v="40"/>
    <n v="3"/>
    <n v="5"/>
    <s v="Research Director"/>
    <n v="4"/>
    <s v="Divorced"/>
    <n v="19627"/>
    <n v="21445"/>
    <n v="9"/>
    <s v="Y"/>
    <s v="No"/>
    <n v="17"/>
    <x v="0"/>
    <n v="4"/>
    <n v="80"/>
    <n v="2"/>
    <n v="23"/>
    <n v="0"/>
    <n v="3"/>
    <n v="2"/>
    <n v="2"/>
    <n v="2"/>
    <n v="2"/>
    <n v="0"/>
    <x v="1"/>
    <x v="0"/>
    <s v="15k+"/>
    <x v="0"/>
    <x v="0"/>
    <x v="0"/>
  </r>
  <r>
    <n v="54"/>
    <s v="No"/>
    <x v="0"/>
    <n v="1082"/>
    <x v="0"/>
    <n v="2"/>
    <n v="4"/>
    <s v="Life Sciences"/>
    <n v="1"/>
    <n v="1070"/>
    <n v="3"/>
    <x v="0"/>
    <n v="41"/>
    <n v="2"/>
    <n v="3"/>
    <s v="Sales Executive"/>
    <n v="3"/>
    <s v="Married"/>
    <n v="10686"/>
    <n v="8392"/>
    <n v="6"/>
    <s v="Y"/>
    <s v="No"/>
    <n v="11"/>
    <x v="0"/>
    <n v="2"/>
    <n v="80"/>
    <n v="1"/>
    <n v="13"/>
    <n v="4"/>
    <n v="3"/>
    <n v="9"/>
    <n v="4"/>
    <n v="7"/>
    <n v="0"/>
    <n v="0"/>
    <x v="1"/>
    <x v="0"/>
    <s v="10k-15k"/>
    <x v="0"/>
    <x v="0"/>
    <x v="2"/>
  </r>
  <r>
    <n v="56"/>
    <s v="No"/>
    <x v="1"/>
    <n v="1240"/>
    <x v="1"/>
    <n v="9"/>
    <n v="3"/>
    <s v="Medical"/>
    <n v="1"/>
    <n v="1071"/>
    <n v="1"/>
    <x v="0"/>
    <n v="63"/>
    <n v="3"/>
    <n v="1"/>
    <s v="Research Scientist"/>
    <n v="3"/>
    <s v="Married"/>
    <n v="2942"/>
    <n v="12154"/>
    <n v="2"/>
    <s v="Y"/>
    <s v="No"/>
    <n v="19"/>
    <x v="0"/>
    <n v="2"/>
    <n v="80"/>
    <n v="1"/>
    <n v="18"/>
    <n v="4"/>
    <n v="3"/>
    <n v="5"/>
    <n v="4"/>
    <n v="0"/>
    <n v="3"/>
    <n v="0"/>
    <x v="1"/>
    <x v="0"/>
    <s v="0-5k"/>
    <x v="0"/>
    <x v="0"/>
    <x v="2"/>
  </r>
  <r>
    <n v="36"/>
    <s v="No"/>
    <x v="0"/>
    <n v="796"/>
    <x v="1"/>
    <n v="12"/>
    <n v="5"/>
    <s v="Medical"/>
    <n v="1"/>
    <n v="1073"/>
    <n v="4"/>
    <x v="0"/>
    <n v="51"/>
    <n v="2"/>
    <n v="3"/>
    <s v="Manufacturing Director"/>
    <n v="4"/>
    <s v="Single"/>
    <n v="8858"/>
    <n v="15669"/>
    <n v="0"/>
    <s v="Y"/>
    <s v="No"/>
    <n v="11"/>
    <x v="0"/>
    <n v="2"/>
    <n v="80"/>
    <n v="0"/>
    <n v="15"/>
    <n v="2"/>
    <n v="2"/>
    <n v="14"/>
    <n v="8"/>
    <n v="7"/>
    <n v="8"/>
    <n v="0"/>
    <x v="0"/>
    <x v="2"/>
    <s v="5k-10k"/>
    <x v="2"/>
    <x v="0"/>
    <x v="0"/>
  </r>
  <r>
    <n v="55"/>
    <s v="No"/>
    <x v="2"/>
    <n v="444"/>
    <x v="1"/>
    <n v="2"/>
    <n v="1"/>
    <s v="Medical"/>
    <n v="1"/>
    <n v="1074"/>
    <n v="3"/>
    <x v="1"/>
    <n v="40"/>
    <n v="2"/>
    <n v="4"/>
    <s v="Manager"/>
    <n v="1"/>
    <s v="Single"/>
    <n v="16756"/>
    <n v="17323"/>
    <n v="7"/>
    <s v="Y"/>
    <s v="No"/>
    <n v="15"/>
    <x v="0"/>
    <n v="2"/>
    <n v="80"/>
    <n v="0"/>
    <n v="31"/>
    <n v="3"/>
    <n v="4"/>
    <n v="9"/>
    <n v="7"/>
    <n v="6"/>
    <n v="2"/>
    <n v="0"/>
    <x v="1"/>
    <x v="0"/>
    <s v="15k+"/>
    <x v="0"/>
    <x v="0"/>
    <x v="3"/>
  </r>
  <r>
    <n v="43"/>
    <s v="No"/>
    <x v="0"/>
    <n v="415"/>
    <x v="0"/>
    <n v="25"/>
    <n v="3"/>
    <s v="Medical"/>
    <n v="1"/>
    <n v="1076"/>
    <n v="3"/>
    <x v="1"/>
    <n v="79"/>
    <n v="2"/>
    <n v="3"/>
    <s v="Sales Executive"/>
    <n v="4"/>
    <s v="Divorced"/>
    <n v="10798"/>
    <n v="5268"/>
    <n v="5"/>
    <s v="Y"/>
    <s v="No"/>
    <n v="13"/>
    <x v="0"/>
    <n v="3"/>
    <n v="80"/>
    <n v="1"/>
    <n v="18"/>
    <n v="5"/>
    <n v="3"/>
    <n v="1"/>
    <n v="0"/>
    <n v="0"/>
    <n v="0"/>
    <n v="0"/>
    <x v="0"/>
    <x v="1"/>
    <s v="10k-15k"/>
    <x v="0"/>
    <x v="0"/>
    <x v="0"/>
  </r>
  <r>
    <n v="20"/>
    <s v="Yes"/>
    <x v="1"/>
    <n v="769"/>
    <x v="0"/>
    <n v="9"/>
    <n v="3"/>
    <s v="Marketing"/>
    <n v="1"/>
    <n v="1077"/>
    <n v="4"/>
    <x v="0"/>
    <n v="54"/>
    <n v="3"/>
    <n v="1"/>
    <s v="Sales Representative"/>
    <n v="4"/>
    <s v="Single"/>
    <n v="2323"/>
    <n v="17205"/>
    <n v="1"/>
    <s v="Y"/>
    <s v="Yes"/>
    <n v="14"/>
    <x v="0"/>
    <n v="2"/>
    <n v="80"/>
    <n v="0"/>
    <n v="2"/>
    <n v="3"/>
    <n v="3"/>
    <n v="2"/>
    <n v="2"/>
    <n v="0"/>
    <n v="2"/>
    <n v="1"/>
    <x v="2"/>
    <x v="0"/>
    <s v="0-5k"/>
    <x v="0"/>
    <x v="0"/>
    <x v="0"/>
  </r>
  <r>
    <n v="21"/>
    <s v="Yes"/>
    <x v="0"/>
    <n v="1334"/>
    <x v="1"/>
    <n v="10"/>
    <n v="3"/>
    <s v="Life Sciences"/>
    <n v="1"/>
    <n v="1079"/>
    <n v="3"/>
    <x v="0"/>
    <n v="36"/>
    <n v="2"/>
    <n v="1"/>
    <s v="Laboratory Technician"/>
    <n v="1"/>
    <s v="Single"/>
    <n v="1416"/>
    <n v="17258"/>
    <n v="1"/>
    <s v="Y"/>
    <s v="No"/>
    <n v="13"/>
    <x v="0"/>
    <n v="1"/>
    <n v="80"/>
    <n v="0"/>
    <n v="1"/>
    <n v="6"/>
    <n v="2"/>
    <n v="1"/>
    <n v="0"/>
    <n v="1"/>
    <n v="0"/>
    <n v="1"/>
    <x v="2"/>
    <x v="0"/>
    <s v="0-5k"/>
    <x v="0"/>
    <x v="0"/>
    <x v="3"/>
  </r>
  <r>
    <n v="46"/>
    <s v="No"/>
    <x v="0"/>
    <n v="1003"/>
    <x v="1"/>
    <n v="8"/>
    <n v="4"/>
    <s v="Life Sciences"/>
    <n v="1"/>
    <n v="1080"/>
    <n v="4"/>
    <x v="0"/>
    <n v="74"/>
    <n v="2"/>
    <n v="2"/>
    <s v="Research Scientist"/>
    <n v="1"/>
    <s v="Divorced"/>
    <n v="4615"/>
    <n v="21029"/>
    <n v="8"/>
    <s v="Y"/>
    <s v="Yes"/>
    <n v="23"/>
    <x v="1"/>
    <n v="1"/>
    <n v="80"/>
    <n v="3"/>
    <n v="19"/>
    <n v="2"/>
    <n v="3"/>
    <n v="16"/>
    <n v="13"/>
    <n v="1"/>
    <n v="7"/>
    <n v="0"/>
    <x v="1"/>
    <x v="0"/>
    <s v="0-5k"/>
    <x v="2"/>
    <x v="1"/>
    <x v="3"/>
  </r>
  <r>
    <n v="51"/>
    <s v="Yes"/>
    <x v="0"/>
    <n v="1323"/>
    <x v="1"/>
    <n v="4"/>
    <n v="4"/>
    <s v="Life Sciences"/>
    <n v="1"/>
    <n v="1081"/>
    <n v="1"/>
    <x v="1"/>
    <n v="34"/>
    <n v="3"/>
    <n v="1"/>
    <s v="Research Scientist"/>
    <n v="3"/>
    <s v="Married"/>
    <n v="2461"/>
    <n v="10332"/>
    <n v="9"/>
    <s v="Y"/>
    <s v="Yes"/>
    <n v="12"/>
    <x v="0"/>
    <n v="3"/>
    <n v="80"/>
    <n v="3"/>
    <n v="18"/>
    <n v="2"/>
    <n v="4"/>
    <n v="10"/>
    <n v="0"/>
    <n v="2"/>
    <n v="7"/>
    <n v="1"/>
    <x v="1"/>
    <x v="0"/>
    <s v="0-5k"/>
    <x v="0"/>
    <x v="0"/>
    <x v="2"/>
  </r>
  <r>
    <n v="28"/>
    <s v="Yes"/>
    <x v="2"/>
    <n v="1366"/>
    <x v="1"/>
    <n v="24"/>
    <n v="2"/>
    <s v="Technical Degree"/>
    <n v="1"/>
    <n v="1082"/>
    <n v="2"/>
    <x v="1"/>
    <n v="72"/>
    <n v="2"/>
    <n v="3"/>
    <s v="Healthcare Representative"/>
    <n v="1"/>
    <s v="Single"/>
    <n v="8722"/>
    <n v="12355"/>
    <n v="1"/>
    <s v="Y"/>
    <s v="No"/>
    <n v="12"/>
    <x v="0"/>
    <n v="1"/>
    <n v="80"/>
    <n v="0"/>
    <n v="10"/>
    <n v="2"/>
    <n v="2"/>
    <n v="10"/>
    <n v="7"/>
    <n v="1"/>
    <n v="9"/>
    <n v="1"/>
    <x v="2"/>
    <x v="1"/>
    <s v="5k-10k"/>
    <x v="0"/>
    <x v="0"/>
    <x v="3"/>
  </r>
  <r>
    <n v="26"/>
    <s v="No"/>
    <x v="0"/>
    <n v="192"/>
    <x v="1"/>
    <n v="1"/>
    <n v="2"/>
    <s v="Medical"/>
    <n v="1"/>
    <n v="1083"/>
    <n v="1"/>
    <x v="1"/>
    <n v="59"/>
    <n v="2"/>
    <n v="1"/>
    <s v="Laboratory Technician"/>
    <n v="1"/>
    <s v="Married"/>
    <n v="3955"/>
    <n v="11141"/>
    <n v="1"/>
    <s v="Y"/>
    <s v="No"/>
    <n v="16"/>
    <x v="0"/>
    <n v="1"/>
    <n v="80"/>
    <n v="2"/>
    <n v="6"/>
    <n v="2"/>
    <n v="3"/>
    <n v="5"/>
    <n v="3"/>
    <n v="1"/>
    <n v="3"/>
    <n v="0"/>
    <x v="2"/>
    <x v="0"/>
    <s v="0-5k"/>
    <x v="0"/>
    <x v="0"/>
    <x v="3"/>
  </r>
  <r>
    <n v="30"/>
    <s v="No"/>
    <x v="0"/>
    <n v="1176"/>
    <x v="1"/>
    <n v="20"/>
    <n v="3"/>
    <s v="Other"/>
    <n v="1"/>
    <n v="1084"/>
    <n v="3"/>
    <x v="1"/>
    <n v="85"/>
    <n v="3"/>
    <n v="2"/>
    <s v="Manufacturing Director"/>
    <n v="1"/>
    <s v="Married"/>
    <n v="9957"/>
    <n v="9096"/>
    <n v="0"/>
    <s v="Y"/>
    <s v="No"/>
    <n v="15"/>
    <x v="0"/>
    <n v="3"/>
    <n v="80"/>
    <n v="1"/>
    <n v="7"/>
    <n v="1"/>
    <n v="2"/>
    <n v="6"/>
    <n v="2"/>
    <n v="0"/>
    <n v="2"/>
    <n v="0"/>
    <x v="2"/>
    <x v="2"/>
    <s v="5k-10k"/>
    <x v="0"/>
    <x v="0"/>
    <x v="3"/>
  </r>
  <r>
    <n v="41"/>
    <s v="No"/>
    <x v="0"/>
    <n v="509"/>
    <x v="1"/>
    <n v="7"/>
    <n v="2"/>
    <s v="Technical Degree"/>
    <n v="1"/>
    <n v="1085"/>
    <n v="2"/>
    <x v="0"/>
    <n v="43"/>
    <n v="4"/>
    <n v="1"/>
    <s v="Research Scientist"/>
    <n v="3"/>
    <s v="Married"/>
    <n v="3376"/>
    <n v="18863"/>
    <n v="1"/>
    <s v="Y"/>
    <s v="No"/>
    <n v="13"/>
    <x v="0"/>
    <n v="3"/>
    <n v="80"/>
    <n v="0"/>
    <n v="10"/>
    <n v="3"/>
    <n v="3"/>
    <n v="10"/>
    <n v="6"/>
    <n v="0"/>
    <n v="8"/>
    <n v="0"/>
    <x v="0"/>
    <x v="0"/>
    <s v="0-5k"/>
    <x v="0"/>
    <x v="0"/>
    <x v="2"/>
  </r>
  <r>
    <n v="38"/>
    <s v="No"/>
    <x v="0"/>
    <n v="330"/>
    <x v="1"/>
    <n v="17"/>
    <n v="1"/>
    <s v="Life Sciences"/>
    <n v="1"/>
    <n v="1088"/>
    <n v="3"/>
    <x v="0"/>
    <n v="65"/>
    <n v="2"/>
    <n v="3"/>
    <s v="Healthcare Representative"/>
    <n v="3"/>
    <s v="Married"/>
    <n v="8823"/>
    <n v="24608"/>
    <n v="0"/>
    <s v="Y"/>
    <s v="No"/>
    <n v="18"/>
    <x v="0"/>
    <n v="1"/>
    <n v="80"/>
    <n v="1"/>
    <n v="20"/>
    <n v="4"/>
    <n v="2"/>
    <n v="19"/>
    <n v="9"/>
    <n v="1"/>
    <n v="9"/>
    <n v="0"/>
    <x v="0"/>
    <x v="2"/>
    <s v="5k-10k"/>
    <x v="2"/>
    <x v="0"/>
    <x v="2"/>
  </r>
  <r>
    <n v="40"/>
    <s v="No"/>
    <x v="0"/>
    <n v="1492"/>
    <x v="1"/>
    <n v="20"/>
    <n v="4"/>
    <s v="Technical Degree"/>
    <n v="1"/>
    <n v="1092"/>
    <n v="1"/>
    <x v="1"/>
    <n v="61"/>
    <n v="3"/>
    <n v="3"/>
    <s v="Healthcare Representative"/>
    <n v="4"/>
    <s v="Married"/>
    <n v="10322"/>
    <n v="26542"/>
    <n v="4"/>
    <s v="Y"/>
    <s v="No"/>
    <n v="20"/>
    <x v="1"/>
    <n v="4"/>
    <n v="80"/>
    <n v="1"/>
    <n v="14"/>
    <n v="6"/>
    <n v="3"/>
    <n v="11"/>
    <n v="10"/>
    <n v="11"/>
    <n v="1"/>
    <n v="0"/>
    <x v="0"/>
    <x v="2"/>
    <s v="10k-15k"/>
    <x v="2"/>
    <x v="1"/>
    <x v="0"/>
  </r>
  <r>
    <n v="27"/>
    <s v="No"/>
    <x v="2"/>
    <n v="1277"/>
    <x v="1"/>
    <n v="8"/>
    <n v="5"/>
    <s v="Life Sciences"/>
    <n v="1"/>
    <n v="1094"/>
    <n v="1"/>
    <x v="1"/>
    <n v="87"/>
    <n v="1"/>
    <n v="1"/>
    <s v="Laboratory Technician"/>
    <n v="3"/>
    <s v="Married"/>
    <n v="4621"/>
    <n v="5869"/>
    <n v="1"/>
    <s v="Y"/>
    <s v="No"/>
    <n v="19"/>
    <x v="0"/>
    <n v="4"/>
    <n v="80"/>
    <n v="3"/>
    <n v="3"/>
    <n v="4"/>
    <n v="3"/>
    <n v="3"/>
    <n v="2"/>
    <n v="1"/>
    <n v="2"/>
    <n v="0"/>
    <x v="2"/>
    <x v="0"/>
    <s v="0-5k"/>
    <x v="0"/>
    <x v="0"/>
    <x v="2"/>
  </r>
  <r>
    <n v="55"/>
    <s v="No"/>
    <x v="1"/>
    <n v="1091"/>
    <x v="1"/>
    <n v="2"/>
    <n v="1"/>
    <s v="Life Sciences"/>
    <n v="1"/>
    <n v="1096"/>
    <n v="4"/>
    <x v="1"/>
    <n v="65"/>
    <n v="3"/>
    <n v="3"/>
    <s v="Manufacturing Director"/>
    <n v="2"/>
    <s v="Married"/>
    <n v="10976"/>
    <n v="15813"/>
    <n v="3"/>
    <s v="Y"/>
    <s v="No"/>
    <n v="18"/>
    <x v="0"/>
    <n v="2"/>
    <n v="80"/>
    <n v="1"/>
    <n v="23"/>
    <n v="4"/>
    <n v="3"/>
    <n v="3"/>
    <n v="2"/>
    <n v="1"/>
    <n v="2"/>
    <n v="0"/>
    <x v="1"/>
    <x v="0"/>
    <s v="10k-15k"/>
    <x v="0"/>
    <x v="0"/>
    <x v="1"/>
  </r>
  <r>
    <n v="28"/>
    <s v="No"/>
    <x v="0"/>
    <n v="857"/>
    <x v="1"/>
    <n v="10"/>
    <n v="3"/>
    <s v="Other"/>
    <n v="1"/>
    <n v="1097"/>
    <n v="3"/>
    <x v="0"/>
    <n v="59"/>
    <n v="3"/>
    <n v="2"/>
    <s v="Research Scientist"/>
    <n v="3"/>
    <s v="Single"/>
    <n v="3660"/>
    <n v="7909"/>
    <n v="3"/>
    <s v="Y"/>
    <s v="No"/>
    <n v="13"/>
    <x v="0"/>
    <n v="4"/>
    <n v="80"/>
    <n v="0"/>
    <n v="10"/>
    <n v="4"/>
    <n v="4"/>
    <n v="8"/>
    <n v="7"/>
    <n v="1"/>
    <n v="7"/>
    <n v="0"/>
    <x v="2"/>
    <x v="0"/>
    <s v="0-5k"/>
    <x v="0"/>
    <x v="0"/>
    <x v="2"/>
  </r>
  <r>
    <n v="44"/>
    <s v="Yes"/>
    <x v="0"/>
    <n v="1376"/>
    <x v="2"/>
    <n v="1"/>
    <n v="2"/>
    <s v="Medical"/>
    <n v="1"/>
    <n v="1098"/>
    <n v="2"/>
    <x v="1"/>
    <n v="91"/>
    <n v="2"/>
    <n v="3"/>
    <s v="Human Resources"/>
    <n v="1"/>
    <s v="Married"/>
    <n v="10482"/>
    <n v="2326"/>
    <n v="9"/>
    <s v="Y"/>
    <s v="No"/>
    <n v="14"/>
    <x v="0"/>
    <n v="4"/>
    <n v="80"/>
    <n v="1"/>
    <n v="24"/>
    <n v="1"/>
    <n v="3"/>
    <n v="20"/>
    <n v="6"/>
    <n v="3"/>
    <n v="6"/>
    <n v="1"/>
    <x v="0"/>
    <x v="0"/>
    <s v="10k-15k"/>
    <x v="2"/>
    <x v="0"/>
    <x v="3"/>
  </r>
  <r>
    <n v="33"/>
    <s v="No"/>
    <x v="0"/>
    <n v="654"/>
    <x v="1"/>
    <n v="5"/>
    <n v="3"/>
    <s v="Life Sciences"/>
    <n v="1"/>
    <n v="1099"/>
    <n v="4"/>
    <x v="1"/>
    <n v="34"/>
    <n v="2"/>
    <n v="3"/>
    <s v="Healthcare Representative"/>
    <n v="4"/>
    <s v="Divorced"/>
    <n v="7119"/>
    <n v="21214"/>
    <n v="4"/>
    <s v="Y"/>
    <s v="No"/>
    <n v="15"/>
    <x v="0"/>
    <n v="3"/>
    <n v="80"/>
    <n v="1"/>
    <n v="9"/>
    <n v="2"/>
    <n v="3"/>
    <n v="3"/>
    <n v="2"/>
    <n v="1"/>
    <n v="2"/>
    <n v="0"/>
    <x v="0"/>
    <x v="0"/>
    <s v="5k-10k"/>
    <x v="0"/>
    <x v="0"/>
    <x v="0"/>
  </r>
  <r>
    <n v="35"/>
    <s v="Yes"/>
    <x v="0"/>
    <n v="1204"/>
    <x v="0"/>
    <n v="4"/>
    <n v="3"/>
    <s v="Technical Degree"/>
    <n v="1"/>
    <n v="1100"/>
    <n v="4"/>
    <x v="1"/>
    <n v="86"/>
    <n v="3"/>
    <n v="3"/>
    <s v="Sales Executive"/>
    <n v="1"/>
    <s v="Single"/>
    <n v="9582"/>
    <n v="10333"/>
    <n v="0"/>
    <s v="Y"/>
    <s v="Yes"/>
    <n v="22"/>
    <x v="1"/>
    <n v="1"/>
    <n v="80"/>
    <n v="0"/>
    <n v="9"/>
    <n v="2"/>
    <n v="3"/>
    <n v="8"/>
    <n v="7"/>
    <n v="4"/>
    <n v="7"/>
    <n v="1"/>
    <x v="0"/>
    <x v="0"/>
    <s v="5k-10k"/>
    <x v="0"/>
    <x v="1"/>
    <x v="3"/>
  </r>
  <r>
    <n v="33"/>
    <s v="Yes"/>
    <x v="1"/>
    <n v="827"/>
    <x v="1"/>
    <n v="29"/>
    <n v="4"/>
    <s v="Medical"/>
    <n v="1"/>
    <n v="1101"/>
    <n v="1"/>
    <x v="0"/>
    <n v="54"/>
    <n v="2"/>
    <n v="2"/>
    <s v="Research Scientist"/>
    <n v="3"/>
    <s v="Single"/>
    <n v="4508"/>
    <n v="3129"/>
    <n v="1"/>
    <s v="Y"/>
    <s v="No"/>
    <n v="22"/>
    <x v="1"/>
    <n v="2"/>
    <n v="80"/>
    <n v="0"/>
    <n v="14"/>
    <n v="4"/>
    <n v="3"/>
    <n v="13"/>
    <n v="7"/>
    <n v="3"/>
    <n v="8"/>
    <n v="1"/>
    <x v="0"/>
    <x v="1"/>
    <s v="0-5k"/>
    <x v="2"/>
    <x v="1"/>
    <x v="2"/>
  </r>
  <r>
    <n v="28"/>
    <s v="No"/>
    <x v="0"/>
    <n v="895"/>
    <x v="1"/>
    <n v="15"/>
    <n v="2"/>
    <s v="Life Sciences"/>
    <n v="1"/>
    <n v="1102"/>
    <n v="1"/>
    <x v="1"/>
    <n v="50"/>
    <n v="3"/>
    <n v="1"/>
    <s v="Laboratory Technician"/>
    <n v="3"/>
    <s v="Divorced"/>
    <n v="2207"/>
    <n v="22482"/>
    <n v="1"/>
    <s v="Y"/>
    <s v="No"/>
    <n v="16"/>
    <x v="0"/>
    <n v="4"/>
    <n v="80"/>
    <n v="1"/>
    <n v="4"/>
    <n v="5"/>
    <n v="2"/>
    <n v="4"/>
    <n v="2"/>
    <n v="2"/>
    <n v="2"/>
    <n v="0"/>
    <x v="2"/>
    <x v="2"/>
    <s v="0-5k"/>
    <x v="0"/>
    <x v="0"/>
    <x v="2"/>
  </r>
  <r>
    <n v="34"/>
    <s v="No"/>
    <x v="1"/>
    <n v="618"/>
    <x v="1"/>
    <n v="3"/>
    <n v="1"/>
    <s v="Life Sciences"/>
    <n v="1"/>
    <n v="1103"/>
    <n v="1"/>
    <x v="1"/>
    <n v="45"/>
    <n v="3"/>
    <n v="2"/>
    <s v="Healthcare Representative"/>
    <n v="4"/>
    <s v="Single"/>
    <n v="7756"/>
    <n v="22266"/>
    <n v="0"/>
    <s v="Y"/>
    <s v="No"/>
    <n v="17"/>
    <x v="0"/>
    <n v="3"/>
    <n v="80"/>
    <n v="0"/>
    <n v="7"/>
    <n v="1"/>
    <n v="2"/>
    <n v="6"/>
    <n v="2"/>
    <n v="0"/>
    <n v="4"/>
    <n v="0"/>
    <x v="0"/>
    <x v="0"/>
    <s v="5k-10k"/>
    <x v="0"/>
    <x v="0"/>
    <x v="0"/>
  </r>
  <r>
    <n v="37"/>
    <s v="No"/>
    <x v="0"/>
    <n v="309"/>
    <x v="0"/>
    <n v="10"/>
    <n v="4"/>
    <s v="Life Sciences"/>
    <n v="1"/>
    <n v="1105"/>
    <n v="4"/>
    <x v="0"/>
    <n v="88"/>
    <n v="2"/>
    <n v="2"/>
    <s v="Sales Executive"/>
    <n v="4"/>
    <s v="Divorced"/>
    <n v="6694"/>
    <n v="24223"/>
    <n v="2"/>
    <s v="Y"/>
    <s v="Yes"/>
    <n v="14"/>
    <x v="0"/>
    <n v="3"/>
    <n v="80"/>
    <n v="3"/>
    <n v="8"/>
    <n v="5"/>
    <n v="3"/>
    <n v="1"/>
    <n v="0"/>
    <n v="0"/>
    <n v="0"/>
    <n v="0"/>
    <x v="0"/>
    <x v="0"/>
    <s v="5k-10k"/>
    <x v="0"/>
    <x v="0"/>
    <x v="0"/>
  </r>
  <r>
    <n v="25"/>
    <s v="Yes"/>
    <x v="0"/>
    <n v="1219"/>
    <x v="1"/>
    <n v="4"/>
    <n v="1"/>
    <s v="Technical Degree"/>
    <n v="1"/>
    <n v="1106"/>
    <n v="4"/>
    <x v="1"/>
    <n v="32"/>
    <n v="3"/>
    <n v="1"/>
    <s v="Laboratory Technician"/>
    <n v="4"/>
    <s v="Married"/>
    <n v="3691"/>
    <n v="4605"/>
    <n v="1"/>
    <s v="Y"/>
    <s v="Yes"/>
    <n v="15"/>
    <x v="0"/>
    <n v="2"/>
    <n v="80"/>
    <n v="1"/>
    <n v="7"/>
    <n v="3"/>
    <n v="4"/>
    <n v="7"/>
    <n v="7"/>
    <n v="5"/>
    <n v="6"/>
    <n v="1"/>
    <x v="2"/>
    <x v="0"/>
    <s v="0-5k"/>
    <x v="0"/>
    <x v="0"/>
    <x v="0"/>
  </r>
  <r>
    <n v="26"/>
    <s v="Yes"/>
    <x v="0"/>
    <n v="1330"/>
    <x v="1"/>
    <n v="21"/>
    <n v="3"/>
    <s v="Medical"/>
    <n v="1"/>
    <n v="1107"/>
    <n v="1"/>
    <x v="1"/>
    <n v="37"/>
    <n v="3"/>
    <n v="1"/>
    <s v="Laboratory Technician"/>
    <n v="3"/>
    <s v="Divorced"/>
    <n v="2377"/>
    <n v="19373"/>
    <n v="1"/>
    <s v="Y"/>
    <s v="No"/>
    <n v="20"/>
    <x v="1"/>
    <n v="3"/>
    <n v="80"/>
    <n v="1"/>
    <n v="1"/>
    <n v="0"/>
    <n v="2"/>
    <n v="1"/>
    <n v="1"/>
    <n v="0"/>
    <n v="0"/>
    <n v="1"/>
    <x v="2"/>
    <x v="1"/>
    <s v="0-5k"/>
    <x v="0"/>
    <x v="1"/>
    <x v="2"/>
  </r>
  <r>
    <n v="33"/>
    <s v="Yes"/>
    <x v="0"/>
    <n v="1017"/>
    <x v="1"/>
    <n v="25"/>
    <n v="3"/>
    <s v="Medical"/>
    <n v="1"/>
    <n v="1108"/>
    <n v="1"/>
    <x v="1"/>
    <n v="55"/>
    <n v="2"/>
    <n v="1"/>
    <s v="Research Scientist"/>
    <n v="2"/>
    <s v="Single"/>
    <n v="2313"/>
    <n v="2993"/>
    <n v="4"/>
    <s v="Y"/>
    <s v="Yes"/>
    <n v="20"/>
    <x v="1"/>
    <n v="2"/>
    <n v="80"/>
    <n v="0"/>
    <n v="5"/>
    <n v="0"/>
    <n v="3"/>
    <n v="2"/>
    <n v="2"/>
    <n v="2"/>
    <n v="2"/>
    <n v="1"/>
    <x v="0"/>
    <x v="1"/>
    <s v="0-5k"/>
    <x v="0"/>
    <x v="1"/>
    <x v="1"/>
  </r>
  <r>
    <n v="42"/>
    <s v="No"/>
    <x v="0"/>
    <n v="469"/>
    <x v="1"/>
    <n v="2"/>
    <n v="2"/>
    <s v="Medical"/>
    <n v="1"/>
    <n v="1109"/>
    <n v="4"/>
    <x v="1"/>
    <n v="35"/>
    <n v="3"/>
    <n v="4"/>
    <s v="Manager"/>
    <n v="1"/>
    <s v="Married"/>
    <n v="17665"/>
    <n v="14399"/>
    <n v="0"/>
    <s v="Y"/>
    <s v="No"/>
    <n v="17"/>
    <x v="0"/>
    <n v="4"/>
    <n v="80"/>
    <n v="1"/>
    <n v="23"/>
    <n v="3"/>
    <n v="3"/>
    <n v="22"/>
    <n v="6"/>
    <n v="13"/>
    <n v="7"/>
    <n v="0"/>
    <x v="0"/>
    <x v="0"/>
    <s v="15k+"/>
    <x v="1"/>
    <x v="0"/>
    <x v="3"/>
  </r>
  <r>
    <n v="28"/>
    <s v="Yes"/>
    <x v="1"/>
    <n v="1009"/>
    <x v="1"/>
    <n v="1"/>
    <n v="3"/>
    <s v="Medical"/>
    <n v="1"/>
    <n v="1111"/>
    <n v="1"/>
    <x v="1"/>
    <n v="45"/>
    <n v="2"/>
    <n v="1"/>
    <s v="Laboratory Technician"/>
    <n v="2"/>
    <s v="Divorced"/>
    <n v="2596"/>
    <n v="7160"/>
    <n v="1"/>
    <s v="Y"/>
    <s v="No"/>
    <n v="15"/>
    <x v="0"/>
    <n v="1"/>
    <n v="80"/>
    <n v="2"/>
    <n v="1"/>
    <n v="2"/>
    <n v="3"/>
    <n v="1"/>
    <n v="0"/>
    <n v="0"/>
    <n v="0"/>
    <n v="1"/>
    <x v="2"/>
    <x v="0"/>
    <s v="0-5k"/>
    <x v="0"/>
    <x v="0"/>
    <x v="1"/>
  </r>
  <r>
    <n v="50"/>
    <s v="Yes"/>
    <x v="1"/>
    <n v="959"/>
    <x v="0"/>
    <n v="1"/>
    <n v="4"/>
    <s v="Other"/>
    <n v="1"/>
    <n v="1113"/>
    <n v="4"/>
    <x v="1"/>
    <n v="81"/>
    <n v="3"/>
    <n v="2"/>
    <s v="Sales Executive"/>
    <n v="3"/>
    <s v="Single"/>
    <n v="4728"/>
    <n v="17251"/>
    <n v="3"/>
    <s v="Y"/>
    <s v="Yes"/>
    <n v="14"/>
    <x v="0"/>
    <n v="4"/>
    <n v="80"/>
    <n v="0"/>
    <n v="5"/>
    <n v="4"/>
    <n v="3"/>
    <n v="0"/>
    <n v="0"/>
    <n v="0"/>
    <n v="0"/>
    <n v="1"/>
    <x v="1"/>
    <x v="0"/>
    <s v="0-5k"/>
    <x v="0"/>
    <x v="0"/>
    <x v="2"/>
  </r>
  <r>
    <n v="33"/>
    <s v="No"/>
    <x v="1"/>
    <n v="970"/>
    <x v="0"/>
    <n v="7"/>
    <n v="3"/>
    <s v="Life Sciences"/>
    <n v="1"/>
    <n v="1114"/>
    <n v="4"/>
    <x v="0"/>
    <n v="30"/>
    <n v="3"/>
    <n v="2"/>
    <s v="Sales Executive"/>
    <n v="2"/>
    <s v="Married"/>
    <n v="4302"/>
    <n v="13401"/>
    <n v="0"/>
    <s v="Y"/>
    <s v="No"/>
    <n v="17"/>
    <x v="0"/>
    <n v="3"/>
    <n v="80"/>
    <n v="1"/>
    <n v="4"/>
    <n v="3"/>
    <n v="3"/>
    <n v="3"/>
    <n v="2"/>
    <n v="0"/>
    <n v="2"/>
    <n v="0"/>
    <x v="0"/>
    <x v="0"/>
    <s v="0-5k"/>
    <x v="0"/>
    <x v="0"/>
    <x v="1"/>
  </r>
  <r>
    <n v="34"/>
    <s v="No"/>
    <x v="2"/>
    <n v="697"/>
    <x v="1"/>
    <n v="3"/>
    <n v="4"/>
    <s v="Life Sciences"/>
    <n v="1"/>
    <n v="1115"/>
    <n v="3"/>
    <x v="1"/>
    <n v="40"/>
    <n v="2"/>
    <n v="1"/>
    <s v="Research Scientist"/>
    <n v="4"/>
    <s v="Married"/>
    <n v="2979"/>
    <n v="22478"/>
    <n v="3"/>
    <s v="Y"/>
    <s v="No"/>
    <n v="17"/>
    <x v="0"/>
    <n v="4"/>
    <n v="80"/>
    <n v="3"/>
    <n v="6"/>
    <n v="2"/>
    <n v="3"/>
    <n v="0"/>
    <n v="0"/>
    <n v="0"/>
    <n v="0"/>
    <n v="0"/>
    <x v="0"/>
    <x v="0"/>
    <s v="0-5k"/>
    <x v="0"/>
    <x v="0"/>
    <x v="0"/>
  </r>
  <r>
    <n v="48"/>
    <s v="No"/>
    <x v="2"/>
    <n v="1262"/>
    <x v="1"/>
    <n v="1"/>
    <n v="4"/>
    <s v="Medical"/>
    <n v="1"/>
    <n v="1116"/>
    <n v="1"/>
    <x v="1"/>
    <n v="35"/>
    <n v="4"/>
    <n v="4"/>
    <s v="Manager"/>
    <n v="4"/>
    <s v="Single"/>
    <n v="16885"/>
    <n v="16154"/>
    <n v="2"/>
    <s v="Y"/>
    <s v="No"/>
    <n v="22"/>
    <x v="1"/>
    <n v="3"/>
    <n v="80"/>
    <n v="0"/>
    <n v="27"/>
    <n v="3"/>
    <n v="2"/>
    <n v="5"/>
    <n v="4"/>
    <n v="2"/>
    <n v="1"/>
    <n v="0"/>
    <x v="1"/>
    <x v="0"/>
    <s v="15k+"/>
    <x v="0"/>
    <x v="1"/>
    <x v="0"/>
  </r>
  <r>
    <n v="45"/>
    <s v="No"/>
    <x v="2"/>
    <n v="1050"/>
    <x v="0"/>
    <n v="9"/>
    <n v="4"/>
    <s v="Life Sciences"/>
    <n v="1"/>
    <n v="1117"/>
    <n v="2"/>
    <x v="0"/>
    <n v="65"/>
    <n v="2"/>
    <n v="2"/>
    <s v="Sales Executive"/>
    <n v="3"/>
    <s v="Married"/>
    <n v="5593"/>
    <n v="17970"/>
    <n v="1"/>
    <s v="Y"/>
    <s v="No"/>
    <n v="13"/>
    <x v="0"/>
    <n v="4"/>
    <n v="80"/>
    <n v="1"/>
    <n v="15"/>
    <n v="2"/>
    <n v="3"/>
    <n v="15"/>
    <n v="10"/>
    <n v="4"/>
    <n v="12"/>
    <n v="0"/>
    <x v="0"/>
    <x v="0"/>
    <s v="5k-10k"/>
    <x v="2"/>
    <x v="0"/>
    <x v="2"/>
  </r>
  <r>
    <n v="52"/>
    <s v="No"/>
    <x v="0"/>
    <n v="994"/>
    <x v="1"/>
    <n v="7"/>
    <n v="4"/>
    <s v="Life Sciences"/>
    <n v="1"/>
    <n v="1118"/>
    <n v="2"/>
    <x v="1"/>
    <n v="87"/>
    <n v="3"/>
    <n v="3"/>
    <s v="Healthcare Representative"/>
    <n v="2"/>
    <s v="Single"/>
    <n v="10445"/>
    <n v="15322"/>
    <n v="7"/>
    <s v="Y"/>
    <s v="No"/>
    <n v="19"/>
    <x v="0"/>
    <n v="4"/>
    <n v="80"/>
    <n v="0"/>
    <n v="18"/>
    <n v="4"/>
    <n v="3"/>
    <n v="8"/>
    <n v="6"/>
    <n v="4"/>
    <n v="0"/>
    <n v="0"/>
    <x v="1"/>
    <x v="0"/>
    <s v="10k-15k"/>
    <x v="0"/>
    <x v="0"/>
    <x v="1"/>
  </r>
  <r>
    <n v="38"/>
    <s v="No"/>
    <x v="0"/>
    <n v="770"/>
    <x v="0"/>
    <n v="10"/>
    <n v="4"/>
    <s v="Marketing"/>
    <n v="1"/>
    <n v="1119"/>
    <n v="3"/>
    <x v="1"/>
    <n v="73"/>
    <n v="2"/>
    <n v="3"/>
    <s v="Sales Executive"/>
    <n v="3"/>
    <s v="Divorced"/>
    <n v="8740"/>
    <n v="5569"/>
    <n v="0"/>
    <s v="Y"/>
    <s v="Yes"/>
    <n v="14"/>
    <x v="0"/>
    <n v="2"/>
    <n v="80"/>
    <n v="2"/>
    <n v="9"/>
    <n v="2"/>
    <n v="3"/>
    <n v="8"/>
    <n v="7"/>
    <n v="2"/>
    <n v="7"/>
    <n v="0"/>
    <x v="0"/>
    <x v="0"/>
    <s v="5k-10k"/>
    <x v="0"/>
    <x v="0"/>
    <x v="2"/>
  </r>
  <r>
    <n v="29"/>
    <s v="No"/>
    <x v="0"/>
    <n v="1107"/>
    <x v="1"/>
    <n v="28"/>
    <n v="4"/>
    <s v="Life Sciences"/>
    <n v="1"/>
    <n v="1120"/>
    <n v="3"/>
    <x v="0"/>
    <n v="93"/>
    <n v="3"/>
    <n v="1"/>
    <s v="Research Scientist"/>
    <n v="4"/>
    <s v="Divorced"/>
    <n v="2514"/>
    <n v="26968"/>
    <n v="4"/>
    <s v="Y"/>
    <s v="No"/>
    <n v="22"/>
    <x v="1"/>
    <n v="1"/>
    <n v="80"/>
    <n v="1"/>
    <n v="11"/>
    <n v="1"/>
    <n v="3"/>
    <n v="7"/>
    <n v="5"/>
    <n v="1"/>
    <n v="7"/>
    <n v="0"/>
    <x v="2"/>
    <x v="1"/>
    <s v="0-5k"/>
    <x v="0"/>
    <x v="1"/>
    <x v="0"/>
  </r>
  <r>
    <n v="28"/>
    <s v="No"/>
    <x v="0"/>
    <n v="950"/>
    <x v="1"/>
    <n v="3"/>
    <n v="3"/>
    <s v="Medical"/>
    <n v="1"/>
    <n v="1121"/>
    <n v="4"/>
    <x v="0"/>
    <n v="93"/>
    <n v="3"/>
    <n v="3"/>
    <s v="Manufacturing Director"/>
    <n v="2"/>
    <s v="Divorced"/>
    <n v="7655"/>
    <n v="8039"/>
    <n v="0"/>
    <s v="Y"/>
    <s v="No"/>
    <n v="17"/>
    <x v="0"/>
    <n v="2"/>
    <n v="80"/>
    <n v="3"/>
    <n v="10"/>
    <n v="3"/>
    <n v="2"/>
    <n v="9"/>
    <n v="7"/>
    <n v="1"/>
    <n v="7"/>
    <n v="0"/>
    <x v="2"/>
    <x v="0"/>
    <s v="5k-10k"/>
    <x v="0"/>
    <x v="0"/>
    <x v="1"/>
  </r>
  <r>
    <n v="46"/>
    <s v="No"/>
    <x v="0"/>
    <n v="406"/>
    <x v="0"/>
    <n v="3"/>
    <n v="1"/>
    <s v="Marketing"/>
    <n v="1"/>
    <n v="1124"/>
    <n v="1"/>
    <x v="1"/>
    <n v="52"/>
    <n v="3"/>
    <n v="4"/>
    <s v="Manager"/>
    <n v="3"/>
    <s v="Married"/>
    <n v="17465"/>
    <n v="15596"/>
    <n v="3"/>
    <s v="Y"/>
    <s v="No"/>
    <n v="12"/>
    <x v="0"/>
    <n v="4"/>
    <n v="80"/>
    <n v="1"/>
    <n v="23"/>
    <n v="3"/>
    <n v="3"/>
    <n v="12"/>
    <n v="9"/>
    <n v="4"/>
    <n v="9"/>
    <n v="0"/>
    <x v="1"/>
    <x v="0"/>
    <s v="15k+"/>
    <x v="2"/>
    <x v="0"/>
    <x v="2"/>
  </r>
  <r>
    <n v="38"/>
    <s v="No"/>
    <x v="0"/>
    <n v="130"/>
    <x v="0"/>
    <n v="2"/>
    <n v="2"/>
    <s v="Marketing"/>
    <n v="1"/>
    <n v="1125"/>
    <n v="4"/>
    <x v="1"/>
    <n v="32"/>
    <n v="3"/>
    <n v="3"/>
    <s v="Sales Executive"/>
    <n v="2"/>
    <s v="Single"/>
    <n v="7351"/>
    <n v="20619"/>
    <n v="7"/>
    <s v="Y"/>
    <s v="No"/>
    <n v="16"/>
    <x v="0"/>
    <n v="3"/>
    <n v="80"/>
    <n v="0"/>
    <n v="10"/>
    <n v="2"/>
    <n v="3"/>
    <n v="1"/>
    <n v="0"/>
    <n v="0"/>
    <n v="0"/>
    <n v="0"/>
    <x v="0"/>
    <x v="0"/>
    <s v="5k-10k"/>
    <x v="0"/>
    <x v="0"/>
    <x v="1"/>
  </r>
  <r>
    <n v="43"/>
    <s v="No"/>
    <x v="1"/>
    <n v="1082"/>
    <x v="1"/>
    <n v="27"/>
    <n v="3"/>
    <s v="Life Sciences"/>
    <n v="1"/>
    <n v="1126"/>
    <n v="3"/>
    <x v="0"/>
    <n v="83"/>
    <n v="3"/>
    <n v="3"/>
    <s v="Manufacturing Director"/>
    <n v="1"/>
    <s v="Married"/>
    <n v="10820"/>
    <n v="11535"/>
    <n v="8"/>
    <s v="Y"/>
    <s v="No"/>
    <n v="11"/>
    <x v="0"/>
    <n v="3"/>
    <n v="80"/>
    <n v="1"/>
    <n v="18"/>
    <n v="1"/>
    <n v="3"/>
    <n v="8"/>
    <n v="7"/>
    <n v="0"/>
    <n v="1"/>
    <n v="0"/>
    <x v="0"/>
    <x v="1"/>
    <s v="10k-15k"/>
    <x v="0"/>
    <x v="0"/>
    <x v="3"/>
  </r>
  <r>
    <n v="39"/>
    <s v="Yes"/>
    <x v="1"/>
    <n v="203"/>
    <x v="1"/>
    <n v="2"/>
    <n v="3"/>
    <s v="Life Sciences"/>
    <n v="1"/>
    <n v="1127"/>
    <n v="1"/>
    <x v="1"/>
    <n v="84"/>
    <n v="3"/>
    <n v="4"/>
    <s v="Healthcare Representative"/>
    <n v="4"/>
    <s v="Divorced"/>
    <n v="12169"/>
    <n v="13547"/>
    <n v="7"/>
    <s v="Y"/>
    <s v="No"/>
    <n v="11"/>
    <x v="0"/>
    <n v="4"/>
    <n v="80"/>
    <n v="3"/>
    <n v="21"/>
    <n v="4"/>
    <n v="3"/>
    <n v="18"/>
    <n v="7"/>
    <n v="11"/>
    <n v="5"/>
    <n v="1"/>
    <x v="0"/>
    <x v="0"/>
    <s v="10k-15k"/>
    <x v="2"/>
    <x v="0"/>
    <x v="0"/>
  </r>
  <r>
    <n v="40"/>
    <s v="No"/>
    <x v="0"/>
    <n v="1308"/>
    <x v="1"/>
    <n v="14"/>
    <n v="3"/>
    <s v="Medical"/>
    <n v="1"/>
    <n v="1128"/>
    <n v="3"/>
    <x v="1"/>
    <n v="44"/>
    <n v="2"/>
    <n v="5"/>
    <s v="Research Director"/>
    <n v="3"/>
    <s v="Single"/>
    <n v="19626"/>
    <n v="17544"/>
    <n v="1"/>
    <s v="Y"/>
    <s v="No"/>
    <n v="14"/>
    <x v="0"/>
    <n v="1"/>
    <n v="80"/>
    <n v="0"/>
    <n v="21"/>
    <n v="2"/>
    <n v="4"/>
    <n v="20"/>
    <n v="7"/>
    <n v="4"/>
    <n v="9"/>
    <n v="0"/>
    <x v="0"/>
    <x v="2"/>
    <s v="15k+"/>
    <x v="2"/>
    <x v="0"/>
    <x v="2"/>
  </r>
  <r>
    <n v="21"/>
    <s v="No"/>
    <x v="0"/>
    <n v="984"/>
    <x v="1"/>
    <n v="1"/>
    <n v="1"/>
    <s v="Technical Degree"/>
    <n v="1"/>
    <n v="1131"/>
    <n v="4"/>
    <x v="0"/>
    <n v="70"/>
    <n v="2"/>
    <n v="1"/>
    <s v="Research Scientist"/>
    <n v="2"/>
    <s v="Single"/>
    <n v="2070"/>
    <n v="25326"/>
    <n v="1"/>
    <s v="Y"/>
    <s v="Yes"/>
    <n v="11"/>
    <x v="0"/>
    <n v="3"/>
    <n v="80"/>
    <n v="0"/>
    <n v="2"/>
    <n v="6"/>
    <n v="4"/>
    <n v="2"/>
    <n v="2"/>
    <n v="2"/>
    <n v="2"/>
    <n v="0"/>
    <x v="2"/>
    <x v="0"/>
    <s v="0-5k"/>
    <x v="0"/>
    <x v="0"/>
    <x v="1"/>
  </r>
  <r>
    <n v="39"/>
    <s v="No"/>
    <x v="2"/>
    <n v="439"/>
    <x v="1"/>
    <n v="9"/>
    <n v="3"/>
    <s v="Life Sciences"/>
    <n v="1"/>
    <n v="1132"/>
    <n v="3"/>
    <x v="1"/>
    <n v="70"/>
    <n v="3"/>
    <n v="2"/>
    <s v="Laboratory Technician"/>
    <n v="2"/>
    <s v="Single"/>
    <n v="6782"/>
    <n v="8770"/>
    <n v="9"/>
    <s v="Y"/>
    <s v="No"/>
    <n v="15"/>
    <x v="0"/>
    <n v="3"/>
    <n v="80"/>
    <n v="0"/>
    <n v="9"/>
    <n v="2"/>
    <n v="2"/>
    <n v="5"/>
    <n v="4"/>
    <n v="0"/>
    <n v="3"/>
    <n v="0"/>
    <x v="0"/>
    <x v="0"/>
    <s v="5k-10k"/>
    <x v="0"/>
    <x v="0"/>
    <x v="1"/>
  </r>
  <r>
    <n v="36"/>
    <s v="No"/>
    <x v="2"/>
    <n v="217"/>
    <x v="1"/>
    <n v="18"/>
    <n v="4"/>
    <s v="Life Sciences"/>
    <n v="1"/>
    <n v="1133"/>
    <n v="1"/>
    <x v="1"/>
    <n v="78"/>
    <n v="3"/>
    <n v="2"/>
    <s v="Manufacturing Director"/>
    <n v="4"/>
    <s v="Single"/>
    <n v="7779"/>
    <n v="23238"/>
    <n v="2"/>
    <s v="Y"/>
    <s v="No"/>
    <n v="20"/>
    <x v="1"/>
    <n v="1"/>
    <n v="80"/>
    <n v="0"/>
    <n v="18"/>
    <n v="0"/>
    <n v="3"/>
    <n v="11"/>
    <n v="9"/>
    <n v="0"/>
    <n v="9"/>
    <n v="0"/>
    <x v="0"/>
    <x v="2"/>
    <s v="5k-10k"/>
    <x v="2"/>
    <x v="1"/>
    <x v="0"/>
  </r>
  <r>
    <n v="31"/>
    <s v="No"/>
    <x v="1"/>
    <n v="793"/>
    <x v="0"/>
    <n v="20"/>
    <n v="3"/>
    <s v="Life Sciences"/>
    <n v="1"/>
    <n v="1135"/>
    <n v="3"/>
    <x v="1"/>
    <n v="67"/>
    <n v="4"/>
    <n v="1"/>
    <s v="Sales Representative"/>
    <n v="4"/>
    <s v="Married"/>
    <n v="2791"/>
    <n v="21981"/>
    <n v="0"/>
    <s v="Y"/>
    <s v="No"/>
    <n v="12"/>
    <x v="0"/>
    <n v="1"/>
    <n v="80"/>
    <n v="1"/>
    <n v="3"/>
    <n v="4"/>
    <n v="3"/>
    <n v="2"/>
    <n v="2"/>
    <n v="2"/>
    <n v="2"/>
    <n v="0"/>
    <x v="0"/>
    <x v="2"/>
    <s v="0-5k"/>
    <x v="0"/>
    <x v="0"/>
    <x v="0"/>
  </r>
  <r>
    <n v="28"/>
    <s v="No"/>
    <x v="0"/>
    <n v="1451"/>
    <x v="1"/>
    <n v="2"/>
    <n v="1"/>
    <s v="Life Sciences"/>
    <n v="1"/>
    <n v="1136"/>
    <n v="1"/>
    <x v="1"/>
    <n v="67"/>
    <n v="2"/>
    <n v="1"/>
    <s v="Research Scientist"/>
    <n v="2"/>
    <s v="Married"/>
    <n v="3201"/>
    <n v="19911"/>
    <n v="0"/>
    <s v="Y"/>
    <s v="No"/>
    <n v="17"/>
    <x v="0"/>
    <n v="1"/>
    <n v="80"/>
    <n v="0"/>
    <n v="6"/>
    <n v="2"/>
    <n v="1"/>
    <n v="5"/>
    <n v="3"/>
    <n v="0"/>
    <n v="4"/>
    <n v="0"/>
    <x v="2"/>
    <x v="0"/>
    <s v="0-5k"/>
    <x v="0"/>
    <x v="0"/>
    <x v="1"/>
  </r>
  <r>
    <n v="35"/>
    <s v="No"/>
    <x v="1"/>
    <n v="1182"/>
    <x v="0"/>
    <n v="11"/>
    <n v="2"/>
    <s v="Marketing"/>
    <n v="1"/>
    <n v="1137"/>
    <n v="4"/>
    <x v="1"/>
    <n v="54"/>
    <n v="3"/>
    <n v="2"/>
    <s v="Sales Executive"/>
    <n v="4"/>
    <s v="Divorced"/>
    <n v="4968"/>
    <n v="18500"/>
    <n v="1"/>
    <s v="Y"/>
    <s v="No"/>
    <n v="11"/>
    <x v="0"/>
    <n v="4"/>
    <n v="80"/>
    <n v="1"/>
    <n v="5"/>
    <n v="3"/>
    <n v="3"/>
    <n v="5"/>
    <n v="2"/>
    <n v="0"/>
    <n v="2"/>
    <n v="0"/>
    <x v="0"/>
    <x v="2"/>
    <s v="0-5k"/>
    <x v="0"/>
    <x v="0"/>
    <x v="0"/>
  </r>
  <r>
    <n v="49"/>
    <s v="No"/>
    <x v="0"/>
    <n v="174"/>
    <x v="0"/>
    <n v="8"/>
    <n v="4"/>
    <s v="Technical Degree"/>
    <n v="1"/>
    <n v="1138"/>
    <n v="4"/>
    <x v="1"/>
    <n v="56"/>
    <n v="2"/>
    <n v="4"/>
    <s v="Sales Executive"/>
    <n v="2"/>
    <s v="Married"/>
    <n v="13120"/>
    <n v="11879"/>
    <n v="6"/>
    <s v="Y"/>
    <s v="No"/>
    <n v="17"/>
    <x v="0"/>
    <n v="2"/>
    <n v="80"/>
    <n v="1"/>
    <n v="22"/>
    <n v="3"/>
    <n v="3"/>
    <n v="9"/>
    <n v="8"/>
    <n v="2"/>
    <n v="3"/>
    <n v="0"/>
    <x v="1"/>
    <x v="0"/>
    <s v="10k-15k"/>
    <x v="0"/>
    <x v="0"/>
    <x v="1"/>
  </r>
  <r>
    <n v="34"/>
    <s v="No"/>
    <x v="1"/>
    <n v="1003"/>
    <x v="1"/>
    <n v="2"/>
    <n v="2"/>
    <s v="Life Sciences"/>
    <n v="1"/>
    <n v="1140"/>
    <n v="4"/>
    <x v="1"/>
    <n v="95"/>
    <n v="3"/>
    <n v="2"/>
    <s v="Manufacturing Director"/>
    <n v="3"/>
    <s v="Single"/>
    <n v="4033"/>
    <n v="15834"/>
    <n v="2"/>
    <s v="Y"/>
    <s v="No"/>
    <n v="11"/>
    <x v="0"/>
    <n v="4"/>
    <n v="80"/>
    <n v="0"/>
    <n v="5"/>
    <n v="3"/>
    <n v="2"/>
    <n v="3"/>
    <n v="2"/>
    <n v="0"/>
    <n v="2"/>
    <n v="0"/>
    <x v="0"/>
    <x v="0"/>
    <s v="0-5k"/>
    <x v="0"/>
    <x v="0"/>
    <x v="2"/>
  </r>
  <r>
    <n v="29"/>
    <s v="No"/>
    <x v="1"/>
    <n v="490"/>
    <x v="1"/>
    <n v="10"/>
    <n v="3"/>
    <s v="Life Sciences"/>
    <n v="1"/>
    <n v="1143"/>
    <n v="4"/>
    <x v="0"/>
    <n v="61"/>
    <n v="3"/>
    <n v="1"/>
    <s v="Research Scientist"/>
    <n v="2"/>
    <s v="Divorced"/>
    <n v="3291"/>
    <n v="17940"/>
    <n v="0"/>
    <s v="Y"/>
    <s v="No"/>
    <n v="14"/>
    <x v="0"/>
    <n v="4"/>
    <n v="80"/>
    <n v="2"/>
    <n v="8"/>
    <n v="2"/>
    <n v="2"/>
    <n v="7"/>
    <n v="5"/>
    <n v="1"/>
    <n v="1"/>
    <n v="0"/>
    <x v="2"/>
    <x v="0"/>
    <s v="0-5k"/>
    <x v="0"/>
    <x v="0"/>
    <x v="1"/>
  </r>
  <r>
    <n v="42"/>
    <s v="No"/>
    <x v="0"/>
    <n v="188"/>
    <x v="1"/>
    <n v="29"/>
    <n v="3"/>
    <s v="Medical"/>
    <n v="1"/>
    <n v="1148"/>
    <n v="2"/>
    <x v="1"/>
    <n v="56"/>
    <n v="1"/>
    <n v="2"/>
    <s v="Laboratory Technician"/>
    <n v="4"/>
    <s v="Single"/>
    <n v="4272"/>
    <n v="9558"/>
    <n v="4"/>
    <s v="Y"/>
    <s v="No"/>
    <n v="19"/>
    <x v="0"/>
    <n v="1"/>
    <n v="80"/>
    <n v="0"/>
    <n v="16"/>
    <n v="3"/>
    <n v="3"/>
    <n v="1"/>
    <n v="0"/>
    <n v="0"/>
    <n v="0"/>
    <n v="0"/>
    <x v="0"/>
    <x v="1"/>
    <s v="0-5k"/>
    <x v="0"/>
    <x v="0"/>
    <x v="0"/>
  </r>
  <r>
    <n v="29"/>
    <s v="No"/>
    <x v="0"/>
    <n v="718"/>
    <x v="1"/>
    <n v="8"/>
    <n v="1"/>
    <s v="Medical"/>
    <n v="1"/>
    <n v="1150"/>
    <n v="2"/>
    <x v="1"/>
    <n v="79"/>
    <n v="2"/>
    <n v="2"/>
    <s v="Manufacturing Director"/>
    <n v="4"/>
    <s v="Married"/>
    <n v="5056"/>
    <n v="17689"/>
    <n v="1"/>
    <s v="Y"/>
    <s v="Yes"/>
    <n v="15"/>
    <x v="0"/>
    <n v="3"/>
    <n v="80"/>
    <n v="1"/>
    <n v="10"/>
    <n v="2"/>
    <n v="2"/>
    <n v="10"/>
    <n v="7"/>
    <n v="1"/>
    <n v="2"/>
    <n v="0"/>
    <x v="2"/>
    <x v="0"/>
    <s v="5k-10k"/>
    <x v="0"/>
    <x v="0"/>
    <x v="0"/>
  </r>
  <r>
    <n v="38"/>
    <s v="No"/>
    <x v="0"/>
    <n v="433"/>
    <x v="2"/>
    <n v="1"/>
    <n v="3"/>
    <s v="Human Resources"/>
    <n v="1"/>
    <n v="1152"/>
    <n v="3"/>
    <x v="1"/>
    <n v="37"/>
    <n v="4"/>
    <n v="1"/>
    <s v="Human Resources"/>
    <n v="3"/>
    <s v="Married"/>
    <n v="2844"/>
    <n v="6004"/>
    <n v="1"/>
    <s v="Y"/>
    <s v="No"/>
    <n v="13"/>
    <x v="0"/>
    <n v="4"/>
    <n v="80"/>
    <n v="1"/>
    <n v="7"/>
    <n v="2"/>
    <n v="4"/>
    <n v="7"/>
    <n v="6"/>
    <n v="5"/>
    <n v="0"/>
    <n v="0"/>
    <x v="0"/>
    <x v="0"/>
    <s v="0-5k"/>
    <x v="0"/>
    <x v="0"/>
    <x v="2"/>
  </r>
  <r>
    <n v="28"/>
    <s v="No"/>
    <x v="1"/>
    <n v="773"/>
    <x v="1"/>
    <n v="6"/>
    <n v="3"/>
    <s v="Life Sciences"/>
    <n v="1"/>
    <n v="1154"/>
    <n v="3"/>
    <x v="1"/>
    <n v="39"/>
    <n v="2"/>
    <n v="1"/>
    <s v="Research Scientist"/>
    <n v="3"/>
    <s v="Divorced"/>
    <n v="2703"/>
    <n v="22088"/>
    <n v="1"/>
    <s v="Y"/>
    <s v="Yes"/>
    <n v="14"/>
    <x v="0"/>
    <n v="4"/>
    <n v="80"/>
    <n v="1"/>
    <n v="3"/>
    <n v="2"/>
    <n v="3"/>
    <n v="3"/>
    <n v="1"/>
    <n v="0"/>
    <n v="2"/>
    <n v="0"/>
    <x v="2"/>
    <x v="0"/>
    <s v="0-5k"/>
    <x v="0"/>
    <x v="0"/>
    <x v="2"/>
  </r>
  <r>
    <n v="18"/>
    <s v="Yes"/>
    <x v="2"/>
    <n v="247"/>
    <x v="1"/>
    <n v="8"/>
    <n v="1"/>
    <s v="Medical"/>
    <n v="1"/>
    <n v="1156"/>
    <n v="3"/>
    <x v="1"/>
    <n v="80"/>
    <n v="3"/>
    <n v="1"/>
    <s v="Laboratory Technician"/>
    <n v="3"/>
    <s v="Single"/>
    <n v="1904"/>
    <n v="13556"/>
    <n v="1"/>
    <s v="Y"/>
    <s v="No"/>
    <n v="12"/>
    <x v="0"/>
    <n v="4"/>
    <n v="80"/>
    <n v="0"/>
    <n v="0"/>
    <n v="0"/>
    <n v="3"/>
    <n v="0"/>
    <n v="0"/>
    <n v="0"/>
    <n v="0"/>
    <n v="1"/>
    <x v="2"/>
    <x v="0"/>
    <s v="0-5k"/>
    <x v="0"/>
    <x v="0"/>
    <x v="2"/>
  </r>
  <r>
    <n v="33"/>
    <s v="Yes"/>
    <x v="0"/>
    <n v="603"/>
    <x v="0"/>
    <n v="9"/>
    <n v="4"/>
    <s v="Marketing"/>
    <n v="1"/>
    <n v="1157"/>
    <n v="1"/>
    <x v="0"/>
    <n v="77"/>
    <n v="3"/>
    <n v="2"/>
    <s v="Sales Executive"/>
    <n v="1"/>
    <s v="Single"/>
    <n v="8224"/>
    <n v="18385"/>
    <n v="0"/>
    <s v="Y"/>
    <s v="Yes"/>
    <n v="17"/>
    <x v="0"/>
    <n v="1"/>
    <n v="80"/>
    <n v="0"/>
    <n v="6"/>
    <n v="3"/>
    <n v="3"/>
    <n v="5"/>
    <n v="2"/>
    <n v="0"/>
    <n v="3"/>
    <n v="1"/>
    <x v="0"/>
    <x v="0"/>
    <s v="5k-10k"/>
    <x v="0"/>
    <x v="0"/>
    <x v="3"/>
  </r>
  <r>
    <n v="41"/>
    <s v="No"/>
    <x v="0"/>
    <n v="167"/>
    <x v="1"/>
    <n v="12"/>
    <n v="4"/>
    <s v="Life Sciences"/>
    <n v="1"/>
    <n v="1158"/>
    <n v="2"/>
    <x v="1"/>
    <n v="46"/>
    <n v="3"/>
    <n v="1"/>
    <s v="Laboratory Technician"/>
    <n v="4"/>
    <s v="Married"/>
    <n v="4766"/>
    <n v="9051"/>
    <n v="3"/>
    <s v="Y"/>
    <s v="Yes"/>
    <n v="11"/>
    <x v="0"/>
    <n v="1"/>
    <n v="80"/>
    <n v="1"/>
    <n v="6"/>
    <n v="4"/>
    <n v="3"/>
    <n v="1"/>
    <n v="0"/>
    <n v="0"/>
    <n v="0"/>
    <n v="0"/>
    <x v="0"/>
    <x v="2"/>
    <s v="0-5k"/>
    <x v="0"/>
    <x v="0"/>
    <x v="0"/>
  </r>
  <r>
    <n v="31"/>
    <s v="Yes"/>
    <x v="1"/>
    <n v="874"/>
    <x v="1"/>
    <n v="15"/>
    <n v="3"/>
    <s v="Medical"/>
    <n v="1"/>
    <n v="1160"/>
    <n v="3"/>
    <x v="1"/>
    <n v="72"/>
    <n v="3"/>
    <n v="1"/>
    <s v="Laboratory Technician"/>
    <n v="3"/>
    <s v="Married"/>
    <n v="2610"/>
    <n v="6233"/>
    <n v="1"/>
    <s v="Y"/>
    <s v="No"/>
    <n v="12"/>
    <x v="0"/>
    <n v="3"/>
    <n v="80"/>
    <n v="1"/>
    <n v="2"/>
    <n v="5"/>
    <n v="2"/>
    <n v="2"/>
    <n v="2"/>
    <n v="2"/>
    <n v="2"/>
    <n v="1"/>
    <x v="0"/>
    <x v="2"/>
    <s v="0-5k"/>
    <x v="0"/>
    <x v="0"/>
    <x v="2"/>
  </r>
  <r>
    <n v="37"/>
    <s v="No"/>
    <x v="0"/>
    <n v="367"/>
    <x v="1"/>
    <n v="25"/>
    <n v="2"/>
    <s v="Medical"/>
    <n v="1"/>
    <n v="1161"/>
    <n v="3"/>
    <x v="0"/>
    <n v="52"/>
    <n v="2"/>
    <n v="2"/>
    <s v="Healthcare Representative"/>
    <n v="4"/>
    <s v="Divorced"/>
    <n v="5731"/>
    <n v="17171"/>
    <n v="7"/>
    <s v="Y"/>
    <s v="No"/>
    <n v="13"/>
    <x v="0"/>
    <n v="3"/>
    <n v="80"/>
    <n v="2"/>
    <n v="9"/>
    <n v="2"/>
    <n v="3"/>
    <n v="6"/>
    <n v="2"/>
    <n v="1"/>
    <n v="3"/>
    <n v="0"/>
    <x v="0"/>
    <x v="1"/>
    <s v="5k-10k"/>
    <x v="0"/>
    <x v="0"/>
    <x v="0"/>
  </r>
  <r>
    <n v="27"/>
    <s v="No"/>
    <x v="0"/>
    <n v="199"/>
    <x v="1"/>
    <n v="6"/>
    <n v="3"/>
    <s v="Life Sciences"/>
    <n v="1"/>
    <n v="1162"/>
    <n v="4"/>
    <x v="1"/>
    <n v="55"/>
    <n v="2"/>
    <n v="1"/>
    <s v="Research Scientist"/>
    <n v="3"/>
    <s v="Married"/>
    <n v="2539"/>
    <n v="7950"/>
    <n v="1"/>
    <s v="Y"/>
    <s v="No"/>
    <n v="13"/>
    <x v="0"/>
    <n v="3"/>
    <n v="80"/>
    <n v="1"/>
    <n v="4"/>
    <n v="0"/>
    <n v="3"/>
    <n v="4"/>
    <n v="2"/>
    <n v="2"/>
    <n v="2"/>
    <n v="0"/>
    <x v="2"/>
    <x v="0"/>
    <s v="0-5k"/>
    <x v="0"/>
    <x v="0"/>
    <x v="2"/>
  </r>
  <r>
    <n v="34"/>
    <s v="No"/>
    <x v="0"/>
    <n v="1400"/>
    <x v="0"/>
    <n v="9"/>
    <n v="1"/>
    <s v="Life Sciences"/>
    <n v="1"/>
    <n v="1163"/>
    <n v="2"/>
    <x v="0"/>
    <n v="70"/>
    <n v="3"/>
    <n v="2"/>
    <s v="Sales Executive"/>
    <n v="3"/>
    <s v="Married"/>
    <n v="5714"/>
    <n v="5829"/>
    <n v="1"/>
    <s v="Y"/>
    <s v="No"/>
    <n v="20"/>
    <x v="1"/>
    <n v="1"/>
    <n v="80"/>
    <n v="0"/>
    <n v="6"/>
    <n v="3"/>
    <n v="2"/>
    <n v="6"/>
    <n v="5"/>
    <n v="1"/>
    <n v="3"/>
    <n v="0"/>
    <x v="0"/>
    <x v="0"/>
    <s v="5k-10k"/>
    <x v="0"/>
    <x v="1"/>
    <x v="2"/>
  </r>
  <r>
    <n v="35"/>
    <s v="No"/>
    <x v="0"/>
    <n v="528"/>
    <x v="2"/>
    <n v="8"/>
    <n v="4"/>
    <s v="Technical Degree"/>
    <n v="1"/>
    <n v="1164"/>
    <n v="3"/>
    <x v="1"/>
    <n v="100"/>
    <n v="3"/>
    <n v="1"/>
    <s v="Human Resources"/>
    <n v="3"/>
    <s v="Single"/>
    <n v="4323"/>
    <n v="7108"/>
    <n v="1"/>
    <s v="Y"/>
    <s v="No"/>
    <n v="17"/>
    <x v="0"/>
    <n v="2"/>
    <n v="80"/>
    <n v="0"/>
    <n v="6"/>
    <n v="2"/>
    <n v="1"/>
    <n v="5"/>
    <n v="4"/>
    <n v="1"/>
    <n v="4"/>
    <n v="0"/>
    <x v="0"/>
    <x v="0"/>
    <s v="0-5k"/>
    <x v="0"/>
    <x v="0"/>
    <x v="2"/>
  </r>
  <r>
    <n v="29"/>
    <s v="Yes"/>
    <x v="0"/>
    <n v="408"/>
    <x v="0"/>
    <n v="23"/>
    <n v="1"/>
    <s v="Life Sciences"/>
    <n v="1"/>
    <n v="1165"/>
    <n v="4"/>
    <x v="0"/>
    <n v="45"/>
    <n v="2"/>
    <n v="3"/>
    <s v="Sales Executive"/>
    <n v="1"/>
    <s v="Married"/>
    <n v="7336"/>
    <n v="11162"/>
    <n v="1"/>
    <s v="Y"/>
    <s v="No"/>
    <n v="13"/>
    <x v="0"/>
    <n v="1"/>
    <n v="80"/>
    <n v="1"/>
    <n v="11"/>
    <n v="3"/>
    <n v="1"/>
    <n v="11"/>
    <n v="8"/>
    <n v="3"/>
    <n v="10"/>
    <n v="1"/>
    <x v="2"/>
    <x v="1"/>
    <s v="5k-10k"/>
    <x v="2"/>
    <x v="0"/>
    <x v="3"/>
  </r>
  <r>
    <n v="40"/>
    <s v="No"/>
    <x v="1"/>
    <n v="593"/>
    <x v="1"/>
    <n v="9"/>
    <n v="4"/>
    <s v="Medical"/>
    <n v="1"/>
    <n v="1166"/>
    <n v="2"/>
    <x v="0"/>
    <n v="88"/>
    <n v="3"/>
    <n v="3"/>
    <s v="Research Director"/>
    <n v="3"/>
    <s v="Single"/>
    <n v="13499"/>
    <n v="13782"/>
    <n v="9"/>
    <s v="Y"/>
    <s v="No"/>
    <n v="17"/>
    <x v="0"/>
    <n v="3"/>
    <n v="80"/>
    <n v="0"/>
    <n v="20"/>
    <n v="3"/>
    <n v="2"/>
    <n v="18"/>
    <n v="7"/>
    <n v="2"/>
    <n v="13"/>
    <n v="0"/>
    <x v="0"/>
    <x v="0"/>
    <s v="10k-15k"/>
    <x v="2"/>
    <x v="0"/>
    <x v="2"/>
  </r>
  <r>
    <n v="42"/>
    <s v="Yes"/>
    <x v="1"/>
    <n v="481"/>
    <x v="0"/>
    <n v="12"/>
    <n v="3"/>
    <s v="Life Sciences"/>
    <n v="1"/>
    <n v="1167"/>
    <n v="3"/>
    <x v="1"/>
    <n v="44"/>
    <n v="3"/>
    <n v="4"/>
    <s v="Sales Executive"/>
    <n v="1"/>
    <s v="Single"/>
    <n v="13758"/>
    <n v="2447"/>
    <n v="0"/>
    <s v="Y"/>
    <s v="Yes"/>
    <n v="12"/>
    <x v="0"/>
    <n v="2"/>
    <n v="80"/>
    <n v="0"/>
    <n v="22"/>
    <n v="2"/>
    <n v="2"/>
    <n v="21"/>
    <n v="9"/>
    <n v="13"/>
    <n v="14"/>
    <n v="1"/>
    <x v="0"/>
    <x v="2"/>
    <s v="10k-15k"/>
    <x v="1"/>
    <x v="0"/>
    <x v="3"/>
  </r>
  <r>
    <n v="42"/>
    <s v="No"/>
    <x v="0"/>
    <n v="647"/>
    <x v="0"/>
    <n v="4"/>
    <n v="4"/>
    <s v="Marketing"/>
    <n v="1"/>
    <n v="1171"/>
    <n v="2"/>
    <x v="1"/>
    <n v="45"/>
    <n v="3"/>
    <n v="2"/>
    <s v="Sales Executive"/>
    <n v="1"/>
    <s v="Single"/>
    <n v="5155"/>
    <n v="2253"/>
    <n v="7"/>
    <s v="Y"/>
    <s v="No"/>
    <n v="13"/>
    <x v="0"/>
    <n v="4"/>
    <n v="80"/>
    <n v="0"/>
    <n v="9"/>
    <n v="3"/>
    <n v="4"/>
    <n v="6"/>
    <n v="4"/>
    <n v="1"/>
    <n v="5"/>
    <n v="0"/>
    <x v="0"/>
    <x v="0"/>
    <s v="5k-10k"/>
    <x v="0"/>
    <x v="0"/>
    <x v="3"/>
  </r>
  <r>
    <n v="35"/>
    <s v="No"/>
    <x v="0"/>
    <n v="982"/>
    <x v="1"/>
    <n v="1"/>
    <n v="4"/>
    <s v="Medical"/>
    <n v="1"/>
    <n v="1172"/>
    <n v="4"/>
    <x v="1"/>
    <n v="58"/>
    <n v="2"/>
    <n v="1"/>
    <s v="Laboratory Technician"/>
    <n v="3"/>
    <s v="Married"/>
    <n v="2258"/>
    <n v="16340"/>
    <n v="6"/>
    <s v="Y"/>
    <s v="No"/>
    <n v="12"/>
    <x v="0"/>
    <n v="2"/>
    <n v="80"/>
    <n v="1"/>
    <n v="10"/>
    <n v="2"/>
    <n v="3"/>
    <n v="8"/>
    <n v="0"/>
    <n v="1"/>
    <n v="7"/>
    <n v="0"/>
    <x v="0"/>
    <x v="0"/>
    <s v="0-5k"/>
    <x v="0"/>
    <x v="0"/>
    <x v="2"/>
  </r>
  <r>
    <n v="24"/>
    <s v="No"/>
    <x v="0"/>
    <n v="477"/>
    <x v="1"/>
    <n v="24"/>
    <n v="3"/>
    <s v="Medical"/>
    <n v="1"/>
    <n v="1173"/>
    <n v="4"/>
    <x v="1"/>
    <n v="49"/>
    <n v="3"/>
    <n v="1"/>
    <s v="Laboratory Technician"/>
    <n v="2"/>
    <s v="Single"/>
    <n v="3597"/>
    <n v="6409"/>
    <n v="8"/>
    <s v="Y"/>
    <s v="No"/>
    <n v="22"/>
    <x v="1"/>
    <n v="4"/>
    <n v="80"/>
    <n v="0"/>
    <n v="6"/>
    <n v="2"/>
    <n v="3"/>
    <n v="4"/>
    <n v="3"/>
    <n v="1"/>
    <n v="2"/>
    <n v="0"/>
    <x v="2"/>
    <x v="1"/>
    <s v="0-5k"/>
    <x v="0"/>
    <x v="1"/>
    <x v="1"/>
  </r>
  <r>
    <n v="28"/>
    <s v="Yes"/>
    <x v="0"/>
    <n v="1485"/>
    <x v="1"/>
    <n v="12"/>
    <n v="1"/>
    <s v="Life Sciences"/>
    <n v="1"/>
    <n v="1175"/>
    <n v="3"/>
    <x v="0"/>
    <n v="79"/>
    <n v="3"/>
    <n v="1"/>
    <s v="Laboratory Technician"/>
    <n v="4"/>
    <s v="Married"/>
    <n v="2515"/>
    <n v="22955"/>
    <n v="1"/>
    <s v="Y"/>
    <s v="Yes"/>
    <n v="11"/>
    <x v="0"/>
    <n v="4"/>
    <n v="80"/>
    <n v="0"/>
    <n v="1"/>
    <n v="4"/>
    <n v="2"/>
    <n v="1"/>
    <n v="1"/>
    <n v="0"/>
    <n v="0"/>
    <n v="1"/>
    <x v="2"/>
    <x v="2"/>
    <s v="0-5k"/>
    <x v="0"/>
    <x v="0"/>
    <x v="0"/>
  </r>
  <r>
    <n v="26"/>
    <s v="No"/>
    <x v="0"/>
    <n v="1384"/>
    <x v="1"/>
    <n v="3"/>
    <n v="4"/>
    <s v="Medical"/>
    <n v="1"/>
    <n v="1177"/>
    <n v="1"/>
    <x v="1"/>
    <n v="82"/>
    <n v="4"/>
    <n v="1"/>
    <s v="Laboratory Technician"/>
    <n v="4"/>
    <s v="Married"/>
    <n v="4420"/>
    <n v="13421"/>
    <n v="1"/>
    <s v="Y"/>
    <s v="No"/>
    <n v="22"/>
    <x v="1"/>
    <n v="2"/>
    <n v="80"/>
    <n v="1"/>
    <n v="8"/>
    <n v="2"/>
    <n v="3"/>
    <n v="8"/>
    <n v="7"/>
    <n v="0"/>
    <n v="7"/>
    <n v="0"/>
    <x v="2"/>
    <x v="0"/>
    <s v="0-5k"/>
    <x v="0"/>
    <x v="1"/>
    <x v="0"/>
  </r>
  <r>
    <n v="30"/>
    <s v="No"/>
    <x v="0"/>
    <n v="852"/>
    <x v="0"/>
    <n v="10"/>
    <n v="3"/>
    <s v="Marketing"/>
    <n v="1"/>
    <n v="1179"/>
    <n v="3"/>
    <x v="1"/>
    <n v="72"/>
    <n v="2"/>
    <n v="2"/>
    <s v="Sales Executive"/>
    <n v="3"/>
    <s v="Married"/>
    <n v="6578"/>
    <n v="2706"/>
    <n v="1"/>
    <s v="Y"/>
    <s v="No"/>
    <n v="18"/>
    <x v="0"/>
    <n v="1"/>
    <n v="80"/>
    <n v="1"/>
    <n v="10"/>
    <n v="3"/>
    <n v="3"/>
    <n v="10"/>
    <n v="3"/>
    <n v="1"/>
    <n v="4"/>
    <n v="0"/>
    <x v="2"/>
    <x v="0"/>
    <s v="5k-10k"/>
    <x v="0"/>
    <x v="0"/>
    <x v="2"/>
  </r>
  <r>
    <n v="40"/>
    <s v="No"/>
    <x v="1"/>
    <n v="902"/>
    <x v="1"/>
    <n v="26"/>
    <n v="2"/>
    <s v="Medical"/>
    <n v="1"/>
    <n v="1180"/>
    <n v="3"/>
    <x v="0"/>
    <n v="92"/>
    <n v="2"/>
    <n v="2"/>
    <s v="Research Scientist"/>
    <n v="4"/>
    <s v="Married"/>
    <n v="4422"/>
    <n v="21203"/>
    <n v="3"/>
    <s v="Y"/>
    <s v="Yes"/>
    <n v="13"/>
    <x v="0"/>
    <n v="4"/>
    <n v="80"/>
    <n v="1"/>
    <n v="16"/>
    <n v="3"/>
    <n v="1"/>
    <n v="1"/>
    <n v="1"/>
    <n v="0"/>
    <n v="0"/>
    <n v="0"/>
    <x v="0"/>
    <x v="1"/>
    <s v="0-5k"/>
    <x v="0"/>
    <x v="0"/>
    <x v="0"/>
  </r>
  <r>
    <n v="35"/>
    <s v="No"/>
    <x v="0"/>
    <n v="819"/>
    <x v="1"/>
    <n v="2"/>
    <n v="3"/>
    <s v="Life Sciences"/>
    <n v="1"/>
    <n v="1182"/>
    <n v="3"/>
    <x v="1"/>
    <n v="44"/>
    <n v="2"/>
    <n v="3"/>
    <s v="Manufacturing Director"/>
    <n v="2"/>
    <s v="Divorced"/>
    <n v="10274"/>
    <n v="19588"/>
    <n v="2"/>
    <s v="Y"/>
    <s v="No"/>
    <n v="18"/>
    <x v="0"/>
    <n v="2"/>
    <n v="80"/>
    <n v="1"/>
    <n v="15"/>
    <n v="2"/>
    <n v="4"/>
    <n v="7"/>
    <n v="7"/>
    <n v="6"/>
    <n v="4"/>
    <n v="0"/>
    <x v="0"/>
    <x v="0"/>
    <s v="10k-15k"/>
    <x v="0"/>
    <x v="0"/>
    <x v="1"/>
  </r>
  <r>
    <n v="34"/>
    <s v="No"/>
    <x v="1"/>
    <n v="669"/>
    <x v="1"/>
    <n v="1"/>
    <n v="3"/>
    <s v="Medical"/>
    <n v="1"/>
    <n v="1184"/>
    <n v="4"/>
    <x v="1"/>
    <n v="97"/>
    <n v="2"/>
    <n v="2"/>
    <s v="Healthcare Representative"/>
    <n v="1"/>
    <s v="Single"/>
    <n v="5343"/>
    <n v="25755"/>
    <n v="0"/>
    <s v="Y"/>
    <s v="No"/>
    <n v="20"/>
    <x v="1"/>
    <n v="3"/>
    <n v="80"/>
    <n v="0"/>
    <n v="14"/>
    <n v="3"/>
    <n v="3"/>
    <n v="13"/>
    <n v="9"/>
    <n v="4"/>
    <n v="9"/>
    <n v="0"/>
    <x v="0"/>
    <x v="0"/>
    <s v="5k-10k"/>
    <x v="2"/>
    <x v="1"/>
    <x v="3"/>
  </r>
  <r>
    <n v="35"/>
    <s v="No"/>
    <x v="1"/>
    <n v="636"/>
    <x v="1"/>
    <n v="4"/>
    <n v="4"/>
    <s v="Other"/>
    <n v="1"/>
    <n v="1185"/>
    <n v="4"/>
    <x v="1"/>
    <n v="47"/>
    <n v="2"/>
    <n v="1"/>
    <s v="Laboratory Technician"/>
    <n v="4"/>
    <s v="Married"/>
    <n v="2376"/>
    <n v="26537"/>
    <n v="1"/>
    <s v="Y"/>
    <s v="No"/>
    <n v="13"/>
    <x v="0"/>
    <n v="2"/>
    <n v="80"/>
    <n v="1"/>
    <n v="2"/>
    <n v="2"/>
    <n v="4"/>
    <n v="2"/>
    <n v="2"/>
    <n v="2"/>
    <n v="2"/>
    <n v="0"/>
    <x v="0"/>
    <x v="0"/>
    <s v="0-5k"/>
    <x v="0"/>
    <x v="0"/>
    <x v="0"/>
  </r>
  <r>
    <n v="43"/>
    <s v="Yes"/>
    <x v="0"/>
    <n v="1372"/>
    <x v="0"/>
    <n v="9"/>
    <n v="3"/>
    <s v="Marketing"/>
    <n v="1"/>
    <n v="1188"/>
    <n v="1"/>
    <x v="0"/>
    <n v="85"/>
    <n v="1"/>
    <n v="2"/>
    <s v="Sales Executive"/>
    <n v="3"/>
    <s v="Single"/>
    <n v="5346"/>
    <n v="9489"/>
    <n v="8"/>
    <s v="Y"/>
    <s v="No"/>
    <n v="13"/>
    <x v="0"/>
    <n v="2"/>
    <n v="80"/>
    <n v="0"/>
    <n v="7"/>
    <n v="2"/>
    <n v="2"/>
    <n v="4"/>
    <n v="3"/>
    <n v="1"/>
    <n v="3"/>
    <n v="1"/>
    <x v="0"/>
    <x v="0"/>
    <s v="5k-10k"/>
    <x v="0"/>
    <x v="0"/>
    <x v="2"/>
  </r>
  <r>
    <n v="32"/>
    <s v="No"/>
    <x v="2"/>
    <n v="862"/>
    <x v="0"/>
    <n v="2"/>
    <n v="1"/>
    <s v="Life Sciences"/>
    <n v="1"/>
    <n v="1190"/>
    <n v="3"/>
    <x v="0"/>
    <n v="76"/>
    <n v="3"/>
    <n v="1"/>
    <s v="Sales Representative"/>
    <n v="1"/>
    <s v="Divorced"/>
    <n v="2827"/>
    <n v="14947"/>
    <n v="1"/>
    <s v="Y"/>
    <s v="No"/>
    <n v="12"/>
    <x v="0"/>
    <n v="3"/>
    <n v="80"/>
    <n v="3"/>
    <n v="1"/>
    <n v="3"/>
    <n v="3"/>
    <n v="1"/>
    <n v="0"/>
    <n v="0"/>
    <n v="0"/>
    <n v="0"/>
    <x v="0"/>
    <x v="0"/>
    <s v="0-5k"/>
    <x v="0"/>
    <x v="0"/>
    <x v="3"/>
  </r>
  <r>
    <n v="56"/>
    <s v="No"/>
    <x v="0"/>
    <n v="718"/>
    <x v="1"/>
    <n v="4"/>
    <n v="4"/>
    <s v="Technical Degree"/>
    <n v="1"/>
    <n v="1191"/>
    <n v="4"/>
    <x v="0"/>
    <n v="92"/>
    <n v="3"/>
    <n v="5"/>
    <s v="Manager"/>
    <n v="1"/>
    <s v="Divorced"/>
    <n v="19943"/>
    <n v="18575"/>
    <n v="4"/>
    <s v="Y"/>
    <s v="No"/>
    <n v="13"/>
    <x v="0"/>
    <n v="4"/>
    <n v="80"/>
    <n v="1"/>
    <n v="28"/>
    <n v="2"/>
    <n v="3"/>
    <n v="5"/>
    <n v="2"/>
    <n v="4"/>
    <n v="2"/>
    <n v="0"/>
    <x v="1"/>
    <x v="0"/>
    <s v="15k+"/>
    <x v="0"/>
    <x v="0"/>
    <x v="3"/>
  </r>
  <r>
    <n v="29"/>
    <s v="No"/>
    <x v="0"/>
    <n v="1401"/>
    <x v="1"/>
    <n v="6"/>
    <n v="1"/>
    <s v="Medical"/>
    <n v="1"/>
    <n v="1192"/>
    <n v="2"/>
    <x v="0"/>
    <n v="54"/>
    <n v="3"/>
    <n v="1"/>
    <s v="Laboratory Technician"/>
    <n v="4"/>
    <s v="Married"/>
    <n v="3131"/>
    <n v="26342"/>
    <n v="1"/>
    <s v="Y"/>
    <s v="No"/>
    <n v="13"/>
    <x v="0"/>
    <n v="1"/>
    <n v="80"/>
    <n v="1"/>
    <n v="10"/>
    <n v="5"/>
    <n v="3"/>
    <n v="10"/>
    <n v="8"/>
    <n v="0"/>
    <n v="8"/>
    <n v="0"/>
    <x v="2"/>
    <x v="0"/>
    <s v="0-5k"/>
    <x v="0"/>
    <x v="0"/>
    <x v="0"/>
  </r>
  <r>
    <n v="19"/>
    <s v="No"/>
    <x v="0"/>
    <n v="645"/>
    <x v="1"/>
    <n v="9"/>
    <n v="2"/>
    <s v="Life Sciences"/>
    <n v="1"/>
    <n v="1193"/>
    <n v="3"/>
    <x v="1"/>
    <n v="54"/>
    <n v="3"/>
    <n v="1"/>
    <s v="Research Scientist"/>
    <n v="1"/>
    <s v="Single"/>
    <n v="2552"/>
    <n v="7172"/>
    <n v="1"/>
    <s v="Y"/>
    <s v="No"/>
    <n v="25"/>
    <x v="1"/>
    <n v="3"/>
    <n v="80"/>
    <n v="0"/>
    <n v="1"/>
    <n v="4"/>
    <n v="3"/>
    <n v="1"/>
    <n v="1"/>
    <n v="0"/>
    <n v="0"/>
    <n v="0"/>
    <x v="2"/>
    <x v="0"/>
    <s v="0-5k"/>
    <x v="0"/>
    <x v="1"/>
    <x v="3"/>
  </r>
  <r>
    <n v="45"/>
    <s v="No"/>
    <x v="0"/>
    <n v="1457"/>
    <x v="1"/>
    <n v="7"/>
    <n v="3"/>
    <s v="Medical"/>
    <n v="1"/>
    <n v="1195"/>
    <n v="1"/>
    <x v="0"/>
    <n v="83"/>
    <n v="3"/>
    <n v="1"/>
    <s v="Research Scientist"/>
    <n v="3"/>
    <s v="Married"/>
    <n v="4477"/>
    <n v="20100"/>
    <n v="4"/>
    <s v="Y"/>
    <s v="Yes"/>
    <n v="19"/>
    <x v="0"/>
    <n v="3"/>
    <n v="80"/>
    <n v="1"/>
    <n v="7"/>
    <n v="2"/>
    <n v="2"/>
    <n v="3"/>
    <n v="2"/>
    <n v="0"/>
    <n v="2"/>
    <n v="0"/>
    <x v="0"/>
    <x v="0"/>
    <s v="0-5k"/>
    <x v="0"/>
    <x v="0"/>
    <x v="2"/>
  </r>
  <r>
    <n v="37"/>
    <s v="No"/>
    <x v="0"/>
    <n v="977"/>
    <x v="1"/>
    <n v="1"/>
    <n v="3"/>
    <s v="Life Sciences"/>
    <n v="1"/>
    <n v="1196"/>
    <n v="4"/>
    <x v="0"/>
    <n v="56"/>
    <n v="2"/>
    <n v="2"/>
    <s v="Manufacturing Director"/>
    <n v="4"/>
    <s v="Married"/>
    <n v="6474"/>
    <n v="9961"/>
    <n v="1"/>
    <s v="Y"/>
    <s v="No"/>
    <n v="13"/>
    <x v="0"/>
    <n v="2"/>
    <n v="80"/>
    <n v="1"/>
    <n v="14"/>
    <n v="2"/>
    <n v="2"/>
    <n v="14"/>
    <n v="8"/>
    <n v="3"/>
    <n v="11"/>
    <n v="0"/>
    <x v="0"/>
    <x v="0"/>
    <s v="5k-10k"/>
    <x v="2"/>
    <x v="0"/>
    <x v="0"/>
  </r>
  <r>
    <n v="20"/>
    <s v="No"/>
    <x v="0"/>
    <n v="805"/>
    <x v="1"/>
    <n v="3"/>
    <n v="3"/>
    <s v="Life Sciences"/>
    <n v="1"/>
    <n v="1198"/>
    <n v="1"/>
    <x v="1"/>
    <n v="87"/>
    <n v="2"/>
    <n v="1"/>
    <s v="Laboratory Technician"/>
    <n v="3"/>
    <s v="Single"/>
    <n v="3033"/>
    <n v="12828"/>
    <n v="1"/>
    <s v="Y"/>
    <s v="No"/>
    <n v="12"/>
    <x v="0"/>
    <n v="1"/>
    <n v="80"/>
    <n v="0"/>
    <n v="2"/>
    <n v="2"/>
    <n v="2"/>
    <n v="2"/>
    <n v="2"/>
    <n v="1"/>
    <n v="2"/>
    <n v="0"/>
    <x v="2"/>
    <x v="0"/>
    <s v="0-5k"/>
    <x v="0"/>
    <x v="0"/>
    <x v="2"/>
  </r>
  <r>
    <n v="44"/>
    <s v="Yes"/>
    <x v="0"/>
    <n v="1097"/>
    <x v="1"/>
    <n v="10"/>
    <n v="4"/>
    <s v="Life Sciences"/>
    <n v="1"/>
    <n v="1200"/>
    <n v="3"/>
    <x v="1"/>
    <n v="96"/>
    <n v="3"/>
    <n v="1"/>
    <s v="Research Scientist"/>
    <n v="3"/>
    <s v="Single"/>
    <n v="2936"/>
    <n v="10826"/>
    <n v="1"/>
    <s v="Y"/>
    <s v="Yes"/>
    <n v="11"/>
    <x v="0"/>
    <n v="3"/>
    <n v="80"/>
    <n v="0"/>
    <n v="6"/>
    <n v="4"/>
    <n v="3"/>
    <n v="6"/>
    <n v="4"/>
    <n v="0"/>
    <n v="2"/>
    <n v="1"/>
    <x v="0"/>
    <x v="0"/>
    <s v="0-5k"/>
    <x v="0"/>
    <x v="0"/>
    <x v="2"/>
  </r>
  <r>
    <n v="53"/>
    <s v="No"/>
    <x v="0"/>
    <n v="1223"/>
    <x v="1"/>
    <n v="7"/>
    <n v="2"/>
    <s v="Medical"/>
    <n v="1"/>
    <n v="1201"/>
    <n v="4"/>
    <x v="0"/>
    <n v="50"/>
    <n v="3"/>
    <n v="5"/>
    <s v="Manager"/>
    <n v="3"/>
    <s v="Divorced"/>
    <n v="18606"/>
    <n v="18640"/>
    <n v="3"/>
    <s v="Y"/>
    <s v="No"/>
    <n v="18"/>
    <x v="0"/>
    <n v="2"/>
    <n v="80"/>
    <n v="1"/>
    <n v="26"/>
    <n v="6"/>
    <n v="3"/>
    <n v="7"/>
    <n v="7"/>
    <n v="4"/>
    <n v="7"/>
    <n v="0"/>
    <x v="1"/>
    <x v="0"/>
    <s v="15k+"/>
    <x v="0"/>
    <x v="0"/>
    <x v="2"/>
  </r>
  <r>
    <n v="29"/>
    <s v="No"/>
    <x v="0"/>
    <n v="942"/>
    <x v="1"/>
    <n v="15"/>
    <n v="1"/>
    <s v="Life Sciences"/>
    <n v="1"/>
    <n v="1202"/>
    <n v="2"/>
    <x v="0"/>
    <n v="69"/>
    <n v="1"/>
    <n v="1"/>
    <s v="Research Scientist"/>
    <n v="4"/>
    <s v="Married"/>
    <n v="2168"/>
    <n v="26933"/>
    <n v="0"/>
    <s v="Y"/>
    <s v="Yes"/>
    <n v="18"/>
    <x v="0"/>
    <n v="1"/>
    <n v="80"/>
    <n v="1"/>
    <n v="6"/>
    <n v="2"/>
    <n v="2"/>
    <n v="5"/>
    <n v="4"/>
    <n v="1"/>
    <n v="3"/>
    <n v="0"/>
    <x v="2"/>
    <x v="2"/>
    <s v="0-5k"/>
    <x v="0"/>
    <x v="0"/>
    <x v="0"/>
  </r>
  <r>
    <n v="22"/>
    <s v="Yes"/>
    <x v="1"/>
    <n v="1256"/>
    <x v="1"/>
    <n v="3"/>
    <n v="4"/>
    <s v="Life Sciences"/>
    <n v="1"/>
    <n v="1203"/>
    <n v="3"/>
    <x v="1"/>
    <n v="48"/>
    <n v="2"/>
    <n v="1"/>
    <s v="Research Scientist"/>
    <n v="4"/>
    <s v="Married"/>
    <n v="2853"/>
    <n v="4223"/>
    <n v="0"/>
    <s v="Y"/>
    <s v="Yes"/>
    <n v="11"/>
    <x v="0"/>
    <n v="2"/>
    <n v="80"/>
    <n v="1"/>
    <n v="1"/>
    <n v="5"/>
    <n v="3"/>
    <n v="0"/>
    <n v="0"/>
    <n v="0"/>
    <n v="0"/>
    <n v="1"/>
    <x v="2"/>
    <x v="0"/>
    <s v="0-5k"/>
    <x v="0"/>
    <x v="0"/>
    <x v="0"/>
  </r>
  <r>
    <n v="46"/>
    <s v="No"/>
    <x v="0"/>
    <n v="1402"/>
    <x v="0"/>
    <n v="2"/>
    <n v="3"/>
    <s v="Marketing"/>
    <n v="1"/>
    <n v="1204"/>
    <n v="3"/>
    <x v="0"/>
    <n v="69"/>
    <n v="3"/>
    <n v="4"/>
    <s v="Manager"/>
    <n v="1"/>
    <s v="Married"/>
    <n v="17048"/>
    <n v="24097"/>
    <n v="8"/>
    <s v="Y"/>
    <s v="No"/>
    <n v="23"/>
    <x v="1"/>
    <n v="1"/>
    <n v="80"/>
    <n v="0"/>
    <n v="28"/>
    <n v="2"/>
    <n v="3"/>
    <n v="26"/>
    <n v="15"/>
    <n v="15"/>
    <n v="9"/>
    <n v="0"/>
    <x v="1"/>
    <x v="0"/>
    <s v="15k+"/>
    <x v="1"/>
    <x v="1"/>
    <x v="3"/>
  </r>
  <r>
    <n v="44"/>
    <s v="No"/>
    <x v="2"/>
    <n v="111"/>
    <x v="1"/>
    <n v="17"/>
    <n v="3"/>
    <s v="Life Sciences"/>
    <n v="1"/>
    <n v="1206"/>
    <n v="4"/>
    <x v="1"/>
    <n v="74"/>
    <n v="1"/>
    <n v="1"/>
    <s v="Research Scientist"/>
    <n v="3"/>
    <s v="Single"/>
    <n v="2290"/>
    <n v="4279"/>
    <n v="2"/>
    <s v="Y"/>
    <s v="No"/>
    <n v="13"/>
    <x v="0"/>
    <n v="4"/>
    <n v="80"/>
    <n v="0"/>
    <n v="6"/>
    <n v="3"/>
    <n v="3"/>
    <n v="0"/>
    <n v="0"/>
    <n v="0"/>
    <n v="0"/>
    <n v="0"/>
    <x v="0"/>
    <x v="2"/>
    <s v="0-5k"/>
    <x v="0"/>
    <x v="0"/>
    <x v="2"/>
  </r>
  <r>
    <n v="33"/>
    <s v="No"/>
    <x v="0"/>
    <n v="147"/>
    <x v="2"/>
    <n v="2"/>
    <n v="3"/>
    <s v="Human Resources"/>
    <n v="1"/>
    <n v="1207"/>
    <n v="2"/>
    <x v="1"/>
    <n v="99"/>
    <n v="3"/>
    <n v="1"/>
    <s v="Human Resources"/>
    <n v="3"/>
    <s v="Married"/>
    <n v="3600"/>
    <n v="8429"/>
    <n v="1"/>
    <s v="Y"/>
    <s v="No"/>
    <n v="13"/>
    <x v="0"/>
    <n v="4"/>
    <n v="80"/>
    <n v="1"/>
    <n v="5"/>
    <n v="2"/>
    <n v="3"/>
    <n v="5"/>
    <n v="4"/>
    <n v="1"/>
    <n v="4"/>
    <n v="0"/>
    <x v="0"/>
    <x v="0"/>
    <s v="0-5k"/>
    <x v="0"/>
    <x v="0"/>
    <x v="2"/>
  </r>
  <r>
    <n v="41"/>
    <s v="Yes"/>
    <x v="2"/>
    <n v="906"/>
    <x v="1"/>
    <n v="5"/>
    <n v="2"/>
    <s v="Life Sciences"/>
    <n v="1"/>
    <n v="1210"/>
    <n v="1"/>
    <x v="1"/>
    <n v="95"/>
    <n v="2"/>
    <n v="1"/>
    <s v="Research Scientist"/>
    <n v="1"/>
    <s v="Divorced"/>
    <n v="2107"/>
    <n v="20293"/>
    <n v="6"/>
    <s v="Y"/>
    <s v="No"/>
    <n v="17"/>
    <x v="0"/>
    <n v="1"/>
    <n v="80"/>
    <n v="1"/>
    <n v="5"/>
    <n v="2"/>
    <n v="1"/>
    <n v="1"/>
    <n v="0"/>
    <n v="0"/>
    <n v="0"/>
    <n v="1"/>
    <x v="0"/>
    <x v="0"/>
    <s v="0-5k"/>
    <x v="0"/>
    <x v="0"/>
    <x v="3"/>
  </r>
  <r>
    <n v="30"/>
    <s v="No"/>
    <x v="0"/>
    <n v="1329"/>
    <x v="0"/>
    <n v="29"/>
    <n v="4"/>
    <s v="Life Sciences"/>
    <n v="1"/>
    <n v="1211"/>
    <n v="3"/>
    <x v="1"/>
    <n v="61"/>
    <n v="3"/>
    <n v="2"/>
    <s v="Sales Executive"/>
    <n v="1"/>
    <s v="Divorced"/>
    <n v="4115"/>
    <n v="13192"/>
    <n v="8"/>
    <s v="Y"/>
    <s v="No"/>
    <n v="19"/>
    <x v="0"/>
    <n v="3"/>
    <n v="80"/>
    <n v="3"/>
    <n v="8"/>
    <n v="3"/>
    <n v="3"/>
    <n v="4"/>
    <n v="3"/>
    <n v="0"/>
    <n v="3"/>
    <n v="0"/>
    <x v="2"/>
    <x v="1"/>
    <s v="0-5k"/>
    <x v="0"/>
    <x v="0"/>
    <x v="3"/>
  </r>
  <r>
    <n v="40"/>
    <s v="No"/>
    <x v="1"/>
    <n v="1184"/>
    <x v="0"/>
    <n v="2"/>
    <n v="4"/>
    <s v="Medical"/>
    <n v="1"/>
    <n v="1212"/>
    <n v="2"/>
    <x v="1"/>
    <n v="62"/>
    <n v="3"/>
    <n v="2"/>
    <s v="Sales Executive"/>
    <n v="2"/>
    <s v="Married"/>
    <n v="4327"/>
    <n v="25440"/>
    <n v="5"/>
    <s v="Y"/>
    <s v="No"/>
    <n v="12"/>
    <x v="0"/>
    <n v="4"/>
    <n v="80"/>
    <n v="3"/>
    <n v="5"/>
    <n v="2"/>
    <n v="3"/>
    <n v="0"/>
    <n v="0"/>
    <n v="0"/>
    <n v="0"/>
    <n v="0"/>
    <x v="0"/>
    <x v="0"/>
    <s v="0-5k"/>
    <x v="0"/>
    <x v="0"/>
    <x v="1"/>
  </r>
  <r>
    <n v="50"/>
    <s v="No"/>
    <x v="1"/>
    <n v="1421"/>
    <x v="1"/>
    <n v="2"/>
    <n v="3"/>
    <s v="Medical"/>
    <n v="1"/>
    <n v="1215"/>
    <n v="4"/>
    <x v="0"/>
    <n v="30"/>
    <n v="3"/>
    <n v="4"/>
    <s v="Manager"/>
    <n v="1"/>
    <s v="Married"/>
    <n v="17856"/>
    <n v="9490"/>
    <n v="2"/>
    <s v="Y"/>
    <s v="No"/>
    <n v="22"/>
    <x v="1"/>
    <n v="3"/>
    <n v="80"/>
    <n v="1"/>
    <n v="32"/>
    <n v="3"/>
    <n v="3"/>
    <n v="2"/>
    <n v="2"/>
    <n v="2"/>
    <n v="2"/>
    <n v="0"/>
    <x v="1"/>
    <x v="0"/>
    <s v="15k+"/>
    <x v="0"/>
    <x v="1"/>
    <x v="3"/>
  </r>
  <r>
    <n v="28"/>
    <s v="No"/>
    <x v="0"/>
    <n v="1179"/>
    <x v="1"/>
    <n v="19"/>
    <n v="4"/>
    <s v="Medical"/>
    <n v="1"/>
    <n v="1216"/>
    <n v="4"/>
    <x v="1"/>
    <n v="78"/>
    <n v="2"/>
    <n v="1"/>
    <s v="Laboratory Technician"/>
    <n v="1"/>
    <s v="Married"/>
    <n v="3196"/>
    <n v="12449"/>
    <n v="1"/>
    <s v="Y"/>
    <s v="No"/>
    <n v="12"/>
    <x v="0"/>
    <n v="3"/>
    <n v="80"/>
    <n v="3"/>
    <n v="6"/>
    <n v="2"/>
    <n v="3"/>
    <n v="6"/>
    <n v="5"/>
    <n v="3"/>
    <n v="3"/>
    <n v="0"/>
    <x v="2"/>
    <x v="2"/>
    <s v="0-5k"/>
    <x v="0"/>
    <x v="0"/>
    <x v="3"/>
  </r>
  <r>
    <n v="46"/>
    <s v="No"/>
    <x v="0"/>
    <n v="1450"/>
    <x v="1"/>
    <n v="15"/>
    <n v="2"/>
    <s v="Life Sciences"/>
    <n v="1"/>
    <n v="1217"/>
    <n v="4"/>
    <x v="1"/>
    <n v="52"/>
    <n v="3"/>
    <n v="5"/>
    <s v="Research Director"/>
    <n v="2"/>
    <s v="Married"/>
    <n v="19081"/>
    <n v="10849"/>
    <n v="5"/>
    <s v="Y"/>
    <s v="No"/>
    <n v="11"/>
    <x v="0"/>
    <n v="1"/>
    <n v="80"/>
    <n v="1"/>
    <n v="25"/>
    <n v="2"/>
    <n v="3"/>
    <n v="4"/>
    <n v="2"/>
    <n v="0"/>
    <n v="3"/>
    <n v="0"/>
    <x v="1"/>
    <x v="2"/>
    <s v="15k+"/>
    <x v="0"/>
    <x v="0"/>
    <x v="1"/>
  </r>
  <r>
    <n v="35"/>
    <s v="No"/>
    <x v="0"/>
    <n v="1361"/>
    <x v="0"/>
    <n v="17"/>
    <n v="4"/>
    <s v="Life Sciences"/>
    <n v="1"/>
    <n v="1218"/>
    <n v="3"/>
    <x v="1"/>
    <n v="94"/>
    <n v="3"/>
    <n v="2"/>
    <s v="Sales Executive"/>
    <n v="1"/>
    <s v="Married"/>
    <n v="8966"/>
    <n v="21026"/>
    <n v="3"/>
    <s v="Y"/>
    <s v="Yes"/>
    <n v="15"/>
    <x v="0"/>
    <n v="4"/>
    <n v="80"/>
    <n v="3"/>
    <n v="15"/>
    <n v="2"/>
    <n v="3"/>
    <n v="7"/>
    <n v="7"/>
    <n v="1"/>
    <n v="7"/>
    <n v="0"/>
    <x v="0"/>
    <x v="2"/>
    <s v="5k-10k"/>
    <x v="0"/>
    <x v="0"/>
    <x v="3"/>
  </r>
  <r>
    <n v="24"/>
    <s v="Yes"/>
    <x v="0"/>
    <n v="984"/>
    <x v="1"/>
    <n v="17"/>
    <n v="2"/>
    <s v="Life Sciences"/>
    <n v="1"/>
    <n v="1219"/>
    <n v="4"/>
    <x v="0"/>
    <n v="97"/>
    <n v="3"/>
    <n v="1"/>
    <s v="Laboratory Technician"/>
    <n v="2"/>
    <s v="Married"/>
    <n v="2210"/>
    <n v="3372"/>
    <n v="1"/>
    <s v="Y"/>
    <s v="No"/>
    <n v="13"/>
    <x v="0"/>
    <n v="1"/>
    <n v="80"/>
    <n v="1"/>
    <n v="1"/>
    <n v="3"/>
    <n v="1"/>
    <n v="1"/>
    <n v="0"/>
    <n v="0"/>
    <n v="0"/>
    <n v="1"/>
    <x v="2"/>
    <x v="2"/>
    <s v="0-5k"/>
    <x v="0"/>
    <x v="0"/>
    <x v="1"/>
  </r>
  <r>
    <n v="33"/>
    <s v="No"/>
    <x v="1"/>
    <n v="1146"/>
    <x v="0"/>
    <n v="25"/>
    <n v="3"/>
    <s v="Medical"/>
    <n v="1"/>
    <n v="1220"/>
    <n v="2"/>
    <x v="0"/>
    <n v="82"/>
    <n v="3"/>
    <n v="2"/>
    <s v="Sales Executive"/>
    <n v="3"/>
    <s v="Married"/>
    <n v="4539"/>
    <n v="4905"/>
    <n v="1"/>
    <s v="Y"/>
    <s v="No"/>
    <n v="12"/>
    <x v="0"/>
    <n v="1"/>
    <n v="80"/>
    <n v="1"/>
    <n v="10"/>
    <n v="3"/>
    <n v="2"/>
    <n v="10"/>
    <n v="7"/>
    <n v="0"/>
    <n v="1"/>
    <n v="0"/>
    <x v="0"/>
    <x v="1"/>
    <s v="0-5k"/>
    <x v="0"/>
    <x v="0"/>
    <x v="2"/>
  </r>
  <r>
    <n v="36"/>
    <s v="No"/>
    <x v="0"/>
    <n v="917"/>
    <x v="1"/>
    <n v="6"/>
    <n v="4"/>
    <s v="Life Sciences"/>
    <n v="1"/>
    <n v="1221"/>
    <n v="3"/>
    <x v="1"/>
    <n v="60"/>
    <n v="1"/>
    <n v="1"/>
    <s v="Laboratory Technician"/>
    <n v="3"/>
    <s v="Divorced"/>
    <n v="2741"/>
    <n v="6865"/>
    <n v="1"/>
    <s v="Y"/>
    <s v="No"/>
    <n v="14"/>
    <x v="0"/>
    <n v="3"/>
    <n v="80"/>
    <n v="1"/>
    <n v="7"/>
    <n v="4"/>
    <n v="3"/>
    <n v="7"/>
    <n v="7"/>
    <n v="1"/>
    <n v="7"/>
    <n v="0"/>
    <x v="0"/>
    <x v="0"/>
    <s v="0-5k"/>
    <x v="0"/>
    <x v="0"/>
    <x v="2"/>
  </r>
  <r>
    <n v="30"/>
    <s v="No"/>
    <x v="0"/>
    <n v="853"/>
    <x v="1"/>
    <n v="7"/>
    <n v="4"/>
    <s v="Life Sciences"/>
    <n v="1"/>
    <n v="1224"/>
    <n v="3"/>
    <x v="1"/>
    <n v="49"/>
    <n v="3"/>
    <n v="2"/>
    <s v="Laboratory Technician"/>
    <n v="3"/>
    <s v="Divorced"/>
    <n v="3491"/>
    <n v="11309"/>
    <n v="1"/>
    <s v="Y"/>
    <s v="No"/>
    <n v="13"/>
    <x v="0"/>
    <n v="1"/>
    <n v="80"/>
    <n v="3"/>
    <n v="10"/>
    <n v="4"/>
    <n v="2"/>
    <n v="10"/>
    <n v="7"/>
    <n v="8"/>
    <n v="9"/>
    <n v="0"/>
    <x v="2"/>
    <x v="0"/>
    <s v="0-5k"/>
    <x v="0"/>
    <x v="0"/>
    <x v="2"/>
  </r>
  <r>
    <n v="44"/>
    <s v="No"/>
    <x v="0"/>
    <n v="200"/>
    <x v="1"/>
    <n v="29"/>
    <n v="4"/>
    <s v="Other"/>
    <n v="1"/>
    <n v="1225"/>
    <n v="4"/>
    <x v="1"/>
    <n v="32"/>
    <n v="3"/>
    <n v="2"/>
    <s v="Research Scientist"/>
    <n v="4"/>
    <s v="Single"/>
    <n v="4541"/>
    <n v="7744"/>
    <n v="1"/>
    <s v="Y"/>
    <s v="No"/>
    <n v="25"/>
    <x v="1"/>
    <n v="2"/>
    <n v="80"/>
    <n v="0"/>
    <n v="20"/>
    <n v="3"/>
    <n v="3"/>
    <n v="20"/>
    <n v="11"/>
    <n v="13"/>
    <n v="17"/>
    <n v="0"/>
    <x v="0"/>
    <x v="1"/>
    <s v="0-5k"/>
    <x v="2"/>
    <x v="1"/>
    <x v="0"/>
  </r>
  <r>
    <n v="20"/>
    <s v="No"/>
    <x v="0"/>
    <n v="654"/>
    <x v="0"/>
    <n v="21"/>
    <n v="3"/>
    <s v="Marketing"/>
    <n v="1"/>
    <n v="1226"/>
    <n v="3"/>
    <x v="1"/>
    <n v="43"/>
    <n v="4"/>
    <n v="1"/>
    <s v="Sales Representative"/>
    <n v="4"/>
    <s v="Single"/>
    <n v="2678"/>
    <n v="5050"/>
    <n v="1"/>
    <s v="Y"/>
    <s v="No"/>
    <n v="17"/>
    <x v="0"/>
    <n v="4"/>
    <n v="80"/>
    <n v="0"/>
    <n v="2"/>
    <n v="2"/>
    <n v="3"/>
    <n v="2"/>
    <n v="1"/>
    <n v="2"/>
    <n v="2"/>
    <n v="0"/>
    <x v="2"/>
    <x v="1"/>
    <s v="0-5k"/>
    <x v="0"/>
    <x v="0"/>
    <x v="0"/>
  </r>
  <r>
    <n v="46"/>
    <s v="No"/>
    <x v="0"/>
    <n v="150"/>
    <x v="1"/>
    <n v="2"/>
    <n v="4"/>
    <s v="Technical Degree"/>
    <n v="1"/>
    <n v="1228"/>
    <n v="4"/>
    <x v="1"/>
    <n v="60"/>
    <n v="3"/>
    <n v="2"/>
    <s v="Manufacturing Director"/>
    <n v="4"/>
    <s v="Divorced"/>
    <n v="7379"/>
    <n v="17433"/>
    <n v="2"/>
    <s v="Y"/>
    <s v="No"/>
    <n v="11"/>
    <x v="0"/>
    <n v="3"/>
    <n v="80"/>
    <n v="1"/>
    <n v="12"/>
    <n v="3"/>
    <n v="2"/>
    <n v="6"/>
    <n v="3"/>
    <n v="1"/>
    <n v="4"/>
    <n v="0"/>
    <x v="1"/>
    <x v="0"/>
    <s v="5k-10k"/>
    <x v="0"/>
    <x v="0"/>
    <x v="0"/>
  </r>
  <r>
    <n v="42"/>
    <s v="No"/>
    <x v="2"/>
    <n v="179"/>
    <x v="2"/>
    <n v="2"/>
    <n v="5"/>
    <s v="Medical"/>
    <n v="1"/>
    <n v="1231"/>
    <n v="4"/>
    <x v="1"/>
    <n v="79"/>
    <n v="4"/>
    <n v="2"/>
    <s v="Human Resources"/>
    <n v="1"/>
    <s v="Married"/>
    <n v="6272"/>
    <n v="12858"/>
    <n v="7"/>
    <s v="Y"/>
    <s v="No"/>
    <n v="16"/>
    <x v="0"/>
    <n v="1"/>
    <n v="80"/>
    <n v="1"/>
    <n v="10"/>
    <n v="3"/>
    <n v="4"/>
    <n v="4"/>
    <n v="3"/>
    <n v="0"/>
    <n v="3"/>
    <n v="0"/>
    <x v="0"/>
    <x v="0"/>
    <s v="5k-10k"/>
    <x v="0"/>
    <x v="0"/>
    <x v="3"/>
  </r>
  <r>
    <n v="60"/>
    <s v="No"/>
    <x v="0"/>
    <n v="696"/>
    <x v="0"/>
    <n v="7"/>
    <n v="4"/>
    <s v="Marketing"/>
    <n v="1"/>
    <n v="1233"/>
    <n v="2"/>
    <x v="1"/>
    <n v="52"/>
    <n v="4"/>
    <n v="2"/>
    <s v="Sales Executive"/>
    <n v="4"/>
    <s v="Divorced"/>
    <n v="5220"/>
    <n v="10893"/>
    <n v="0"/>
    <s v="Y"/>
    <s v="Yes"/>
    <n v="18"/>
    <x v="0"/>
    <n v="2"/>
    <n v="80"/>
    <n v="1"/>
    <n v="12"/>
    <n v="3"/>
    <n v="3"/>
    <n v="11"/>
    <n v="7"/>
    <n v="1"/>
    <n v="9"/>
    <n v="0"/>
    <x v="1"/>
    <x v="0"/>
    <s v="5k-10k"/>
    <x v="2"/>
    <x v="0"/>
    <x v="0"/>
  </r>
  <r>
    <n v="32"/>
    <s v="No"/>
    <x v="1"/>
    <n v="116"/>
    <x v="1"/>
    <n v="13"/>
    <n v="3"/>
    <s v="Other"/>
    <n v="1"/>
    <n v="1234"/>
    <n v="3"/>
    <x v="0"/>
    <n v="77"/>
    <n v="2"/>
    <n v="1"/>
    <s v="Laboratory Technician"/>
    <n v="2"/>
    <s v="Married"/>
    <n v="2743"/>
    <n v="7331"/>
    <n v="1"/>
    <s v="Y"/>
    <s v="No"/>
    <n v="20"/>
    <x v="1"/>
    <n v="3"/>
    <n v="80"/>
    <n v="1"/>
    <n v="2"/>
    <n v="2"/>
    <n v="3"/>
    <n v="2"/>
    <n v="2"/>
    <n v="2"/>
    <n v="2"/>
    <n v="0"/>
    <x v="0"/>
    <x v="2"/>
    <s v="0-5k"/>
    <x v="0"/>
    <x v="1"/>
    <x v="1"/>
  </r>
  <r>
    <n v="32"/>
    <s v="No"/>
    <x v="1"/>
    <n v="1316"/>
    <x v="1"/>
    <n v="2"/>
    <n v="2"/>
    <s v="Life Sciences"/>
    <n v="1"/>
    <n v="1235"/>
    <n v="4"/>
    <x v="0"/>
    <n v="38"/>
    <n v="3"/>
    <n v="2"/>
    <s v="Research Scientist"/>
    <n v="3"/>
    <s v="Single"/>
    <n v="4998"/>
    <n v="2338"/>
    <n v="4"/>
    <s v="Y"/>
    <s v="Yes"/>
    <n v="14"/>
    <x v="0"/>
    <n v="4"/>
    <n v="80"/>
    <n v="0"/>
    <n v="10"/>
    <n v="2"/>
    <n v="3"/>
    <n v="8"/>
    <n v="7"/>
    <n v="0"/>
    <n v="7"/>
    <n v="0"/>
    <x v="0"/>
    <x v="0"/>
    <s v="0-5k"/>
    <x v="0"/>
    <x v="0"/>
    <x v="2"/>
  </r>
  <r>
    <n v="36"/>
    <s v="No"/>
    <x v="0"/>
    <n v="363"/>
    <x v="1"/>
    <n v="1"/>
    <n v="3"/>
    <s v="Technical Degree"/>
    <n v="1"/>
    <n v="1237"/>
    <n v="3"/>
    <x v="0"/>
    <n v="77"/>
    <n v="1"/>
    <n v="3"/>
    <s v="Manufacturing Director"/>
    <n v="1"/>
    <s v="Divorced"/>
    <n v="10252"/>
    <n v="4235"/>
    <n v="2"/>
    <s v="Y"/>
    <s v="Yes"/>
    <n v="21"/>
    <x v="1"/>
    <n v="3"/>
    <n v="80"/>
    <n v="1"/>
    <n v="17"/>
    <n v="2"/>
    <n v="3"/>
    <n v="7"/>
    <n v="7"/>
    <n v="7"/>
    <n v="7"/>
    <n v="0"/>
    <x v="0"/>
    <x v="0"/>
    <s v="10k-15k"/>
    <x v="0"/>
    <x v="1"/>
    <x v="3"/>
  </r>
  <r>
    <n v="33"/>
    <s v="No"/>
    <x v="0"/>
    <n v="117"/>
    <x v="1"/>
    <n v="9"/>
    <n v="3"/>
    <s v="Medical"/>
    <n v="1"/>
    <n v="1238"/>
    <n v="1"/>
    <x v="1"/>
    <n v="60"/>
    <n v="3"/>
    <n v="1"/>
    <s v="Research Scientist"/>
    <n v="4"/>
    <s v="Married"/>
    <n v="2781"/>
    <n v="6311"/>
    <n v="0"/>
    <s v="Y"/>
    <s v="No"/>
    <n v="13"/>
    <x v="0"/>
    <n v="2"/>
    <n v="80"/>
    <n v="1"/>
    <n v="15"/>
    <n v="5"/>
    <n v="3"/>
    <n v="14"/>
    <n v="10"/>
    <n v="4"/>
    <n v="10"/>
    <n v="0"/>
    <x v="0"/>
    <x v="0"/>
    <s v="0-5k"/>
    <x v="2"/>
    <x v="0"/>
    <x v="0"/>
  </r>
  <r>
    <n v="40"/>
    <s v="No"/>
    <x v="0"/>
    <n v="107"/>
    <x v="0"/>
    <n v="10"/>
    <n v="3"/>
    <s v="Technical Degree"/>
    <n v="1"/>
    <n v="1239"/>
    <n v="2"/>
    <x v="0"/>
    <n v="84"/>
    <n v="2"/>
    <n v="2"/>
    <s v="Sales Executive"/>
    <n v="2"/>
    <s v="Divorced"/>
    <n v="6852"/>
    <n v="11591"/>
    <n v="7"/>
    <s v="Y"/>
    <s v="No"/>
    <n v="12"/>
    <x v="0"/>
    <n v="2"/>
    <n v="80"/>
    <n v="1"/>
    <n v="7"/>
    <n v="2"/>
    <n v="4"/>
    <n v="5"/>
    <n v="1"/>
    <n v="1"/>
    <n v="3"/>
    <n v="0"/>
    <x v="0"/>
    <x v="0"/>
    <s v="5k-10k"/>
    <x v="0"/>
    <x v="0"/>
    <x v="1"/>
  </r>
  <r>
    <n v="25"/>
    <s v="No"/>
    <x v="0"/>
    <n v="1356"/>
    <x v="0"/>
    <n v="10"/>
    <n v="4"/>
    <s v="Life Sciences"/>
    <n v="1"/>
    <n v="1240"/>
    <n v="3"/>
    <x v="1"/>
    <n v="57"/>
    <n v="3"/>
    <n v="2"/>
    <s v="Sales Executive"/>
    <n v="4"/>
    <s v="Single"/>
    <n v="4950"/>
    <n v="20623"/>
    <n v="0"/>
    <s v="Y"/>
    <s v="No"/>
    <n v="14"/>
    <x v="0"/>
    <n v="2"/>
    <n v="80"/>
    <n v="0"/>
    <n v="5"/>
    <n v="4"/>
    <n v="3"/>
    <n v="4"/>
    <n v="3"/>
    <n v="1"/>
    <n v="1"/>
    <n v="0"/>
    <x v="2"/>
    <x v="0"/>
    <s v="0-5k"/>
    <x v="0"/>
    <x v="0"/>
    <x v="0"/>
  </r>
  <r>
    <n v="30"/>
    <s v="No"/>
    <x v="0"/>
    <n v="1465"/>
    <x v="1"/>
    <n v="1"/>
    <n v="3"/>
    <s v="Medical"/>
    <n v="1"/>
    <n v="1241"/>
    <n v="4"/>
    <x v="1"/>
    <n v="63"/>
    <n v="3"/>
    <n v="1"/>
    <s v="Research Scientist"/>
    <n v="2"/>
    <s v="Married"/>
    <n v="3579"/>
    <n v="9369"/>
    <n v="0"/>
    <s v="Y"/>
    <s v="Yes"/>
    <n v="21"/>
    <x v="1"/>
    <n v="1"/>
    <n v="80"/>
    <n v="1"/>
    <n v="12"/>
    <n v="2"/>
    <n v="3"/>
    <n v="11"/>
    <n v="9"/>
    <n v="5"/>
    <n v="7"/>
    <n v="0"/>
    <x v="2"/>
    <x v="0"/>
    <s v="0-5k"/>
    <x v="2"/>
    <x v="1"/>
    <x v="1"/>
  </r>
  <r>
    <n v="42"/>
    <s v="No"/>
    <x v="1"/>
    <n v="458"/>
    <x v="1"/>
    <n v="26"/>
    <n v="5"/>
    <s v="Medical"/>
    <n v="1"/>
    <n v="1242"/>
    <n v="1"/>
    <x v="0"/>
    <n v="60"/>
    <n v="3"/>
    <n v="3"/>
    <s v="Research Director"/>
    <n v="1"/>
    <s v="Married"/>
    <n v="13191"/>
    <n v="23281"/>
    <n v="3"/>
    <s v="Y"/>
    <s v="Yes"/>
    <n v="17"/>
    <x v="0"/>
    <n v="3"/>
    <n v="80"/>
    <n v="0"/>
    <n v="20"/>
    <n v="6"/>
    <n v="3"/>
    <n v="1"/>
    <n v="0"/>
    <n v="0"/>
    <n v="0"/>
    <n v="0"/>
    <x v="0"/>
    <x v="1"/>
    <s v="10k-15k"/>
    <x v="0"/>
    <x v="0"/>
    <x v="3"/>
  </r>
  <r>
    <n v="35"/>
    <s v="No"/>
    <x v="2"/>
    <n v="1212"/>
    <x v="0"/>
    <n v="8"/>
    <n v="2"/>
    <s v="Marketing"/>
    <n v="1"/>
    <n v="1243"/>
    <n v="3"/>
    <x v="0"/>
    <n v="78"/>
    <n v="2"/>
    <n v="3"/>
    <s v="Sales Executive"/>
    <n v="4"/>
    <s v="Married"/>
    <n v="10377"/>
    <n v="13755"/>
    <n v="4"/>
    <s v="Y"/>
    <s v="Yes"/>
    <n v="11"/>
    <x v="0"/>
    <n v="2"/>
    <n v="80"/>
    <n v="1"/>
    <n v="16"/>
    <n v="6"/>
    <n v="2"/>
    <n v="13"/>
    <n v="2"/>
    <n v="4"/>
    <n v="12"/>
    <n v="0"/>
    <x v="0"/>
    <x v="0"/>
    <s v="10k-15k"/>
    <x v="2"/>
    <x v="0"/>
    <x v="0"/>
  </r>
  <r>
    <n v="27"/>
    <s v="No"/>
    <x v="0"/>
    <n v="1103"/>
    <x v="1"/>
    <n v="14"/>
    <n v="3"/>
    <s v="Life Sciences"/>
    <n v="1"/>
    <n v="1244"/>
    <n v="1"/>
    <x v="1"/>
    <n v="42"/>
    <n v="3"/>
    <n v="1"/>
    <s v="Research Scientist"/>
    <n v="1"/>
    <s v="Married"/>
    <n v="2235"/>
    <n v="14377"/>
    <n v="1"/>
    <s v="Y"/>
    <s v="Yes"/>
    <n v="14"/>
    <x v="0"/>
    <n v="4"/>
    <n v="80"/>
    <n v="2"/>
    <n v="9"/>
    <n v="3"/>
    <n v="2"/>
    <n v="9"/>
    <n v="7"/>
    <n v="6"/>
    <n v="8"/>
    <n v="0"/>
    <x v="2"/>
    <x v="2"/>
    <s v="0-5k"/>
    <x v="0"/>
    <x v="0"/>
    <x v="3"/>
  </r>
  <r>
    <n v="54"/>
    <s v="No"/>
    <x v="1"/>
    <n v="966"/>
    <x v="1"/>
    <n v="1"/>
    <n v="4"/>
    <s v="Life Sciences"/>
    <n v="1"/>
    <n v="1245"/>
    <n v="4"/>
    <x v="0"/>
    <n v="53"/>
    <n v="3"/>
    <n v="3"/>
    <s v="Manufacturing Director"/>
    <n v="3"/>
    <s v="Divorced"/>
    <n v="10502"/>
    <n v="9659"/>
    <n v="7"/>
    <s v="Y"/>
    <s v="No"/>
    <n v="17"/>
    <x v="0"/>
    <n v="1"/>
    <n v="80"/>
    <n v="1"/>
    <n v="33"/>
    <n v="2"/>
    <n v="1"/>
    <n v="5"/>
    <n v="4"/>
    <n v="1"/>
    <n v="4"/>
    <n v="0"/>
    <x v="1"/>
    <x v="0"/>
    <s v="10k-15k"/>
    <x v="0"/>
    <x v="0"/>
    <x v="2"/>
  </r>
  <r>
    <n v="44"/>
    <s v="No"/>
    <x v="0"/>
    <n v="1117"/>
    <x v="1"/>
    <n v="2"/>
    <n v="1"/>
    <s v="Life Sciences"/>
    <n v="1"/>
    <n v="1246"/>
    <n v="1"/>
    <x v="0"/>
    <n v="72"/>
    <n v="4"/>
    <n v="1"/>
    <s v="Research Scientist"/>
    <n v="4"/>
    <s v="Married"/>
    <n v="2011"/>
    <n v="19982"/>
    <n v="1"/>
    <s v="Y"/>
    <s v="No"/>
    <n v="13"/>
    <x v="0"/>
    <n v="4"/>
    <n v="80"/>
    <n v="1"/>
    <n v="10"/>
    <n v="5"/>
    <n v="3"/>
    <n v="10"/>
    <n v="5"/>
    <n v="7"/>
    <n v="7"/>
    <n v="0"/>
    <x v="0"/>
    <x v="0"/>
    <s v="0-5k"/>
    <x v="0"/>
    <x v="0"/>
    <x v="0"/>
  </r>
  <r>
    <n v="19"/>
    <s v="Yes"/>
    <x v="2"/>
    <n v="504"/>
    <x v="1"/>
    <n v="10"/>
    <n v="3"/>
    <s v="Medical"/>
    <n v="1"/>
    <n v="1248"/>
    <n v="1"/>
    <x v="0"/>
    <n v="96"/>
    <n v="2"/>
    <n v="1"/>
    <s v="Research Scientist"/>
    <n v="2"/>
    <s v="Single"/>
    <n v="1859"/>
    <n v="6148"/>
    <n v="1"/>
    <s v="Y"/>
    <s v="Yes"/>
    <n v="25"/>
    <x v="1"/>
    <n v="2"/>
    <n v="80"/>
    <n v="0"/>
    <n v="1"/>
    <n v="2"/>
    <n v="4"/>
    <n v="1"/>
    <n v="1"/>
    <n v="0"/>
    <n v="0"/>
    <n v="1"/>
    <x v="2"/>
    <x v="0"/>
    <s v="0-5k"/>
    <x v="0"/>
    <x v="1"/>
    <x v="1"/>
  </r>
  <r>
    <n v="29"/>
    <s v="No"/>
    <x v="0"/>
    <n v="1010"/>
    <x v="1"/>
    <n v="1"/>
    <n v="3"/>
    <s v="Life Sciences"/>
    <n v="1"/>
    <n v="1249"/>
    <n v="1"/>
    <x v="0"/>
    <n v="97"/>
    <n v="3"/>
    <n v="1"/>
    <s v="Research Scientist"/>
    <n v="4"/>
    <s v="Divorced"/>
    <n v="3760"/>
    <n v="5598"/>
    <n v="1"/>
    <s v="Y"/>
    <s v="No"/>
    <n v="15"/>
    <x v="0"/>
    <n v="1"/>
    <n v="80"/>
    <n v="3"/>
    <n v="3"/>
    <n v="5"/>
    <n v="3"/>
    <n v="3"/>
    <n v="2"/>
    <n v="1"/>
    <n v="2"/>
    <n v="0"/>
    <x v="2"/>
    <x v="0"/>
    <s v="0-5k"/>
    <x v="0"/>
    <x v="0"/>
    <x v="0"/>
  </r>
  <r>
    <n v="54"/>
    <s v="No"/>
    <x v="0"/>
    <n v="685"/>
    <x v="1"/>
    <n v="3"/>
    <n v="3"/>
    <s v="Life Sciences"/>
    <n v="1"/>
    <n v="1250"/>
    <n v="4"/>
    <x v="1"/>
    <n v="85"/>
    <n v="3"/>
    <n v="4"/>
    <s v="Research Director"/>
    <n v="4"/>
    <s v="Married"/>
    <n v="17779"/>
    <n v="23474"/>
    <n v="3"/>
    <s v="Y"/>
    <s v="No"/>
    <n v="14"/>
    <x v="0"/>
    <n v="1"/>
    <n v="80"/>
    <n v="0"/>
    <n v="36"/>
    <n v="2"/>
    <n v="3"/>
    <n v="10"/>
    <n v="9"/>
    <n v="0"/>
    <n v="9"/>
    <n v="0"/>
    <x v="1"/>
    <x v="0"/>
    <s v="15k+"/>
    <x v="0"/>
    <x v="0"/>
    <x v="0"/>
  </r>
  <r>
    <n v="31"/>
    <s v="No"/>
    <x v="0"/>
    <n v="1332"/>
    <x v="1"/>
    <n v="11"/>
    <n v="2"/>
    <s v="Medical"/>
    <n v="1"/>
    <n v="1251"/>
    <n v="3"/>
    <x v="1"/>
    <n v="80"/>
    <n v="3"/>
    <n v="2"/>
    <s v="Healthcare Representative"/>
    <n v="1"/>
    <s v="Married"/>
    <n v="6833"/>
    <n v="17089"/>
    <n v="1"/>
    <s v="Y"/>
    <s v="Yes"/>
    <n v="12"/>
    <x v="0"/>
    <n v="4"/>
    <n v="80"/>
    <n v="0"/>
    <n v="6"/>
    <n v="2"/>
    <n v="2"/>
    <n v="6"/>
    <n v="5"/>
    <n v="0"/>
    <n v="1"/>
    <n v="0"/>
    <x v="0"/>
    <x v="2"/>
    <s v="5k-10k"/>
    <x v="0"/>
    <x v="0"/>
    <x v="3"/>
  </r>
  <r>
    <n v="31"/>
    <s v="No"/>
    <x v="0"/>
    <n v="1062"/>
    <x v="1"/>
    <n v="24"/>
    <n v="3"/>
    <s v="Medical"/>
    <n v="1"/>
    <n v="1252"/>
    <n v="3"/>
    <x v="0"/>
    <n v="96"/>
    <n v="2"/>
    <n v="2"/>
    <s v="Healthcare Representative"/>
    <n v="1"/>
    <s v="Single"/>
    <n v="6812"/>
    <n v="17198"/>
    <n v="1"/>
    <s v="Y"/>
    <s v="No"/>
    <n v="19"/>
    <x v="0"/>
    <n v="2"/>
    <n v="80"/>
    <n v="0"/>
    <n v="10"/>
    <n v="2"/>
    <n v="3"/>
    <n v="10"/>
    <n v="9"/>
    <n v="1"/>
    <n v="8"/>
    <n v="0"/>
    <x v="0"/>
    <x v="1"/>
    <s v="5k-10k"/>
    <x v="0"/>
    <x v="0"/>
    <x v="3"/>
  </r>
  <r>
    <n v="59"/>
    <s v="No"/>
    <x v="0"/>
    <n v="326"/>
    <x v="0"/>
    <n v="3"/>
    <n v="3"/>
    <s v="Life Sciences"/>
    <n v="1"/>
    <n v="1254"/>
    <n v="3"/>
    <x v="0"/>
    <n v="48"/>
    <n v="2"/>
    <n v="2"/>
    <s v="Sales Executive"/>
    <n v="4"/>
    <s v="Single"/>
    <n v="5171"/>
    <n v="16490"/>
    <n v="5"/>
    <s v="Y"/>
    <s v="No"/>
    <n v="17"/>
    <x v="0"/>
    <n v="4"/>
    <n v="80"/>
    <n v="0"/>
    <n v="13"/>
    <n v="2"/>
    <n v="3"/>
    <n v="6"/>
    <n v="1"/>
    <n v="0"/>
    <n v="5"/>
    <n v="0"/>
    <x v="1"/>
    <x v="0"/>
    <s v="5k-10k"/>
    <x v="0"/>
    <x v="0"/>
    <x v="0"/>
  </r>
  <r>
    <n v="43"/>
    <s v="No"/>
    <x v="0"/>
    <n v="920"/>
    <x v="1"/>
    <n v="3"/>
    <n v="3"/>
    <s v="Life Sciences"/>
    <n v="1"/>
    <n v="1255"/>
    <n v="3"/>
    <x v="1"/>
    <n v="96"/>
    <n v="1"/>
    <n v="5"/>
    <s v="Research Director"/>
    <n v="4"/>
    <s v="Married"/>
    <n v="19740"/>
    <n v="18625"/>
    <n v="3"/>
    <s v="Y"/>
    <s v="No"/>
    <n v="14"/>
    <x v="0"/>
    <n v="2"/>
    <n v="80"/>
    <n v="1"/>
    <n v="25"/>
    <n v="2"/>
    <n v="3"/>
    <n v="8"/>
    <n v="7"/>
    <n v="0"/>
    <n v="7"/>
    <n v="0"/>
    <x v="0"/>
    <x v="0"/>
    <s v="15k+"/>
    <x v="0"/>
    <x v="0"/>
    <x v="0"/>
  </r>
  <r>
    <n v="49"/>
    <s v="No"/>
    <x v="0"/>
    <n v="1098"/>
    <x v="1"/>
    <n v="4"/>
    <n v="2"/>
    <s v="Medical"/>
    <n v="1"/>
    <n v="1256"/>
    <n v="1"/>
    <x v="1"/>
    <n v="85"/>
    <n v="2"/>
    <n v="5"/>
    <s v="Manager"/>
    <n v="3"/>
    <s v="Married"/>
    <n v="18711"/>
    <n v="12124"/>
    <n v="2"/>
    <s v="Y"/>
    <s v="No"/>
    <n v="13"/>
    <x v="0"/>
    <n v="3"/>
    <n v="80"/>
    <n v="1"/>
    <n v="23"/>
    <n v="2"/>
    <n v="4"/>
    <n v="1"/>
    <n v="0"/>
    <n v="0"/>
    <n v="0"/>
    <n v="0"/>
    <x v="1"/>
    <x v="0"/>
    <s v="15k+"/>
    <x v="0"/>
    <x v="0"/>
    <x v="2"/>
  </r>
  <r>
    <n v="36"/>
    <s v="No"/>
    <x v="1"/>
    <n v="469"/>
    <x v="1"/>
    <n v="3"/>
    <n v="3"/>
    <s v="Technical Degree"/>
    <n v="1"/>
    <n v="1257"/>
    <n v="3"/>
    <x v="1"/>
    <n v="46"/>
    <n v="3"/>
    <n v="1"/>
    <s v="Research Scientist"/>
    <n v="2"/>
    <s v="Married"/>
    <n v="3692"/>
    <n v="9256"/>
    <n v="1"/>
    <s v="Y"/>
    <s v="No"/>
    <n v="12"/>
    <x v="0"/>
    <n v="3"/>
    <n v="80"/>
    <n v="0"/>
    <n v="12"/>
    <n v="2"/>
    <n v="2"/>
    <n v="11"/>
    <n v="10"/>
    <n v="0"/>
    <n v="7"/>
    <n v="0"/>
    <x v="0"/>
    <x v="0"/>
    <s v="0-5k"/>
    <x v="2"/>
    <x v="0"/>
    <x v="1"/>
  </r>
  <r>
    <n v="48"/>
    <s v="No"/>
    <x v="0"/>
    <n v="969"/>
    <x v="1"/>
    <n v="2"/>
    <n v="2"/>
    <s v="Technical Degree"/>
    <n v="1"/>
    <n v="1258"/>
    <n v="4"/>
    <x v="1"/>
    <n v="76"/>
    <n v="4"/>
    <n v="1"/>
    <s v="Laboratory Technician"/>
    <n v="2"/>
    <s v="Single"/>
    <n v="2559"/>
    <n v="16620"/>
    <n v="5"/>
    <s v="Y"/>
    <s v="No"/>
    <n v="11"/>
    <x v="0"/>
    <n v="3"/>
    <n v="80"/>
    <n v="0"/>
    <n v="7"/>
    <n v="4"/>
    <n v="2"/>
    <n v="1"/>
    <n v="0"/>
    <n v="0"/>
    <n v="0"/>
    <n v="0"/>
    <x v="1"/>
    <x v="0"/>
    <s v="0-5k"/>
    <x v="0"/>
    <x v="0"/>
    <x v="1"/>
  </r>
  <r>
    <n v="27"/>
    <s v="No"/>
    <x v="0"/>
    <n v="1167"/>
    <x v="1"/>
    <n v="4"/>
    <n v="2"/>
    <s v="Life Sciences"/>
    <n v="1"/>
    <n v="1259"/>
    <n v="1"/>
    <x v="1"/>
    <n v="76"/>
    <n v="3"/>
    <n v="1"/>
    <s v="Research Scientist"/>
    <n v="3"/>
    <s v="Divorced"/>
    <n v="2517"/>
    <n v="3208"/>
    <n v="1"/>
    <s v="Y"/>
    <s v="No"/>
    <n v="11"/>
    <x v="0"/>
    <n v="2"/>
    <n v="80"/>
    <n v="3"/>
    <n v="5"/>
    <n v="2"/>
    <n v="3"/>
    <n v="5"/>
    <n v="3"/>
    <n v="0"/>
    <n v="3"/>
    <n v="0"/>
    <x v="2"/>
    <x v="0"/>
    <s v="0-5k"/>
    <x v="0"/>
    <x v="0"/>
    <x v="2"/>
  </r>
  <r>
    <n v="29"/>
    <s v="No"/>
    <x v="0"/>
    <n v="1329"/>
    <x v="1"/>
    <n v="7"/>
    <n v="3"/>
    <s v="Life Sciences"/>
    <n v="1"/>
    <n v="1260"/>
    <n v="3"/>
    <x v="1"/>
    <n v="82"/>
    <n v="3"/>
    <n v="2"/>
    <s v="Healthcare Representative"/>
    <n v="4"/>
    <s v="Divorced"/>
    <n v="6623"/>
    <n v="4204"/>
    <n v="1"/>
    <s v="Y"/>
    <s v="Yes"/>
    <n v="11"/>
    <x v="0"/>
    <n v="2"/>
    <n v="80"/>
    <n v="2"/>
    <n v="6"/>
    <n v="2"/>
    <n v="3"/>
    <n v="6"/>
    <n v="0"/>
    <n v="1"/>
    <n v="0"/>
    <n v="0"/>
    <x v="2"/>
    <x v="0"/>
    <s v="5k-10k"/>
    <x v="0"/>
    <x v="0"/>
    <x v="0"/>
  </r>
  <r>
    <n v="48"/>
    <s v="No"/>
    <x v="0"/>
    <n v="715"/>
    <x v="1"/>
    <n v="1"/>
    <n v="3"/>
    <s v="Life Sciences"/>
    <n v="1"/>
    <n v="1263"/>
    <n v="4"/>
    <x v="1"/>
    <n v="76"/>
    <n v="2"/>
    <n v="5"/>
    <s v="Research Director"/>
    <n v="4"/>
    <s v="Single"/>
    <n v="18265"/>
    <n v="8733"/>
    <n v="6"/>
    <s v="Y"/>
    <s v="No"/>
    <n v="12"/>
    <x v="0"/>
    <n v="3"/>
    <n v="80"/>
    <n v="0"/>
    <n v="25"/>
    <n v="3"/>
    <n v="4"/>
    <n v="1"/>
    <n v="0"/>
    <n v="0"/>
    <n v="0"/>
    <n v="0"/>
    <x v="1"/>
    <x v="0"/>
    <s v="15k+"/>
    <x v="0"/>
    <x v="0"/>
    <x v="0"/>
  </r>
  <r>
    <n v="29"/>
    <s v="No"/>
    <x v="0"/>
    <n v="694"/>
    <x v="1"/>
    <n v="1"/>
    <n v="3"/>
    <s v="Life Sciences"/>
    <n v="1"/>
    <n v="1264"/>
    <n v="4"/>
    <x v="0"/>
    <n v="87"/>
    <n v="2"/>
    <n v="4"/>
    <s v="Research Director"/>
    <n v="4"/>
    <s v="Divorced"/>
    <n v="16124"/>
    <n v="3423"/>
    <n v="3"/>
    <s v="Y"/>
    <s v="No"/>
    <n v="14"/>
    <x v="0"/>
    <n v="2"/>
    <n v="80"/>
    <n v="2"/>
    <n v="9"/>
    <n v="2"/>
    <n v="2"/>
    <n v="7"/>
    <n v="7"/>
    <n v="1"/>
    <n v="7"/>
    <n v="0"/>
    <x v="2"/>
    <x v="0"/>
    <s v="15k+"/>
    <x v="0"/>
    <x v="0"/>
    <x v="0"/>
  </r>
  <r>
    <n v="34"/>
    <s v="No"/>
    <x v="0"/>
    <n v="1320"/>
    <x v="1"/>
    <n v="20"/>
    <n v="3"/>
    <s v="Technical Degree"/>
    <n v="1"/>
    <n v="1265"/>
    <n v="3"/>
    <x v="0"/>
    <n v="89"/>
    <n v="4"/>
    <n v="1"/>
    <s v="Research Scientist"/>
    <n v="3"/>
    <s v="Married"/>
    <n v="2585"/>
    <n v="21643"/>
    <n v="0"/>
    <s v="Y"/>
    <s v="No"/>
    <n v="17"/>
    <x v="0"/>
    <n v="4"/>
    <n v="80"/>
    <n v="0"/>
    <n v="2"/>
    <n v="5"/>
    <n v="2"/>
    <n v="1"/>
    <n v="0"/>
    <n v="0"/>
    <n v="0"/>
    <n v="0"/>
    <x v="0"/>
    <x v="2"/>
    <s v="0-5k"/>
    <x v="0"/>
    <x v="0"/>
    <x v="2"/>
  </r>
  <r>
    <n v="44"/>
    <s v="No"/>
    <x v="0"/>
    <n v="1099"/>
    <x v="0"/>
    <n v="5"/>
    <n v="3"/>
    <s v="Marketing"/>
    <n v="1"/>
    <n v="1267"/>
    <n v="2"/>
    <x v="1"/>
    <n v="88"/>
    <n v="3"/>
    <n v="5"/>
    <s v="Manager"/>
    <n v="2"/>
    <s v="Married"/>
    <n v="18213"/>
    <n v="8751"/>
    <n v="7"/>
    <s v="Y"/>
    <s v="No"/>
    <n v="11"/>
    <x v="0"/>
    <n v="3"/>
    <n v="80"/>
    <n v="1"/>
    <n v="26"/>
    <n v="5"/>
    <n v="3"/>
    <n v="22"/>
    <n v="9"/>
    <n v="3"/>
    <n v="10"/>
    <n v="0"/>
    <x v="0"/>
    <x v="0"/>
    <s v="15k+"/>
    <x v="1"/>
    <x v="0"/>
    <x v="1"/>
  </r>
  <r>
    <n v="33"/>
    <s v="No"/>
    <x v="0"/>
    <n v="536"/>
    <x v="0"/>
    <n v="10"/>
    <n v="5"/>
    <s v="Marketing"/>
    <n v="1"/>
    <n v="1268"/>
    <n v="4"/>
    <x v="1"/>
    <n v="82"/>
    <n v="4"/>
    <n v="3"/>
    <s v="Sales Executive"/>
    <n v="3"/>
    <s v="Divorced"/>
    <n v="8380"/>
    <n v="21708"/>
    <n v="0"/>
    <s v="Y"/>
    <s v="Yes"/>
    <n v="14"/>
    <x v="0"/>
    <n v="4"/>
    <n v="80"/>
    <n v="2"/>
    <n v="10"/>
    <n v="3"/>
    <n v="3"/>
    <n v="9"/>
    <n v="8"/>
    <n v="0"/>
    <n v="8"/>
    <n v="0"/>
    <x v="0"/>
    <x v="0"/>
    <s v="5k-10k"/>
    <x v="0"/>
    <x v="0"/>
    <x v="2"/>
  </r>
  <r>
    <n v="19"/>
    <s v="No"/>
    <x v="0"/>
    <n v="265"/>
    <x v="1"/>
    <n v="25"/>
    <n v="3"/>
    <s v="Life Sciences"/>
    <n v="1"/>
    <n v="1269"/>
    <n v="2"/>
    <x v="0"/>
    <n v="57"/>
    <n v="4"/>
    <n v="1"/>
    <s v="Research Scientist"/>
    <n v="4"/>
    <s v="Single"/>
    <n v="2994"/>
    <n v="21221"/>
    <n v="1"/>
    <s v="Y"/>
    <s v="Yes"/>
    <n v="12"/>
    <x v="0"/>
    <n v="4"/>
    <n v="80"/>
    <n v="0"/>
    <n v="1"/>
    <n v="2"/>
    <n v="3"/>
    <n v="1"/>
    <n v="0"/>
    <n v="0"/>
    <n v="1"/>
    <n v="0"/>
    <x v="2"/>
    <x v="1"/>
    <s v="0-5k"/>
    <x v="0"/>
    <x v="0"/>
    <x v="0"/>
  </r>
  <r>
    <n v="23"/>
    <s v="No"/>
    <x v="0"/>
    <n v="373"/>
    <x v="1"/>
    <n v="1"/>
    <n v="2"/>
    <s v="Life Sciences"/>
    <n v="1"/>
    <n v="1270"/>
    <n v="4"/>
    <x v="1"/>
    <n v="47"/>
    <n v="3"/>
    <n v="1"/>
    <s v="Research Scientist"/>
    <n v="3"/>
    <s v="Married"/>
    <n v="1223"/>
    <n v="16901"/>
    <n v="1"/>
    <s v="Y"/>
    <s v="No"/>
    <n v="22"/>
    <x v="1"/>
    <n v="4"/>
    <n v="80"/>
    <n v="1"/>
    <n v="1"/>
    <n v="2"/>
    <n v="3"/>
    <n v="1"/>
    <n v="0"/>
    <n v="0"/>
    <n v="1"/>
    <n v="0"/>
    <x v="2"/>
    <x v="0"/>
    <s v="0-5k"/>
    <x v="0"/>
    <x v="1"/>
    <x v="2"/>
  </r>
  <r>
    <n v="25"/>
    <s v="Yes"/>
    <x v="1"/>
    <n v="599"/>
    <x v="0"/>
    <n v="24"/>
    <n v="1"/>
    <s v="Life Sciences"/>
    <n v="1"/>
    <n v="1273"/>
    <n v="3"/>
    <x v="1"/>
    <n v="73"/>
    <n v="1"/>
    <n v="1"/>
    <s v="Sales Representative"/>
    <n v="4"/>
    <s v="Single"/>
    <n v="1118"/>
    <n v="8040"/>
    <n v="1"/>
    <s v="Y"/>
    <s v="Yes"/>
    <n v="14"/>
    <x v="0"/>
    <n v="4"/>
    <n v="80"/>
    <n v="0"/>
    <n v="1"/>
    <n v="4"/>
    <n v="3"/>
    <n v="1"/>
    <n v="0"/>
    <n v="1"/>
    <n v="0"/>
    <n v="1"/>
    <x v="2"/>
    <x v="1"/>
    <s v="0-5k"/>
    <x v="0"/>
    <x v="0"/>
    <x v="0"/>
  </r>
  <r>
    <n v="26"/>
    <s v="No"/>
    <x v="0"/>
    <n v="583"/>
    <x v="1"/>
    <n v="4"/>
    <n v="2"/>
    <s v="Life Sciences"/>
    <n v="1"/>
    <n v="1275"/>
    <n v="3"/>
    <x v="1"/>
    <n v="53"/>
    <n v="3"/>
    <n v="1"/>
    <s v="Research Scientist"/>
    <n v="4"/>
    <s v="Single"/>
    <n v="2875"/>
    <n v="9973"/>
    <n v="1"/>
    <s v="Y"/>
    <s v="Yes"/>
    <n v="20"/>
    <x v="1"/>
    <n v="2"/>
    <n v="80"/>
    <n v="0"/>
    <n v="8"/>
    <n v="2"/>
    <n v="2"/>
    <n v="8"/>
    <n v="5"/>
    <n v="2"/>
    <n v="2"/>
    <n v="0"/>
    <x v="2"/>
    <x v="0"/>
    <s v="0-5k"/>
    <x v="0"/>
    <x v="1"/>
    <x v="0"/>
  </r>
  <r>
    <n v="45"/>
    <s v="Yes"/>
    <x v="0"/>
    <n v="1449"/>
    <x v="0"/>
    <n v="2"/>
    <n v="3"/>
    <s v="Marketing"/>
    <n v="1"/>
    <n v="1277"/>
    <n v="1"/>
    <x v="0"/>
    <n v="94"/>
    <n v="1"/>
    <n v="5"/>
    <s v="Manager"/>
    <n v="2"/>
    <s v="Single"/>
    <n v="18824"/>
    <n v="2493"/>
    <n v="2"/>
    <s v="Y"/>
    <s v="Yes"/>
    <n v="16"/>
    <x v="0"/>
    <n v="1"/>
    <n v="80"/>
    <n v="0"/>
    <n v="26"/>
    <n v="2"/>
    <n v="3"/>
    <n v="24"/>
    <n v="10"/>
    <n v="1"/>
    <n v="11"/>
    <n v="1"/>
    <x v="0"/>
    <x v="0"/>
    <s v="15k+"/>
    <x v="1"/>
    <x v="0"/>
    <x v="1"/>
  </r>
  <r>
    <n v="55"/>
    <s v="No"/>
    <x v="2"/>
    <n v="177"/>
    <x v="1"/>
    <n v="8"/>
    <n v="1"/>
    <s v="Medical"/>
    <n v="1"/>
    <n v="1278"/>
    <n v="4"/>
    <x v="1"/>
    <n v="37"/>
    <n v="2"/>
    <n v="4"/>
    <s v="Healthcare Representative"/>
    <n v="2"/>
    <s v="Divorced"/>
    <n v="13577"/>
    <n v="25592"/>
    <n v="1"/>
    <s v="Y"/>
    <s v="Yes"/>
    <n v="15"/>
    <x v="0"/>
    <n v="4"/>
    <n v="80"/>
    <n v="1"/>
    <n v="34"/>
    <n v="3"/>
    <n v="3"/>
    <n v="33"/>
    <n v="9"/>
    <n v="15"/>
    <n v="0"/>
    <n v="0"/>
    <x v="1"/>
    <x v="0"/>
    <s v="10k-15k"/>
    <x v="3"/>
    <x v="0"/>
    <x v="1"/>
  </r>
  <r>
    <n v="21"/>
    <s v="Yes"/>
    <x v="1"/>
    <n v="251"/>
    <x v="1"/>
    <n v="10"/>
    <n v="2"/>
    <s v="Life Sciences"/>
    <n v="1"/>
    <n v="1279"/>
    <n v="1"/>
    <x v="0"/>
    <n v="45"/>
    <n v="2"/>
    <n v="1"/>
    <s v="Laboratory Technician"/>
    <n v="3"/>
    <s v="Single"/>
    <n v="2625"/>
    <n v="25308"/>
    <n v="1"/>
    <s v="Y"/>
    <s v="No"/>
    <n v="20"/>
    <x v="1"/>
    <n v="3"/>
    <n v="80"/>
    <n v="0"/>
    <n v="2"/>
    <n v="2"/>
    <n v="1"/>
    <n v="2"/>
    <n v="2"/>
    <n v="2"/>
    <n v="2"/>
    <n v="1"/>
    <x v="2"/>
    <x v="0"/>
    <s v="0-5k"/>
    <x v="0"/>
    <x v="1"/>
    <x v="2"/>
  </r>
  <r>
    <n v="46"/>
    <s v="No"/>
    <x v="0"/>
    <n v="168"/>
    <x v="0"/>
    <n v="4"/>
    <n v="2"/>
    <s v="Marketing"/>
    <n v="1"/>
    <n v="1280"/>
    <n v="4"/>
    <x v="0"/>
    <n v="33"/>
    <n v="2"/>
    <n v="5"/>
    <s v="Manager"/>
    <n v="2"/>
    <s v="Married"/>
    <n v="18789"/>
    <n v="9946"/>
    <n v="2"/>
    <s v="Y"/>
    <s v="No"/>
    <n v="14"/>
    <x v="0"/>
    <n v="3"/>
    <n v="80"/>
    <n v="1"/>
    <n v="26"/>
    <n v="2"/>
    <n v="3"/>
    <n v="11"/>
    <n v="4"/>
    <n v="0"/>
    <n v="8"/>
    <n v="0"/>
    <x v="1"/>
    <x v="0"/>
    <s v="15k+"/>
    <x v="2"/>
    <x v="0"/>
    <x v="1"/>
  </r>
  <r>
    <n v="34"/>
    <s v="No"/>
    <x v="0"/>
    <n v="131"/>
    <x v="0"/>
    <n v="2"/>
    <n v="3"/>
    <s v="Marketing"/>
    <n v="1"/>
    <n v="1281"/>
    <n v="3"/>
    <x v="0"/>
    <n v="86"/>
    <n v="3"/>
    <n v="2"/>
    <s v="Sales Executive"/>
    <n v="1"/>
    <s v="Single"/>
    <n v="4538"/>
    <n v="6039"/>
    <n v="0"/>
    <s v="Y"/>
    <s v="Yes"/>
    <n v="12"/>
    <x v="0"/>
    <n v="4"/>
    <n v="80"/>
    <n v="0"/>
    <n v="4"/>
    <n v="3"/>
    <n v="3"/>
    <n v="3"/>
    <n v="2"/>
    <n v="0"/>
    <n v="2"/>
    <n v="0"/>
    <x v="0"/>
    <x v="0"/>
    <s v="0-5k"/>
    <x v="0"/>
    <x v="0"/>
    <x v="3"/>
  </r>
  <r>
    <n v="51"/>
    <s v="No"/>
    <x v="1"/>
    <n v="237"/>
    <x v="0"/>
    <n v="9"/>
    <n v="3"/>
    <s v="Life Sciences"/>
    <n v="1"/>
    <n v="1282"/>
    <n v="4"/>
    <x v="1"/>
    <n v="83"/>
    <n v="3"/>
    <n v="5"/>
    <s v="Manager"/>
    <n v="2"/>
    <s v="Divorced"/>
    <n v="19847"/>
    <n v="19196"/>
    <n v="4"/>
    <s v="Y"/>
    <s v="Yes"/>
    <n v="24"/>
    <x v="1"/>
    <n v="1"/>
    <n v="80"/>
    <n v="1"/>
    <n v="31"/>
    <n v="5"/>
    <n v="2"/>
    <n v="29"/>
    <n v="10"/>
    <n v="11"/>
    <n v="10"/>
    <n v="0"/>
    <x v="1"/>
    <x v="0"/>
    <s v="15k+"/>
    <x v="1"/>
    <x v="1"/>
    <x v="1"/>
  </r>
  <r>
    <n v="59"/>
    <s v="No"/>
    <x v="0"/>
    <n v="1429"/>
    <x v="1"/>
    <n v="18"/>
    <n v="4"/>
    <s v="Medical"/>
    <n v="1"/>
    <n v="1283"/>
    <n v="4"/>
    <x v="1"/>
    <n v="67"/>
    <n v="3"/>
    <n v="3"/>
    <s v="Manufacturing Director"/>
    <n v="4"/>
    <s v="Single"/>
    <n v="10512"/>
    <n v="20002"/>
    <n v="6"/>
    <s v="Y"/>
    <s v="No"/>
    <n v="12"/>
    <x v="0"/>
    <n v="4"/>
    <n v="80"/>
    <n v="0"/>
    <n v="25"/>
    <n v="6"/>
    <n v="2"/>
    <n v="9"/>
    <n v="7"/>
    <n v="5"/>
    <n v="4"/>
    <n v="0"/>
    <x v="1"/>
    <x v="2"/>
    <s v="10k-15k"/>
    <x v="0"/>
    <x v="0"/>
    <x v="0"/>
  </r>
  <r>
    <n v="34"/>
    <s v="No"/>
    <x v="1"/>
    <n v="135"/>
    <x v="1"/>
    <n v="19"/>
    <n v="3"/>
    <s v="Medical"/>
    <n v="1"/>
    <n v="1285"/>
    <n v="3"/>
    <x v="0"/>
    <n v="46"/>
    <n v="3"/>
    <n v="2"/>
    <s v="Laboratory Technician"/>
    <n v="2"/>
    <s v="Divorced"/>
    <n v="4444"/>
    <n v="22534"/>
    <n v="4"/>
    <s v="Y"/>
    <s v="No"/>
    <n v="13"/>
    <x v="0"/>
    <n v="3"/>
    <n v="80"/>
    <n v="2"/>
    <n v="15"/>
    <n v="2"/>
    <n v="4"/>
    <n v="11"/>
    <n v="8"/>
    <n v="5"/>
    <n v="10"/>
    <n v="0"/>
    <x v="0"/>
    <x v="2"/>
    <s v="0-5k"/>
    <x v="2"/>
    <x v="0"/>
    <x v="1"/>
  </r>
  <r>
    <n v="28"/>
    <s v="No"/>
    <x v="1"/>
    <n v="791"/>
    <x v="1"/>
    <n v="1"/>
    <n v="4"/>
    <s v="Medical"/>
    <n v="1"/>
    <n v="1286"/>
    <n v="4"/>
    <x v="1"/>
    <n v="44"/>
    <n v="3"/>
    <n v="1"/>
    <s v="Laboratory Technician"/>
    <n v="3"/>
    <s v="Single"/>
    <n v="2154"/>
    <n v="6842"/>
    <n v="0"/>
    <s v="Y"/>
    <s v="Yes"/>
    <n v="11"/>
    <x v="0"/>
    <n v="3"/>
    <n v="80"/>
    <n v="0"/>
    <n v="5"/>
    <n v="2"/>
    <n v="2"/>
    <n v="4"/>
    <n v="2"/>
    <n v="0"/>
    <n v="2"/>
    <n v="0"/>
    <x v="2"/>
    <x v="0"/>
    <s v="0-5k"/>
    <x v="0"/>
    <x v="0"/>
    <x v="2"/>
  </r>
  <r>
    <n v="44"/>
    <s v="No"/>
    <x v="0"/>
    <n v="1199"/>
    <x v="1"/>
    <n v="4"/>
    <n v="2"/>
    <s v="Life Sciences"/>
    <n v="1"/>
    <n v="1288"/>
    <n v="3"/>
    <x v="1"/>
    <n v="92"/>
    <n v="4"/>
    <n v="5"/>
    <s v="Manager"/>
    <n v="1"/>
    <s v="Divorced"/>
    <n v="19190"/>
    <n v="17477"/>
    <n v="1"/>
    <s v="Y"/>
    <s v="No"/>
    <n v="14"/>
    <x v="0"/>
    <n v="4"/>
    <n v="80"/>
    <n v="2"/>
    <n v="26"/>
    <n v="4"/>
    <n v="2"/>
    <n v="25"/>
    <n v="9"/>
    <n v="14"/>
    <n v="13"/>
    <n v="0"/>
    <x v="0"/>
    <x v="0"/>
    <s v="15k+"/>
    <x v="1"/>
    <x v="0"/>
    <x v="3"/>
  </r>
  <r>
    <n v="34"/>
    <s v="No"/>
    <x v="1"/>
    <n v="648"/>
    <x v="2"/>
    <n v="11"/>
    <n v="3"/>
    <s v="Life Sciences"/>
    <n v="1"/>
    <n v="1289"/>
    <n v="3"/>
    <x v="1"/>
    <n v="56"/>
    <n v="2"/>
    <n v="2"/>
    <s v="Human Resources"/>
    <n v="2"/>
    <s v="Married"/>
    <n v="4490"/>
    <n v="21833"/>
    <n v="4"/>
    <s v="Y"/>
    <s v="No"/>
    <n v="11"/>
    <x v="0"/>
    <n v="4"/>
    <n v="80"/>
    <n v="2"/>
    <n v="14"/>
    <n v="5"/>
    <n v="4"/>
    <n v="10"/>
    <n v="9"/>
    <n v="1"/>
    <n v="8"/>
    <n v="0"/>
    <x v="0"/>
    <x v="2"/>
    <s v="0-5k"/>
    <x v="0"/>
    <x v="0"/>
    <x v="1"/>
  </r>
  <r>
    <n v="35"/>
    <s v="No"/>
    <x v="0"/>
    <n v="735"/>
    <x v="1"/>
    <n v="6"/>
    <n v="1"/>
    <s v="Life Sciences"/>
    <n v="1"/>
    <n v="1291"/>
    <n v="3"/>
    <x v="1"/>
    <n v="66"/>
    <n v="3"/>
    <n v="1"/>
    <s v="Research Scientist"/>
    <n v="3"/>
    <s v="Married"/>
    <n v="3506"/>
    <n v="6020"/>
    <n v="0"/>
    <s v="Y"/>
    <s v="Yes"/>
    <n v="14"/>
    <x v="0"/>
    <n v="4"/>
    <n v="80"/>
    <n v="0"/>
    <n v="4"/>
    <n v="3"/>
    <n v="3"/>
    <n v="3"/>
    <n v="2"/>
    <n v="2"/>
    <n v="2"/>
    <n v="0"/>
    <x v="0"/>
    <x v="0"/>
    <s v="0-5k"/>
    <x v="0"/>
    <x v="0"/>
    <x v="2"/>
  </r>
  <r>
    <n v="42"/>
    <s v="No"/>
    <x v="0"/>
    <n v="603"/>
    <x v="1"/>
    <n v="7"/>
    <n v="4"/>
    <s v="Medical"/>
    <n v="1"/>
    <n v="1292"/>
    <n v="2"/>
    <x v="0"/>
    <n v="78"/>
    <n v="4"/>
    <n v="2"/>
    <s v="Research Scientist"/>
    <n v="2"/>
    <s v="Married"/>
    <n v="2372"/>
    <n v="5628"/>
    <n v="6"/>
    <s v="Y"/>
    <s v="Yes"/>
    <n v="16"/>
    <x v="0"/>
    <n v="4"/>
    <n v="80"/>
    <n v="0"/>
    <n v="18"/>
    <n v="2"/>
    <n v="3"/>
    <n v="1"/>
    <n v="0"/>
    <n v="0"/>
    <n v="0"/>
    <n v="0"/>
    <x v="0"/>
    <x v="0"/>
    <s v="0-5k"/>
    <x v="0"/>
    <x v="0"/>
    <x v="1"/>
  </r>
  <r>
    <n v="43"/>
    <s v="No"/>
    <x v="0"/>
    <n v="531"/>
    <x v="0"/>
    <n v="4"/>
    <n v="4"/>
    <s v="Marketing"/>
    <n v="1"/>
    <n v="1293"/>
    <n v="4"/>
    <x v="0"/>
    <n v="56"/>
    <n v="2"/>
    <n v="3"/>
    <s v="Sales Executive"/>
    <n v="4"/>
    <s v="Single"/>
    <n v="10231"/>
    <n v="20364"/>
    <n v="3"/>
    <s v="Y"/>
    <s v="No"/>
    <n v="14"/>
    <x v="0"/>
    <n v="4"/>
    <n v="80"/>
    <n v="0"/>
    <n v="23"/>
    <n v="3"/>
    <n v="4"/>
    <n v="21"/>
    <n v="7"/>
    <n v="15"/>
    <n v="17"/>
    <n v="0"/>
    <x v="0"/>
    <x v="0"/>
    <s v="10k-15k"/>
    <x v="1"/>
    <x v="0"/>
    <x v="0"/>
  </r>
  <r>
    <n v="36"/>
    <s v="No"/>
    <x v="0"/>
    <n v="429"/>
    <x v="1"/>
    <n v="2"/>
    <n v="4"/>
    <s v="Life Sciences"/>
    <n v="1"/>
    <n v="1294"/>
    <n v="3"/>
    <x v="0"/>
    <n v="53"/>
    <n v="3"/>
    <n v="2"/>
    <s v="Manufacturing Director"/>
    <n v="2"/>
    <s v="Single"/>
    <n v="5410"/>
    <n v="2323"/>
    <n v="9"/>
    <s v="Y"/>
    <s v="Yes"/>
    <n v="11"/>
    <x v="0"/>
    <n v="4"/>
    <n v="80"/>
    <n v="0"/>
    <n v="18"/>
    <n v="2"/>
    <n v="3"/>
    <n v="16"/>
    <n v="14"/>
    <n v="5"/>
    <n v="12"/>
    <n v="0"/>
    <x v="0"/>
    <x v="0"/>
    <s v="5k-10k"/>
    <x v="2"/>
    <x v="0"/>
    <x v="1"/>
  </r>
  <r>
    <n v="44"/>
    <s v="Yes"/>
    <x v="0"/>
    <n v="621"/>
    <x v="1"/>
    <n v="15"/>
    <n v="3"/>
    <s v="Medical"/>
    <n v="1"/>
    <n v="1295"/>
    <n v="1"/>
    <x v="0"/>
    <n v="73"/>
    <n v="3"/>
    <n v="3"/>
    <s v="Healthcare Representative"/>
    <n v="4"/>
    <s v="Married"/>
    <n v="7978"/>
    <n v="14075"/>
    <n v="1"/>
    <s v="Y"/>
    <s v="No"/>
    <n v="11"/>
    <x v="0"/>
    <n v="4"/>
    <n v="80"/>
    <n v="1"/>
    <n v="10"/>
    <n v="2"/>
    <n v="3"/>
    <n v="10"/>
    <n v="7"/>
    <n v="0"/>
    <n v="5"/>
    <n v="1"/>
    <x v="0"/>
    <x v="2"/>
    <s v="5k-10k"/>
    <x v="0"/>
    <x v="0"/>
    <x v="0"/>
  </r>
  <r>
    <n v="28"/>
    <s v="No"/>
    <x v="1"/>
    <n v="193"/>
    <x v="1"/>
    <n v="2"/>
    <n v="3"/>
    <s v="Life Sciences"/>
    <n v="1"/>
    <n v="1296"/>
    <n v="4"/>
    <x v="1"/>
    <n v="52"/>
    <n v="2"/>
    <n v="1"/>
    <s v="Laboratory Technician"/>
    <n v="4"/>
    <s v="Married"/>
    <n v="3867"/>
    <n v="14222"/>
    <n v="1"/>
    <s v="Y"/>
    <s v="Yes"/>
    <n v="12"/>
    <x v="0"/>
    <n v="2"/>
    <n v="80"/>
    <n v="1"/>
    <n v="2"/>
    <n v="2"/>
    <n v="3"/>
    <n v="2"/>
    <n v="2"/>
    <n v="2"/>
    <n v="2"/>
    <n v="0"/>
    <x v="2"/>
    <x v="0"/>
    <s v="0-5k"/>
    <x v="0"/>
    <x v="0"/>
    <x v="0"/>
  </r>
  <r>
    <n v="51"/>
    <s v="No"/>
    <x v="1"/>
    <n v="968"/>
    <x v="1"/>
    <n v="6"/>
    <n v="2"/>
    <s v="Medical"/>
    <n v="1"/>
    <n v="1297"/>
    <n v="2"/>
    <x v="0"/>
    <n v="40"/>
    <n v="2"/>
    <n v="1"/>
    <s v="Laboratory Technician"/>
    <n v="3"/>
    <s v="Single"/>
    <n v="2838"/>
    <n v="4257"/>
    <n v="0"/>
    <s v="Y"/>
    <s v="No"/>
    <n v="14"/>
    <x v="0"/>
    <n v="2"/>
    <n v="80"/>
    <n v="0"/>
    <n v="8"/>
    <n v="6"/>
    <n v="2"/>
    <n v="7"/>
    <n v="0"/>
    <n v="7"/>
    <n v="7"/>
    <n v="0"/>
    <x v="1"/>
    <x v="0"/>
    <s v="0-5k"/>
    <x v="0"/>
    <x v="0"/>
    <x v="2"/>
  </r>
  <r>
    <n v="30"/>
    <s v="No"/>
    <x v="2"/>
    <n v="879"/>
    <x v="1"/>
    <n v="9"/>
    <n v="2"/>
    <s v="Medical"/>
    <n v="1"/>
    <n v="1298"/>
    <n v="3"/>
    <x v="0"/>
    <n v="72"/>
    <n v="3"/>
    <n v="2"/>
    <s v="Manufacturing Director"/>
    <n v="3"/>
    <s v="Single"/>
    <n v="4695"/>
    <n v="12858"/>
    <n v="7"/>
    <s v="Y"/>
    <s v="Yes"/>
    <n v="18"/>
    <x v="0"/>
    <n v="3"/>
    <n v="80"/>
    <n v="0"/>
    <n v="10"/>
    <n v="3"/>
    <n v="3"/>
    <n v="8"/>
    <n v="4"/>
    <n v="1"/>
    <n v="7"/>
    <n v="0"/>
    <x v="2"/>
    <x v="0"/>
    <s v="0-5k"/>
    <x v="0"/>
    <x v="0"/>
    <x v="2"/>
  </r>
  <r>
    <n v="29"/>
    <s v="Yes"/>
    <x v="0"/>
    <n v="806"/>
    <x v="1"/>
    <n v="7"/>
    <n v="3"/>
    <s v="Technical Degree"/>
    <n v="1"/>
    <n v="1299"/>
    <n v="2"/>
    <x v="0"/>
    <n v="39"/>
    <n v="3"/>
    <n v="1"/>
    <s v="Laboratory Technician"/>
    <n v="3"/>
    <s v="Divorced"/>
    <n v="3339"/>
    <n v="17285"/>
    <n v="3"/>
    <s v="Y"/>
    <s v="Yes"/>
    <n v="13"/>
    <x v="0"/>
    <n v="1"/>
    <n v="80"/>
    <n v="2"/>
    <n v="10"/>
    <n v="2"/>
    <n v="3"/>
    <n v="7"/>
    <n v="7"/>
    <n v="7"/>
    <n v="7"/>
    <n v="1"/>
    <x v="2"/>
    <x v="0"/>
    <s v="0-5k"/>
    <x v="0"/>
    <x v="0"/>
    <x v="2"/>
  </r>
  <r>
    <n v="28"/>
    <s v="No"/>
    <x v="0"/>
    <n v="640"/>
    <x v="1"/>
    <n v="1"/>
    <n v="3"/>
    <s v="Technical Degree"/>
    <n v="1"/>
    <n v="1301"/>
    <n v="4"/>
    <x v="1"/>
    <n v="84"/>
    <n v="3"/>
    <n v="1"/>
    <s v="Research Scientist"/>
    <n v="1"/>
    <s v="Single"/>
    <n v="2080"/>
    <n v="4732"/>
    <n v="2"/>
    <s v="Y"/>
    <s v="No"/>
    <n v="11"/>
    <x v="0"/>
    <n v="2"/>
    <n v="80"/>
    <n v="0"/>
    <n v="5"/>
    <n v="2"/>
    <n v="2"/>
    <n v="3"/>
    <n v="2"/>
    <n v="1"/>
    <n v="2"/>
    <n v="0"/>
    <x v="2"/>
    <x v="0"/>
    <s v="0-5k"/>
    <x v="0"/>
    <x v="0"/>
    <x v="3"/>
  </r>
  <r>
    <n v="25"/>
    <s v="No"/>
    <x v="0"/>
    <n v="266"/>
    <x v="1"/>
    <n v="1"/>
    <n v="3"/>
    <s v="Medical"/>
    <n v="1"/>
    <n v="1303"/>
    <n v="4"/>
    <x v="0"/>
    <n v="40"/>
    <n v="3"/>
    <n v="1"/>
    <s v="Research Scientist"/>
    <n v="2"/>
    <s v="Single"/>
    <n v="2096"/>
    <n v="18830"/>
    <n v="1"/>
    <s v="Y"/>
    <s v="No"/>
    <n v="18"/>
    <x v="0"/>
    <n v="4"/>
    <n v="80"/>
    <n v="0"/>
    <n v="2"/>
    <n v="3"/>
    <n v="2"/>
    <n v="2"/>
    <n v="2"/>
    <n v="2"/>
    <n v="1"/>
    <n v="0"/>
    <x v="2"/>
    <x v="0"/>
    <s v="0-5k"/>
    <x v="0"/>
    <x v="0"/>
    <x v="1"/>
  </r>
  <r>
    <n v="32"/>
    <s v="No"/>
    <x v="0"/>
    <n v="604"/>
    <x v="0"/>
    <n v="8"/>
    <n v="3"/>
    <s v="Medical"/>
    <n v="1"/>
    <n v="1304"/>
    <n v="3"/>
    <x v="1"/>
    <n v="56"/>
    <n v="4"/>
    <n v="2"/>
    <s v="Sales Executive"/>
    <n v="4"/>
    <s v="Married"/>
    <n v="6209"/>
    <n v="11693"/>
    <n v="1"/>
    <s v="Y"/>
    <s v="No"/>
    <n v="15"/>
    <x v="0"/>
    <n v="3"/>
    <n v="80"/>
    <n v="2"/>
    <n v="10"/>
    <n v="4"/>
    <n v="4"/>
    <n v="10"/>
    <n v="7"/>
    <n v="0"/>
    <n v="8"/>
    <n v="0"/>
    <x v="0"/>
    <x v="0"/>
    <s v="5k-10k"/>
    <x v="0"/>
    <x v="0"/>
    <x v="0"/>
  </r>
  <r>
    <n v="45"/>
    <s v="No"/>
    <x v="1"/>
    <n v="364"/>
    <x v="1"/>
    <n v="25"/>
    <n v="3"/>
    <s v="Medical"/>
    <n v="1"/>
    <n v="1306"/>
    <n v="2"/>
    <x v="0"/>
    <n v="83"/>
    <n v="3"/>
    <n v="5"/>
    <s v="Manager"/>
    <n v="2"/>
    <s v="Single"/>
    <n v="18061"/>
    <n v="13035"/>
    <n v="3"/>
    <s v="Y"/>
    <s v="No"/>
    <n v="22"/>
    <x v="1"/>
    <n v="3"/>
    <n v="80"/>
    <n v="0"/>
    <n v="22"/>
    <n v="4"/>
    <n v="3"/>
    <n v="0"/>
    <n v="0"/>
    <n v="0"/>
    <n v="0"/>
    <n v="0"/>
    <x v="0"/>
    <x v="1"/>
    <s v="15k+"/>
    <x v="0"/>
    <x v="1"/>
    <x v="1"/>
  </r>
  <r>
    <n v="39"/>
    <s v="No"/>
    <x v="0"/>
    <n v="412"/>
    <x v="1"/>
    <n v="13"/>
    <n v="4"/>
    <s v="Medical"/>
    <n v="1"/>
    <n v="1307"/>
    <n v="3"/>
    <x v="0"/>
    <n v="94"/>
    <n v="2"/>
    <n v="4"/>
    <s v="Manager"/>
    <n v="2"/>
    <s v="Divorced"/>
    <n v="17123"/>
    <n v="17334"/>
    <n v="6"/>
    <s v="Y"/>
    <s v="Yes"/>
    <n v="13"/>
    <x v="0"/>
    <n v="4"/>
    <n v="80"/>
    <n v="2"/>
    <n v="21"/>
    <n v="4"/>
    <n v="3"/>
    <n v="19"/>
    <n v="9"/>
    <n v="15"/>
    <n v="2"/>
    <n v="0"/>
    <x v="0"/>
    <x v="2"/>
    <s v="15k+"/>
    <x v="2"/>
    <x v="0"/>
    <x v="1"/>
  </r>
  <r>
    <n v="58"/>
    <s v="No"/>
    <x v="0"/>
    <n v="848"/>
    <x v="1"/>
    <n v="23"/>
    <n v="4"/>
    <s v="Life Sciences"/>
    <n v="1"/>
    <n v="1308"/>
    <n v="1"/>
    <x v="1"/>
    <n v="88"/>
    <n v="3"/>
    <n v="1"/>
    <s v="Research Scientist"/>
    <n v="3"/>
    <s v="Divorced"/>
    <n v="2372"/>
    <n v="26076"/>
    <n v="1"/>
    <s v="Y"/>
    <s v="No"/>
    <n v="12"/>
    <x v="0"/>
    <n v="4"/>
    <n v="80"/>
    <n v="2"/>
    <n v="2"/>
    <n v="3"/>
    <n v="3"/>
    <n v="2"/>
    <n v="2"/>
    <n v="2"/>
    <n v="2"/>
    <n v="0"/>
    <x v="1"/>
    <x v="1"/>
    <s v="0-5k"/>
    <x v="0"/>
    <x v="0"/>
    <x v="2"/>
  </r>
  <r>
    <n v="32"/>
    <s v="Yes"/>
    <x v="0"/>
    <n v="1089"/>
    <x v="1"/>
    <n v="7"/>
    <n v="2"/>
    <s v="Life Sciences"/>
    <n v="1"/>
    <n v="1309"/>
    <n v="4"/>
    <x v="1"/>
    <n v="79"/>
    <n v="3"/>
    <n v="2"/>
    <s v="Laboratory Technician"/>
    <n v="3"/>
    <s v="Married"/>
    <n v="4883"/>
    <n v="22845"/>
    <n v="1"/>
    <s v="Y"/>
    <s v="No"/>
    <n v="18"/>
    <x v="0"/>
    <n v="1"/>
    <n v="80"/>
    <n v="1"/>
    <n v="10"/>
    <n v="3"/>
    <n v="3"/>
    <n v="10"/>
    <n v="4"/>
    <n v="1"/>
    <n v="1"/>
    <n v="1"/>
    <x v="0"/>
    <x v="0"/>
    <s v="0-5k"/>
    <x v="0"/>
    <x v="0"/>
    <x v="2"/>
  </r>
  <r>
    <n v="39"/>
    <s v="Yes"/>
    <x v="0"/>
    <n v="360"/>
    <x v="1"/>
    <n v="23"/>
    <n v="3"/>
    <s v="Medical"/>
    <n v="1"/>
    <n v="1310"/>
    <n v="3"/>
    <x v="1"/>
    <n v="93"/>
    <n v="3"/>
    <n v="1"/>
    <s v="Research Scientist"/>
    <n v="1"/>
    <s v="Single"/>
    <n v="3904"/>
    <n v="22154"/>
    <n v="0"/>
    <s v="Y"/>
    <s v="No"/>
    <n v="13"/>
    <x v="0"/>
    <n v="1"/>
    <n v="80"/>
    <n v="0"/>
    <n v="6"/>
    <n v="2"/>
    <n v="3"/>
    <n v="5"/>
    <n v="2"/>
    <n v="0"/>
    <n v="3"/>
    <n v="1"/>
    <x v="0"/>
    <x v="1"/>
    <s v="0-5k"/>
    <x v="0"/>
    <x v="0"/>
    <x v="3"/>
  </r>
  <r>
    <n v="30"/>
    <s v="No"/>
    <x v="0"/>
    <n v="1138"/>
    <x v="1"/>
    <n v="6"/>
    <n v="3"/>
    <s v="Technical Degree"/>
    <n v="1"/>
    <n v="1311"/>
    <n v="1"/>
    <x v="0"/>
    <n v="48"/>
    <n v="2"/>
    <n v="2"/>
    <s v="Laboratory Technician"/>
    <n v="4"/>
    <s v="Married"/>
    <n v="4627"/>
    <n v="23631"/>
    <n v="0"/>
    <s v="Y"/>
    <s v="No"/>
    <n v="12"/>
    <x v="0"/>
    <n v="1"/>
    <n v="80"/>
    <n v="1"/>
    <n v="10"/>
    <n v="6"/>
    <n v="3"/>
    <n v="9"/>
    <n v="2"/>
    <n v="6"/>
    <n v="7"/>
    <n v="0"/>
    <x v="2"/>
    <x v="0"/>
    <s v="0-5k"/>
    <x v="0"/>
    <x v="0"/>
    <x v="0"/>
  </r>
  <r>
    <n v="36"/>
    <s v="No"/>
    <x v="0"/>
    <n v="325"/>
    <x v="1"/>
    <n v="10"/>
    <n v="4"/>
    <s v="Technical Degree"/>
    <n v="1"/>
    <n v="1312"/>
    <n v="4"/>
    <x v="0"/>
    <n v="63"/>
    <n v="3"/>
    <n v="3"/>
    <s v="Healthcare Representative"/>
    <n v="3"/>
    <s v="Married"/>
    <n v="7094"/>
    <n v="5747"/>
    <n v="3"/>
    <s v="Y"/>
    <s v="No"/>
    <n v="12"/>
    <x v="0"/>
    <n v="1"/>
    <n v="80"/>
    <n v="0"/>
    <n v="10"/>
    <n v="0"/>
    <n v="3"/>
    <n v="7"/>
    <n v="7"/>
    <n v="1"/>
    <n v="7"/>
    <n v="0"/>
    <x v="0"/>
    <x v="0"/>
    <s v="5k-10k"/>
    <x v="0"/>
    <x v="0"/>
    <x v="2"/>
  </r>
  <r>
    <n v="46"/>
    <s v="No"/>
    <x v="0"/>
    <n v="991"/>
    <x v="2"/>
    <n v="1"/>
    <n v="2"/>
    <s v="Life Sciences"/>
    <n v="1"/>
    <n v="1314"/>
    <n v="4"/>
    <x v="0"/>
    <n v="44"/>
    <n v="3"/>
    <n v="1"/>
    <s v="Human Resources"/>
    <n v="1"/>
    <s v="Single"/>
    <n v="3423"/>
    <n v="22957"/>
    <n v="6"/>
    <s v="Y"/>
    <s v="No"/>
    <n v="12"/>
    <x v="0"/>
    <n v="3"/>
    <n v="80"/>
    <n v="0"/>
    <n v="10"/>
    <n v="3"/>
    <n v="4"/>
    <n v="7"/>
    <n v="6"/>
    <n v="5"/>
    <n v="7"/>
    <n v="0"/>
    <x v="1"/>
    <x v="0"/>
    <s v="0-5k"/>
    <x v="0"/>
    <x v="0"/>
    <x v="3"/>
  </r>
  <r>
    <n v="28"/>
    <s v="No"/>
    <x v="2"/>
    <n v="1476"/>
    <x v="1"/>
    <n v="1"/>
    <n v="3"/>
    <s v="Life Sciences"/>
    <n v="1"/>
    <n v="1315"/>
    <n v="3"/>
    <x v="0"/>
    <n v="55"/>
    <n v="1"/>
    <n v="2"/>
    <s v="Laboratory Technician"/>
    <n v="4"/>
    <s v="Married"/>
    <n v="6674"/>
    <n v="16392"/>
    <n v="0"/>
    <s v="Y"/>
    <s v="No"/>
    <n v="11"/>
    <x v="0"/>
    <n v="1"/>
    <n v="80"/>
    <n v="3"/>
    <n v="10"/>
    <n v="6"/>
    <n v="3"/>
    <n v="9"/>
    <n v="8"/>
    <n v="7"/>
    <n v="5"/>
    <n v="0"/>
    <x v="2"/>
    <x v="0"/>
    <s v="5k-10k"/>
    <x v="0"/>
    <x v="0"/>
    <x v="0"/>
  </r>
  <r>
    <n v="50"/>
    <s v="No"/>
    <x v="0"/>
    <n v="1322"/>
    <x v="1"/>
    <n v="28"/>
    <n v="3"/>
    <s v="Life Sciences"/>
    <n v="1"/>
    <n v="1317"/>
    <n v="4"/>
    <x v="0"/>
    <n v="43"/>
    <n v="3"/>
    <n v="4"/>
    <s v="Research Director"/>
    <n v="1"/>
    <s v="Married"/>
    <n v="16880"/>
    <n v="22422"/>
    <n v="4"/>
    <s v="Y"/>
    <s v="Yes"/>
    <n v="11"/>
    <x v="0"/>
    <n v="2"/>
    <n v="80"/>
    <n v="0"/>
    <n v="25"/>
    <n v="2"/>
    <n v="3"/>
    <n v="3"/>
    <n v="2"/>
    <n v="1"/>
    <n v="2"/>
    <n v="0"/>
    <x v="1"/>
    <x v="1"/>
    <s v="15k+"/>
    <x v="0"/>
    <x v="0"/>
    <x v="3"/>
  </r>
  <r>
    <n v="40"/>
    <s v="Yes"/>
    <x v="0"/>
    <n v="299"/>
    <x v="0"/>
    <n v="25"/>
    <n v="4"/>
    <s v="Marketing"/>
    <n v="1"/>
    <n v="1318"/>
    <n v="4"/>
    <x v="1"/>
    <n v="57"/>
    <n v="2"/>
    <n v="3"/>
    <s v="Sales Executive"/>
    <n v="2"/>
    <s v="Single"/>
    <n v="9094"/>
    <n v="17235"/>
    <n v="2"/>
    <s v="Y"/>
    <s v="Yes"/>
    <n v="12"/>
    <x v="0"/>
    <n v="3"/>
    <n v="80"/>
    <n v="0"/>
    <n v="9"/>
    <n v="2"/>
    <n v="3"/>
    <n v="5"/>
    <n v="4"/>
    <n v="1"/>
    <n v="0"/>
    <n v="1"/>
    <x v="0"/>
    <x v="1"/>
    <s v="5k-10k"/>
    <x v="0"/>
    <x v="0"/>
    <x v="1"/>
  </r>
  <r>
    <n v="52"/>
    <s v="Yes"/>
    <x v="0"/>
    <n v="1030"/>
    <x v="0"/>
    <n v="5"/>
    <n v="3"/>
    <s v="Life Sciences"/>
    <n v="1"/>
    <n v="1319"/>
    <n v="2"/>
    <x v="1"/>
    <n v="64"/>
    <n v="3"/>
    <n v="3"/>
    <s v="Sales Executive"/>
    <n v="2"/>
    <s v="Single"/>
    <n v="8446"/>
    <n v="21534"/>
    <n v="9"/>
    <s v="Y"/>
    <s v="Yes"/>
    <n v="19"/>
    <x v="0"/>
    <n v="3"/>
    <n v="80"/>
    <n v="0"/>
    <n v="10"/>
    <n v="2"/>
    <n v="2"/>
    <n v="8"/>
    <n v="7"/>
    <n v="7"/>
    <n v="7"/>
    <n v="1"/>
    <x v="1"/>
    <x v="0"/>
    <s v="5k-10k"/>
    <x v="0"/>
    <x v="0"/>
    <x v="1"/>
  </r>
  <r>
    <n v="30"/>
    <s v="No"/>
    <x v="0"/>
    <n v="634"/>
    <x v="1"/>
    <n v="17"/>
    <n v="4"/>
    <s v="Medical"/>
    <n v="1"/>
    <n v="1321"/>
    <n v="2"/>
    <x v="0"/>
    <n v="95"/>
    <n v="3"/>
    <n v="3"/>
    <s v="Manager"/>
    <n v="1"/>
    <s v="Married"/>
    <n v="11916"/>
    <n v="25927"/>
    <n v="1"/>
    <s v="Y"/>
    <s v="Yes"/>
    <n v="23"/>
    <x v="1"/>
    <n v="4"/>
    <n v="80"/>
    <n v="2"/>
    <n v="9"/>
    <n v="2"/>
    <n v="3"/>
    <n v="9"/>
    <n v="1"/>
    <n v="0"/>
    <n v="8"/>
    <n v="0"/>
    <x v="2"/>
    <x v="2"/>
    <s v="10k-15k"/>
    <x v="0"/>
    <x v="1"/>
    <x v="3"/>
  </r>
  <r>
    <n v="39"/>
    <s v="No"/>
    <x v="0"/>
    <n v="524"/>
    <x v="1"/>
    <n v="18"/>
    <n v="2"/>
    <s v="Life Sciences"/>
    <n v="1"/>
    <n v="1322"/>
    <n v="1"/>
    <x v="1"/>
    <n v="32"/>
    <n v="3"/>
    <n v="2"/>
    <s v="Manufacturing Director"/>
    <n v="3"/>
    <s v="Single"/>
    <n v="4534"/>
    <n v="13352"/>
    <n v="0"/>
    <s v="Y"/>
    <s v="No"/>
    <n v="11"/>
    <x v="0"/>
    <n v="1"/>
    <n v="80"/>
    <n v="0"/>
    <n v="9"/>
    <n v="6"/>
    <n v="3"/>
    <n v="8"/>
    <n v="7"/>
    <n v="1"/>
    <n v="7"/>
    <n v="0"/>
    <x v="0"/>
    <x v="2"/>
    <s v="0-5k"/>
    <x v="0"/>
    <x v="0"/>
    <x v="2"/>
  </r>
  <r>
    <n v="31"/>
    <s v="No"/>
    <x v="2"/>
    <n v="587"/>
    <x v="0"/>
    <n v="2"/>
    <n v="4"/>
    <s v="Life Sciences"/>
    <n v="1"/>
    <n v="1324"/>
    <n v="4"/>
    <x v="0"/>
    <n v="57"/>
    <n v="3"/>
    <n v="3"/>
    <s v="Sales Executive"/>
    <n v="3"/>
    <s v="Divorced"/>
    <n v="9852"/>
    <n v="8935"/>
    <n v="1"/>
    <s v="Y"/>
    <s v="Yes"/>
    <n v="19"/>
    <x v="0"/>
    <n v="1"/>
    <n v="80"/>
    <n v="1"/>
    <n v="10"/>
    <n v="5"/>
    <n v="2"/>
    <n v="10"/>
    <n v="8"/>
    <n v="9"/>
    <n v="6"/>
    <n v="0"/>
    <x v="0"/>
    <x v="0"/>
    <s v="5k-10k"/>
    <x v="0"/>
    <x v="0"/>
    <x v="2"/>
  </r>
  <r>
    <n v="41"/>
    <s v="No"/>
    <x v="2"/>
    <n v="256"/>
    <x v="0"/>
    <n v="10"/>
    <n v="2"/>
    <s v="Medical"/>
    <n v="1"/>
    <n v="1329"/>
    <n v="3"/>
    <x v="1"/>
    <n v="40"/>
    <n v="1"/>
    <n v="2"/>
    <s v="Sales Executive"/>
    <n v="2"/>
    <s v="Single"/>
    <n v="6151"/>
    <n v="22074"/>
    <n v="1"/>
    <s v="Y"/>
    <s v="No"/>
    <n v="13"/>
    <x v="0"/>
    <n v="1"/>
    <n v="80"/>
    <n v="0"/>
    <n v="19"/>
    <n v="4"/>
    <n v="3"/>
    <n v="19"/>
    <n v="2"/>
    <n v="11"/>
    <n v="9"/>
    <n v="0"/>
    <x v="0"/>
    <x v="0"/>
    <s v="5k-10k"/>
    <x v="2"/>
    <x v="0"/>
    <x v="1"/>
  </r>
  <r>
    <n v="31"/>
    <s v="Yes"/>
    <x v="1"/>
    <n v="1060"/>
    <x v="0"/>
    <n v="1"/>
    <n v="3"/>
    <s v="Life Sciences"/>
    <n v="1"/>
    <n v="1331"/>
    <n v="4"/>
    <x v="0"/>
    <n v="54"/>
    <n v="3"/>
    <n v="1"/>
    <s v="Sales Representative"/>
    <n v="2"/>
    <s v="Single"/>
    <n v="2302"/>
    <n v="8319"/>
    <n v="1"/>
    <s v="Y"/>
    <s v="Yes"/>
    <n v="11"/>
    <x v="0"/>
    <n v="1"/>
    <n v="80"/>
    <n v="0"/>
    <n v="3"/>
    <n v="2"/>
    <n v="4"/>
    <n v="3"/>
    <n v="2"/>
    <n v="2"/>
    <n v="2"/>
    <n v="1"/>
    <x v="0"/>
    <x v="0"/>
    <s v="0-5k"/>
    <x v="0"/>
    <x v="0"/>
    <x v="1"/>
  </r>
  <r>
    <n v="44"/>
    <s v="Yes"/>
    <x v="0"/>
    <n v="935"/>
    <x v="1"/>
    <n v="3"/>
    <n v="3"/>
    <s v="Life Sciences"/>
    <n v="1"/>
    <n v="1333"/>
    <n v="1"/>
    <x v="1"/>
    <n v="89"/>
    <n v="3"/>
    <n v="1"/>
    <s v="Laboratory Technician"/>
    <n v="1"/>
    <s v="Married"/>
    <n v="2362"/>
    <n v="14669"/>
    <n v="4"/>
    <s v="Y"/>
    <s v="No"/>
    <n v="12"/>
    <x v="0"/>
    <n v="3"/>
    <n v="80"/>
    <n v="0"/>
    <n v="10"/>
    <n v="4"/>
    <n v="4"/>
    <n v="3"/>
    <n v="2"/>
    <n v="1"/>
    <n v="2"/>
    <n v="1"/>
    <x v="0"/>
    <x v="0"/>
    <s v="0-5k"/>
    <x v="0"/>
    <x v="0"/>
    <x v="3"/>
  </r>
  <r>
    <n v="42"/>
    <s v="No"/>
    <x v="2"/>
    <n v="495"/>
    <x v="1"/>
    <n v="2"/>
    <n v="1"/>
    <s v="Life Sciences"/>
    <n v="1"/>
    <n v="1334"/>
    <n v="3"/>
    <x v="1"/>
    <n v="37"/>
    <n v="3"/>
    <n v="4"/>
    <s v="Manager"/>
    <n v="3"/>
    <s v="Married"/>
    <n v="17861"/>
    <n v="26582"/>
    <n v="0"/>
    <s v="Y"/>
    <s v="Yes"/>
    <n v="13"/>
    <x v="0"/>
    <n v="4"/>
    <n v="80"/>
    <n v="0"/>
    <n v="21"/>
    <n v="3"/>
    <n v="2"/>
    <n v="20"/>
    <n v="8"/>
    <n v="2"/>
    <n v="10"/>
    <n v="0"/>
    <x v="0"/>
    <x v="0"/>
    <s v="15k+"/>
    <x v="2"/>
    <x v="0"/>
    <x v="2"/>
  </r>
  <r>
    <n v="55"/>
    <s v="No"/>
    <x v="0"/>
    <n v="282"/>
    <x v="1"/>
    <n v="2"/>
    <n v="2"/>
    <s v="Medical"/>
    <n v="1"/>
    <n v="1336"/>
    <n v="4"/>
    <x v="0"/>
    <n v="58"/>
    <n v="1"/>
    <n v="5"/>
    <s v="Manager"/>
    <n v="3"/>
    <s v="Married"/>
    <n v="19187"/>
    <n v="6992"/>
    <n v="4"/>
    <s v="Y"/>
    <s v="No"/>
    <n v="14"/>
    <x v="0"/>
    <n v="4"/>
    <n v="80"/>
    <n v="1"/>
    <n v="23"/>
    <n v="5"/>
    <n v="3"/>
    <n v="19"/>
    <n v="9"/>
    <n v="9"/>
    <n v="11"/>
    <n v="0"/>
    <x v="1"/>
    <x v="0"/>
    <s v="15k+"/>
    <x v="2"/>
    <x v="0"/>
    <x v="2"/>
  </r>
  <r>
    <n v="56"/>
    <s v="No"/>
    <x v="0"/>
    <n v="206"/>
    <x v="2"/>
    <n v="8"/>
    <n v="4"/>
    <s v="Life Sciences"/>
    <n v="1"/>
    <n v="1338"/>
    <n v="4"/>
    <x v="1"/>
    <n v="99"/>
    <n v="3"/>
    <n v="5"/>
    <s v="Manager"/>
    <n v="2"/>
    <s v="Single"/>
    <n v="19717"/>
    <n v="4022"/>
    <n v="6"/>
    <s v="Y"/>
    <s v="No"/>
    <n v="14"/>
    <x v="0"/>
    <n v="1"/>
    <n v="80"/>
    <n v="0"/>
    <n v="36"/>
    <n v="4"/>
    <n v="3"/>
    <n v="7"/>
    <n v="3"/>
    <n v="7"/>
    <n v="7"/>
    <n v="0"/>
    <x v="1"/>
    <x v="0"/>
    <s v="15k+"/>
    <x v="0"/>
    <x v="0"/>
    <x v="1"/>
  </r>
  <r>
    <n v="40"/>
    <s v="No"/>
    <x v="2"/>
    <n v="458"/>
    <x v="1"/>
    <n v="16"/>
    <n v="2"/>
    <s v="Life Sciences"/>
    <n v="1"/>
    <n v="1340"/>
    <n v="3"/>
    <x v="1"/>
    <n v="74"/>
    <n v="3"/>
    <n v="1"/>
    <s v="Research Scientist"/>
    <n v="3"/>
    <s v="Divorced"/>
    <n v="3544"/>
    <n v="8532"/>
    <n v="9"/>
    <s v="Y"/>
    <s v="No"/>
    <n v="16"/>
    <x v="0"/>
    <n v="2"/>
    <n v="80"/>
    <n v="1"/>
    <n v="6"/>
    <n v="0"/>
    <n v="3"/>
    <n v="4"/>
    <n v="2"/>
    <n v="0"/>
    <n v="0"/>
    <n v="0"/>
    <x v="0"/>
    <x v="2"/>
    <s v="0-5k"/>
    <x v="0"/>
    <x v="0"/>
    <x v="2"/>
  </r>
  <r>
    <n v="34"/>
    <s v="No"/>
    <x v="0"/>
    <n v="943"/>
    <x v="1"/>
    <n v="9"/>
    <n v="3"/>
    <s v="Life Sciences"/>
    <n v="1"/>
    <n v="1344"/>
    <n v="4"/>
    <x v="1"/>
    <n v="86"/>
    <n v="3"/>
    <n v="3"/>
    <s v="Healthcare Representative"/>
    <n v="4"/>
    <s v="Divorced"/>
    <n v="8500"/>
    <n v="5494"/>
    <n v="0"/>
    <s v="Y"/>
    <s v="No"/>
    <n v="11"/>
    <x v="0"/>
    <n v="4"/>
    <n v="80"/>
    <n v="1"/>
    <n v="10"/>
    <n v="0"/>
    <n v="2"/>
    <n v="9"/>
    <n v="7"/>
    <n v="1"/>
    <n v="6"/>
    <n v="0"/>
    <x v="0"/>
    <x v="0"/>
    <s v="5k-10k"/>
    <x v="0"/>
    <x v="0"/>
    <x v="0"/>
  </r>
  <r>
    <n v="40"/>
    <s v="No"/>
    <x v="0"/>
    <n v="523"/>
    <x v="1"/>
    <n v="2"/>
    <n v="3"/>
    <s v="Life Sciences"/>
    <n v="1"/>
    <n v="1346"/>
    <n v="3"/>
    <x v="1"/>
    <n v="98"/>
    <n v="3"/>
    <n v="2"/>
    <s v="Research Scientist"/>
    <n v="4"/>
    <s v="Single"/>
    <n v="4661"/>
    <n v="22455"/>
    <n v="1"/>
    <s v="Y"/>
    <s v="No"/>
    <n v="13"/>
    <x v="0"/>
    <n v="3"/>
    <n v="80"/>
    <n v="0"/>
    <n v="9"/>
    <n v="4"/>
    <n v="3"/>
    <n v="9"/>
    <n v="8"/>
    <n v="8"/>
    <n v="8"/>
    <n v="0"/>
    <x v="0"/>
    <x v="0"/>
    <s v="0-5k"/>
    <x v="0"/>
    <x v="0"/>
    <x v="0"/>
  </r>
  <r>
    <n v="41"/>
    <s v="No"/>
    <x v="1"/>
    <n v="1018"/>
    <x v="0"/>
    <n v="1"/>
    <n v="3"/>
    <s v="Marketing"/>
    <n v="1"/>
    <n v="1349"/>
    <n v="3"/>
    <x v="0"/>
    <n v="66"/>
    <n v="3"/>
    <n v="2"/>
    <s v="Sales Executive"/>
    <n v="1"/>
    <s v="Divorced"/>
    <n v="4103"/>
    <n v="4297"/>
    <n v="0"/>
    <s v="Y"/>
    <s v="No"/>
    <n v="17"/>
    <x v="0"/>
    <n v="4"/>
    <n v="80"/>
    <n v="1"/>
    <n v="10"/>
    <n v="2"/>
    <n v="3"/>
    <n v="9"/>
    <n v="3"/>
    <n v="1"/>
    <n v="7"/>
    <n v="0"/>
    <x v="0"/>
    <x v="0"/>
    <s v="0-5k"/>
    <x v="0"/>
    <x v="0"/>
    <x v="3"/>
  </r>
  <r>
    <n v="35"/>
    <s v="No"/>
    <x v="1"/>
    <n v="482"/>
    <x v="1"/>
    <n v="4"/>
    <n v="4"/>
    <s v="Life Sciences"/>
    <n v="1"/>
    <n v="1350"/>
    <n v="3"/>
    <x v="1"/>
    <n v="87"/>
    <n v="3"/>
    <n v="2"/>
    <s v="Research Scientist"/>
    <n v="3"/>
    <s v="Single"/>
    <n v="4249"/>
    <n v="2690"/>
    <n v="1"/>
    <s v="Y"/>
    <s v="Yes"/>
    <n v="11"/>
    <x v="0"/>
    <n v="2"/>
    <n v="80"/>
    <n v="0"/>
    <n v="9"/>
    <n v="3"/>
    <n v="3"/>
    <n v="9"/>
    <n v="6"/>
    <n v="1"/>
    <n v="1"/>
    <n v="0"/>
    <x v="0"/>
    <x v="0"/>
    <s v="0-5k"/>
    <x v="0"/>
    <x v="0"/>
    <x v="2"/>
  </r>
  <r>
    <n v="51"/>
    <s v="No"/>
    <x v="0"/>
    <n v="770"/>
    <x v="2"/>
    <n v="5"/>
    <n v="3"/>
    <s v="Life Sciences"/>
    <n v="1"/>
    <n v="1352"/>
    <n v="3"/>
    <x v="1"/>
    <n v="84"/>
    <n v="3"/>
    <n v="4"/>
    <s v="Manager"/>
    <n v="2"/>
    <s v="Divorced"/>
    <n v="14026"/>
    <n v="17588"/>
    <n v="1"/>
    <s v="Y"/>
    <s v="Yes"/>
    <n v="11"/>
    <x v="0"/>
    <n v="2"/>
    <n v="80"/>
    <n v="1"/>
    <n v="33"/>
    <n v="2"/>
    <n v="3"/>
    <n v="33"/>
    <n v="9"/>
    <n v="0"/>
    <n v="10"/>
    <n v="0"/>
    <x v="1"/>
    <x v="0"/>
    <s v="10k-15k"/>
    <x v="3"/>
    <x v="0"/>
    <x v="1"/>
  </r>
  <r>
    <n v="38"/>
    <s v="No"/>
    <x v="0"/>
    <n v="1009"/>
    <x v="0"/>
    <n v="2"/>
    <n v="2"/>
    <s v="Life Sciences"/>
    <n v="1"/>
    <n v="1355"/>
    <n v="2"/>
    <x v="0"/>
    <n v="31"/>
    <n v="3"/>
    <n v="2"/>
    <s v="Sales Executive"/>
    <n v="1"/>
    <s v="Divorced"/>
    <n v="6893"/>
    <n v="19461"/>
    <n v="3"/>
    <s v="Y"/>
    <s v="No"/>
    <n v="15"/>
    <x v="0"/>
    <n v="4"/>
    <n v="80"/>
    <n v="1"/>
    <n v="11"/>
    <n v="3"/>
    <n v="3"/>
    <n v="7"/>
    <n v="7"/>
    <n v="1"/>
    <n v="7"/>
    <n v="0"/>
    <x v="0"/>
    <x v="0"/>
    <s v="5k-10k"/>
    <x v="0"/>
    <x v="0"/>
    <x v="3"/>
  </r>
  <r>
    <n v="34"/>
    <s v="No"/>
    <x v="0"/>
    <n v="507"/>
    <x v="0"/>
    <n v="15"/>
    <n v="2"/>
    <s v="Medical"/>
    <n v="1"/>
    <n v="1356"/>
    <n v="3"/>
    <x v="0"/>
    <n v="66"/>
    <n v="3"/>
    <n v="2"/>
    <s v="Sales Executive"/>
    <n v="1"/>
    <s v="Single"/>
    <n v="6125"/>
    <n v="23553"/>
    <n v="1"/>
    <s v="Y"/>
    <s v="No"/>
    <n v="12"/>
    <x v="0"/>
    <n v="4"/>
    <n v="80"/>
    <n v="0"/>
    <n v="10"/>
    <n v="6"/>
    <n v="4"/>
    <n v="10"/>
    <n v="8"/>
    <n v="9"/>
    <n v="6"/>
    <n v="0"/>
    <x v="0"/>
    <x v="2"/>
    <s v="5k-10k"/>
    <x v="0"/>
    <x v="0"/>
    <x v="3"/>
  </r>
  <r>
    <n v="25"/>
    <s v="No"/>
    <x v="0"/>
    <n v="882"/>
    <x v="1"/>
    <n v="19"/>
    <n v="1"/>
    <s v="Medical"/>
    <n v="1"/>
    <n v="1358"/>
    <n v="4"/>
    <x v="1"/>
    <n v="67"/>
    <n v="3"/>
    <n v="1"/>
    <s v="Laboratory Technician"/>
    <n v="4"/>
    <s v="Married"/>
    <n v="3669"/>
    <n v="9075"/>
    <n v="3"/>
    <s v="Y"/>
    <s v="No"/>
    <n v="11"/>
    <x v="0"/>
    <n v="3"/>
    <n v="80"/>
    <n v="3"/>
    <n v="7"/>
    <n v="6"/>
    <n v="2"/>
    <n v="3"/>
    <n v="2"/>
    <n v="1"/>
    <n v="2"/>
    <n v="0"/>
    <x v="2"/>
    <x v="2"/>
    <s v="0-5k"/>
    <x v="0"/>
    <x v="0"/>
    <x v="0"/>
  </r>
  <r>
    <n v="58"/>
    <s v="Yes"/>
    <x v="0"/>
    <n v="601"/>
    <x v="1"/>
    <n v="7"/>
    <n v="4"/>
    <s v="Medical"/>
    <n v="1"/>
    <n v="1360"/>
    <n v="3"/>
    <x v="0"/>
    <n v="53"/>
    <n v="2"/>
    <n v="3"/>
    <s v="Manufacturing Director"/>
    <n v="1"/>
    <s v="Married"/>
    <n v="10008"/>
    <n v="12023"/>
    <n v="7"/>
    <s v="Y"/>
    <s v="Yes"/>
    <n v="14"/>
    <x v="0"/>
    <n v="4"/>
    <n v="80"/>
    <n v="0"/>
    <n v="31"/>
    <n v="0"/>
    <n v="2"/>
    <n v="10"/>
    <n v="9"/>
    <n v="5"/>
    <n v="9"/>
    <n v="1"/>
    <x v="1"/>
    <x v="0"/>
    <s v="10k-15k"/>
    <x v="0"/>
    <x v="0"/>
    <x v="3"/>
  </r>
  <r>
    <n v="40"/>
    <s v="No"/>
    <x v="0"/>
    <n v="329"/>
    <x v="1"/>
    <n v="1"/>
    <n v="4"/>
    <s v="Life Sciences"/>
    <n v="1"/>
    <n v="1361"/>
    <n v="2"/>
    <x v="1"/>
    <n v="88"/>
    <n v="3"/>
    <n v="1"/>
    <s v="Laboratory Technician"/>
    <n v="2"/>
    <s v="Married"/>
    <n v="2387"/>
    <n v="6762"/>
    <n v="3"/>
    <s v="Y"/>
    <s v="No"/>
    <n v="22"/>
    <x v="1"/>
    <n v="3"/>
    <n v="80"/>
    <n v="1"/>
    <n v="7"/>
    <n v="3"/>
    <n v="3"/>
    <n v="4"/>
    <n v="2"/>
    <n v="0"/>
    <n v="3"/>
    <n v="0"/>
    <x v="0"/>
    <x v="0"/>
    <s v="0-5k"/>
    <x v="0"/>
    <x v="1"/>
    <x v="1"/>
  </r>
  <r>
    <n v="36"/>
    <s v="No"/>
    <x v="1"/>
    <n v="607"/>
    <x v="0"/>
    <n v="7"/>
    <n v="3"/>
    <s v="Marketing"/>
    <n v="1"/>
    <n v="1362"/>
    <n v="1"/>
    <x v="0"/>
    <n v="83"/>
    <n v="4"/>
    <n v="2"/>
    <s v="Sales Executive"/>
    <n v="1"/>
    <s v="Married"/>
    <n v="4639"/>
    <n v="2261"/>
    <n v="2"/>
    <s v="Y"/>
    <s v="No"/>
    <n v="16"/>
    <x v="0"/>
    <n v="4"/>
    <n v="80"/>
    <n v="1"/>
    <n v="17"/>
    <n v="2"/>
    <n v="2"/>
    <n v="15"/>
    <n v="7"/>
    <n v="6"/>
    <n v="13"/>
    <n v="0"/>
    <x v="0"/>
    <x v="0"/>
    <s v="0-5k"/>
    <x v="2"/>
    <x v="0"/>
    <x v="3"/>
  </r>
  <r>
    <n v="48"/>
    <s v="No"/>
    <x v="0"/>
    <n v="855"/>
    <x v="1"/>
    <n v="4"/>
    <n v="3"/>
    <s v="Life Sciences"/>
    <n v="1"/>
    <n v="1363"/>
    <n v="4"/>
    <x v="1"/>
    <n v="54"/>
    <n v="3"/>
    <n v="3"/>
    <s v="Manufacturing Director"/>
    <n v="4"/>
    <s v="Single"/>
    <n v="7898"/>
    <n v="18706"/>
    <n v="1"/>
    <s v="Y"/>
    <s v="No"/>
    <n v="11"/>
    <x v="0"/>
    <n v="3"/>
    <n v="80"/>
    <n v="0"/>
    <n v="11"/>
    <n v="2"/>
    <n v="3"/>
    <n v="10"/>
    <n v="9"/>
    <n v="0"/>
    <n v="8"/>
    <n v="0"/>
    <x v="1"/>
    <x v="0"/>
    <s v="5k-10k"/>
    <x v="0"/>
    <x v="0"/>
    <x v="0"/>
  </r>
  <r>
    <n v="27"/>
    <s v="No"/>
    <x v="0"/>
    <n v="1291"/>
    <x v="0"/>
    <n v="11"/>
    <n v="3"/>
    <s v="Medical"/>
    <n v="1"/>
    <n v="1364"/>
    <n v="3"/>
    <x v="0"/>
    <n v="98"/>
    <n v="4"/>
    <n v="1"/>
    <s v="Sales Representative"/>
    <n v="4"/>
    <s v="Married"/>
    <n v="2534"/>
    <n v="6527"/>
    <n v="8"/>
    <s v="Y"/>
    <s v="No"/>
    <n v="14"/>
    <x v="0"/>
    <n v="2"/>
    <n v="80"/>
    <n v="1"/>
    <n v="5"/>
    <n v="4"/>
    <n v="3"/>
    <n v="1"/>
    <n v="0"/>
    <n v="0"/>
    <n v="0"/>
    <n v="0"/>
    <x v="2"/>
    <x v="2"/>
    <s v="0-5k"/>
    <x v="0"/>
    <x v="0"/>
    <x v="0"/>
  </r>
  <r>
    <n v="51"/>
    <s v="No"/>
    <x v="0"/>
    <n v="1405"/>
    <x v="1"/>
    <n v="11"/>
    <n v="2"/>
    <s v="Technical Degree"/>
    <n v="1"/>
    <n v="1367"/>
    <n v="4"/>
    <x v="0"/>
    <n v="82"/>
    <n v="2"/>
    <n v="4"/>
    <s v="Manufacturing Director"/>
    <n v="2"/>
    <s v="Single"/>
    <n v="13142"/>
    <n v="24439"/>
    <n v="3"/>
    <s v="Y"/>
    <s v="No"/>
    <n v="16"/>
    <x v="0"/>
    <n v="2"/>
    <n v="80"/>
    <n v="0"/>
    <n v="29"/>
    <n v="1"/>
    <n v="2"/>
    <n v="5"/>
    <n v="2"/>
    <n v="0"/>
    <n v="3"/>
    <n v="0"/>
    <x v="1"/>
    <x v="2"/>
    <s v="10k-15k"/>
    <x v="0"/>
    <x v="0"/>
    <x v="1"/>
  </r>
  <r>
    <n v="18"/>
    <s v="No"/>
    <x v="2"/>
    <n v="1124"/>
    <x v="1"/>
    <n v="1"/>
    <n v="3"/>
    <s v="Life Sciences"/>
    <n v="1"/>
    <n v="1368"/>
    <n v="4"/>
    <x v="0"/>
    <n v="97"/>
    <n v="3"/>
    <n v="1"/>
    <s v="Laboratory Technician"/>
    <n v="4"/>
    <s v="Single"/>
    <n v="1611"/>
    <n v="19305"/>
    <n v="1"/>
    <s v="Y"/>
    <s v="No"/>
    <n v="15"/>
    <x v="0"/>
    <n v="3"/>
    <n v="80"/>
    <n v="0"/>
    <n v="0"/>
    <n v="5"/>
    <n v="4"/>
    <n v="0"/>
    <n v="0"/>
    <n v="0"/>
    <n v="0"/>
    <n v="0"/>
    <x v="2"/>
    <x v="0"/>
    <s v="0-5k"/>
    <x v="0"/>
    <x v="0"/>
    <x v="0"/>
  </r>
  <r>
    <n v="35"/>
    <s v="No"/>
    <x v="0"/>
    <n v="817"/>
    <x v="1"/>
    <n v="1"/>
    <n v="3"/>
    <s v="Medical"/>
    <n v="1"/>
    <n v="1369"/>
    <n v="4"/>
    <x v="0"/>
    <n v="60"/>
    <n v="2"/>
    <n v="2"/>
    <s v="Laboratory Technician"/>
    <n v="4"/>
    <s v="Married"/>
    <n v="5363"/>
    <n v="10846"/>
    <n v="0"/>
    <s v="Y"/>
    <s v="No"/>
    <n v="12"/>
    <x v="0"/>
    <n v="2"/>
    <n v="80"/>
    <n v="1"/>
    <n v="10"/>
    <n v="0"/>
    <n v="3"/>
    <n v="9"/>
    <n v="7"/>
    <n v="0"/>
    <n v="0"/>
    <n v="0"/>
    <x v="0"/>
    <x v="0"/>
    <s v="5k-10k"/>
    <x v="0"/>
    <x v="0"/>
    <x v="0"/>
  </r>
  <r>
    <n v="27"/>
    <s v="No"/>
    <x v="1"/>
    <n v="793"/>
    <x v="0"/>
    <n v="2"/>
    <n v="1"/>
    <s v="Life Sciences"/>
    <n v="1"/>
    <n v="1371"/>
    <n v="4"/>
    <x v="1"/>
    <n v="43"/>
    <n v="1"/>
    <n v="2"/>
    <s v="Sales Executive"/>
    <n v="4"/>
    <s v="Single"/>
    <n v="5071"/>
    <n v="20392"/>
    <n v="3"/>
    <s v="Y"/>
    <s v="No"/>
    <n v="20"/>
    <x v="1"/>
    <n v="2"/>
    <n v="80"/>
    <n v="0"/>
    <n v="8"/>
    <n v="3"/>
    <n v="3"/>
    <n v="6"/>
    <n v="2"/>
    <n v="0"/>
    <n v="0"/>
    <n v="0"/>
    <x v="2"/>
    <x v="0"/>
    <s v="5k-10k"/>
    <x v="0"/>
    <x v="1"/>
    <x v="0"/>
  </r>
  <r>
    <n v="55"/>
    <s v="Yes"/>
    <x v="0"/>
    <n v="267"/>
    <x v="0"/>
    <n v="13"/>
    <n v="4"/>
    <s v="Marketing"/>
    <n v="1"/>
    <n v="1372"/>
    <n v="1"/>
    <x v="1"/>
    <n v="85"/>
    <n v="4"/>
    <n v="4"/>
    <s v="Sales Executive"/>
    <n v="3"/>
    <s v="Single"/>
    <n v="13695"/>
    <n v="9277"/>
    <n v="6"/>
    <s v="Y"/>
    <s v="Yes"/>
    <n v="17"/>
    <x v="0"/>
    <n v="3"/>
    <n v="80"/>
    <n v="0"/>
    <n v="24"/>
    <n v="2"/>
    <n v="2"/>
    <n v="19"/>
    <n v="7"/>
    <n v="3"/>
    <n v="8"/>
    <n v="1"/>
    <x v="1"/>
    <x v="2"/>
    <s v="10k-15k"/>
    <x v="2"/>
    <x v="0"/>
    <x v="2"/>
  </r>
  <r>
    <n v="56"/>
    <s v="No"/>
    <x v="0"/>
    <n v="1369"/>
    <x v="1"/>
    <n v="23"/>
    <n v="3"/>
    <s v="Life Sciences"/>
    <n v="1"/>
    <n v="1373"/>
    <n v="4"/>
    <x v="1"/>
    <n v="68"/>
    <n v="3"/>
    <n v="4"/>
    <s v="Manufacturing Director"/>
    <n v="2"/>
    <s v="Married"/>
    <n v="13402"/>
    <n v="18235"/>
    <n v="4"/>
    <s v="Y"/>
    <s v="Yes"/>
    <n v="12"/>
    <x v="0"/>
    <n v="1"/>
    <n v="80"/>
    <n v="1"/>
    <n v="33"/>
    <n v="0"/>
    <n v="3"/>
    <n v="19"/>
    <n v="16"/>
    <n v="15"/>
    <n v="9"/>
    <n v="0"/>
    <x v="1"/>
    <x v="1"/>
    <s v="10k-15k"/>
    <x v="2"/>
    <x v="0"/>
    <x v="1"/>
  </r>
  <r>
    <n v="34"/>
    <s v="No"/>
    <x v="2"/>
    <n v="999"/>
    <x v="1"/>
    <n v="26"/>
    <n v="1"/>
    <s v="Technical Degree"/>
    <n v="1"/>
    <n v="1374"/>
    <n v="1"/>
    <x v="0"/>
    <n v="92"/>
    <n v="2"/>
    <n v="1"/>
    <s v="Research Scientist"/>
    <n v="3"/>
    <s v="Divorced"/>
    <n v="2029"/>
    <n v="15891"/>
    <n v="1"/>
    <s v="Y"/>
    <s v="No"/>
    <n v="20"/>
    <x v="1"/>
    <n v="3"/>
    <n v="80"/>
    <n v="3"/>
    <n v="5"/>
    <n v="2"/>
    <n v="3"/>
    <n v="5"/>
    <n v="4"/>
    <n v="0"/>
    <n v="0"/>
    <n v="0"/>
    <x v="0"/>
    <x v="1"/>
    <s v="0-5k"/>
    <x v="0"/>
    <x v="1"/>
    <x v="2"/>
  </r>
  <r>
    <n v="40"/>
    <s v="No"/>
    <x v="0"/>
    <n v="1202"/>
    <x v="1"/>
    <n v="2"/>
    <n v="1"/>
    <s v="Medical"/>
    <n v="1"/>
    <n v="1375"/>
    <n v="2"/>
    <x v="0"/>
    <n v="89"/>
    <n v="4"/>
    <n v="2"/>
    <s v="Healthcare Representative"/>
    <n v="3"/>
    <s v="Divorced"/>
    <n v="6377"/>
    <n v="13888"/>
    <n v="5"/>
    <s v="Y"/>
    <s v="No"/>
    <n v="20"/>
    <x v="1"/>
    <n v="2"/>
    <n v="80"/>
    <n v="3"/>
    <n v="15"/>
    <n v="0"/>
    <n v="3"/>
    <n v="12"/>
    <n v="11"/>
    <n v="11"/>
    <n v="8"/>
    <n v="0"/>
    <x v="0"/>
    <x v="0"/>
    <s v="5k-10k"/>
    <x v="2"/>
    <x v="1"/>
    <x v="2"/>
  </r>
  <r>
    <n v="34"/>
    <s v="No"/>
    <x v="0"/>
    <n v="285"/>
    <x v="1"/>
    <n v="29"/>
    <n v="3"/>
    <s v="Medical"/>
    <n v="1"/>
    <n v="1377"/>
    <n v="2"/>
    <x v="1"/>
    <n v="86"/>
    <n v="3"/>
    <n v="2"/>
    <s v="Laboratory Technician"/>
    <n v="3"/>
    <s v="Married"/>
    <n v="5429"/>
    <n v="17491"/>
    <n v="4"/>
    <s v="Y"/>
    <s v="No"/>
    <n v="13"/>
    <x v="0"/>
    <n v="1"/>
    <n v="80"/>
    <n v="2"/>
    <n v="10"/>
    <n v="1"/>
    <n v="3"/>
    <n v="8"/>
    <n v="7"/>
    <n v="7"/>
    <n v="7"/>
    <n v="0"/>
    <x v="0"/>
    <x v="1"/>
    <s v="5k-10k"/>
    <x v="0"/>
    <x v="0"/>
    <x v="2"/>
  </r>
  <r>
    <n v="31"/>
    <s v="Yes"/>
    <x v="1"/>
    <n v="703"/>
    <x v="0"/>
    <n v="2"/>
    <n v="3"/>
    <s v="Life Sciences"/>
    <n v="1"/>
    <n v="1379"/>
    <n v="3"/>
    <x v="0"/>
    <n v="90"/>
    <n v="2"/>
    <n v="1"/>
    <s v="Sales Representative"/>
    <n v="4"/>
    <s v="Single"/>
    <n v="2785"/>
    <n v="11882"/>
    <n v="7"/>
    <s v="Y"/>
    <s v="No"/>
    <n v="14"/>
    <x v="0"/>
    <n v="3"/>
    <n v="80"/>
    <n v="0"/>
    <n v="3"/>
    <n v="3"/>
    <n v="4"/>
    <n v="1"/>
    <n v="0"/>
    <n v="0"/>
    <n v="0"/>
    <n v="1"/>
    <x v="0"/>
    <x v="0"/>
    <s v="0-5k"/>
    <x v="0"/>
    <x v="0"/>
    <x v="0"/>
  </r>
  <r>
    <n v="35"/>
    <s v="Yes"/>
    <x v="1"/>
    <n v="662"/>
    <x v="0"/>
    <n v="18"/>
    <n v="4"/>
    <s v="Marketing"/>
    <n v="1"/>
    <n v="1380"/>
    <n v="4"/>
    <x v="0"/>
    <n v="67"/>
    <n v="3"/>
    <n v="2"/>
    <s v="Sales Executive"/>
    <n v="3"/>
    <s v="Married"/>
    <n v="4614"/>
    <n v="23288"/>
    <n v="0"/>
    <s v="Y"/>
    <s v="Yes"/>
    <n v="18"/>
    <x v="0"/>
    <n v="3"/>
    <n v="80"/>
    <n v="1"/>
    <n v="5"/>
    <n v="0"/>
    <n v="2"/>
    <n v="4"/>
    <n v="2"/>
    <n v="3"/>
    <n v="2"/>
    <n v="1"/>
    <x v="0"/>
    <x v="2"/>
    <s v="0-5k"/>
    <x v="0"/>
    <x v="0"/>
    <x v="2"/>
  </r>
  <r>
    <n v="38"/>
    <s v="No"/>
    <x v="1"/>
    <n v="693"/>
    <x v="1"/>
    <n v="7"/>
    <n v="3"/>
    <s v="Life Sciences"/>
    <n v="1"/>
    <n v="1382"/>
    <n v="4"/>
    <x v="1"/>
    <n v="57"/>
    <n v="4"/>
    <n v="1"/>
    <s v="Research Scientist"/>
    <n v="3"/>
    <s v="Divorced"/>
    <n v="2610"/>
    <n v="15748"/>
    <n v="1"/>
    <s v="Y"/>
    <s v="No"/>
    <n v="11"/>
    <x v="0"/>
    <n v="4"/>
    <n v="80"/>
    <n v="3"/>
    <n v="4"/>
    <n v="2"/>
    <n v="3"/>
    <n v="4"/>
    <n v="2"/>
    <n v="0"/>
    <n v="3"/>
    <n v="0"/>
    <x v="0"/>
    <x v="0"/>
    <s v="0-5k"/>
    <x v="0"/>
    <x v="0"/>
    <x v="2"/>
  </r>
  <r>
    <n v="34"/>
    <s v="No"/>
    <x v="0"/>
    <n v="404"/>
    <x v="1"/>
    <n v="2"/>
    <n v="4"/>
    <s v="Technical Degree"/>
    <n v="1"/>
    <n v="1383"/>
    <n v="3"/>
    <x v="0"/>
    <n v="98"/>
    <n v="3"/>
    <n v="2"/>
    <s v="Healthcare Representative"/>
    <n v="4"/>
    <s v="Single"/>
    <n v="6687"/>
    <n v="6163"/>
    <n v="1"/>
    <s v="Y"/>
    <s v="No"/>
    <n v="11"/>
    <x v="0"/>
    <n v="4"/>
    <n v="80"/>
    <n v="0"/>
    <n v="14"/>
    <n v="2"/>
    <n v="4"/>
    <n v="14"/>
    <n v="11"/>
    <n v="4"/>
    <n v="11"/>
    <n v="0"/>
    <x v="0"/>
    <x v="0"/>
    <s v="5k-10k"/>
    <x v="2"/>
    <x v="0"/>
    <x v="0"/>
  </r>
  <r>
    <n v="28"/>
    <s v="No"/>
    <x v="0"/>
    <n v="736"/>
    <x v="0"/>
    <n v="26"/>
    <n v="3"/>
    <s v="Life Sciences"/>
    <n v="1"/>
    <n v="1387"/>
    <n v="3"/>
    <x v="1"/>
    <n v="48"/>
    <n v="2"/>
    <n v="2"/>
    <s v="Sales Executive"/>
    <n v="1"/>
    <s v="Married"/>
    <n v="4724"/>
    <n v="24232"/>
    <n v="1"/>
    <s v="Y"/>
    <s v="No"/>
    <n v="11"/>
    <x v="0"/>
    <n v="3"/>
    <n v="80"/>
    <n v="1"/>
    <n v="5"/>
    <n v="0"/>
    <n v="3"/>
    <n v="5"/>
    <n v="3"/>
    <n v="0"/>
    <n v="4"/>
    <n v="0"/>
    <x v="2"/>
    <x v="1"/>
    <s v="0-5k"/>
    <x v="0"/>
    <x v="0"/>
    <x v="3"/>
  </r>
  <r>
    <n v="31"/>
    <s v="Yes"/>
    <x v="0"/>
    <n v="330"/>
    <x v="1"/>
    <n v="22"/>
    <n v="4"/>
    <s v="Medical"/>
    <n v="1"/>
    <n v="1389"/>
    <n v="4"/>
    <x v="1"/>
    <n v="98"/>
    <n v="3"/>
    <n v="2"/>
    <s v="Manufacturing Director"/>
    <n v="3"/>
    <s v="Married"/>
    <n v="6179"/>
    <n v="21057"/>
    <n v="1"/>
    <s v="Y"/>
    <s v="Yes"/>
    <n v="15"/>
    <x v="0"/>
    <n v="4"/>
    <n v="80"/>
    <n v="2"/>
    <n v="10"/>
    <n v="3"/>
    <n v="2"/>
    <n v="10"/>
    <n v="2"/>
    <n v="6"/>
    <n v="7"/>
    <n v="1"/>
    <x v="0"/>
    <x v="1"/>
    <s v="5k-10k"/>
    <x v="0"/>
    <x v="0"/>
    <x v="2"/>
  </r>
  <r>
    <n v="39"/>
    <s v="No"/>
    <x v="0"/>
    <n v="1498"/>
    <x v="0"/>
    <n v="21"/>
    <n v="4"/>
    <s v="Life Sciences"/>
    <n v="1"/>
    <n v="1390"/>
    <n v="1"/>
    <x v="1"/>
    <n v="44"/>
    <n v="2"/>
    <n v="2"/>
    <s v="Sales Executive"/>
    <n v="4"/>
    <s v="Married"/>
    <n v="6120"/>
    <n v="3567"/>
    <n v="3"/>
    <s v="Y"/>
    <s v="Yes"/>
    <n v="12"/>
    <x v="0"/>
    <n v="4"/>
    <n v="80"/>
    <n v="2"/>
    <n v="8"/>
    <n v="2"/>
    <n v="4"/>
    <n v="5"/>
    <n v="4"/>
    <n v="1"/>
    <n v="4"/>
    <n v="0"/>
    <x v="0"/>
    <x v="1"/>
    <s v="5k-10k"/>
    <x v="0"/>
    <x v="0"/>
    <x v="0"/>
  </r>
  <r>
    <n v="51"/>
    <s v="No"/>
    <x v="1"/>
    <n v="541"/>
    <x v="0"/>
    <n v="2"/>
    <n v="3"/>
    <s v="Marketing"/>
    <n v="1"/>
    <n v="1391"/>
    <n v="2"/>
    <x v="1"/>
    <n v="52"/>
    <n v="3"/>
    <n v="3"/>
    <s v="Sales Executive"/>
    <n v="2"/>
    <s v="Married"/>
    <n v="10596"/>
    <n v="15395"/>
    <n v="2"/>
    <s v="Y"/>
    <s v="No"/>
    <n v="11"/>
    <x v="0"/>
    <n v="2"/>
    <n v="80"/>
    <n v="0"/>
    <n v="14"/>
    <n v="5"/>
    <n v="3"/>
    <n v="4"/>
    <n v="2"/>
    <n v="3"/>
    <n v="2"/>
    <n v="0"/>
    <x v="1"/>
    <x v="0"/>
    <s v="10k-15k"/>
    <x v="0"/>
    <x v="0"/>
    <x v="1"/>
  </r>
  <r>
    <n v="41"/>
    <s v="No"/>
    <x v="1"/>
    <n v="1200"/>
    <x v="1"/>
    <n v="22"/>
    <n v="3"/>
    <s v="Life Sciences"/>
    <n v="1"/>
    <n v="1392"/>
    <n v="4"/>
    <x v="0"/>
    <n v="75"/>
    <n v="3"/>
    <n v="2"/>
    <s v="Research Scientist"/>
    <n v="4"/>
    <s v="Divorced"/>
    <n v="5467"/>
    <n v="13953"/>
    <n v="3"/>
    <s v="Y"/>
    <s v="Yes"/>
    <n v="14"/>
    <x v="0"/>
    <n v="1"/>
    <n v="80"/>
    <n v="2"/>
    <n v="12"/>
    <n v="4"/>
    <n v="2"/>
    <n v="6"/>
    <n v="2"/>
    <n v="3"/>
    <n v="3"/>
    <n v="0"/>
    <x v="0"/>
    <x v="1"/>
    <s v="5k-10k"/>
    <x v="0"/>
    <x v="0"/>
    <x v="0"/>
  </r>
  <r>
    <n v="37"/>
    <s v="No"/>
    <x v="0"/>
    <n v="1439"/>
    <x v="1"/>
    <n v="4"/>
    <n v="1"/>
    <s v="Life Sciences"/>
    <n v="1"/>
    <n v="1394"/>
    <n v="3"/>
    <x v="1"/>
    <n v="54"/>
    <n v="3"/>
    <n v="1"/>
    <s v="Research Scientist"/>
    <n v="3"/>
    <s v="Married"/>
    <n v="2996"/>
    <n v="5182"/>
    <n v="7"/>
    <s v="Y"/>
    <s v="Yes"/>
    <n v="15"/>
    <x v="0"/>
    <n v="4"/>
    <n v="80"/>
    <n v="0"/>
    <n v="8"/>
    <n v="2"/>
    <n v="3"/>
    <n v="6"/>
    <n v="4"/>
    <n v="1"/>
    <n v="3"/>
    <n v="0"/>
    <x v="0"/>
    <x v="0"/>
    <s v="0-5k"/>
    <x v="0"/>
    <x v="0"/>
    <x v="2"/>
  </r>
  <r>
    <n v="33"/>
    <s v="No"/>
    <x v="1"/>
    <n v="1111"/>
    <x v="0"/>
    <n v="5"/>
    <n v="1"/>
    <s v="Life Sciences"/>
    <n v="1"/>
    <n v="1395"/>
    <n v="2"/>
    <x v="1"/>
    <n v="61"/>
    <n v="3"/>
    <n v="2"/>
    <s v="Sales Executive"/>
    <n v="4"/>
    <s v="Married"/>
    <n v="9998"/>
    <n v="19293"/>
    <n v="6"/>
    <s v="Y"/>
    <s v="No"/>
    <n v="13"/>
    <x v="0"/>
    <n v="1"/>
    <n v="80"/>
    <n v="0"/>
    <n v="8"/>
    <n v="2"/>
    <n v="4"/>
    <n v="5"/>
    <n v="4"/>
    <n v="1"/>
    <n v="2"/>
    <n v="0"/>
    <x v="0"/>
    <x v="0"/>
    <s v="5k-10k"/>
    <x v="0"/>
    <x v="0"/>
    <x v="0"/>
  </r>
  <r>
    <n v="32"/>
    <s v="No"/>
    <x v="0"/>
    <n v="499"/>
    <x v="0"/>
    <n v="2"/>
    <n v="1"/>
    <s v="Marketing"/>
    <n v="1"/>
    <n v="1396"/>
    <n v="3"/>
    <x v="1"/>
    <n v="36"/>
    <n v="3"/>
    <n v="2"/>
    <s v="Sales Executive"/>
    <n v="2"/>
    <s v="Married"/>
    <n v="4078"/>
    <n v="20497"/>
    <n v="0"/>
    <s v="Y"/>
    <s v="Yes"/>
    <n v="13"/>
    <x v="0"/>
    <n v="1"/>
    <n v="80"/>
    <n v="3"/>
    <n v="4"/>
    <n v="3"/>
    <n v="2"/>
    <n v="3"/>
    <n v="2"/>
    <n v="1"/>
    <n v="2"/>
    <n v="0"/>
    <x v="0"/>
    <x v="0"/>
    <s v="0-5k"/>
    <x v="0"/>
    <x v="0"/>
    <x v="1"/>
  </r>
  <r>
    <n v="39"/>
    <s v="No"/>
    <x v="2"/>
    <n v="1485"/>
    <x v="1"/>
    <n v="25"/>
    <n v="2"/>
    <s v="Life Sciences"/>
    <n v="1"/>
    <n v="1397"/>
    <n v="3"/>
    <x v="1"/>
    <n v="71"/>
    <n v="3"/>
    <n v="3"/>
    <s v="Healthcare Representative"/>
    <n v="3"/>
    <s v="Married"/>
    <n v="10920"/>
    <n v="3449"/>
    <n v="3"/>
    <s v="Y"/>
    <s v="No"/>
    <n v="21"/>
    <x v="1"/>
    <n v="2"/>
    <n v="80"/>
    <n v="1"/>
    <n v="13"/>
    <n v="2"/>
    <n v="3"/>
    <n v="6"/>
    <n v="4"/>
    <n v="0"/>
    <n v="5"/>
    <n v="0"/>
    <x v="0"/>
    <x v="1"/>
    <s v="10k-15k"/>
    <x v="0"/>
    <x v="1"/>
    <x v="2"/>
  </r>
  <r>
    <n v="25"/>
    <s v="No"/>
    <x v="0"/>
    <n v="1372"/>
    <x v="0"/>
    <n v="18"/>
    <n v="1"/>
    <s v="Life Sciences"/>
    <n v="1"/>
    <n v="1399"/>
    <n v="1"/>
    <x v="1"/>
    <n v="93"/>
    <n v="4"/>
    <n v="2"/>
    <s v="Sales Executive"/>
    <n v="3"/>
    <s v="Married"/>
    <n v="6232"/>
    <n v="12477"/>
    <n v="2"/>
    <s v="Y"/>
    <s v="No"/>
    <n v="11"/>
    <x v="0"/>
    <n v="2"/>
    <n v="80"/>
    <n v="0"/>
    <n v="6"/>
    <n v="3"/>
    <n v="2"/>
    <n v="3"/>
    <n v="2"/>
    <n v="1"/>
    <n v="2"/>
    <n v="0"/>
    <x v="2"/>
    <x v="2"/>
    <s v="5k-10k"/>
    <x v="0"/>
    <x v="0"/>
    <x v="2"/>
  </r>
  <r>
    <n v="52"/>
    <s v="No"/>
    <x v="1"/>
    <n v="322"/>
    <x v="1"/>
    <n v="28"/>
    <n v="2"/>
    <s v="Medical"/>
    <n v="1"/>
    <n v="1401"/>
    <n v="4"/>
    <x v="0"/>
    <n v="59"/>
    <n v="4"/>
    <n v="4"/>
    <s v="Manufacturing Director"/>
    <n v="3"/>
    <s v="Married"/>
    <n v="13247"/>
    <n v="9731"/>
    <n v="2"/>
    <s v="Y"/>
    <s v="Yes"/>
    <n v="11"/>
    <x v="0"/>
    <n v="2"/>
    <n v="80"/>
    <n v="1"/>
    <n v="24"/>
    <n v="3"/>
    <n v="2"/>
    <n v="5"/>
    <n v="3"/>
    <n v="0"/>
    <n v="2"/>
    <n v="0"/>
    <x v="1"/>
    <x v="1"/>
    <s v="10k-15k"/>
    <x v="0"/>
    <x v="0"/>
    <x v="2"/>
  </r>
  <r>
    <n v="43"/>
    <s v="No"/>
    <x v="0"/>
    <n v="930"/>
    <x v="1"/>
    <n v="6"/>
    <n v="3"/>
    <s v="Medical"/>
    <n v="1"/>
    <n v="1402"/>
    <n v="1"/>
    <x v="0"/>
    <n v="73"/>
    <n v="2"/>
    <n v="2"/>
    <s v="Research Scientist"/>
    <n v="3"/>
    <s v="Single"/>
    <n v="4081"/>
    <n v="20003"/>
    <n v="1"/>
    <s v="Y"/>
    <s v="Yes"/>
    <n v="14"/>
    <x v="0"/>
    <n v="1"/>
    <n v="80"/>
    <n v="0"/>
    <n v="20"/>
    <n v="3"/>
    <n v="1"/>
    <n v="20"/>
    <n v="7"/>
    <n v="1"/>
    <n v="8"/>
    <n v="0"/>
    <x v="0"/>
    <x v="0"/>
    <s v="0-5k"/>
    <x v="2"/>
    <x v="0"/>
    <x v="2"/>
  </r>
  <r>
    <n v="27"/>
    <s v="No"/>
    <x v="0"/>
    <n v="205"/>
    <x v="0"/>
    <n v="10"/>
    <n v="3"/>
    <s v="Marketing"/>
    <n v="1"/>
    <n v="1403"/>
    <n v="4"/>
    <x v="0"/>
    <n v="98"/>
    <n v="2"/>
    <n v="2"/>
    <s v="Sales Executive"/>
    <n v="4"/>
    <s v="Married"/>
    <n v="5769"/>
    <n v="7100"/>
    <n v="1"/>
    <s v="Y"/>
    <s v="Yes"/>
    <n v="11"/>
    <x v="0"/>
    <n v="4"/>
    <n v="80"/>
    <n v="0"/>
    <n v="6"/>
    <n v="3"/>
    <n v="3"/>
    <n v="6"/>
    <n v="2"/>
    <n v="4"/>
    <n v="4"/>
    <n v="0"/>
    <x v="2"/>
    <x v="0"/>
    <s v="5k-10k"/>
    <x v="0"/>
    <x v="0"/>
    <x v="0"/>
  </r>
  <r>
    <n v="27"/>
    <s v="Yes"/>
    <x v="0"/>
    <n v="135"/>
    <x v="1"/>
    <n v="17"/>
    <n v="4"/>
    <s v="Life Sciences"/>
    <n v="1"/>
    <n v="1405"/>
    <n v="4"/>
    <x v="0"/>
    <n v="51"/>
    <n v="3"/>
    <n v="1"/>
    <s v="Research Scientist"/>
    <n v="3"/>
    <s v="Single"/>
    <n v="2394"/>
    <n v="25681"/>
    <n v="1"/>
    <s v="Y"/>
    <s v="Yes"/>
    <n v="13"/>
    <x v="0"/>
    <n v="4"/>
    <n v="80"/>
    <n v="0"/>
    <n v="8"/>
    <n v="2"/>
    <n v="3"/>
    <n v="8"/>
    <n v="2"/>
    <n v="7"/>
    <n v="7"/>
    <n v="1"/>
    <x v="2"/>
    <x v="2"/>
    <s v="0-5k"/>
    <x v="0"/>
    <x v="0"/>
    <x v="2"/>
  </r>
  <r>
    <n v="26"/>
    <s v="No"/>
    <x v="0"/>
    <n v="683"/>
    <x v="1"/>
    <n v="2"/>
    <n v="1"/>
    <s v="Medical"/>
    <n v="1"/>
    <n v="1407"/>
    <n v="1"/>
    <x v="1"/>
    <n v="36"/>
    <n v="2"/>
    <n v="1"/>
    <s v="Research Scientist"/>
    <n v="4"/>
    <s v="Single"/>
    <n v="3904"/>
    <n v="4050"/>
    <n v="0"/>
    <s v="Y"/>
    <s v="No"/>
    <n v="12"/>
    <x v="0"/>
    <n v="4"/>
    <n v="80"/>
    <n v="0"/>
    <n v="5"/>
    <n v="2"/>
    <n v="3"/>
    <n v="4"/>
    <n v="3"/>
    <n v="1"/>
    <n v="1"/>
    <n v="0"/>
    <x v="2"/>
    <x v="0"/>
    <s v="0-5k"/>
    <x v="0"/>
    <x v="0"/>
    <x v="0"/>
  </r>
  <r>
    <n v="42"/>
    <s v="No"/>
    <x v="0"/>
    <n v="1147"/>
    <x v="2"/>
    <n v="10"/>
    <n v="3"/>
    <s v="Human Resources"/>
    <n v="1"/>
    <n v="1408"/>
    <n v="3"/>
    <x v="0"/>
    <n v="31"/>
    <n v="3"/>
    <n v="4"/>
    <s v="Manager"/>
    <n v="1"/>
    <s v="Married"/>
    <n v="16799"/>
    <n v="16616"/>
    <n v="0"/>
    <s v="Y"/>
    <s v="No"/>
    <n v="14"/>
    <x v="0"/>
    <n v="3"/>
    <n v="80"/>
    <n v="1"/>
    <n v="21"/>
    <n v="5"/>
    <n v="3"/>
    <n v="20"/>
    <n v="7"/>
    <n v="0"/>
    <n v="9"/>
    <n v="0"/>
    <x v="0"/>
    <x v="0"/>
    <s v="15k+"/>
    <x v="2"/>
    <x v="0"/>
    <x v="3"/>
  </r>
  <r>
    <n v="52"/>
    <s v="No"/>
    <x v="0"/>
    <n v="258"/>
    <x v="1"/>
    <n v="8"/>
    <n v="4"/>
    <s v="Other"/>
    <n v="1"/>
    <n v="1409"/>
    <n v="3"/>
    <x v="0"/>
    <n v="54"/>
    <n v="3"/>
    <n v="1"/>
    <s v="Laboratory Technician"/>
    <n v="1"/>
    <s v="Married"/>
    <n v="2950"/>
    <n v="17363"/>
    <n v="9"/>
    <s v="Y"/>
    <s v="No"/>
    <n v="13"/>
    <x v="0"/>
    <n v="3"/>
    <n v="80"/>
    <n v="0"/>
    <n v="12"/>
    <n v="2"/>
    <n v="1"/>
    <n v="5"/>
    <n v="4"/>
    <n v="0"/>
    <n v="4"/>
    <n v="0"/>
    <x v="1"/>
    <x v="0"/>
    <s v="0-5k"/>
    <x v="0"/>
    <x v="0"/>
    <x v="3"/>
  </r>
  <r>
    <n v="37"/>
    <s v="No"/>
    <x v="0"/>
    <n v="1462"/>
    <x v="1"/>
    <n v="11"/>
    <n v="3"/>
    <s v="Medical"/>
    <n v="1"/>
    <n v="1411"/>
    <n v="1"/>
    <x v="0"/>
    <n v="94"/>
    <n v="3"/>
    <n v="1"/>
    <s v="Laboratory Technician"/>
    <n v="3"/>
    <s v="Single"/>
    <n v="3629"/>
    <n v="19106"/>
    <n v="4"/>
    <s v="Y"/>
    <s v="No"/>
    <n v="18"/>
    <x v="0"/>
    <n v="1"/>
    <n v="80"/>
    <n v="0"/>
    <n v="8"/>
    <n v="6"/>
    <n v="3"/>
    <n v="3"/>
    <n v="2"/>
    <n v="0"/>
    <n v="2"/>
    <n v="0"/>
    <x v="0"/>
    <x v="2"/>
    <s v="0-5k"/>
    <x v="0"/>
    <x v="0"/>
    <x v="2"/>
  </r>
  <r>
    <n v="35"/>
    <s v="No"/>
    <x v="1"/>
    <n v="200"/>
    <x v="1"/>
    <n v="18"/>
    <n v="2"/>
    <s v="Life Sciences"/>
    <n v="1"/>
    <n v="1412"/>
    <n v="3"/>
    <x v="1"/>
    <n v="60"/>
    <n v="3"/>
    <n v="3"/>
    <s v="Manufacturing Director"/>
    <n v="4"/>
    <s v="Single"/>
    <n v="9362"/>
    <n v="19944"/>
    <n v="2"/>
    <s v="Y"/>
    <s v="No"/>
    <n v="11"/>
    <x v="0"/>
    <n v="3"/>
    <n v="80"/>
    <n v="0"/>
    <n v="10"/>
    <n v="2"/>
    <n v="3"/>
    <n v="2"/>
    <n v="2"/>
    <n v="2"/>
    <n v="2"/>
    <n v="0"/>
    <x v="0"/>
    <x v="2"/>
    <s v="5k-10k"/>
    <x v="0"/>
    <x v="0"/>
    <x v="0"/>
  </r>
  <r>
    <n v="25"/>
    <s v="No"/>
    <x v="0"/>
    <n v="949"/>
    <x v="1"/>
    <n v="1"/>
    <n v="3"/>
    <s v="Technical Degree"/>
    <n v="1"/>
    <n v="1415"/>
    <n v="1"/>
    <x v="1"/>
    <n v="81"/>
    <n v="3"/>
    <n v="1"/>
    <s v="Laboratory Technician"/>
    <n v="4"/>
    <s v="Married"/>
    <n v="3229"/>
    <n v="4910"/>
    <n v="4"/>
    <s v="Y"/>
    <s v="No"/>
    <n v="11"/>
    <x v="0"/>
    <n v="2"/>
    <n v="80"/>
    <n v="1"/>
    <n v="7"/>
    <n v="2"/>
    <n v="2"/>
    <n v="3"/>
    <n v="2"/>
    <n v="0"/>
    <n v="2"/>
    <n v="0"/>
    <x v="2"/>
    <x v="0"/>
    <s v="0-5k"/>
    <x v="0"/>
    <x v="0"/>
    <x v="0"/>
  </r>
  <r>
    <n v="26"/>
    <s v="No"/>
    <x v="0"/>
    <n v="652"/>
    <x v="1"/>
    <n v="7"/>
    <n v="3"/>
    <s v="Other"/>
    <n v="1"/>
    <n v="1417"/>
    <n v="3"/>
    <x v="1"/>
    <n v="100"/>
    <n v="4"/>
    <n v="1"/>
    <s v="Laboratory Technician"/>
    <n v="1"/>
    <s v="Single"/>
    <n v="3578"/>
    <n v="23577"/>
    <n v="0"/>
    <s v="Y"/>
    <s v="No"/>
    <n v="12"/>
    <x v="0"/>
    <n v="4"/>
    <n v="80"/>
    <n v="0"/>
    <n v="8"/>
    <n v="2"/>
    <n v="3"/>
    <n v="7"/>
    <n v="7"/>
    <n v="0"/>
    <n v="7"/>
    <n v="0"/>
    <x v="2"/>
    <x v="0"/>
    <s v="0-5k"/>
    <x v="0"/>
    <x v="0"/>
    <x v="3"/>
  </r>
  <r>
    <n v="29"/>
    <s v="No"/>
    <x v="0"/>
    <n v="332"/>
    <x v="2"/>
    <n v="17"/>
    <n v="3"/>
    <s v="Other"/>
    <n v="1"/>
    <n v="1419"/>
    <n v="2"/>
    <x v="1"/>
    <n v="51"/>
    <n v="2"/>
    <n v="3"/>
    <s v="Human Resources"/>
    <n v="1"/>
    <s v="Single"/>
    <n v="7988"/>
    <n v="9769"/>
    <n v="1"/>
    <s v="Y"/>
    <s v="No"/>
    <n v="13"/>
    <x v="0"/>
    <n v="1"/>
    <n v="80"/>
    <n v="0"/>
    <n v="10"/>
    <n v="3"/>
    <n v="2"/>
    <n v="10"/>
    <n v="9"/>
    <n v="0"/>
    <n v="9"/>
    <n v="0"/>
    <x v="2"/>
    <x v="2"/>
    <s v="5k-10k"/>
    <x v="0"/>
    <x v="0"/>
    <x v="3"/>
  </r>
  <r>
    <n v="49"/>
    <s v="Yes"/>
    <x v="1"/>
    <n v="1475"/>
    <x v="1"/>
    <n v="28"/>
    <n v="2"/>
    <s v="Life Sciences"/>
    <n v="1"/>
    <n v="1420"/>
    <n v="1"/>
    <x v="1"/>
    <n v="97"/>
    <n v="2"/>
    <n v="2"/>
    <s v="Laboratory Technician"/>
    <n v="1"/>
    <s v="Single"/>
    <n v="4284"/>
    <n v="22710"/>
    <n v="3"/>
    <s v="Y"/>
    <s v="No"/>
    <n v="20"/>
    <x v="1"/>
    <n v="1"/>
    <n v="80"/>
    <n v="0"/>
    <n v="20"/>
    <n v="2"/>
    <n v="3"/>
    <n v="4"/>
    <n v="3"/>
    <n v="1"/>
    <n v="3"/>
    <n v="1"/>
    <x v="1"/>
    <x v="1"/>
    <s v="0-5k"/>
    <x v="0"/>
    <x v="1"/>
    <x v="3"/>
  </r>
  <r>
    <n v="29"/>
    <s v="Yes"/>
    <x v="1"/>
    <n v="337"/>
    <x v="1"/>
    <n v="14"/>
    <n v="1"/>
    <s v="Other"/>
    <n v="1"/>
    <n v="1421"/>
    <n v="3"/>
    <x v="0"/>
    <n v="84"/>
    <n v="3"/>
    <n v="3"/>
    <s v="Healthcare Representative"/>
    <n v="4"/>
    <s v="Single"/>
    <n v="7553"/>
    <n v="22930"/>
    <n v="0"/>
    <s v="Y"/>
    <s v="Yes"/>
    <n v="12"/>
    <x v="0"/>
    <n v="1"/>
    <n v="80"/>
    <n v="0"/>
    <n v="9"/>
    <n v="1"/>
    <n v="3"/>
    <n v="8"/>
    <n v="7"/>
    <n v="7"/>
    <n v="7"/>
    <n v="1"/>
    <x v="2"/>
    <x v="2"/>
    <s v="5k-10k"/>
    <x v="0"/>
    <x v="0"/>
    <x v="0"/>
  </r>
  <r>
    <n v="54"/>
    <s v="No"/>
    <x v="0"/>
    <n v="971"/>
    <x v="1"/>
    <n v="1"/>
    <n v="3"/>
    <s v="Medical"/>
    <n v="1"/>
    <n v="1422"/>
    <n v="4"/>
    <x v="0"/>
    <n v="54"/>
    <n v="3"/>
    <n v="4"/>
    <s v="Research Director"/>
    <n v="4"/>
    <s v="Single"/>
    <n v="17328"/>
    <n v="5652"/>
    <n v="6"/>
    <s v="Y"/>
    <s v="No"/>
    <n v="19"/>
    <x v="0"/>
    <n v="4"/>
    <n v="80"/>
    <n v="0"/>
    <n v="29"/>
    <n v="3"/>
    <n v="2"/>
    <n v="20"/>
    <n v="7"/>
    <n v="12"/>
    <n v="7"/>
    <n v="0"/>
    <x v="1"/>
    <x v="0"/>
    <s v="15k+"/>
    <x v="2"/>
    <x v="0"/>
    <x v="0"/>
  </r>
  <r>
    <n v="58"/>
    <s v="No"/>
    <x v="0"/>
    <n v="1055"/>
    <x v="1"/>
    <n v="1"/>
    <n v="3"/>
    <s v="Medical"/>
    <n v="1"/>
    <n v="1423"/>
    <n v="4"/>
    <x v="0"/>
    <n v="76"/>
    <n v="3"/>
    <n v="5"/>
    <s v="Research Director"/>
    <n v="1"/>
    <s v="Married"/>
    <n v="19701"/>
    <n v="22456"/>
    <n v="3"/>
    <s v="Y"/>
    <s v="Yes"/>
    <n v="21"/>
    <x v="1"/>
    <n v="3"/>
    <n v="80"/>
    <n v="1"/>
    <n v="32"/>
    <n v="3"/>
    <n v="3"/>
    <n v="9"/>
    <n v="8"/>
    <n v="1"/>
    <n v="5"/>
    <n v="0"/>
    <x v="1"/>
    <x v="0"/>
    <s v="15k+"/>
    <x v="0"/>
    <x v="1"/>
    <x v="3"/>
  </r>
  <r>
    <n v="55"/>
    <s v="No"/>
    <x v="0"/>
    <n v="1136"/>
    <x v="1"/>
    <n v="1"/>
    <n v="4"/>
    <s v="Medical"/>
    <n v="1"/>
    <n v="1424"/>
    <n v="2"/>
    <x v="1"/>
    <n v="81"/>
    <n v="4"/>
    <n v="4"/>
    <s v="Research Director"/>
    <n v="4"/>
    <s v="Divorced"/>
    <n v="14732"/>
    <n v="12414"/>
    <n v="2"/>
    <s v="Y"/>
    <s v="No"/>
    <n v="13"/>
    <x v="0"/>
    <n v="4"/>
    <n v="80"/>
    <n v="2"/>
    <n v="31"/>
    <n v="4"/>
    <n v="4"/>
    <n v="7"/>
    <n v="7"/>
    <n v="0"/>
    <n v="0"/>
    <n v="0"/>
    <x v="1"/>
    <x v="0"/>
    <s v="10k-15k"/>
    <x v="0"/>
    <x v="0"/>
    <x v="0"/>
  </r>
  <r>
    <n v="36"/>
    <s v="No"/>
    <x v="0"/>
    <n v="1174"/>
    <x v="0"/>
    <n v="3"/>
    <n v="4"/>
    <s v="Marketing"/>
    <n v="1"/>
    <n v="1425"/>
    <n v="1"/>
    <x v="0"/>
    <n v="99"/>
    <n v="3"/>
    <n v="2"/>
    <s v="Sales Executive"/>
    <n v="2"/>
    <s v="Single"/>
    <n v="9278"/>
    <n v="20763"/>
    <n v="3"/>
    <s v="Y"/>
    <s v="Yes"/>
    <n v="16"/>
    <x v="0"/>
    <n v="4"/>
    <n v="80"/>
    <n v="0"/>
    <n v="15"/>
    <n v="3"/>
    <n v="3"/>
    <n v="5"/>
    <n v="4"/>
    <n v="0"/>
    <n v="1"/>
    <n v="0"/>
    <x v="0"/>
    <x v="0"/>
    <s v="5k-10k"/>
    <x v="0"/>
    <x v="0"/>
    <x v="1"/>
  </r>
  <r>
    <n v="31"/>
    <s v="Yes"/>
    <x v="1"/>
    <n v="667"/>
    <x v="0"/>
    <n v="1"/>
    <n v="4"/>
    <s v="Life Sciences"/>
    <n v="1"/>
    <n v="1427"/>
    <n v="2"/>
    <x v="0"/>
    <n v="50"/>
    <n v="1"/>
    <n v="1"/>
    <s v="Sales Representative"/>
    <n v="3"/>
    <s v="Single"/>
    <n v="1359"/>
    <n v="16154"/>
    <n v="1"/>
    <s v="Y"/>
    <s v="No"/>
    <n v="12"/>
    <x v="0"/>
    <n v="2"/>
    <n v="80"/>
    <n v="0"/>
    <n v="1"/>
    <n v="3"/>
    <n v="3"/>
    <n v="1"/>
    <n v="0"/>
    <n v="0"/>
    <n v="0"/>
    <n v="1"/>
    <x v="0"/>
    <x v="0"/>
    <s v="0-5k"/>
    <x v="0"/>
    <x v="0"/>
    <x v="2"/>
  </r>
  <r>
    <n v="30"/>
    <s v="No"/>
    <x v="0"/>
    <n v="855"/>
    <x v="0"/>
    <n v="7"/>
    <n v="4"/>
    <s v="Marketing"/>
    <n v="1"/>
    <n v="1428"/>
    <n v="4"/>
    <x v="0"/>
    <n v="73"/>
    <n v="3"/>
    <n v="2"/>
    <s v="Sales Executive"/>
    <n v="1"/>
    <s v="Divorced"/>
    <n v="4779"/>
    <n v="12761"/>
    <n v="7"/>
    <s v="Y"/>
    <s v="No"/>
    <n v="14"/>
    <x v="0"/>
    <n v="2"/>
    <n v="80"/>
    <n v="2"/>
    <n v="8"/>
    <n v="3"/>
    <n v="3"/>
    <n v="3"/>
    <n v="2"/>
    <n v="0"/>
    <n v="2"/>
    <n v="0"/>
    <x v="2"/>
    <x v="0"/>
    <s v="0-5k"/>
    <x v="0"/>
    <x v="0"/>
    <x v="3"/>
  </r>
  <r>
    <n v="31"/>
    <s v="No"/>
    <x v="0"/>
    <n v="182"/>
    <x v="1"/>
    <n v="8"/>
    <n v="5"/>
    <s v="Life Sciences"/>
    <n v="1"/>
    <n v="1430"/>
    <n v="1"/>
    <x v="0"/>
    <n v="93"/>
    <n v="3"/>
    <n v="4"/>
    <s v="Research Director"/>
    <n v="2"/>
    <s v="Single"/>
    <n v="16422"/>
    <n v="8847"/>
    <n v="3"/>
    <s v="Y"/>
    <s v="No"/>
    <n v="11"/>
    <x v="0"/>
    <n v="3"/>
    <n v="80"/>
    <n v="0"/>
    <n v="9"/>
    <n v="3"/>
    <n v="4"/>
    <n v="3"/>
    <n v="2"/>
    <n v="1"/>
    <n v="0"/>
    <n v="0"/>
    <x v="0"/>
    <x v="0"/>
    <s v="15k+"/>
    <x v="0"/>
    <x v="0"/>
    <x v="1"/>
  </r>
  <r>
    <n v="34"/>
    <s v="No"/>
    <x v="1"/>
    <n v="560"/>
    <x v="1"/>
    <n v="1"/>
    <n v="4"/>
    <s v="Other"/>
    <n v="1"/>
    <n v="1431"/>
    <n v="4"/>
    <x v="1"/>
    <n v="91"/>
    <n v="3"/>
    <n v="1"/>
    <s v="Research Scientist"/>
    <n v="1"/>
    <s v="Divorced"/>
    <n v="2996"/>
    <n v="20284"/>
    <n v="5"/>
    <s v="Y"/>
    <s v="No"/>
    <n v="14"/>
    <x v="0"/>
    <n v="3"/>
    <n v="80"/>
    <n v="2"/>
    <n v="10"/>
    <n v="2"/>
    <n v="3"/>
    <n v="4"/>
    <n v="3"/>
    <n v="1"/>
    <n v="3"/>
    <n v="0"/>
    <x v="0"/>
    <x v="0"/>
    <s v="0-5k"/>
    <x v="0"/>
    <x v="0"/>
    <x v="3"/>
  </r>
  <r>
    <n v="31"/>
    <s v="Yes"/>
    <x v="0"/>
    <n v="202"/>
    <x v="1"/>
    <n v="8"/>
    <n v="3"/>
    <s v="Life Sciences"/>
    <n v="1"/>
    <n v="1433"/>
    <n v="1"/>
    <x v="0"/>
    <n v="34"/>
    <n v="2"/>
    <n v="1"/>
    <s v="Research Scientist"/>
    <n v="2"/>
    <s v="Single"/>
    <n v="1261"/>
    <n v="22262"/>
    <n v="1"/>
    <s v="Y"/>
    <s v="No"/>
    <n v="12"/>
    <x v="0"/>
    <n v="3"/>
    <n v="80"/>
    <n v="0"/>
    <n v="1"/>
    <n v="3"/>
    <n v="4"/>
    <n v="1"/>
    <n v="0"/>
    <n v="0"/>
    <n v="0"/>
    <n v="1"/>
    <x v="0"/>
    <x v="0"/>
    <s v="0-5k"/>
    <x v="0"/>
    <x v="0"/>
    <x v="1"/>
  </r>
  <r>
    <n v="27"/>
    <s v="No"/>
    <x v="0"/>
    <n v="1377"/>
    <x v="1"/>
    <n v="11"/>
    <n v="1"/>
    <s v="Life Sciences"/>
    <n v="1"/>
    <n v="1434"/>
    <n v="2"/>
    <x v="1"/>
    <n v="91"/>
    <n v="3"/>
    <n v="1"/>
    <s v="Laboratory Technician"/>
    <n v="1"/>
    <s v="Married"/>
    <n v="2099"/>
    <n v="7679"/>
    <n v="0"/>
    <s v="Y"/>
    <s v="No"/>
    <n v="14"/>
    <x v="0"/>
    <n v="2"/>
    <n v="80"/>
    <n v="0"/>
    <n v="6"/>
    <n v="3"/>
    <n v="4"/>
    <n v="5"/>
    <n v="0"/>
    <n v="1"/>
    <n v="4"/>
    <n v="0"/>
    <x v="2"/>
    <x v="2"/>
    <s v="0-5k"/>
    <x v="0"/>
    <x v="0"/>
    <x v="3"/>
  </r>
  <r>
    <n v="36"/>
    <s v="No"/>
    <x v="0"/>
    <n v="172"/>
    <x v="1"/>
    <n v="4"/>
    <n v="4"/>
    <s v="Life Sciences"/>
    <n v="1"/>
    <n v="1435"/>
    <n v="1"/>
    <x v="1"/>
    <n v="37"/>
    <n v="2"/>
    <n v="2"/>
    <s v="Laboratory Technician"/>
    <n v="4"/>
    <s v="Single"/>
    <n v="5810"/>
    <n v="22604"/>
    <n v="1"/>
    <s v="Y"/>
    <s v="No"/>
    <n v="16"/>
    <x v="0"/>
    <n v="3"/>
    <n v="80"/>
    <n v="0"/>
    <n v="10"/>
    <n v="2"/>
    <n v="2"/>
    <n v="10"/>
    <n v="4"/>
    <n v="1"/>
    <n v="8"/>
    <n v="0"/>
    <x v="0"/>
    <x v="0"/>
    <s v="5k-10k"/>
    <x v="0"/>
    <x v="0"/>
    <x v="0"/>
  </r>
  <r>
    <n v="36"/>
    <s v="No"/>
    <x v="0"/>
    <n v="329"/>
    <x v="0"/>
    <n v="16"/>
    <n v="4"/>
    <s v="Marketing"/>
    <n v="1"/>
    <n v="1436"/>
    <n v="3"/>
    <x v="0"/>
    <n v="98"/>
    <n v="2"/>
    <n v="2"/>
    <s v="Sales Executive"/>
    <n v="1"/>
    <s v="Married"/>
    <n v="5647"/>
    <n v="13494"/>
    <n v="4"/>
    <s v="Y"/>
    <s v="No"/>
    <n v="13"/>
    <x v="0"/>
    <n v="1"/>
    <n v="80"/>
    <n v="2"/>
    <n v="11"/>
    <n v="3"/>
    <n v="2"/>
    <n v="3"/>
    <n v="2"/>
    <n v="0"/>
    <n v="2"/>
    <n v="0"/>
    <x v="0"/>
    <x v="2"/>
    <s v="5k-10k"/>
    <x v="0"/>
    <x v="0"/>
    <x v="3"/>
  </r>
  <r>
    <n v="47"/>
    <s v="No"/>
    <x v="0"/>
    <n v="465"/>
    <x v="1"/>
    <n v="1"/>
    <n v="3"/>
    <s v="Technical Degree"/>
    <n v="1"/>
    <n v="1438"/>
    <n v="1"/>
    <x v="1"/>
    <n v="74"/>
    <n v="3"/>
    <n v="1"/>
    <s v="Research Scientist"/>
    <n v="4"/>
    <s v="Married"/>
    <n v="3420"/>
    <n v="10205"/>
    <n v="7"/>
    <s v="Y"/>
    <s v="No"/>
    <n v="12"/>
    <x v="0"/>
    <n v="3"/>
    <n v="80"/>
    <n v="1"/>
    <n v="17"/>
    <n v="2"/>
    <n v="2"/>
    <n v="6"/>
    <n v="5"/>
    <n v="1"/>
    <n v="2"/>
    <n v="0"/>
    <x v="1"/>
    <x v="0"/>
    <s v="0-5k"/>
    <x v="0"/>
    <x v="0"/>
    <x v="0"/>
  </r>
  <r>
    <n v="25"/>
    <s v="Yes"/>
    <x v="0"/>
    <n v="383"/>
    <x v="0"/>
    <n v="9"/>
    <n v="2"/>
    <s v="Life Sciences"/>
    <n v="1"/>
    <n v="1439"/>
    <n v="1"/>
    <x v="1"/>
    <n v="68"/>
    <n v="2"/>
    <n v="1"/>
    <s v="Sales Representative"/>
    <n v="1"/>
    <s v="Married"/>
    <n v="4400"/>
    <n v="15182"/>
    <n v="3"/>
    <s v="Y"/>
    <s v="No"/>
    <n v="12"/>
    <x v="0"/>
    <n v="1"/>
    <n v="80"/>
    <n v="0"/>
    <n v="6"/>
    <n v="2"/>
    <n v="3"/>
    <n v="3"/>
    <n v="2"/>
    <n v="2"/>
    <n v="2"/>
    <n v="1"/>
    <x v="2"/>
    <x v="0"/>
    <s v="0-5k"/>
    <x v="0"/>
    <x v="0"/>
    <x v="3"/>
  </r>
  <r>
    <n v="37"/>
    <s v="No"/>
    <x v="2"/>
    <n v="1413"/>
    <x v="1"/>
    <n v="5"/>
    <n v="2"/>
    <s v="Technical Degree"/>
    <n v="1"/>
    <n v="1440"/>
    <n v="3"/>
    <x v="1"/>
    <n v="84"/>
    <n v="4"/>
    <n v="1"/>
    <s v="Laboratory Technician"/>
    <n v="3"/>
    <s v="Single"/>
    <n v="3500"/>
    <n v="25470"/>
    <n v="0"/>
    <s v="Y"/>
    <s v="No"/>
    <n v="14"/>
    <x v="0"/>
    <n v="1"/>
    <n v="80"/>
    <n v="0"/>
    <n v="7"/>
    <n v="2"/>
    <n v="1"/>
    <n v="6"/>
    <n v="5"/>
    <n v="1"/>
    <n v="3"/>
    <n v="0"/>
    <x v="0"/>
    <x v="0"/>
    <s v="0-5k"/>
    <x v="0"/>
    <x v="0"/>
    <x v="2"/>
  </r>
  <r>
    <n v="56"/>
    <s v="No"/>
    <x v="0"/>
    <n v="1255"/>
    <x v="1"/>
    <n v="1"/>
    <n v="2"/>
    <s v="Life Sciences"/>
    <n v="1"/>
    <n v="1441"/>
    <n v="1"/>
    <x v="0"/>
    <n v="90"/>
    <n v="3"/>
    <n v="1"/>
    <s v="Research Scientist"/>
    <n v="1"/>
    <s v="Married"/>
    <n v="2066"/>
    <n v="10494"/>
    <n v="2"/>
    <s v="Y"/>
    <s v="No"/>
    <n v="22"/>
    <x v="1"/>
    <n v="4"/>
    <n v="80"/>
    <n v="1"/>
    <n v="5"/>
    <n v="3"/>
    <n v="4"/>
    <n v="3"/>
    <n v="2"/>
    <n v="1"/>
    <n v="0"/>
    <n v="0"/>
    <x v="1"/>
    <x v="0"/>
    <s v="0-5k"/>
    <x v="0"/>
    <x v="1"/>
    <x v="3"/>
  </r>
  <r>
    <n v="47"/>
    <s v="No"/>
    <x v="0"/>
    <n v="359"/>
    <x v="1"/>
    <n v="2"/>
    <n v="4"/>
    <s v="Medical"/>
    <n v="1"/>
    <n v="1443"/>
    <n v="1"/>
    <x v="0"/>
    <n v="82"/>
    <n v="3"/>
    <n v="4"/>
    <s v="Research Director"/>
    <n v="3"/>
    <s v="Married"/>
    <n v="17169"/>
    <n v="26703"/>
    <n v="3"/>
    <s v="Y"/>
    <s v="No"/>
    <n v="19"/>
    <x v="0"/>
    <n v="2"/>
    <n v="80"/>
    <n v="2"/>
    <n v="26"/>
    <n v="2"/>
    <n v="4"/>
    <n v="20"/>
    <n v="17"/>
    <n v="5"/>
    <n v="6"/>
    <n v="0"/>
    <x v="1"/>
    <x v="0"/>
    <s v="15k+"/>
    <x v="2"/>
    <x v="0"/>
    <x v="2"/>
  </r>
  <r>
    <n v="24"/>
    <s v="No"/>
    <x v="0"/>
    <n v="1476"/>
    <x v="0"/>
    <n v="4"/>
    <n v="1"/>
    <s v="Medical"/>
    <n v="1"/>
    <n v="1445"/>
    <n v="4"/>
    <x v="0"/>
    <n v="42"/>
    <n v="3"/>
    <n v="2"/>
    <s v="Sales Executive"/>
    <n v="3"/>
    <s v="Married"/>
    <n v="4162"/>
    <n v="15211"/>
    <n v="1"/>
    <s v="Y"/>
    <s v="Yes"/>
    <n v="12"/>
    <x v="0"/>
    <n v="3"/>
    <n v="80"/>
    <n v="2"/>
    <n v="5"/>
    <n v="3"/>
    <n v="3"/>
    <n v="5"/>
    <n v="4"/>
    <n v="0"/>
    <n v="3"/>
    <n v="0"/>
    <x v="2"/>
    <x v="0"/>
    <s v="0-5k"/>
    <x v="0"/>
    <x v="0"/>
    <x v="2"/>
  </r>
  <r>
    <n v="32"/>
    <s v="No"/>
    <x v="0"/>
    <n v="601"/>
    <x v="0"/>
    <n v="7"/>
    <n v="5"/>
    <s v="Marketing"/>
    <n v="1"/>
    <n v="1446"/>
    <n v="4"/>
    <x v="1"/>
    <n v="97"/>
    <n v="3"/>
    <n v="2"/>
    <s v="Sales Executive"/>
    <n v="4"/>
    <s v="Married"/>
    <n v="9204"/>
    <n v="23343"/>
    <n v="4"/>
    <s v="Y"/>
    <s v="No"/>
    <n v="12"/>
    <x v="0"/>
    <n v="3"/>
    <n v="80"/>
    <n v="1"/>
    <n v="7"/>
    <n v="3"/>
    <n v="2"/>
    <n v="4"/>
    <n v="3"/>
    <n v="0"/>
    <n v="3"/>
    <n v="0"/>
    <x v="0"/>
    <x v="0"/>
    <s v="5k-10k"/>
    <x v="0"/>
    <x v="0"/>
    <x v="0"/>
  </r>
  <r>
    <n v="34"/>
    <s v="No"/>
    <x v="0"/>
    <n v="401"/>
    <x v="1"/>
    <n v="1"/>
    <n v="3"/>
    <s v="Life Sciences"/>
    <n v="1"/>
    <n v="1447"/>
    <n v="4"/>
    <x v="0"/>
    <n v="86"/>
    <n v="2"/>
    <n v="1"/>
    <s v="Laboratory Technician"/>
    <n v="2"/>
    <s v="Married"/>
    <n v="3294"/>
    <n v="3708"/>
    <n v="5"/>
    <s v="Y"/>
    <s v="No"/>
    <n v="17"/>
    <x v="0"/>
    <n v="1"/>
    <n v="80"/>
    <n v="1"/>
    <n v="7"/>
    <n v="2"/>
    <n v="2"/>
    <n v="5"/>
    <n v="4"/>
    <n v="0"/>
    <n v="2"/>
    <n v="0"/>
    <x v="0"/>
    <x v="0"/>
    <s v="0-5k"/>
    <x v="0"/>
    <x v="0"/>
    <x v="1"/>
  </r>
  <r>
    <n v="41"/>
    <s v="No"/>
    <x v="0"/>
    <n v="1283"/>
    <x v="1"/>
    <n v="5"/>
    <n v="5"/>
    <s v="Medical"/>
    <n v="1"/>
    <n v="1448"/>
    <n v="2"/>
    <x v="1"/>
    <n v="90"/>
    <n v="4"/>
    <n v="1"/>
    <s v="Research Scientist"/>
    <n v="3"/>
    <s v="Married"/>
    <n v="2127"/>
    <n v="5561"/>
    <n v="2"/>
    <s v="Y"/>
    <s v="Yes"/>
    <n v="12"/>
    <x v="0"/>
    <n v="1"/>
    <n v="80"/>
    <n v="0"/>
    <n v="7"/>
    <n v="5"/>
    <n v="2"/>
    <n v="4"/>
    <n v="2"/>
    <n v="0"/>
    <n v="3"/>
    <n v="0"/>
    <x v="0"/>
    <x v="0"/>
    <s v="0-5k"/>
    <x v="0"/>
    <x v="0"/>
    <x v="2"/>
  </r>
  <r>
    <n v="40"/>
    <s v="No"/>
    <x v="2"/>
    <n v="663"/>
    <x v="1"/>
    <n v="9"/>
    <n v="4"/>
    <s v="Other"/>
    <n v="1"/>
    <n v="1449"/>
    <n v="3"/>
    <x v="1"/>
    <n v="81"/>
    <n v="3"/>
    <n v="2"/>
    <s v="Laboratory Technician"/>
    <n v="3"/>
    <s v="Divorced"/>
    <n v="3975"/>
    <n v="23099"/>
    <n v="3"/>
    <s v="Y"/>
    <s v="No"/>
    <n v="11"/>
    <x v="0"/>
    <n v="3"/>
    <n v="80"/>
    <n v="2"/>
    <n v="11"/>
    <n v="2"/>
    <n v="4"/>
    <n v="8"/>
    <n v="7"/>
    <n v="0"/>
    <n v="7"/>
    <n v="0"/>
    <x v="0"/>
    <x v="0"/>
    <s v="0-5k"/>
    <x v="0"/>
    <x v="0"/>
    <x v="2"/>
  </r>
  <r>
    <n v="31"/>
    <s v="No"/>
    <x v="0"/>
    <n v="326"/>
    <x v="0"/>
    <n v="8"/>
    <n v="2"/>
    <s v="Life Sciences"/>
    <n v="1"/>
    <n v="1453"/>
    <n v="1"/>
    <x v="1"/>
    <n v="31"/>
    <n v="3"/>
    <n v="3"/>
    <s v="Sales Executive"/>
    <n v="4"/>
    <s v="Divorced"/>
    <n v="10793"/>
    <n v="8386"/>
    <n v="1"/>
    <s v="Y"/>
    <s v="No"/>
    <n v="18"/>
    <x v="0"/>
    <n v="1"/>
    <n v="80"/>
    <n v="1"/>
    <n v="13"/>
    <n v="5"/>
    <n v="3"/>
    <n v="13"/>
    <n v="7"/>
    <n v="9"/>
    <n v="9"/>
    <n v="0"/>
    <x v="0"/>
    <x v="0"/>
    <s v="10k-15k"/>
    <x v="2"/>
    <x v="0"/>
    <x v="0"/>
  </r>
  <r>
    <n v="46"/>
    <s v="Yes"/>
    <x v="0"/>
    <n v="377"/>
    <x v="0"/>
    <n v="9"/>
    <n v="3"/>
    <s v="Marketing"/>
    <n v="1"/>
    <n v="1457"/>
    <n v="1"/>
    <x v="1"/>
    <n v="52"/>
    <n v="3"/>
    <n v="3"/>
    <s v="Sales Executive"/>
    <n v="4"/>
    <s v="Divorced"/>
    <n v="10096"/>
    <n v="15986"/>
    <n v="4"/>
    <s v="Y"/>
    <s v="No"/>
    <n v="11"/>
    <x v="0"/>
    <n v="1"/>
    <n v="80"/>
    <n v="1"/>
    <n v="28"/>
    <n v="1"/>
    <n v="4"/>
    <n v="7"/>
    <n v="7"/>
    <n v="4"/>
    <n v="3"/>
    <n v="1"/>
    <x v="1"/>
    <x v="0"/>
    <s v="10k-15k"/>
    <x v="0"/>
    <x v="0"/>
    <x v="0"/>
  </r>
  <r>
    <n v="39"/>
    <s v="Yes"/>
    <x v="2"/>
    <n v="592"/>
    <x v="1"/>
    <n v="2"/>
    <n v="3"/>
    <s v="Life Sciences"/>
    <n v="1"/>
    <n v="1458"/>
    <n v="1"/>
    <x v="0"/>
    <n v="54"/>
    <n v="2"/>
    <n v="1"/>
    <s v="Laboratory Technician"/>
    <n v="1"/>
    <s v="Single"/>
    <n v="3646"/>
    <n v="17181"/>
    <n v="2"/>
    <s v="Y"/>
    <s v="Yes"/>
    <n v="23"/>
    <x v="1"/>
    <n v="2"/>
    <n v="80"/>
    <n v="0"/>
    <n v="11"/>
    <n v="2"/>
    <n v="4"/>
    <n v="1"/>
    <n v="0"/>
    <n v="0"/>
    <n v="0"/>
    <n v="1"/>
    <x v="0"/>
    <x v="0"/>
    <s v="0-5k"/>
    <x v="0"/>
    <x v="1"/>
    <x v="3"/>
  </r>
  <r>
    <n v="31"/>
    <s v="Yes"/>
    <x v="1"/>
    <n v="1445"/>
    <x v="1"/>
    <n v="1"/>
    <n v="5"/>
    <s v="Life Sciences"/>
    <n v="1"/>
    <n v="1459"/>
    <n v="3"/>
    <x v="0"/>
    <n v="100"/>
    <n v="4"/>
    <n v="3"/>
    <s v="Manufacturing Director"/>
    <n v="2"/>
    <s v="Single"/>
    <n v="7446"/>
    <n v="8931"/>
    <n v="1"/>
    <s v="Y"/>
    <s v="No"/>
    <n v="11"/>
    <x v="0"/>
    <n v="1"/>
    <n v="80"/>
    <n v="0"/>
    <n v="10"/>
    <n v="2"/>
    <n v="3"/>
    <n v="10"/>
    <n v="8"/>
    <n v="4"/>
    <n v="7"/>
    <n v="1"/>
    <x v="0"/>
    <x v="0"/>
    <s v="5k-10k"/>
    <x v="0"/>
    <x v="0"/>
    <x v="1"/>
  </r>
  <r>
    <n v="45"/>
    <s v="No"/>
    <x v="0"/>
    <n v="1038"/>
    <x v="1"/>
    <n v="20"/>
    <n v="3"/>
    <s v="Medical"/>
    <n v="1"/>
    <n v="1460"/>
    <n v="2"/>
    <x v="1"/>
    <n v="95"/>
    <n v="1"/>
    <n v="3"/>
    <s v="Healthcare Representative"/>
    <n v="1"/>
    <s v="Divorced"/>
    <n v="10851"/>
    <n v="19863"/>
    <n v="2"/>
    <s v="Y"/>
    <s v="Yes"/>
    <n v="18"/>
    <x v="0"/>
    <n v="2"/>
    <n v="80"/>
    <n v="1"/>
    <n v="24"/>
    <n v="2"/>
    <n v="3"/>
    <n v="7"/>
    <n v="7"/>
    <n v="0"/>
    <n v="7"/>
    <n v="0"/>
    <x v="0"/>
    <x v="2"/>
    <s v="10k-15k"/>
    <x v="0"/>
    <x v="0"/>
    <x v="3"/>
  </r>
  <r>
    <n v="31"/>
    <s v="No"/>
    <x v="0"/>
    <n v="1398"/>
    <x v="2"/>
    <n v="8"/>
    <n v="2"/>
    <s v="Medical"/>
    <n v="1"/>
    <n v="1461"/>
    <n v="4"/>
    <x v="0"/>
    <n v="96"/>
    <n v="4"/>
    <n v="1"/>
    <s v="Human Resources"/>
    <n v="2"/>
    <s v="Single"/>
    <n v="2109"/>
    <n v="24609"/>
    <n v="9"/>
    <s v="Y"/>
    <s v="No"/>
    <n v="18"/>
    <x v="0"/>
    <n v="4"/>
    <n v="80"/>
    <n v="0"/>
    <n v="8"/>
    <n v="3"/>
    <n v="3"/>
    <n v="3"/>
    <n v="2"/>
    <n v="0"/>
    <n v="2"/>
    <n v="0"/>
    <x v="0"/>
    <x v="0"/>
    <s v="0-5k"/>
    <x v="0"/>
    <x v="0"/>
    <x v="1"/>
  </r>
  <r>
    <n v="31"/>
    <s v="Yes"/>
    <x v="1"/>
    <n v="523"/>
    <x v="1"/>
    <n v="2"/>
    <n v="3"/>
    <s v="Life Sciences"/>
    <n v="1"/>
    <n v="1464"/>
    <n v="2"/>
    <x v="1"/>
    <n v="94"/>
    <n v="3"/>
    <n v="1"/>
    <s v="Laboratory Technician"/>
    <n v="4"/>
    <s v="Married"/>
    <n v="3722"/>
    <n v="21081"/>
    <n v="6"/>
    <s v="Y"/>
    <s v="Yes"/>
    <n v="13"/>
    <x v="0"/>
    <n v="3"/>
    <n v="80"/>
    <n v="1"/>
    <n v="7"/>
    <n v="2"/>
    <n v="1"/>
    <n v="2"/>
    <n v="2"/>
    <n v="2"/>
    <n v="2"/>
    <n v="1"/>
    <x v="0"/>
    <x v="0"/>
    <s v="0-5k"/>
    <x v="0"/>
    <x v="0"/>
    <x v="0"/>
  </r>
  <r>
    <n v="45"/>
    <s v="No"/>
    <x v="0"/>
    <n v="1448"/>
    <x v="1"/>
    <n v="29"/>
    <n v="3"/>
    <s v="Technical Degree"/>
    <n v="1"/>
    <n v="1465"/>
    <n v="2"/>
    <x v="1"/>
    <n v="55"/>
    <n v="3"/>
    <n v="3"/>
    <s v="Manufacturing Director"/>
    <n v="4"/>
    <s v="Married"/>
    <n v="9380"/>
    <n v="14720"/>
    <n v="4"/>
    <s v="Y"/>
    <s v="Yes"/>
    <n v="18"/>
    <x v="0"/>
    <n v="4"/>
    <n v="80"/>
    <n v="2"/>
    <n v="10"/>
    <n v="4"/>
    <n v="4"/>
    <n v="3"/>
    <n v="1"/>
    <n v="1"/>
    <n v="2"/>
    <n v="0"/>
    <x v="0"/>
    <x v="1"/>
    <s v="5k-10k"/>
    <x v="0"/>
    <x v="0"/>
    <x v="0"/>
  </r>
  <r>
    <n v="48"/>
    <s v="No"/>
    <x v="0"/>
    <n v="1221"/>
    <x v="0"/>
    <n v="7"/>
    <n v="3"/>
    <s v="Marketing"/>
    <n v="1"/>
    <n v="1466"/>
    <n v="3"/>
    <x v="1"/>
    <n v="96"/>
    <n v="3"/>
    <n v="2"/>
    <s v="Sales Executive"/>
    <n v="1"/>
    <s v="Divorced"/>
    <n v="5486"/>
    <n v="24795"/>
    <n v="4"/>
    <s v="Y"/>
    <s v="No"/>
    <n v="11"/>
    <x v="0"/>
    <n v="1"/>
    <n v="80"/>
    <n v="3"/>
    <n v="15"/>
    <n v="3"/>
    <n v="3"/>
    <n v="2"/>
    <n v="2"/>
    <n v="2"/>
    <n v="2"/>
    <n v="0"/>
    <x v="1"/>
    <x v="0"/>
    <s v="5k-10k"/>
    <x v="0"/>
    <x v="0"/>
    <x v="3"/>
  </r>
  <r>
    <n v="34"/>
    <s v="Yes"/>
    <x v="0"/>
    <n v="1107"/>
    <x v="2"/>
    <n v="9"/>
    <n v="4"/>
    <s v="Technical Degree"/>
    <n v="1"/>
    <n v="1467"/>
    <n v="1"/>
    <x v="0"/>
    <n v="52"/>
    <n v="3"/>
    <n v="1"/>
    <s v="Human Resources"/>
    <n v="3"/>
    <s v="Married"/>
    <n v="2742"/>
    <n v="3072"/>
    <n v="1"/>
    <s v="Y"/>
    <s v="No"/>
    <n v="15"/>
    <x v="0"/>
    <n v="4"/>
    <n v="80"/>
    <n v="0"/>
    <n v="2"/>
    <n v="0"/>
    <n v="3"/>
    <n v="2"/>
    <n v="2"/>
    <n v="2"/>
    <n v="2"/>
    <n v="1"/>
    <x v="0"/>
    <x v="0"/>
    <s v="0-5k"/>
    <x v="0"/>
    <x v="0"/>
    <x v="2"/>
  </r>
  <r>
    <n v="40"/>
    <s v="No"/>
    <x v="2"/>
    <n v="218"/>
    <x v="1"/>
    <n v="8"/>
    <n v="1"/>
    <s v="Medical"/>
    <n v="1"/>
    <n v="1468"/>
    <n v="4"/>
    <x v="1"/>
    <n v="55"/>
    <n v="2"/>
    <n v="3"/>
    <s v="Research Director"/>
    <n v="2"/>
    <s v="Divorced"/>
    <n v="13757"/>
    <n v="25178"/>
    <n v="2"/>
    <s v="Y"/>
    <s v="No"/>
    <n v="11"/>
    <x v="0"/>
    <n v="3"/>
    <n v="80"/>
    <n v="1"/>
    <n v="16"/>
    <n v="5"/>
    <n v="3"/>
    <n v="9"/>
    <n v="8"/>
    <n v="4"/>
    <n v="8"/>
    <n v="0"/>
    <x v="0"/>
    <x v="0"/>
    <s v="10k-15k"/>
    <x v="0"/>
    <x v="0"/>
    <x v="1"/>
  </r>
  <r>
    <n v="28"/>
    <s v="No"/>
    <x v="0"/>
    <n v="866"/>
    <x v="0"/>
    <n v="5"/>
    <n v="3"/>
    <s v="Medical"/>
    <n v="1"/>
    <n v="1469"/>
    <n v="4"/>
    <x v="1"/>
    <n v="84"/>
    <n v="3"/>
    <n v="2"/>
    <s v="Sales Executive"/>
    <n v="1"/>
    <s v="Single"/>
    <n v="8463"/>
    <n v="23490"/>
    <n v="0"/>
    <s v="Y"/>
    <s v="No"/>
    <n v="18"/>
    <x v="0"/>
    <n v="4"/>
    <n v="80"/>
    <n v="0"/>
    <n v="6"/>
    <n v="4"/>
    <n v="3"/>
    <n v="5"/>
    <n v="4"/>
    <n v="1"/>
    <n v="3"/>
    <n v="0"/>
    <x v="2"/>
    <x v="0"/>
    <s v="5k-10k"/>
    <x v="0"/>
    <x v="0"/>
    <x v="3"/>
  </r>
  <r>
    <n v="44"/>
    <s v="No"/>
    <x v="2"/>
    <n v="981"/>
    <x v="1"/>
    <n v="5"/>
    <n v="3"/>
    <s v="Life Sciences"/>
    <n v="1"/>
    <n v="1471"/>
    <n v="3"/>
    <x v="1"/>
    <n v="90"/>
    <n v="2"/>
    <n v="1"/>
    <s v="Laboratory Technician"/>
    <n v="3"/>
    <s v="Single"/>
    <n v="3162"/>
    <n v="7973"/>
    <n v="3"/>
    <s v="Y"/>
    <s v="No"/>
    <n v="14"/>
    <x v="0"/>
    <n v="4"/>
    <n v="80"/>
    <n v="0"/>
    <n v="7"/>
    <n v="5"/>
    <n v="3"/>
    <n v="5"/>
    <n v="2"/>
    <n v="0"/>
    <n v="3"/>
    <n v="0"/>
    <x v="0"/>
    <x v="0"/>
    <s v="0-5k"/>
    <x v="0"/>
    <x v="0"/>
    <x v="2"/>
  </r>
  <r>
    <n v="53"/>
    <s v="No"/>
    <x v="0"/>
    <n v="447"/>
    <x v="1"/>
    <n v="2"/>
    <n v="3"/>
    <s v="Medical"/>
    <n v="1"/>
    <n v="1472"/>
    <n v="4"/>
    <x v="1"/>
    <n v="39"/>
    <n v="4"/>
    <n v="4"/>
    <s v="Research Director"/>
    <n v="2"/>
    <s v="Single"/>
    <n v="16598"/>
    <n v="19764"/>
    <n v="4"/>
    <s v="Y"/>
    <s v="No"/>
    <n v="12"/>
    <x v="0"/>
    <n v="2"/>
    <n v="80"/>
    <n v="0"/>
    <n v="35"/>
    <n v="2"/>
    <n v="2"/>
    <n v="9"/>
    <n v="8"/>
    <n v="8"/>
    <n v="8"/>
    <n v="0"/>
    <x v="1"/>
    <x v="0"/>
    <s v="15k+"/>
    <x v="0"/>
    <x v="0"/>
    <x v="1"/>
  </r>
  <r>
    <n v="49"/>
    <s v="No"/>
    <x v="0"/>
    <n v="1495"/>
    <x v="1"/>
    <n v="5"/>
    <n v="4"/>
    <s v="Technical Degree"/>
    <n v="1"/>
    <n v="1473"/>
    <n v="1"/>
    <x v="1"/>
    <n v="96"/>
    <n v="3"/>
    <n v="2"/>
    <s v="Healthcare Representative"/>
    <n v="3"/>
    <s v="Married"/>
    <n v="6651"/>
    <n v="21534"/>
    <n v="2"/>
    <s v="Y"/>
    <s v="No"/>
    <n v="14"/>
    <x v="0"/>
    <n v="2"/>
    <n v="80"/>
    <n v="1"/>
    <n v="20"/>
    <n v="0"/>
    <n v="2"/>
    <n v="3"/>
    <n v="2"/>
    <n v="1"/>
    <n v="2"/>
    <n v="0"/>
    <x v="1"/>
    <x v="0"/>
    <s v="5k-10k"/>
    <x v="0"/>
    <x v="0"/>
    <x v="2"/>
  </r>
  <r>
    <n v="40"/>
    <s v="No"/>
    <x v="0"/>
    <n v="896"/>
    <x v="1"/>
    <n v="2"/>
    <n v="3"/>
    <s v="Medical"/>
    <n v="1"/>
    <n v="1474"/>
    <n v="3"/>
    <x v="1"/>
    <n v="68"/>
    <n v="3"/>
    <n v="1"/>
    <s v="Research Scientist"/>
    <n v="3"/>
    <s v="Divorced"/>
    <n v="2345"/>
    <n v="8045"/>
    <n v="2"/>
    <s v="Y"/>
    <s v="No"/>
    <n v="14"/>
    <x v="0"/>
    <n v="3"/>
    <n v="80"/>
    <n v="1"/>
    <n v="8"/>
    <n v="3"/>
    <n v="4"/>
    <n v="3"/>
    <n v="1"/>
    <n v="1"/>
    <n v="2"/>
    <n v="0"/>
    <x v="0"/>
    <x v="0"/>
    <s v="0-5k"/>
    <x v="0"/>
    <x v="0"/>
    <x v="2"/>
  </r>
  <r>
    <n v="44"/>
    <s v="No"/>
    <x v="0"/>
    <n v="1467"/>
    <x v="1"/>
    <n v="20"/>
    <n v="3"/>
    <s v="Life Sciences"/>
    <n v="1"/>
    <n v="1475"/>
    <n v="4"/>
    <x v="1"/>
    <n v="49"/>
    <n v="3"/>
    <n v="1"/>
    <s v="Research Scientist"/>
    <n v="2"/>
    <s v="Single"/>
    <n v="3420"/>
    <n v="21158"/>
    <n v="1"/>
    <s v="Y"/>
    <s v="No"/>
    <n v="13"/>
    <x v="0"/>
    <n v="3"/>
    <n v="80"/>
    <n v="0"/>
    <n v="6"/>
    <n v="3"/>
    <n v="2"/>
    <n v="5"/>
    <n v="2"/>
    <n v="1"/>
    <n v="3"/>
    <n v="0"/>
    <x v="0"/>
    <x v="2"/>
    <s v="0-5k"/>
    <x v="0"/>
    <x v="0"/>
    <x v="1"/>
  </r>
  <r>
    <n v="33"/>
    <s v="No"/>
    <x v="1"/>
    <n v="430"/>
    <x v="0"/>
    <n v="7"/>
    <n v="3"/>
    <s v="Medical"/>
    <n v="1"/>
    <n v="1477"/>
    <n v="4"/>
    <x v="1"/>
    <n v="54"/>
    <n v="3"/>
    <n v="2"/>
    <s v="Sales Executive"/>
    <n v="1"/>
    <s v="Married"/>
    <n v="4373"/>
    <n v="17456"/>
    <n v="0"/>
    <s v="Y"/>
    <s v="No"/>
    <n v="14"/>
    <x v="0"/>
    <n v="1"/>
    <n v="80"/>
    <n v="2"/>
    <n v="5"/>
    <n v="2"/>
    <n v="3"/>
    <n v="4"/>
    <n v="3"/>
    <n v="0"/>
    <n v="3"/>
    <n v="0"/>
    <x v="0"/>
    <x v="0"/>
    <s v="0-5k"/>
    <x v="0"/>
    <x v="0"/>
    <x v="3"/>
  </r>
  <r>
    <n v="34"/>
    <s v="No"/>
    <x v="0"/>
    <n v="1326"/>
    <x v="0"/>
    <n v="3"/>
    <n v="3"/>
    <s v="Other"/>
    <n v="1"/>
    <n v="1478"/>
    <n v="4"/>
    <x v="1"/>
    <n v="81"/>
    <n v="1"/>
    <n v="2"/>
    <s v="Sales Executive"/>
    <n v="1"/>
    <s v="Single"/>
    <n v="4759"/>
    <n v="15891"/>
    <n v="3"/>
    <s v="Y"/>
    <s v="No"/>
    <n v="18"/>
    <x v="0"/>
    <n v="4"/>
    <n v="80"/>
    <n v="0"/>
    <n v="15"/>
    <n v="2"/>
    <n v="3"/>
    <n v="13"/>
    <n v="9"/>
    <n v="3"/>
    <n v="12"/>
    <n v="0"/>
    <x v="0"/>
    <x v="0"/>
    <s v="0-5k"/>
    <x v="2"/>
    <x v="0"/>
    <x v="3"/>
  </r>
  <r>
    <n v="30"/>
    <s v="No"/>
    <x v="0"/>
    <n v="1358"/>
    <x v="0"/>
    <n v="16"/>
    <n v="1"/>
    <s v="Life Sciences"/>
    <n v="1"/>
    <n v="1479"/>
    <n v="4"/>
    <x v="1"/>
    <n v="96"/>
    <n v="3"/>
    <n v="2"/>
    <s v="Sales Executive"/>
    <n v="3"/>
    <s v="Married"/>
    <n v="5301"/>
    <n v="2939"/>
    <n v="8"/>
    <s v="Y"/>
    <s v="No"/>
    <n v="15"/>
    <x v="0"/>
    <n v="3"/>
    <n v="80"/>
    <n v="2"/>
    <n v="4"/>
    <n v="2"/>
    <n v="2"/>
    <n v="2"/>
    <n v="1"/>
    <n v="2"/>
    <n v="2"/>
    <n v="0"/>
    <x v="2"/>
    <x v="2"/>
    <s v="5k-10k"/>
    <x v="0"/>
    <x v="0"/>
    <x v="2"/>
  </r>
  <r>
    <n v="42"/>
    <s v="No"/>
    <x v="1"/>
    <n v="748"/>
    <x v="1"/>
    <n v="9"/>
    <n v="2"/>
    <s v="Medical"/>
    <n v="1"/>
    <n v="1480"/>
    <n v="1"/>
    <x v="0"/>
    <n v="74"/>
    <n v="3"/>
    <n v="1"/>
    <s v="Laboratory Technician"/>
    <n v="4"/>
    <s v="Single"/>
    <n v="3673"/>
    <n v="16458"/>
    <n v="1"/>
    <s v="Y"/>
    <s v="No"/>
    <n v="13"/>
    <x v="0"/>
    <n v="3"/>
    <n v="80"/>
    <n v="0"/>
    <n v="12"/>
    <n v="3"/>
    <n v="3"/>
    <n v="12"/>
    <n v="9"/>
    <n v="5"/>
    <n v="8"/>
    <n v="0"/>
    <x v="0"/>
    <x v="0"/>
    <s v="0-5k"/>
    <x v="2"/>
    <x v="0"/>
    <x v="0"/>
  </r>
  <r>
    <n v="44"/>
    <s v="No"/>
    <x v="1"/>
    <n v="383"/>
    <x v="0"/>
    <n v="1"/>
    <n v="5"/>
    <s v="Marketing"/>
    <n v="1"/>
    <n v="1481"/>
    <n v="1"/>
    <x v="0"/>
    <n v="79"/>
    <n v="3"/>
    <n v="2"/>
    <s v="Sales Executive"/>
    <n v="3"/>
    <s v="Married"/>
    <n v="4768"/>
    <n v="9282"/>
    <n v="7"/>
    <s v="Y"/>
    <s v="No"/>
    <n v="12"/>
    <x v="0"/>
    <n v="3"/>
    <n v="80"/>
    <n v="1"/>
    <n v="11"/>
    <n v="4"/>
    <n v="2"/>
    <n v="1"/>
    <n v="0"/>
    <n v="0"/>
    <n v="0"/>
    <n v="0"/>
    <x v="0"/>
    <x v="0"/>
    <s v="0-5k"/>
    <x v="0"/>
    <x v="0"/>
    <x v="2"/>
  </r>
  <r>
    <n v="30"/>
    <s v="No"/>
    <x v="2"/>
    <n v="990"/>
    <x v="1"/>
    <n v="7"/>
    <n v="3"/>
    <s v="Technical Degree"/>
    <n v="1"/>
    <n v="1482"/>
    <n v="3"/>
    <x v="1"/>
    <n v="64"/>
    <n v="3"/>
    <n v="1"/>
    <s v="Research Scientist"/>
    <n v="3"/>
    <s v="Divorced"/>
    <n v="1274"/>
    <n v="7152"/>
    <n v="1"/>
    <s v="Y"/>
    <s v="No"/>
    <n v="13"/>
    <x v="0"/>
    <n v="2"/>
    <n v="80"/>
    <n v="2"/>
    <n v="1"/>
    <n v="2"/>
    <n v="2"/>
    <n v="1"/>
    <n v="0"/>
    <n v="0"/>
    <n v="0"/>
    <n v="0"/>
    <x v="2"/>
    <x v="0"/>
    <s v="0-5k"/>
    <x v="0"/>
    <x v="0"/>
    <x v="2"/>
  </r>
  <r>
    <n v="57"/>
    <s v="No"/>
    <x v="0"/>
    <n v="405"/>
    <x v="1"/>
    <n v="1"/>
    <n v="2"/>
    <s v="Life Sciences"/>
    <n v="1"/>
    <n v="1483"/>
    <n v="2"/>
    <x v="1"/>
    <n v="93"/>
    <n v="4"/>
    <n v="2"/>
    <s v="Research Scientist"/>
    <n v="3"/>
    <s v="Married"/>
    <n v="4900"/>
    <n v="2721"/>
    <n v="0"/>
    <s v="Y"/>
    <s v="No"/>
    <n v="24"/>
    <x v="1"/>
    <n v="1"/>
    <n v="80"/>
    <n v="1"/>
    <n v="13"/>
    <n v="2"/>
    <n v="2"/>
    <n v="12"/>
    <n v="9"/>
    <n v="2"/>
    <n v="8"/>
    <n v="0"/>
    <x v="1"/>
    <x v="0"/>
    <s v="0-5k"/>
    <x v="2"/>
    <x v="1"/>
    <x v="2"/>
  </r>
  <r>
    <n v="49"/>
    <s v="No"/>
    <x v="0"/>
    <n v="1490"/>
    <x v="1"/>
    <n v="7"/>
    <n v="4"/>
    <s v="Life Sciences"/>
    <n v="1"/>
    <n v="1484"/>
    <n v="3"/>
    <x v="1"/>
    <n v="35"/>
    <n v="3"/>
    <n v="3"/>
    <s v="Healthcare Representative"/>
    <n v="2"/>
    <s v="Divorced"/>
    <n v="10466"/>
    <n v="20948"/>
    <n v="3"/>
    <s v="Y"/>
    <s v="No"/>
    <n v="14"/>
    <x v="0"/>
    <n v="2"/>
    <n v="80"/>
    <n v="2"/>
    <n v="29"/>
    <n v="3"/>
    <n v="3"/>
    <n v="8"/>
    <n v="7"/>
    <n v="0"/>
    <n v="7"/>
    <n v="0"/>
    <x v="1"/>
    <x v="0"/>
    <s v="10k-15k"/>
    <x v="0"/>
    <x v="0"/>
    <x v="1"/>
  </r>
  <r>
    <n v="34"/>
    <s v="No"/>
    <x v="1"/>
    <n v="829"/>
    <x v="1"/>
    <n v="15"/>
    <n v="3"/>
    <s v="Medical"/>
    <n v="1"/>
    <n v="1485"/>
    <n v="2"/>
    <x v="1"/>
    <n v="71"/>
    <n v="3"/>
    <n v="4"/>
    <s v="Research Director"/>
    <n v="1"/>
    <s v="Divorced"/>
    <n v="17007"/>
    <n v="11929"/>
    <n v="7"/>
    <s v="Y"/>
    <s v="No"/>
    <n v="14"/>
    <x v="0"/>
    <n v="4"/>
    <n v="80"/>
    <n v="2"/>
    <n v="16"/>
    <n v="3"/>
    <n v="2"/>
    <n v="14"/>
    <n v="8"/>
    <n v="6"/>
    <n v="9"/>
    <n v="0"/>
    <x v="0"/>
    <x v="2"/>
    <s v="15k+"/>
    <x v="2"/>
    <x v="0"/>
    <x v="3"/>
  </r>
  <r>
    <n v="28"/>
    <s v="Yes"/>
    <x v="1"/>
    <n v="1496"/>
    <x v="0"/>
    <n v="1"/>
    <n v="3"/>
    <s v="Technical Degree"/>
    <n v="1"/>
    <n v="1486"/>
    <n v="1"/>
    <x v="1"/>
    <n v="92"/>
    <n v="3"/>
    <n v="1"/>
    <s v="Sales Representative"/>
    <n v="3"/>
    <s v="Married"/>
    <n v="2909"/>
    <n v="15747"/>
    <n v="3"/>
    <s v="Y"/>
    <s v="No"/>
    <n v="15"/>
    <x v="0"/>
    <n v="4"/>
    <n v="80"/>
    <n v="1"/>
    <n v="5"/>
    <n v="3"/>
    <n v="4"/>
    <n v="3"/>
    <n v="2"/>
    <n v="1"/>
    <n v="2"/>
    <n v="1"/>
    <x v="2"/>
    <x v="0"/>
    <s v="0-5k"/>
    <x v="0"/>
    <x v="0"/>
    <x v="2"/>
  </r>
  <r>
    <n v="29"/>
    <s v="Yes"/>
    <x v="1"/>
    <n v="115"/>
    <x v="0"/>
    <n v="13"/>
    <n v="3"/>
    <s v="Technical Degree"/>
    <n v="1"/>
    <n v="1487"/>
    <n v="1"/>
    <x v="0"/>
    <n v="51"/>
    <n v="3"/>
    <n v="2"/>
    <s v="Sales Executive"/>
    <n v="2"/>
    <s v="Single"/>
    <n v="5765"/>
    <n v="17485"/>
    <n v="5"/>
    <s v="Y"/>
    <s v="No"/>
    <n v="11"/>
    <x v="0"/>
    <n v="1"/>
    <n v="80"/>
    <n v="0"/>
    <n v="7"/>
    <n v="4"/>
    <n v="1"/>
    <n v="5"/>
    <n v="3"/>
    <n v="0"/>
    <n v="0"/>
    <n v="1"/>
    <x v="2"/>
    <x v="2"/>
    <s v="5k-10k"/>
    <x v="0"/>
    <x v="0"/>
    <x v="1"/>
  </r>
  <r>
    <n v="34"/>
    <s v="Yes"/>
    <x v="0"/>
    <n v="790"/>
    <x v="0"/>
    <n v="24"/>
    <n v="4"/>
    <s v="Medical"/>
    <n v="1"/>
    <n v="1489"/>
    <n v="1"/>
    <x v="0"/>
    <n v="40"/>
    <n v="2"/>
    <n v="2"/>
    <s v="Sales Executive"/>
    <n v="2"/>
    <s v="Single"/>
    <n v="4599"/>
    <n v="7815"/>
    <n v="0"/>
    <s v="Y"/>
    <s v="Yes"/>
    <n v="23"/>
    <x v="1"/>
    <n v="3"/>
    <n v="80"/>
    <n v="0"/>
    <n v="16"/>
    <n v="2"/>
    <n v="4"/>
    <n v="15"/>
    <n v="9"/>
    <n v="10"/>
    <n v="10"/>
    <n v="1"/>
    <x v="0"/>
    <x v="1"/>
    <s v="0-5k"/>
    <x v="2"/>
    <x v="1"/>
    <x v="1"/>
  </r>
  <r>
    <n v="35"/>
    <s v="No"/>
    <x v="0"/>
    <n v="660"/>
    <x v="0"/>
    <n v="7"/>
    <n v="1"/>
    <s v="Life Sciences"/>
    <n v="1"/>
    <n v="1492"/>
    <n v="4"/>
    <x v="1"/>
    <n v="76"/>
    <n v="3"/>
    <n v="1"/>
    <s v="Sales Representative"/>
    <n v="3"/>
    <s v="Married"/>
    <n v="2404"/>
    <n v="16192"/>
    <n v="1"/>
    <s v="Y"/>
    <s v="No"/>
    <n v="13"/>
    <x v="0"/>
    <n v="1"/>
    <n v="80"/>
    <n v="1"/>
    <n v="1"/>
    <n v="3"/>
    <n v="3"/>
    <n v="1"/>
    <n v="0"/>
    <n v="0"/>
    <n v="0"/>
    <n v="0"/>
    <x v="0"/>
    <x v="0"/>
    <s v="0-5k"/>
    <x v="0"/>
    <x v="0"/>
    <x v="2"/>
  </r>
  <r>
    <n v="24"/>
    <s v="Yes"/>
    <x v="1"/>
    <n v="381"/>
    <x v="1"/>
    <n v="9"/>
    <n v="3"/>
    <s v="Medical"/>
    <n v="1"/>
    <n v="1494"/>
    <n v="2"/>
    <x v="1"/>
    <n v="89"/>
    <n v="3"/>
    <n v="1"/>
    <s v="Laboratory Technician"/>
    <n v="1"/>
    <s v="Single"/>
    <n v="3172"/>
    <n v="16998"/>
    <n v="2"/>
    <s v="Y"/>
    <s v="Yes"/>
    <n v="11"/>
    <x v="0"/>
    <n v="3"/>
    <n v="80"/>
    <n v="0"/>
    <n v="4"/>
    <n v="2"/>
    <n v="2"/>
    <n v="0"/>
    <n v="0"/>
    <n v="0"/>
    <n v="0"/>
    <n v="1"/>
    <x v="2"/>
    <x v="0"/>
    <s v="0-5k"/>
    <x v="0"/>
    <x v="0"/>
    <x v="3"/>
  </r>
  <r>
    <n v="24"/>
    <s v="No"/>
    <x v="2"/>
    <n v="830"/>
    <x v="0"/>
    <n v="13"/>
    <n v="2"/>
    <s v="Life Sciences"/>
    <n v="1"/>
    <n v="1495"/>
    <n v="4"/>
    <x v="0"/>
    <n v="78"/>
    <n v="3"/>
    <n v="1"/>
    <s v="Sales Representative"/>
    <n v="2"/>
    <s v="Married"/>
    <n v="2033"/>
    <n v="7103"/>
    <n v="1"/>
    <s v="Y"/>
    <s v="No"/>
    <n v="13"/>
    <x v="0"/>
    <n v="3"/>
    <n v="80"/>
    <n v="1"/>
    <n v="1"/>
    <n v="2"/>
    <n v="3"/>
    <n v="1"/>
    <n v="0"/>
    <n v="0"/>
    <n v="0"/>
    <n v="0"/>
    <x v="2"/>
    <x v="2"/>
    <s v="0-5k"/>
    <x v="0"/>
    <x v="0"/>
    <x v="1"/>
  </r>
  <r>
    <n v="44"/>
    <s v="No"/>
    <x v="1"/>
    <n v="1193"/>
    <x v="1"/>
    <n v="2"/>
    <n v="1"/>
    <s v="Medical"/>
    <n v="1"/>
    <n v="1496"/>
    <n v="2"/>
    <x v="1"/>
    <n v="86"/>
    <n v="3"/>
    <n v="3"/>
    <s v="Manufacturing Director"/>
    <n v="3"/>
    <s v="Single"/>
    <n v="10209"/>
    <n v="19719"/>
    <n v="5"/>
    <s v="Y"/>
    <s v="Yes"/>
    <n v="18"/>
    <x v="0"/>
    <n v="2"/>
    <n v="80"/>
    <n v="0"/>
    <n v="16"/>
    <n v="2"/>
    <n v="2"/>
    <n v="2"/>
    <n v="2"/>
    <n v="2"/>
    <n v="2"/>
    <n v="0"/>
    <x v="0"/>
    <x v="0"/>
    <s v="10k-15k"/>
    <x v="0"/>
    <x v="0"/>
    <x v="2"/>
  </r>
  <r>
    <n v="29"/>
    <s v="No"/>
    <x v="0"/>
    <n v="1246"/>
    <x v="0"/>
    <n v="19"/>
    <n v="3"/>
    <s v="Life Sciences"/>
    <n v="1"/>
    <n v="1497"/>
    <n v="3"/>
    <x v="1"/>
    <n v="77"/>
    <n v="2"/>
    <n v="2"/>
    <s v="Sales Executive"/>
    <n v="3"/>
    <s v="Divorced"/>
    <n v="8620"/>
    <n v="23757"/>
    <n v="1"/>
    <s v="Y"/>
    <s v="No"/>
    <n v="14"/>
    <x v="0"/>
    <n v="3"/>
    <n v="80"/>
    <n v="2"/>
    <n v="10"/>
    <n v="3"/>
    <n v="3"/>
    <n v="10"/>
    <n v="7"/>
    <n v="0"/>
    <n v="4"/>
    <n v="0"/>
    <x v="2"/>
    <x v="2"/>
    <s v="5k-10k"/>
    <x v="0"/>
    <x v="0"/>
    <x v="2"/>
  </r>
  <r>
    <n v="30"/>
    <s v="No"/>
    <x v="0"/>
    <n v="330"/>
    <x v="2"/>
    <n v="1"/>
    <n v="3"/>
    <s v="Life Sciences"/>
    <n v="1"/>
    <n v="1499"/>
    <n v="3"/>
    <x v="1"/>
    <n v="46"/>
    <n v="3"/>
    <n v="1"/>
    <s v="Human Resources"/>
    <n v="3"/>
    <s v="Divorced"/>
    <n v="2064"/>
    <n v="15428"/>
    <n v="0"/>
    <s v="Y"/>
    <s v="No"/>
    <n v="21"/>
    <x v="1"/>
    <n v="1"/>
    <n v="80"/>
    <n v="1"/>
    <n v="6"/>
    <n v="3"/>
    <n v="4"/>
    <n v="5"/>
    <n v="3"/>
    <n v="1"/>
    <n v="3"/>
    <n v="0"/>
    <x v="2"/>
    <x v="0"/>
    <s v="0-5k"/>
    <x v="0"/>
    <x v="1"/>
    <x v="2"/>
  </r>
  <r>
    <n v="55"/>
    <s v="No"/>
    <x v="0"/>
    <n v="1229"/>
    <x v="1"/>
    <n v="4"/>
    <n v="4"/>
    <s v="Life Sciences"/>
    <n v="1"/>
    <n v="1501"/>
    <n v="4"/>
    <x v="1"/>
    <n v="30"/>
    <n v="3"/>
    <n v="2"/>
    <s v="Healthcare Representative"/>
    <n v="3"/>
    <s v="Married"/>
    <n v="4035"/>
    <n v="16143"/>
    <n v="0"/>
    <s v="Y"/>
    <s v="Yes"/>
    <n v="16"/>
    <x v="0"/>
    <n v="2"/>
    <n v="80"/>
    <n v="0"/>
    <n v="4"/>
    <n v="2"/>
    <n v="3"/>
    <n v="3"/>
    <n v="2"/>
    <n v="1"/>
    <n v="2"/>
    <n v="0"/>
    <x v="1"/>
    <x v="0"/>
    <s v="0-5k"/>
    <x v="0"/>
    <x v="0"/>
    <x v="2"/>
  </r>
  <r>
    <n v="33"/>
    <s v="No"/>
    <x v="0"/>
    <n v="1099"/>
    <x v="1"/>
    <n v="4"/>
    <n v="4"/>
    <s v="Medical"/>
    <n v="1"/>
    <n v="1502"/>
    <n v="1"/>
    <x v="0"/>
    <n v="82"/>
    <n v="2"/>
    <n v="1"/>
    <s v="Laboratory Technician"/>
    <n v="2"/>
    <s v="Married"/>
    <n v="3838"/>
    <n v="8192"/>
    <n v="8"/>
    <s v="Y"/>
    <s v="No"/>
    <n v="11"/>
    <x v="0"/>
    <n v="4"/>
    <n v="80"/>
    <n v="0"/>
    <n v="8"/>
    <n v="5"/>
    <n v="3"/>
    <n v="5"/>
    <n v="4"/>
    <n v="0"/>
    <n v="2"/>
    <n v="0"/>
    <x v="0"/>
    <x v="0"/>
    <s v="0-5k"/>
    <x v="0"/>
    <x v="0"/>
    <x v="1"/>
  </r>
  <r>
    <n v="47"/>
    <s v="No"/>
    <x v="0"/>
    <n v="571"/>
    <x v="0"/>
    <n v="14"/>
    <n v="3"/>
    <s v="Medical"/>
    <n v="1"/>
    <n v="1503"/>
    <n v="3"/>
    <x v="0"/>
    <n v="78"/>
    <n v="3"/>
    <n v="2"/>
    <s v="Sales Executive"/>
    <n v="3"/>
    <s v="Married"/>
    <n v="4591"/>
    <n v="24200"/>
    <n v="3"/>
    <s v="Y"/>
    <s v="Yes"/>
    <n v="17"/>
    <x v="0"/>
    <n v="3"/>
    <n v="80"/>
    <n v="1"/>
    <n v="11"/>
    <n v="4"/>
    <n v="2"/>
    <n v="5"/>
    <n v="4"/>
    <n v="1"/>
    <n v="2"/>
    <n v="0"/>
    <x v="1"/>
    <x v="2"/>
    <s v="0-5k"/>
    <x v="0"/>
    <x v="0"/>
    <x v="2"/>
  </r>
  <r>
    <n v="28"/>
    <s v="Yes"/>
    <x v="1"/>
    <n v="289"/>
    <x v="1"/>
    <n v="2"/>
    <n v="2"/>
    <s v="Medical"/>
    <n v="1"/>
    <n v="1504"/>
    <n v="3"/>
    <x v="1"/>
    <n v="38"/>
    <n v="2"/>
    <n v="1"/>
    <s v="Laboratory Technician"/>
    <n v="1"/>
    <s v="Single"/>
    <n v="2561"/>
    <n v="5355"/>
    <n v="7"/>
    <s v="Y"/>
    <s v="No"/>
    <n v="11"/>
    <x v="0"/>
    <n v="3"/>
    <n v="80"/>
    <n v="0"/>
    <n v="8"/>
    <n v="2"/>
    <n v="2"/>
    <n v="0"/>
    <n v="0"/>
    <n v="0"/>
    <n v="0"/>
    <n v="1"/>
    <x v="2"/>
    <x v="0"/>
    <s v="0-5k"/>
    <x v="0"/>
    <x v="0"/>
    <x v="3"/>
  </r>
  <r>
    <n v="28"/>
    <s v="No"/>
    <x v="0"/>
    <n v="1423"/>
    <x v="1"/>
    <n v="1"/>
    <n v="3"/>
    <s v="Life Sciences"/>
    <n v="1"/>
    <n v="1506"/>
    <n v="1"/>
    <x v="1"/>
    <n v="72"/>
    <n v="2"/>
    <n v="1"/>
    <s v="Research Scientist"/>
    <n v="3"/>
    <s v="Divorced"/>
    <n v="1563"/>
    <n v="12530"/>
    <n v="1"/>
    <s v="Y"/>
    <s v="No"/>
    <n v="14"/>
    <x v="0"/>
    <n v="4"/>
    <n v="80"/>
    <n v="1"/>
    <n v="1"/>
    <n v="2"/>
    <n v="1"/>
    <n v="1"/>
    <n v="0"/>
    <n v="0"/>
    <n v="0"/>
    <n v="0"/>
    <x v="2"/>
    <x v="0"/>
    <s v="0-5k"/>
    <x v="0"/>
    <x v="0"/>
    <x v="2"/>
  </r>
  <r>
    <n v="28"/>
    <s v="No"/>
    <x v="1"/>
    <n v="467"/>
    <x v="0"/>
    <n v="7"/>
    <n v="3"/>
    <s v="Life Sciences"/>
    <n v="1"/>
    <n v="1507"/>
    <n v="3"/>
    <x v="1"/>
    <n v="55"/>
    <n v="3"/>
    <n v="2"/>
    <s v="Sales Executive"/>
    <n v="1"/>
    <s v="Single"/>
    <n v="4898"/>
    <n v="11827"/>
    <n v="0"/>
    <s v="Y"/>
    <s v="No"/>
    <n v="14"/>
    <x v="0"/>
    <n v="4"/>
    <n v="80"/>
    <n v="0"/>
    <n v="5"/>
    <n v="5"/>
    <n v="3"/>
    <n v="4"/>
    <n v="2"/>
    <n v="1"/>
    <n v="3"/>
    <n v="0"/>
    <x v="2"/>
    <x v="0"/>
    <s v="0-5k"/>
    <x v="0"/>
    <x v="0"/>
    <x v="3"/>
  </r>
  <r>
    <n v="49"/>
    <s v="No"/>
    <x v="0"/>
    <n v="271"/>
    <x v="1"/>
    <n v="3"/>
    <n v="2"/>
    <s v="Medical"/>
    <n v="1"/>
    <n v="1509"/>
    <n v="3"/>
    <x v="0"/>
    <n v="43"/>
    <n v="2"/>
    <n v="2"/>
    <s v="Laboratory Technician"/>
    <n v="1"/>
    <s v="Married"/>
    <n v="4789"/>
    <n v="23070"/>
    <n v="4"/>
    <s v="Y"/>
    <s v="No"/>
    <n v="25"/>
    <x v="1"/>
    <n v="1"/>
    <n v="80"/>
    <n v="1"/>
    <n v="10"/>
    <n v="3"/>
    <n v="3"/>
    <n v="3"/>
    <n v="2"/>
    <n v="1"/>
    <n v="2"/>
    <n v="0"/>
    <x v="1"/>
    <x v="0"/>
    <s v="0-5k"/>
    <x v="0"/>
    <x v="1"/>
    <x v="3"/>
  </r>
  <r>
    <n v="29"/>
    <s v="No"/>
    <x v="1"/>
    <n v="410"/>
    <x v="1"/>
    <n v="2"/>
    <n v="1"/>
    <s v="Life Sciences"/>
    <n v="1"/>
    <n v="1513"/>
    <n v="4"/>
    <x v="0"/>
    <n v="97"/>
    <n v="3"/>
    <n v="1"/>
    <s v="Laboratory Technician"/>
    <n v="2"/>
    <s v="Married"/>
    <n v="3180"/>
    <n v="4668"/>
    <n v="0"/>
    <s v="Y"/>
    <s v="No"/>
    <n v="13"/>
    <x v="0"/>
    <n v="3"/>
    <n v="80"/>
    <n v="3"/>
    <n v="4"/>
    <n v="3"/>
    <n v="3"/>
    <n v="3"/>
    <n v="2"/>
    <n v="0"/>
    <n v="2"/>
    <n v="0"/>
    <x v="2"/>
    <x v="0"/>
    <s v="0-5k"/>
    <x v="0"/>
    <x v="0"/>
    <x v="1"/>
  </r>
  <r>
    <n v="28"/>
    <s v="No"/>
    <x v="0"/>
    <n v="1083"/>
    <x v="1"/>
    <n v="29"/>
    <n v="1"/>
    <s v="Life Sciences"/>
    <n v="1"/>
    <n v="1514"/>
    <n v="3"/>
    <x v="1"/>
    <n v="96"/>
    <n v="1"/>
    <n v="2"/>
    <s v="Manufacturing Director"/>
    <n v="2"/>
    <s v="Married"/>
    <n v="6549"/>
    <n v="3173"/>
    <n v="1"/>
    <s v="Y"/>
    <s v="No"/>
    <n v="14"/>
    <x v="0"/>
    <n v="2"/>
    <n v="80"/>
    <n v="2"/>
    <n v="8"/>
    <n v="2"/>
    <n v="2"/>
    <n v="8"/>
    <n v="6"/>
    <n v="1"/>
    <n v="7"/>
    <n v="0"/>
    <x v="2"/>
    <x v="1"/>
    <s v="5k-10k"/>
    <x v="0"/>
    <x v="0"/>
    <x v="1"/>
  </r>
  <r>
    <n v="33"/>
    <s v="No"/>
    <x v="0"/>
    <n v="516"/>
    <x v="1"/>
    <n v="8"/>
    <n v="5"/>
    <s v="Life Sciences"/>
    <n v="1"/>
    <n v="1515"/>
    <n v="4"/>
    <x v="1"/>
    <n v="69"/>
    <n v="3"/>
    <n v="2"/>
    <s v="Healthcare Representative"/>
    <n v="3"/>
    <s v="Single"/>
    <n v="6388"/>
    <n v="22049"/>
    <n v="2"/>
    <s v="Y"/>
    <s v="Yes"/>
    <n v="17"/>
    <x v="0"/>
    <n v="1"/>
    <n v="80"/>
    <n v="0"/>
    <n v="14"/>
    <n v="6"/>
    <n v="3"/>
    <n v="0"/>
    <n v="0"/>
    <n v="0"/>
    <n v="0"/>
    <n v="0"/>
    <x v="0"/>
    <x v="0"/>
    <s v="5k-10k"/>
    <x v="0"/>
    <x v="0"/>
    <x v="2"/>
  </r>
  <r>
    <n v="32"/>
    <s v="No"/>
    <x v="0"/>
    <n v="495"/>
    <x v="1"/>
    <n v="10"/>
    <n v="3"/>
    <s v="Medical"/>
    <n v="1"/>
    <n v="1516"/>
    <n v="3"/>
    <x v="1"/>
    <n v="64"/>
    <n v="3"/>
    <n v="3"/>
    <s v="Manager"/>
    <n v="4"/>
    <s v="Single"/>
    <n v="11244"/>
    <n v="21072"/>
    <n v="2"/>
    <s v="Y"/>
    <s v="No"/>
    <n v="25"/>
    <x v="1"/>
    <n v="2"/>
    <n v="80"/>
    <n v="0"/>
    <n v="10"/>
    <n v="5"/>
    <n v="4"/>
    <n v="5"/>
    <n v="2"/>
    <n v="0"/>
    <n v="0"/>
    <n v="0"/>
    <x v="0"/>
    <x v="0"/>
    <s v="10k-15k"/>
    <x v="0"/>
    <x v="1"/>
    <x v="0"/>
  </r>
  <r>
    <n v="54"/>
    <s v="No"/>
    <x v="1"/>
    <n v="1050"/>
    <x v="1"/>
    <n v="11"/>
    <n v="4"/>
    <s v="Medical"/>
    <n v="1"/>
    <n v="1520"/>
    <n v="2"/>
    <x v="0"/>
    <n v="87"/>
    <n v="3"/>
    <n v="4"/>
    <s v="Manager"/>
    <n v="4"/>
    <s v="Divorced"/>
    <n v="16032"/>
    <n v="24456"/>
    <n v="3"/>
    <s v="Y"/>
    <s v="No"/>
    <n v="20"/>
    <x v="1"/>
    <n v="1"/>
    <n v="80"/>
    <n v="1"/>
    <n v="26"/>
    <n v="2"/>
    <n v="3"/>
    <n v="14"/>
    <n v="9"/>
    <n v="1"/>
    <n v="12"/>
    <n v="0"/>
    <x v="1"/>
    <x v="2"/>
    <s v="15k+"/>
    <x v="2"/>
    <x v="1"/>
    <x v="0"/>
  </r>
  <r>
    <n v="29"/>
    <s v="Yes"/>
    <x v="0"/>
    <n v="224"/>
    <x v="1"/>
    <n v="1"/>
    <n v="4"/>
    <s v="Technical Degree"/>
    <n v="1"/>
    <n v="1522"/>
    <n v="1"/>
    <x v="1"/>
    <n v="100"/>
    <n v="2"/>
    <n v="1"/>
    <s v="Research Scientist"/>
    <n v="1"/>
    <s v="Single"/>
    <n v="2362"/>
    <n v="7568"/>
    <n v="6"/>
    <s v="Y"/>
    <s v="No"/>
    <n v="13"/>
    <x v="0"/>
    <n v="3"/>
    <n v="80"/>
    <n v="0"/>
    <n v="11"/>
    <n v="2"/>
    <n v="1"/>
    <n v="9"/>
    <n v="7"/>
    <n v="0"/>
    <n v="7"/>
    <n v="1"/>
    <x v="2"/>
    <x v="0"/>
    <s v="0-5k"/>
    <x v="0"/>
    <x v="0"/>
    <x v="3"/>
  </r>
  <r>
    <n v="44"/>
    <s v="No"/>
    <x v="0"/>
    <n v="136"/>
    <x v="1"/>
    <n v="28"/>
    <n v="3"/>
    <s v="Life Sciences"/>
    <n v="1"/>
    <n v="1523"/>
    <n v="4"/>
    <x v="1"/>
    <n v="32"/>
    <n v="3"/>
    <n v="4"/>
    <s v="Research Director"/>
    <n v="1"/>
    <s v="Married"/>
    <n v="16328"/>
    <n v="22074"/>
    <n v="3"/>
    <s v="Y"/>
    <s v="No"/>
    <n v="13"/>
    <x v="0"/>
    <n v="3"/>
    <n v="80"/>
    <n v="1"/>
    <n v="24"/>
    <n v="1"/>
    <n v="4"/>
    <n v="20"/>
    <n v="6"/>
    <n v="14"/>
    <n v="17"/>
    <n v="0"/>
    <x v="0"/>
    <x v="1"/>
    <s v="15k+"/>
    <x v="2"/>
    <x v="0"/>
    <x v="3"/>
  </r>
  <r>
    <n v="39"/>
    <s v="No"/>
    <x v="0"/>
    <n v="1089"/>
    <x v="1"/>
    <n v="6"/>
    <n v="3"/>
    <s v="Life Sciences"/>
    <n v="1"/>
    <n v="1525"/>
    <n v="2"/>
    <x v="0"/>
    <n v="32"/>
    <n v="3"/>
    <n v="3"/>
    <s v="Manufacturing Director"/>
    <n v="2"/>
    <s v="Single"/>
    <n v="8376"/>
    <n v="9150"/>
    <n v="4"/>
    <s v="Y"/>
    <s v="No"/>
    <n v="18"/>
    <x v="0"/>
    <n v="4"/>
    <n v="80"/>
    <n v="0"/>
    <n v="9"/>
    <n v="3"/>
    <n v="3"/>
    <n v="2"/>
    <n v="0"/>
    <n v="2"/>
    <n v="2"/>
    <n v="0"/>
    <x v="0"/>
    <x v="0"/>
    <s v="5k-10k"/>
    <x v="0"/>
    <x v="0"/>
    <x v="1"/>
  </r>
  <r>
    <n v="46"/>
    <s v="No"/>
    <x v="0"/>
    <n v="228"/>
    <x v="0"/>
    <n v="3"/>
    <n v="3"/>
    <s v="Life Sciences"/>
    <n v="1"/>
    <n v="1527"/>
    <n v="3"/>
    <x v="0"/>
    <n v="51"/>
    <n v="3"/>
    <n v="4"/>
    <s v="Manager"/>
    <n v="2"/>
    <s v="Married"/>
    <n v="16606"/>
    <n v="11380"/>
    <n v="8"/>
    <s v="Y"/>
    <s v="No"/>
    <n v="12"/>
    <x v="0"/>
    <n v="4"/>
    <n v="80"/>
    <n v="1"/>
    <n v="23"/>
    <n v="2"/>
    <n v="4"/>
    <n v="13"/>
    <n v="12"/>
    <n v="5"/>
    <n v="1"/>
    <n v="0"/>
    <x v="1"/>
    <x v="0"/>
    <s v="15k+"/>
    <x v="2"/>
    <x v="0"/>
    <x v="1"/>
  </r>
  <r>
    <n v="35"/>
    <s v="No"/>
    <x v="0"/>
    <n v="1029"/>
    <x v="1"/>
    <n v="16"/>
    <n v="3"/>
    <s v="Life Sciences"/>
    <n v="1"/>
    <n v="1529"/>
    <n v="4"/>
    <x v="0"/>
    <n v="91"/>
    <n v="2"/>
    <n v="3"/>
    <s v="Healthcare Representative"/>
    <n v="2"/>
    <s v="Single"/>
    <n v="8606"/>
    <n v="21195"/>
    <n v="1"/>
    <s v="Y"/>
    <s v="No"/>
    <n v="19"/>
    <x v="0"/>
    <n v="4"/>
    <n v="80"/>
    <n v="0"/>
    <n v="11"/>
    <n v="3"/>
    <n v="1"/>
    <n v="11"/>
    <n v="8"/>
    <n v="3"/>
    <n v="3"/>
    <n v="0"/>
    <x v="0"/>
    <x v="2"/>
    <s v="5k-10k"/>
    <x v="2"/>
    <x v="0"/>
    <x v="1"/>
  </r>
  <r>
    <n v="23"/>
    <s v="No"/>
    <x v="0"/>
    <n v="507"/>
    <x v="1"/>
    <n v="20"/>
    <n v="1"/>
    <s v="Life Sciences"/>
    <n v="1"/>
    <n v="1533"/>
    <n v="1"/>
    <x v="1"/>
    <n v="97"/>
    <n v="3"/>
    <n v="2"/>
    <s v="Laboratory Technician"/>
    <n v="3"/>
    <s v="Single"/>
    <n v="2272"/>
    <n v="24812"/>
    <n v="0"/>
    <s v="Y"/>
    <s v="No"/>
    <n v="14"/>
    <x v="0"/>
    <n v="2"/>
    <n v="80"/>
    <n v="0"/>
    <n v="5"/>
    <n v="2"/>
    <n v="3"/>
    <n v="4"/>
    <n v="3"/>
    <n v="1"/>
    <n v="2"/>
    <n v="0"/>
    <x v="2"/>
    <x v="2"/>
    <s v="0-5k"/>
    <x v="0"/>
    <x v="0"/>
    <x v="2"/>
  </r>
  <r>
    <n v="40"/>
    <s v="Yes"/>
    <x v="0"/>
    <n v="676"/>
    <x v="1"/>
    <n v="9"/>
    <n v="4"/>
    <s v="Life Sciences"/>
    <n v="1"/>
    <n v="1534"/>
    <n v="4"/>
    <x v="1"/>
    <n v="86"/>
    <n v="3"/>
    <n v="1"/>
    <s v="Laboratory Technician"/>
    <n v="1"/>
    <s v="Single"/>
    <n v="2018"/>
    <n v="21831"/>
    <n v="3"/>
    <s v="Y"/>
    <s v="No"/>
    <n v="14"/>
    <x v="0"/>
    <n v="2"/>
    <n v="80"/>
    <n v="0"/>
    <n v="15"/>
    <n v="3"/>
    <n v="1"/>
    <n v="5"/>
    <n v="4"/>
    <n v="1"/>
    <n v="0"/>
    <n v="1"/>
    <x v="0"/>
    <x v="0"/>
    <s v="0-5k"/>
    <x v="0"/>
    <x v="0"/>
    <x v="3"/>
  </r>
  <r>
    <n v="34"/>
    <s v="No"/>
    <x v="0"/>
    <n v="971"/>
    <x v="0"/>
    <n v="1"/>
    <n v="3"/>
    <s v="Technical Degree"/>
    <n v="1"/>
    <n v="1535"/>
    <n v="4"/>
    <x v="1"/>
    <n v="64"/>
    <n v="2"/>
    <n v="3"/>
    <s v="Sales Executive"/>
    <n v="3"/>
    <s v="Married"/>
    <n v="7083"/>
    <n v="12288"/>
    <n v="1"/>
    <s v="Y"/>
    <s v="Yes"/>
    <n v="14"/>
    <x v="0"/>
    <n v="4"/>
    <n v="80"/>
    <n v="0"/>
    <n v="10"/>
    <n v="3"/>
    <n v="3"/>
    <n v="10"/>
    <n v="9"/>
    <n v="8"/>
    <n v="6"/>
    <n v="0"/>
    <x v="0"/>
    <x v="0"/>
    <s v="5k-10k"/>
    <x v="0"/>
    <x v="0"/>
    <x v="2"/>
  </r>
  <r>
    <n v="31"/>
    <s v="Yes"/>
    <x v="1"/>
    <n v="561"/>
    <x v="1"/>
    <n v="3"/>
    <n v="3"/>
    <s v="Life Sciences"/>
    <n v="1"/>
    <n v="1537"/>
    <n v="4"/>
    <x v="0"/>
    <n v="33"/>
    <n v="3"/>
    <n v="1"/>
    <s v="Research Scientist"/>
    <n v="3"/>
    <s v="Single"/>
    <n v="4084"/>
    <n v="4156"/>
    <n v="1"/>
    <s v="Y"/>
    <s v="No"/>
    <n v="12"/>
    <x v="0"/>
    <n v="1"/>
    <n v="80"/>
    <n v="0"/>
    <n v="7"/>
    <n v="2"/>
    <n v="1"/>
    <n v="7"/>
    <n v="2"/>
    <n v="7"/>
    <n v="7"/>
    <n v="1"/>
    <x v="0"/>
    <x v="0"/>
    <s v="0-5k"/>
    <x v="0"/>
    <x v="0"/>
    <x v="2"/>
  </r>
  <r>
    <n v="50"/>
    <s v="No"/>
    <x v="1"/>
    <n v="333"/>
    <x v="1"/>
    <n v="22"/>
    <n v="5"/>
    <s v="Medical"/>
    <n v="1"/>
    <n v="1539"/>
    <n v="3"/>
    <x v="1"/>
    <n v="88"/>
    <n v="1"/>
    <n v="4"/>
    <s v="Research Director"/>
    <n v="4"/>
    <s v="Single"/>
    <n v="14411"/>
    <n v="24450"/>
    <n v="1"/>
    <s v="Y"/>
    <s v="Yes"/>
    <n v="13"/>
    <x v="0"/>
    <n v="4"/>
    <n v="80"/>
    <n v="0"/>
    <n v="32"/>
    <n v="2"/>
    <n v="3"/>
    <n v="32"/>
    <n v="6"/>
    <n v="13"/>
    <n v="9"/>
    <n v="0"/>
    <x v="1"/>
    <x v="1"/>
    <s v="10k-15k"/>
    <x v="3"/>
    <x v="0"/>
    <x v="0"/>
  </r>
  <r>
    <n v="34"/>
    <s v="No"/>
    <x v="0"/>
    <n v="1440"/>
    <x v="0"/>
    <n v="7"/>
    <n v="2"/>
    <s v="Technical Degree"/>
    <n v="1"/>
    <n v="1541"/>
    <n v="2"/>
    <x v="1"/>
    <n v="55"/>
    <n v="3"/>
    <n v="1"/>
    <s v="Sales Representative"/>
    <n v="3"/>
    <s v="Married"/>
    <n v="2308"/>
    <n v="4944"/>
    <n v="0"/>
    <s v="Y"/>
    <s v="Yes"/>
    <n v="25"/>
    <x v="1"/>
    <n v="2"/>
    <n v="80"/>
    <n v="1"/>
    <n v="12"/>
    <n v="4"/>
    <n v="3"/>
    <n v="11"/>
    <n v="10"/>
    <n v="5"/>
    <n v="7"/>
    <n v="0"/>
    <x v="0"/>
    <x v="0"/>
    <s v="0-5k"/>
    <x v="2"/>
    <x v="1"/>
    <x v="2"/>
  </r>
  <r>
    <n v="42"/>
    <s v="No"/>
    <x v="0"/>
    <n v="1210"/>
    <x v="1"/>
    <n v="2"/>
    <n v="3"/>
    <s v="Medical"/>
    <n v="1"/>
    <n v="1542"/>
    <n v="3"/>
    <x v="1"/>
    <n v="68"/>
    <n v="2"/>
    <n v="1"/>
    <s v="Laboratory Technician"/>
    <n v="2"/>
    <s v="Married"/>
    <n v="4841"/>
    <n v="24052"/>
    <n v="4"/>
    <s v="Y"/>
    <s v="No"/>
    <n v="14"/>
    <x v="0"/>
    <n v="2"/>
    <n v="80"/>
    <n v="1"/>
    <n v="4"/>
    <n v="3"/>
    <n v="3"/>
    <n v="1"/>
    <n v="0"/>
    <n v="0"/>
    <n v="0"/>
    <n v="0"/>
    <x v="0"/>
    <x v="0"/>
    <s v="0-5k"/>
    <x v="0"/>
    <x v="0"/>
    <x v="1"/>
  </r>
  <r>
    <n v="37"/>
    <s v="No"/>
    <x v="0"/>
    <n v="674"/>
    <x v="1"/>
    <n v="13"/>
    <n v="3"/>
    <s v="Medical"/>
    <n v="1"/>
    <n v="1543"/>
    <n v="1"/>
    <x v="1"/>
    <n v="47"/>
    <n v="3"/>
    <n v="2"/>
    <s v="Research Scientist"/>
    <n v="4"/>
    <s v="Married"/>
    <n v="4285"/>
    <n v="3031"/>
    <n v="1"/>
    <s v="Y"/>
    <s v="No"/>
    <n v="17"/>
    <x v="0"/>
    <n v="1"/>
    <n v="80"/>
    <n v="0"/>
    <n v="10"/>
    <n v="2"/>
    <n v="3"/>
    <n v="10"/>
    <n v="8"/>
    <n v="3"/>
    <n v="7"/>
    <n v="0"/>
    <x v="0"/>
    <x v="2"/>
    <s v="0-5k"/>
    <x v="0"/>
    <x v="0"/>
    <x v="0"/>
  </r>
  <r>
    <n v="29"/>
    <s v="No"/>
    <x v="0"/>
    <n v="441"/>
    <x v="1"/>
    <n v="8"/>
    <n v="1"/>
    <s v="Other"/>
    <n v="1"/>
    <n v="1544"/>
    <n v="3"/>
    <x v="0"/>
    <n v="39"/>
    <n v="1"/>
    <n v="2"/>
    <s v="Healthcare Representative"/>
    <n v="1"/>
    <s v="Married"/>
    <n v="9715"/>
    <n v="7288"/>
    <n v="3"/>
    <s v="Y"/>
    <s v="No"/>
    <n v="13"/>
    <x v="0"/>
    <n v="3"/>
    <n v="80"/>
    <n v="1"/>
    <n v="9"/>
    <n v="3"/>
    <n v="3"/>
    <n v="7"/>
    <n v="7"/>
    <n v="0"/>
    <n v="7"/>
    <n v="0"/>
    <x v="2"/>
    <x v="0"/>
    <s v="5k-10k"/>
    <x v="0"/>
    <x v="0"/>
    <x v="3"/>
  </r>
  <r>
    <n v="33"/>
    <s v="No"/>
    <x v="0"/>
    <n v="575"/>
    <x v="1"/>
    <n v="25"/>
    <n v="3"/>
    <s v="Life Sciences"/>
    <n v="1"/>
    <n v="1545"/>
    <n v="4"/>
    <x v="1"/>
    <n v="44"/>
    <n v="2"/>
    <n v="2"/>
    <s v="Manufacturing Director"/>
    <n v="2"/>
    <s v="Single"/>
    <n v="4320"/>
    <n v="24152"/>
    <n v="1"/>
    <s v="Y"/>
    <s v="No"/>
    <n v="13"/>
    <x v="0"/>
    <n v="4"/>
    <n v="80"/>
    <n v="0"/>
    <n v="5"/>
    <n v="2"/>
    <n v="3"/>
    <n v="5"/>
    <n v="3"/>
    <n v="0"/>
    <n v="2"/>
    <n v="0"/>
    <x v="0"/>
    <x v="1"/>
    <s v="0-5k"/>
    <x v="0"/>
    <x v="0"/>
    <x v="1"/>
  </r>
  <r>
    <n v="45"/>
    <s v="No"/>
    <x v="0"/>
    <n v="950"/>
    <x v="1"/>
    <n v="28"/>
    <n v="3"/>
    <s v="Technical Degree"/>
    <n v="1"/>
    <n v="1546"/>
    <n v="4"/>
    <x v="1"/>
    <n v="97"/>
    <n v="3"/>
    <n v="1"/>
    <s v="Research Scientist"/>
    <n v="4"/>
    <s v="Married"/>
    <n v="2132"/>
    <n v="4585"/>
    <n v="4"/>
    <s v="Y"/>
    <s v="No"/>
    <n v="20"/>
    <x v="1"/>
    <n v="4"/>
    <n v="80"/>
    <n v="1"/>
    <n v="8"/>
    <n v="3"/>
    <n v="3"/>
    <n v="5"/>
    <n v="4"/>
    <n v="0"/>
    <n v="3"/>
    <n v="0"/>
    <x v="0"/>
    <x v="1"/>
    <s v="0-5k"/>
    <x v="0"/>
    <x v="1"/>
    <x v="0"/>
  </r>
  <r>
    <n v="42"/>
    <s v="No"/>
    <x v="1"/>
    <n v="288"/>
    <x v="1"/>
    <n v="2"/>
    <n v="3"/>
    <s v="Life Sciences"/>
    <n v="1"/>
    <n v="1547"/>
    <n v="4"/>
    <x v="1"/>
    <n v="40"/>
    <n v="3"/>
    <n v="3"/>
    <s v="Healthcare Representative"/>
    <n v="4"/>
    <s v="Married"/>
    <n v="10124"/>
    <n v="18611"/>
    <n v="2"/>
    <s v="Y"/>
    <s v="Yes"/>
    <n v="14"/>
    <x v="0"/>
    <n v="3"/>
    <n v="80"/>
    <n v="1"/>
    <n v="24"/>
    <n v="3"/>
    <n v="1"/>
    <n v="20"/>
    <n v="8"/>
    <n v="13"/>
    <n v="9"/>
    <n v="0"/>
    <x v="0"/>
    <x v="0"/>
    <s v="10k-15k"/>
    <x v="2"/>
    <x v="0"/>
    <x v="0"/>
  </r>
  <r>
    <n v="40"/>
    <s v="No"/>
    <x v="0"/>
    <n v="1342"/>
    <x v="0"/>
    <n v="9"/>
    <n v="2"/>
    <s v="Medical"/>
    <n v="1"/>
    <n v="1548"/>
    <n v="1"/>
    <x v="1"/>
    <n v="47"/>
    <n v="3"/>
    <n v="2"/>
    <s v="Sales Executive"/>
    <n v="1"/>
    <s v="Married"/>
    <n v="5473"/>
    <n v="19345"/>
    <n v="0"/>
    <s v="Y"/>
    <s v="No"/>
    <n v="12"/>
    <x v="0"/>
    <n v="4"/>
    <n v="80"/>
    <n v="0"/>
    <n v="9"/>
    <n v="5"/>
    <n v="4"/>
    <n v="8"/>
    <n v="4"/>
    <n v="7"/>
    <n v="1"/>
    <n v="0"/>
    <x v="0"/>
    <x v="0"/>
    <s v="5k-10k"/>
    <x v="0"/>
    <x v="0"/>
    <x v="3"/>
  </r>
  <r>
    <n v="33"/>
    <s v="No"/>
    <x v="0"/>
    <n v="589"/>
    <x v="1"/>
    <n v="28"/>
    <n v="4"/>
    <s v="Life Sciences"/>
    <n v="1"/>
    <n v="1549"/>
    <n v="2"/>
    <x v="1"/>
    <n v="79"/>
    <n v="3"/>
    <n v="2"/>
    <s v="Laboratory Technician"/>
    <n v="3"/>
    <s v="Married"/>
    <n v="5207"/>
    <n v="22949"/>
    <n v="1"/>
    <s v="Y"/>
    <s v="Yes"/>
    <n v="12"/>
    <x v="0"/>
    <n v="2"/>
    <n v="80"/>
    <n v="1"/>
    <n v="15"/>
    <n v="3"/>
    <n v="3"/>
    <n v="15"/>
    <n v="14"/>
    <n v="5"/>
    <n v="7"/>
    <n v="0"/>
    <x v="0"/>
    <x v="1"/>
    <s v="5k-10k"/>
    <x v="2"/>
    <x v="0"/>
    <x v="2"/>
  </r>
  <r>
    <n v="40"/>
    <s v="No"/>
    <x v="0"/>
    <n v="898"/>
    <x v="2"/>
    <n v="6"/>
    <n v="2"/>
    <s v="Medical"/>
    <n v="1"/>
    <n v="1550"/>
    <n v="3"/>
    <x v="1"/>
    <n v="38"/>
    <n v="3"/>
    <n v="4"/>
    <s v="Manager"/>
    <n v="4"/>
    <s v="Single"/>
    <n v="16437"/>
    <n v="17381"/>
    <n v="1"/>
    <s v="Y"/>
    <s v="Yes"/>
    <n v="21"/>
    <x v="1"/>
    <n v="4"/>
    <n v="80"/>
    <n v="0"/>
    <n v="21"/>
    <n v="2"/>
    <n v="3"/>
    <n v="21"/>
    <n v="7"/>
    <n v="7"/>
    <n v="7"/>
    <n v="0"/>
    <x v="0"/>
    <x v="0"/>
    <s v="15k+"/>
    <x v="1"/>
    <x v="1"/>
    <x v="0"/>
  </r>
  <r>
    <n v="24"/>
    <s v="No"/>
    <x v="0"/>
    <n v="350"/>
    <x v="1"/>
    <n v="21"/>
    <n v="2"/>
    <s v="Technical Degree"/>
    <n v="1"/>
    <n v="1551"/>
    <n v="3"/>
    <x v="1"/>
    <n v="57"/>
    <n v="2"/>
    <n v="1"/>
    <s v="Laboratory Technician"/>
    <n v="1"/>
    <s v="Divorced"/>
    <n v="2296"/>
    <n v="10036"/>
    <n v="0"/>
    <s v="Y"/>
    <s v="No"/>
    <n v="14"/>
    <x v="0"/>
    <n v="2"/>
    <n v="80"/>
    <n v="3"/>
    <n v="2"/>
    <n v="3"/>
    <n v="3"/>
    <n v="1"/>
    <n v="1"/>
    <n v="0"/>
    <n v="0"/>
    <n v="0"/>
    <x v="2"/>
    <x v="1"/>
    <s v="0-5k"/>
    <x v="0"/>
    <x v="0"/>
    <x v="3"/>
  </r>
  <r>
    <n v="40"/>
    <s v="No"/>
    <x v="2"/>
    <n v="1142"/>
    <x v="1"/>
    <n v="8"/>
    <n v="2"/>
    <s v="Life Sciences"/>
    <n v="1"/>
    <n v="1552"/>
    <n v="4"/>
    <x v="1"/>
    <n v="72"/>
    <n v="3"/>
    <n v="2"/>
    <s v="Healthcare Representative"/>
    <n v="4"/>
    <s v="Divorced"/>
    <n v="4069"/>
    <n v="8841"/>
    <n v="3"/>
    <s v="Y"/>
    <s v="Yes"/>
    <n v="18"/>
    <x v="0"/>
    <n v="3"/>
    <n v="80"/>
    <n v="0"/>
    <n v="8"/>
    <n v="2"/>
    <n v="3"/>
    <n v="2"/>
    <n v="2"/>
    <n v="2"/>
    <n v="2"/>
    <n v="0"/>
    <x v="0"/>
    <x v="0"/>
    <s v="0-5k"/>
    <x v="0"/>
    <x v="0"/>
    <x v="0"/>
  </r>
  <r>
    <n v="45"/>
    <s v="No"/>
    <x v="0"/>
    <n v="538"/>
    <x v="1"/>
    <n v="1"/>
    <n v="4"/>
    <s v="Technical Degree"/>
    <n v="1"/>
    <n v="1553"/>
    <n v="1"/>
    <x v="1"/>
    <n v="66"/>
    <n v="3"/>
    <n v="3"/>
    <s v="Healthcare Representative"/>
    <n v="2"/>
    <s v="Divorced"/>
    <n v="7441"/>
    <n v="20933"/>
    <n v="1"/>
    <s v="Y"/>
    <s v="No"/>
    <n v="12"/>
    <x v="0"/>
    <n v="1"/>
    <n v="80"/>
    <n v="3"/>
    <n v="10"/>
    <n v="4"/>
    <n v="3"/>
    <n v="10"/>
    <n v="8"/>
    <n v="7"/>
    <n v="7"/>
    <n v="0"/>
    <x v="0"/>
    <x v="0"/>
    <s v="5k-10k"/>
    <x v="0"/>
    <x v="0"/>
    <x v="1"/>
  </r>
  <r>
    <n v="35"/>
    <s v="No"/>
    <x v="0"/>
    <n v="1402"/>
    <x v="0"/>
    <n v="28"/>
    <n v="4"/>
    <s v="Life Sciences"/>
    <n v="1"/>
    <n v="1554"/>
    <n v="2"/>
    <x v="0"/>
    <n v="98"/>
    <n v="2"/>
    <n v="1"/>
    <s v="Sales Representative"/>
    <n v="3"/>
    <s v="Married"/>
    <n v="2430"/>
    <n v="26204"/>
    <n v="0"/>
    <s v="Y"/>
    <s v="No"/>
    <n v="23"/>
    <x v="1"/>
    <n v="1"/>
    <n v="80"/>
    <n v="2"/>
    <n v="6"/>
    <n v="5"/>
    <n v="3"/>
    <n v="5"/>
    <n v="3"/>
    <n v="4"/>
    <n v="2"/>
    <n v="0"/>
    <x v="0"/>
    <x v="1"/>
    <s v="0-5k"/>
    <x v="0"/>
    <x v="1"/>
    <x v="2"/>
  </r>
  <r>
    <n v="32"/>
    <s v="No"/>
    <x v="0"/>
    <n v="824"/>
    <x v="1"/>
    <n v="5"/>
    <n v="2"/>
    <s v="Life Sciences"/>
    <n v="1"/>
    <n v="1555"/>
    <n v="4"/>
    <x v="0"/>
    <n v="67"/>
    <n v="2"/>
    <n v="2"/>
    <s v="Research Scientist"/>
    <n v="2"/>
    <s v="Married"/>
    <n v="5878"/>
    <n v="15624"/>
    <n v="3"/>
    <s v="Y"/>
    <s v="No"/>
    <n v="12"/>
    <x v="0"/>
    <n v="1"/>
    <n v="80"/>
    <n v="1"/>
    <n v="12"/>
    <n v="2"/>
    <n v="3"/>
    <n v="7"/>
    <n v="1"/>
    <n v="2"/>
    <n v="5"/>
    <n v="0"/>
    <x v="0"/>
    <x v="0"/>
    <s v="5k-10k"/>
    <x v="0"/>
    <x v="0"/>
    <x v="1"/>
  </r>
  <r>
    <n v="36"/>
    <s v="No"/>
    <x v="0"/>
    <n v="1157"/>
    <x v="0"/>
    <n v="2"/>
    <n v="4"/>
    <s v="Life Sciences"/>
    <n v="1"/>
    <n v="1556"/>
    <n v="3"/>
    <x v="1"/>
    <n v="70"/>
    <n v="3"/>
    <n v="1"/>
    <s v="Sales Representative"/>
    <n v="4"/>
    <s v="Single"/>
    <n v="2644"/>
    <n v="17001"/>
    <n v="3"/>
    <s v="Y"/>
    <s v="Yes"/>
    <n v="21"/>
    <x v="1"/>
    <n v="4"/>
    <n v="80"/>
    <n v="0"/>
    <n v="7"/>
    <n v="3"/>
    <n v="2"/>
    <n v="3"/>
    <n v="2"/>
    <n v="1"/>
    <n v="2"/>
    <n v="0"/>
    <x v="0"/>
    <x v="0"/>
    <s v="0-5k"/>
    <x v="0"/>
    <x v="1"/>
    <x v="0"/>
  </r>
  <r>
    <n v="48"/>
    <s v="No"/>
    <x v="0"/>
    <n v="492"/>
    <x v="0"/>
    <n v="16"/>
    <n v="4"/>
    <s v="Life Sciences"/>
    <n v="1"/>
    <n v="1557"/>
    <n v="3"/>
    <x v="0"/>
    <n v="96"/>
    <n v="3"/>
    <n v="2"/>
    <s v="Sales Executive"/>
    <n v="3"/>
    <s v="Divorced"/>
    <n v="6439"/>
    <n v="13693"/>
    <n v="8"/>
    <s v="Y"/>
    <s v="No"/>
    <n v="14"/>
    <x v="0"/>
    <n v="3"/>
    <n v="80"/>
    <n v="1"/>
    <n v="18"/>
    <n v="2"/>
    <n v="3"/>
    <n v="8"/>
    <n v="7"/>
    <n v="7"/>
    <n v="7"/>
    <n v="0"/>
    <x v="1"/>
    <x v="2"/>
    <s v="5k-10k"/>
    <x v="0"/>
    <x v="0"/>
    <x v="2"/>
  </r>
  <r>
    <n v="29"/>
    <s v="No"/>
    <x v="0"/>
    <n v="598"/>
    <x v="1"/>
    <n v="9"/>
    <n v="3"/>
    <s v="Life Sciences"/>
    <n v="1"/>
    <n v="1558"/>
    <n v="3"/>
    <x v="1"/>
    <n v="91"/>
    <n v="4"/>
    <n v="1"/>
    <s v="Research Scientist"/>
    <n v="3"/>
    <s v="Married"/>
    <n v="2451"/>
    <n v="22376"/>
    <n v="6"/>
    <s v="Y"/>
    <s v="No"/>
    <n v="18"/>
    <x v="0"/>
    <n v="1"/>
    <n v="80"/>
    <n v="2"/>
    <n v="5"/>
    <n v="2"/>
    <n v="2"/>
    <n v="1"/>
    <n v="0"/>
    <n v="0"/>
    <n v="0"/>
    <n v="0"/>
    <x v="2"/>
    <x v="0"/>
    <s v="0-5k"/>
    <x v="0"/>
    <x v="0"/>
    <x v="2"/>
  </r>
  <r>
    <n v="33"/>
    <s v="No"/>
    <x v="0"/>
    <n v="1242"/>
    <x v="0"/>
    <n v="8"/>
    <n v="4"/>
    <s v="Life Sciences"/>
    <n v="1"/>
    <n v="1560"/>
    <n v="1"/>
    <x v="1"/>
    <n v="46"/>
    <n v="3"/>
    <n v="2"/>
    <s v="Sales Executive"/>
    <n v="1"/>
    <s v="Married"/>
    <n v="6392"/>
    <n v="10589"/>
    <n v="2"/>
    <s v="Y"/>
    <s v="No"/>
    <n v="13"/>
    <x v="0"/>
    <n v="4"/>
    <n v="80"/>
    <n v="1"/>
    <n v="8"/>
    <n v="6"/>
    <n v="1"/>
    <n v="2"/>
    <n v="2"/>
    <n v="2"/>
    <n v="2"/>
    <n v="0"/>
    <x v="0"/>
    <x v="0"/>
    <s v="5k-10k"/>
    <x v="0"/>
    <x v="0"/>
    <x v="3"/>
  </r>
  <r>
    <n v="30"/>
    <s v="Yes"/>
    <x v="0"/>
    <n v="740"/>
    <x v="0"/>
    <n v="1"/>
    <n v="3"/>
    <s v="Life Sciences"/>
    <n v="1"/>
    <n v="1562"/>
    <n v="2"/>
    <x v="1"/>
    <n v="64"/>
    <n v="2"/>
    <n v="2"/>
    <s v="Sales Executive"/>
    <n v="1"/>
    <s v="Married"/>
    <n v="9714"/>
    <n v="5323"/>
    <n v="1"/>
    <s v="Y"/>
    <s v="No"/>
    <n v="11"/>
    <x v="0"/>
    <n v="4"/>
    <n v="80"/>
    <n v="1"/>
    <n v="10"/>
    <n v="4"/>
    <n v="3"/>
    <n v="10"/>
    <n v="8"/>
    <n v="6"/>
    <n v="7"/>
    <n v="1"/>
    <x v="2"/>
    <x v="0"/>
    <s v="5k-10k"/>
    <x v="0"/>
    <x v="0"/>
    <x v="3"/>
  </r>
  <r>
    <n v="38"/>
    <s v="No"/>
    <x v="1"/>
    <n v="888"/>
    <x v="2"/>
    <n v="10"/>
    <n v="4"/>
    <s v="Human Resources"/>
    <n v="1"/>
    <n v="1563"/>
    <n v="3"/>
    <x v="1"/>
    <n v="71"/>
    <n v="3"/>
    <n v="2"/>
    <s v="Human Resources"/>
    <n v="3"/>
    <s v="Married"/>
    <n v="6077"/>
    <n v="14814"/>
    <n v="3"/>
    <s v="Y"/>
    <s v="No"/>
    <n v="11"/>
    <x v="0"/>
    <n v="3"/>
    <n v="80"/>
    <n v="0"/>
    <n v="10"/>
    <n v="2"/>
    <n v="3"/>
    <n v="6"/>
    <n v="3"/>
    <n v="1"/>
    <n v="2"/>
    <n v="0"/>
    <x v="0"/>
    <x v="0"/>
    <s v="5k-10k"/>
    <x v="0"/>
    <x v="0"/>
    <x v="2"/>
  </r>
  <r>
    <n v="35"/>
    <s v="No"/>
    <x v="0"/>
    <n v="992"/>
    <x v="1"/>
    <n v="1"/>
    <n v="3"/>
    <s v="Medical"/>
    <n v="1"/>
    <n v="1564"/>
    <n v="4"/>
    <x v="1"/>
    <n v="68"/>
    <n v="2"/>
    <n v="1"/>
    <s v="Laboratory Technician"/>
    <n v="1"/>
    <s v="Single"/>
    <n v="2450"/>
    <n v="21731"/>
    <n v="1"/>
    <s v="Y"/>
    <s v="No"/>
    <n v="19"/>
    <x v="0"/>
    <n v="2"/>
    <n v="80"/>
    <n v="0"/>
    <n v="3"/>
    <n v="3"/>
    <n v="3"/>
    <n v="3"/>
    <n v="0"/>
    <n v="1"/>
    <n v="2"/>
    <n v="0"/>
    <x v="0"/>
    <x v="0"/>
    <s v="0-5k"/>
    <x v="0"/>
    <x v="0"/>
    <x v="3"/>
  </r>
  <r>
    <n v="30"/>
    <s v="No"/>
    <x v="0"/>
    <n v="1288"/>
    <x v="0"/>
    <n v="29"/>
    <n v="4"/>
    <s v="Technical Degree"/>
    <n v="1"/>
    <n v="1568"/>
    <n v="3"/>
    <x v="1"/>
    <n v="33"/>
    <n v="3"/>
    <n v="3"/>
    <s v="Sales Executive"/>
    <n v="2"/>
    <s v="Married"/>
    <n v="9250"/>
    <n v="17799"/>
    <n v="3"/>
    <s v="Y"/>
    <s v="No"/>
    <n v="12"/>
    <x v="0"/>
    <n v="2"/>
    <n v="80"/>
    <n v="1"/>
    <n v="9"/>
    <n v="3"/>
    <n v="3"/>
    <n v="4"/>
    <n v="2"/>
    <n v="1"/>
    <n v="3"/>
    <n v="0"/>
    <x v="2"/>
    <x v="1"/>
    <s v="5k-10k"/>
    <x v="0"/>
    <x v="0"/>
    <x v="1"/>
  </r>
  <r>
    <n v="35"/>
    <s v="Yes"/>
    <x v="0"/>
    <n v="104"/>
    <x v="1"/>
    <n v="2"/>
    <n v="3"/>
    <s v="Life Sciences"/>
    <n v="1"/>
    <n v="1569"/>
    <n v="1"/>
    <x v="0"/>
    <n v="69"/>
    <n v="3"/>
    <n v="1"/>
    <s v="Laboratory Technician"/>
    <n v="1"/>
    <s v="Divorced"/>
    <n v="2074"/>
    <n v="26619"/>
    <n v="1"/>
    <s v="Y"/>
    <s v="Yes"/>
    <n v="12"/>
    <x v="0"/>
    <n v="4"/>
    <n v="80"/>
    <n v="1"/>
    <n v="1"/>
    <n v="2"/>
    <n v="3"/>
    <n v="1"/>
    <n v="0"/>
    <n v="0"/>
    <n v="0"/>
    <n v="1"/>
    <x v="0"/>
    <x v="0"/>
    <s v="0-5k"/>
    <x v="0"/>
    <x v="0"/>
    <x v="3"/>
  </r>
  <r>
    <n v="53"/>
    <s v="Yes"/>
    <x v="0"/>
    <n v="607"/>
    <x v="1"/>
    <n v="2"/>
    <n v="5"/>
    <s v="Technical Degree"/>
    <n v="1"/>
    <n v="1572"/>
    <n v="3"/>
    <x v="0"/>
    <n v="78"/>
    <n v="2"/>
    <n v="3"/>
    <s v="Manufacturing Director"/>
    <n v="4"/>
    <s v="Married"/>
    <n v="10169"/>
    <n v="14618"/>
    <n v="0"/>
    <s v="Y"/>
    <s v="No"/>
    <n v="16"/>
    <x v="0"/>
    <n v="2"/>
    <n v="80"/>
    <n v="1"/>
    <n v="34"/>
    <n v="4"/>
    <n v="3"/>
    <n v="33"/>
    <n v="7"/>
    <n v="1"/>
    <n v="9"/>
    <n v="1"/>
    <x v="1"/>
    <x v="0"/>
    <s v="10k-15k"/>
    <x v="3"/>
    <x v="0"/>
    <x v="0"/>
  </r>
  <r>
    <n v="38"/>
    <s v="Yes"/>
    <x v="0"/>
    <n v="903"/>
    <x v="1"/>
    <n v="2"/>
    <n v="3"/>
    <s v="Medical"/>
    <n v="1"/>
    <n v="1573"/>
    <n v="3"/>
    <x v="1"/>
    <n v="81"/>
    <n v="3"/>
    <n v="2"/>
    <s v="Manufacturing Director"/>
    <n v="2"/>
    <s v="Married"/>
    <n v="4855"/>
    <n v="7653"/>
    <n v="4"/>
    <s v="Y"/>
    <s v="No"/>
    <n v="11"/>
    <x v="0"/>
    <n v="1"/>
    <n v="80"/>
    <n v="2"/>
    <n v="7"/>
    <n v="2"/>
    <n v="3"/>
    <n v="5"/>
    <n v="2"/>
    <n v="1"/>
    <n v="4"/>
    <n v="1"/>
    <x v="0"/>
    <x v="0"/>
    <s v="0-5k"/>
    <x v="0"/>
    <x v="0"/>
    <x v="1"/>
  </r>
  <r>
    <n v="32"/>
    <s v="No"/>
    <x v="2"/>
    <n v="1200"/>
    <x v="1"/>
    <n v="1"/>
    <n v="4"/>
    <s v="Technical Degree"/>
    <n v="1"/>
    <n v="1574"/>
    <n v="4"/>
    <x v="1"/>
    <n v="62"/>
    <n v="3"/>
    <n v="2"/>
    <s v="Research Scientist"/>
    <n v="1"/>
    <s v="Married"/>
    <n v="4087"/>
    <n v="25174"/>
    <n v="4"/>
    <s v="Y"/>
    <s v="No"/>
    <n v="14"/>
    <x v="0"/>
    <n v="2"/>
    <n v="80"/>
    <n v="1"/>
    <n v="9"/>
    <n v="3"/>
    <n v="2"/>
    <n v="6"/>
    <n v="5"/>
    <n v="1"/>
    <n v="2"/>
    <n v="0"/>
    <x v="0"/>
    <x v="0"/>
    <s v="0-5k"/>
    <x v="0"/>
    <x v="0"/>
    <x v="3"/>
  </r>
  <r>
    <n v="48"/>
    <s v="No"/>
    <x v="0"/>
    <n v="1108"/>
    <x v="1"/>
    <n v="15"/>
    <n v="4"/>
    <s v="Other"/>
    <n v="1"/>
    <n v="1576"/>
    <n v="3"/>
    <x v="0"/>
    <n v="65"/>
    <n v="3"/>
    <n v="1"/>
    <s v="Research Scientist"/>
    <n v="1"/>
    <s v="Married"/>
    <n v="2367"/>
    <n v="16530"/>
    <n v="8"/>
    <s v="Y"/>
    <s v="No"/>
    <n v="12"/>
    <x v="0"/>
    <n v="4"/>
    <n v="80"/>
    <n v="1"/>
    <n v="10"/>
    <n v="3"/>
    <n v="2"/>
    <n v="8"/>
    <n v="2"/>
    <n v="7"/>
    <n v="6"/>
    <n v="0"/>
    <x v="1"/>
    <x v="2"/>
    <s v="0-5k"/>
    <x v="0"/>
    <x v="0"/>
    <x v="3"/>
  </r>
  <r>
    <n v="34"/>
    <s v="No"/>
    <x v="0"/>
    <n v="479"/>
    <x v="1"/>
    <n v="7"/>
    <n v="4"/>
    <s v="Medical"/>
    <n v="1"/>
    <n v="1577"/>
    <n v="1"/>
    <x v="1"/>
    <n v="35"/>
    <n v="3"/>
    <n v="1"/>
    <s v="Research Scientist"/>
    <n v="4"/>
    <s v="Single"/>
    <n v="2972"/>
    <n v="22061"/>
    <n v="1"/>
    <s v="Y"/>
    <s v="No"/>
    <n v="13"/>
    <x v="0"/>
    <n v="3"/>
    <n v="80"/>
    <n v="0"/>
    <n v="1"/>
    <n v="4"/>
    <n v="1"/>
    <n v="1"/>
    <n v="0"/>
    <n v="0"/>
    <n v="0"/>
    <n v="0"/>
    <x v="0"/>
    <x v="0"/>
    <s v="0-5k"/>
    <x v="0"/>
    <x v="0"/>
    <x v="0"/>
  </r>
  <r>
    <n v="55"/>
    <s v="No"/>
    <x v="0"/>
    <n v="685"/>
    <x v="0"/>
    <n v="26"/>
    <n v="5"/>
    <s v="Marketing"/>
    <n v="1"/>
    <n v="1578"/>
    <n v="3"/>
    <x v="1"/>
    <n v="60"/>
    <n v="2"/>
    <n v="5"/>
    <s v="Manager"/>
    <n v="4"/>
    <s v="Married"/>
    <n v="19586"/>
    <n v="23037"/>
    <n v="1"/>
    <s v="Y"/>
    <s v="No"/>
    <n v="21"/>
    <x v="1"/>
    <n v="3"/>
    <n v="80"/>
    <n v="1"/>
    <n v="36"/>
    <n v="3"/>
    <n v="3"/>
    <n v="36"/>
    <n v="6"/>
    <n v="2"/>
    <n v="13"/>
    <n v="0"/>
    <x v="1"/>
    <x v="1"/>
    <s v="15k+"/>
    <x v="3"/>
    <x v="1"/>
    <x v="0"/>
  </r>
  <r>
    <n v="34"/>
    <s v="No"/>
    <x v="0"/>
    <n v="1351"/>
    <x v="1"/>
    <n v="1"/>
    <n v="4"/>
    <s v="Life Sciences"/>
    <n v="1"/>
    <n v="1580"/>
    <n v="2"/>
    <x v="1"/>
    <n v="45"/>
    <n v="3"/>
    <n v="2"/>
    <s v="Research Scientist"/>
    <n v="4"/>
    <s v="Married"/>
    <n v="5484"/>
    <n v="13008"/>
    <n v="9"/>
    <s v="Y"/>
    <s v="No"/>
    <n v="17"/>
    <x v="0"/>
    <n v="2"/>
    <n v="80"/>
    <n v="1"/>
    <n v="9"/>
    <n v="3"/>
    <n v="2"/>
    <n v="2"/>
    <n v="2"/>
    <n v="2"/>
    <n v="1"/>
    <n v="0"/>
    <x v="0"/>
    <x v="0"/>
    <s v="5k-10k"/>
    <x v="0"/>
    <x v="0"/>
    <x v="0"/>
  </r>
  <r>
    <n v="26"/>
    <s v="No"/>
    <x v="0"/>
    <n v="474"/>
    <x v="1"/>
    <n v="3"/>
    <n v="3"/>
    <s v="Life Sciences"/>
    <n v="1"/>
    <n v="1581"/>
    <n v="1"/>
    <x v="0"/>
    <n v="89"/>
    <n v="3"/>
    <n v="1"/>
    <s v="Research Scientist"/>
    <n v="4"/>
    <s v="Married"/>
    <n v="2061"/>
    <n v="11133"/>
    <n v="1"/>
    <s v="Y"/>
    <s v="No"/>
    <n v="21"/>
    <x v="1"/>
    <n v="1"/>
    <n v="80"/>
    <n v="0"/>
    <n v="1"/>
    <n v="5"/>
    <n v="3"/>
    <n v="1"/>
    <n v="0"/>
    <n v="0"/>
    <n v="0"/>
    <n v="0"/>
    <x v="2"/>
    <x v="0"/>
    <s v="0-5k"/>
    <x v="0"/>
    <x v="1"/>
    <x v="0"/>
  </r>
  <r>
    <n v="38"/>
    <s v="No"/>
    <x v="0"/>
    <n v="1245"/>
    <x v="0"/>
    <n v="14"/>
    <n v="3"/>
    <s v="Life Sciences"/>
    <n v="1"/>
    <n v="1582"/>
    <n v="3"/>
    <x v="1"/>
    <n v="80"/>
    <n v="3"/>
    <n v="2"/>
    <s v="Sales Executive"/>
    <n v="2"/>
    <s v="Married"/>
    <n v="9924"/>
    <n v="12355"/>
    <n v="0"/>
    <s v="Y"/>
    <s v="No"/>
    <n v="11"/>
    <x v="0"/>
    <n v="4"/>
    <n v="80"/>
    <n v="1"/>
    <n v="10"/>
    <n v="3"/>
    <n v="3"/>
    <n v="9"/>
    <n v="8"/>
    <n v="7"/>
    <n v="7"/>
    <n v="0"/>
    <x v="0"/>
    <x v="2"/>
    <s v="5k-10k"/>
    <x v="0"/>
    <x v="0"/>
    <x v="1"/>
  </r>
  <r>
    <n v="38"/>
    <s v="No"/>
    <x v="0"/>
    <n v="437"/>
    <x v="0"/>
    <n v="16"/>
    <n v="3"/>
    <s v="Life Sciences"/>
    <n v="1"/>
    <n v="1583"/>
    <n v="2"/>
    <x v="0"/>
    <n v="90"/>
    <n v="3"/>
    <n v="2"/>
    <s v="Sales Executive"/>
    <n v="2"/>
    <s v="Single"/>
    <n v="4198"/>
    <n v="16379"/>
    <n v="2"/>
    <s v="Y"/>
    <s v="No"/>
    <n v="12"/>
    <x v="0"/>
    <n v="2"/>
    <n v="80"/>
    <n v="0"/>
    <n v="8"/>
    <n v="5"/>
    <n v="4"/>
    <n v="3"/>
    <n v="2"/>
    <n v="1"/>
    <n v="2"/>
    <n v="0"/>
    <x v="0"/>
    <x v="2"/>
    <s v="0-5k"/>
    <x v="0"/>
    <x v="0"/>
    <x v="1"/>
  </r>
  <r>
    <n v="36"/>
    <s v="No"/>
    <x v="0"/>
    <n v="884"/>
    <x v="0"/>
    <n v="1"/>
    <n v="4"/>
    <s v="Life Sciences"/>
    <n v="1"/>
    <n v="1585"/>
    <n v="2"/>
    <x v="0"/>
    <n v="73"/>
    <n v="3"/>
    <n v="2"/>
    <s v="Sales Executive"/>
    <n v="3"/>
    <s v="Single"/>
    <n v="6815"/>
    <n v="21447"/>
    <n v="6"/>
    <s v="Y"/>
    <s v="No"/>
    <n v="13"/>
    <x v="0"/>
    <n v="1"/>
    <n v="80"/>
    <n v="0"/>
    <n v="15"/>
    <n v="5"/>
    <n v="3"/>
    <n v="1"/>
    <n v="0"/>
    <n v="0"/>
    <n v="0"/>
    <n v="0"/>
    <x v="0"/>
    <x v="0"/>
    <s v="5k-10k"/>
    <x v="0"/>
    <x v="0"/>
    <x v="2"/>
  </r>
  <r>
    <n v="29"/>
    <s v="No"/>
    <x v="0"/>
    <n v="1370"/>
    <x v="1"/>
    <n v="3"/>
    <n v="1"/>
    <s v="Medical"/>
    <n v="1"/>
    <n v="1586"/>
    <n v="2"/>
    <x v="1"/>
    <n v="87"/>
    <n v="3"/>
    <n v="1"/>
    <s v="Laboratory Technician"/>
    <n v="1"/>
    <s v="Single"/>
    <n v="4723"/>
    <n v="16213"/>
    <n v="1"/>
    <s v="Y"/>
    <s v="Yes"/>
    <n v="18"/>
    <x v="0"/>
    <n v="4"/>
    <n v="80"/>
    <n v="0"/>
    <n v="10"/>
    <n v="3"/>
    <n v="3"/>
    <n v="10"/>
    <n v="9"/>
    <n v="1"/>
    <n v="5"/>
    <n v="0"/>
    <x v="2"/>
    <x v="0"/>
    <s v="0-5k"/>
    <x v="0"/>
    <x v="0"/>
    <x v="3"/>
  </r>
  <r>
    <n v="35"/>
    <s v="No"/>
    <x v="0"/>
    <n v="670"/>
    <x v="1"/>
    <n v="10"/>
    <n v="4"/>
    <s v="Medical"/>
    <n v="1"/>
    <n v="1587"/>
    <n v="1"/>
    <x v="0"/>
    <n v="51"/>
    <n v="3"/>
    <n v="2"/>
    <s v="Healthcare Representative"/>
    <n v="3"/>
    <s v="Single"/>
    <n v="6142"/>
    <n v="4223"/>
    <n v="3"/>
    <s v="Y"/>
    <s v="Yes"/>
    <n v="16"/>
    <x v="0"/>
    <n v="3"/>
    <n v="80"/>
    <n v="0"/>
    <n v="10"/>
    <n v="4"/>
    <n v="3"/>
    <n v="5"/>
    <n v="2"/>
    <n v="0"/>
    <n v="4"/>
    <n v="0"/>
    <x v="0"/>
    <x v="0"/>
    <s v="5k-10k"/>
    <x v="0"/>
    <x v="0"/>
    <x v="2"/>
  </r>
  <r>
    <n v="39"/>
    <s v="No"/>
    <x v="0"/>
    <n v="1462"/>
    <x v="0"/>
    <n v="6"/>
    <n v="3"/>
    <s v="Medical"/>
    <n v="1"/>
    <n v="1588"/>
    <n v="4"/>
    <x v="1"/>
    <n v="38"/>
    <n v="4"/>
    <n v="3"/>
    <s v="Sales Executive"/>
    <n v="3"/>
    <s v="Married"/>
    <n v="8237"/>
    <n v="4658"/>
    <n v="2"/>
    <s v="Y"/>
    <s v="No"/>
    <n v="11"/>
    <x v="0"/>
    <n v="1"/>
    <n v="80"/>
    <n v="1"/>
    <n v="11"/>
    <n v="3"/>
    <n v="3"/>
    <n v="7"/>
    <n v="6"/>
    <n v="7"/>
    <n v="6"/>
    <n v="0"/>
    <x v="0"/>
    <x v="0"/>
    <s v="5k-10k"/>
    <x v="0"/>
    <x v="0"/>
    <x v="2"/>
  </r>
  <r>
    <n v="29"/>
    <s v="No"/>
    <x v="1"/>
    <n v="995"/>
    <x v="1"/>
    <n v="2"/>
    <n v="1"/>
    <s v="Life Sciences"/>
    <n v="1"/>
    <n v="1590"/>
    <n v="1"/>
    <x v="1"/>
    <n v="87"/>
    <n v="3"/>
    <n v="2"/>
    <s v="Healthcare Representative"/>
    <n v="4"/>
    <s v="Divorced"/>
    <n v="8853"/>
    <n v="24483"/>
    <n v="1"/>
    <s v="Y"/>
    <s v="No"/>
    <n v="19"/>
    <x v="0"/>
    <n v="4"/>
    <n v="80"/>
    <n v="1"/>
    <n v="6"/>
    <n v="0"/>
    <n v="4"/>
    <n v="6"/>
    <n v="4"/>
    <n v="1"/>
    <n v="3"/>
    <n v="0"/>
    <x v="2"/>
    <x v="0"/>
    <s v="5k-10k"/>
    <x v="0"/>
    <x v="0"/>
    <x v="0"/>
  </r>
  <r>
    <n v="50"/>
    <s v="No"/>
    <x v="0"/>
    <n v="264"/>
    <x v="0"/>
    <n v="9"/>
    <n v="3"/>
    <s v="Marketing"/>
    <n v="1"/>
    <n v="1591"/>
    <n v="3"/>
    <x v="1"/>
    <n v="59"/>
    <n v="3"/>
    <n v="5"/>
    <s v="Manager"/>
    <n v="3"/>
    <s v="Married"/>
    <n v="19331"/>
    <n v="19519"/>
    <n v="4"/>
    <s v="Y"/>
    <s v="Yes"/>
    <n v="16"/>
    <x v="0"/>
    <n v="3"/>
    <n v="80"/>
    <n v="1"/>
    <n v="27"/>
    <n v="2"/>
    <n v="3"/>
    <n v="1"/>
    <n v="0"/>
    <n v="0"/>
    <n v="0"/>
    <n v="0"/>
    <x v="1"/>
    <x v="0"/>
    <s v="15k+"/>
    <x v="0"/>
    <x v="0"/>
    <x v="2"/>
  </r>
  <r>
    <n v="23"/>
    <s v="No"/>
    <x v="0"/>
    <n v="977"/>
    <x v="1"/>
    <n v="10"/>
    <n v="3"/>
    <s v="Technical Degree"/>
    <n v="1"/>
    <n v="1592"/>
    <n v="4"/>
    <x v="1"/>
    <n v="45"/>
    <n v="4"/>
    <n v="1"/>
    <s v="Research Scientist"/>
    <n v="3"/>
    <s v="Married"/>
    <n v="2073"/>
    <n v="12826"/>
    <n v="2"/>
    <s v="Y"/>
    <s v="No"/>
    <n v="16"/>
    <x v="0"/>
    <n v="4"/>
    <n v="80"/>
    <n v="1"/>
    <n v="4"/>
    <n v="2"/>
    <n v="3"/>
    <n v="2"/>
    <n v="2"/>
    <n v="2"/>
    <n v="2"/>
    <n v="0"/>
    <x v="2"/>
    <x v="0"/>
    <s v="0-5k"/>
    <x v="0"/>
    <x v="0"/>
    <x v="2"/>
  </r>
  <r>
    <n v="36"/>
    <s v="No"/>
    <x v="1"/>
    <n v="1302"/>
    <x v="1"/>
    <n v="6"/>
    <n v="4"/>
    <s v="Life Sciences"/>
    <n v="1"/>
    <n v="1594"/>
    <n v="1"/>
    <x v="1"/>
    <n v="80"/>
    <n v="4"/>
    <n v="2"/>
    <s v="Laboratory Technician"/>
    <n v="1"/>
    <s v="Married"/>
    <n v="5562"/>
    <n v="19711"/>
    <n v="3"/>
    <s v="Y"/>
    <s v="Yes"/>
    <n v="13"/>
    <x v="0"/>
    <n v="4"/>
    <n v="80"/>
    <n v="1"/>
    <n v="9"/>
    <n v="3"/>
    <n v="3"/>
    <n v="3"/>
    <n v="2"/>
    <n v="0"/>
    <n v="2"/>
    <n v="0"/>
    <x v="0"/>
    <x v="0"/>
    <s v="5k-10k"/>
    <x v="0"/>
    <x v="0"/>
    <x v="3"/>
  </r>
  <r>
    <n v="42"/>
    <s v="No"/>
    <x v="0"/>
    <n v="1059"/>
    <x v="1"/>
    <n v="9"/>
    <n v="2"/>
    <s v="Other"/>
    <n v="1"/>
    <n v="1595"/>
    <n v="4"/>
    <x v="1"/>
    <n v="93"/>
    <n v="2"/>
    <n v="5"/>
    <s v="Manager"/>
    <n v="4"/>
    <s v="Single"/>
    <n v="19613"/>
    <n v="26362"/>
    <n v="8"/>
    <s v="Y"/>
    <s v="No"/>
    <n v="22"/>
    <x v="1"/>
    <n v="4"/>
    <n v="80"/>
    <n v="0"/>
    <n v="24"/>
    <n v="2"/>
    <n v="3"/>
    <n v="1"/>
    <n v="0"/>
    <n v="0"/>
    <n v="1"/>
    <n v="0"/>
    <x v="0"/>
    <x v="0"/>
    <s v="15k+"/>
    <x v="0"/>
    <x v="1"/>
    <x v="0"/>
  </r>
  <r>
    <n v="35"/>
    <s v="No"/>
    <x v="0"/>
    <n v="750"/>
    <x v="1"/>
    <n v="28"/>
    <n v="3"/>
    <s v="Life Sciences"/>
    <n v="1"/>
    <n v="1596"/>
    <n v="2"/>
    <x v="1"/>
    <n v="46"/>
    <n v="4"/>
    <n v="2"/>
    <s v="Laboratory Technician"/>
    <n v="3"/>
    <s v="Married"/>
    <n v="3407"/>
    <n v="25348"/>
    <n v="1"/>
    <s v="Y"/>
    <s v="No"/>
    <n v="17"/>
    <x v="0"/>
    <n v="4"/>
    <n v="80"/>
    <n v="2"/>
    <n v="10"/>
    <n v="3"/>
    <n v="2"/>
    <n v="10"/>
    <n v="9"/>
    <n v="6"/>
    <n v="8"/>
    <n v="0"/>
    <x v="0"/>
    <x v="1"/>
    <s v="0-5k"/>
    <x v="0"/>
    <x v="0"/>
    <x v="2"/>
  </r>
  <r>
    <n v="34"/>
    <s v="No"/>
    <x v="1"/>
    <n v="653"/>
    <x v="1"/>
    <n v="10"/>
    <n v="4"/>
    <s v="Technical Degree"/>
    <n v="1"/>
    <n v="1597"/>
    <n v="4"/>
    <x v="1"/>
    <n v="92"/>
    <n v="2"/>
    <n v="2"/>
    <s v="Healthcare Representative"/>
    <n v="3"/>
    <s v="Married"/>
    <n v="5063"/>
    <n v="15332"/>
    <n v="1"/>
    <s v="Y"/>
    <s v="No"/>
    <n v="14"/>
    <x v="0"/>
    <n v="2"/>
    <n v="80"/>
    <n v="1"/>
    <n v="8"/>
    <n v="3"/>
    <n v="2"/>
    <n v="8"/>
    <n v="2"/>
    <n v="7"/>
    <n v="7"/>
    <n v="0"/>
    <x v="0"/>
    <x v="0"/>
    <s v="5k-10k"/>
    <x v="0"/>
    <x v="0"/>
    <x v="2"/>
  </r>
  <r>
    <n v="40"/>
    <s v="No"/>
    <x v="0"/>
    <n v="118"/>
    <x v="0"/>
    <n v="14"/>
    <n v="2"/>
    <s v="Life Sciences"/>
    <n v="1"/>
    <n v="1598"/>
    <n v="4"/>
    <x v="0"/>
    <n v="84"/>
    <n v="3"/>
    <n v="2"/>
    <s v="Sales Executive"/>
    <n v="1"/>
    <s v="Married"/>
    <n v="4639"/>
    <n v="11262"/>
    <n v="1"/>
    <s v="Y"/>
    <s v="No"/>
    <n v="15"/>
    <x v="0"/>
    <n v="3"/>
    <n v="80"/>
    <n v="1"/>
    <n v="5"/>
    <n v="2"/>
    <n v="3"/>
    <n v="5"/>
    <n v="4"/>
    <n v="1"/>
    <n v="2"/>
    <n v="0"/>
    <x v="0"/>
    <x v="2"/>
    <s v="0-5k"/>
    <x v="0"/>
    <x v="0"/>
    <x v="3"/>
  </r>
  <r>
    <n v="43"/>
    <s v="No"/>
    <x v="0"/>
    <n v="990"/>
    <x v="1"/>
    <n v="27"/>
    <n v="3"/>
    <s v="Technical Degree"/>
    <n v="1"/>
    <n v="1599"/>
    <n v="4"/>
    <x v="1"/>
    <n v="87"/>
    <n v="4"/>
    <n v="1"/>
    <s v="Laboratory Technician"/>
    <n v="2"/>
    <s v="Divorced"/>
    <n v="4876"/>
    <n v="5855"/>
    <n v="5"/>
    <s v="Y"/>
    <s v="No"/>
    <n v="12"/>
    <x v="0"/>
    <n v="3"/>
    <n v="80"/>
    <n v="1"/>
    <n v="8"/>
    <n v="0"/>
    <n v="3"/>
    <n v="6"/>
    <n v="4"/>
    <n v="0"/>
    <n v="2"/>
    <n v="0"/>
    <x v="0"/>
    <x v="1"/>
    <s v="0-5k"/>
    <x v="0"/>
    <x v="0"/>
    <x v="1"/>
  </r>
  <r>
    <n v="35"/>
    <s v="No"/>
    <x v="0"/>
    <n v="1349"/>
    <x v="1"/>
    <n v="7"/>
    <n v="2"/>
    <s v="Life Sciences"/>
    <n v="1"/>
    <n v="1601"/>
    <n v="3"/>
    <x v="1"/>
    <n v="63"/>
    <n v="2"/>
    <n v="1"/>
    <s v="Laboratory Technician"/>
    <n v="4"/>
    <s v="Married"/>
    <n v="2690"/>
    <n v="7713"/>
    <n v="1"/>
    <s v="Y"/>
    <s v="No"/>
    <n v="18"/>
    <x v="0"/>
    <n v="4"/>
    <n v="80"/>
    <n v="1"/>
    <n v="1"/>
    <n v="5"/>
    <n v="2"/>
    <n v="1"/>
    <n v="0"/>
    <n v="0"/>
    <n v="1"/>
    <n v="0"/>
    <x v="0"/>
    <x v="0"/>
    <s v="0-5k"/>
    <x v="0"/>
    <x v="0"/>
    <x v="0"/>
  </r>
  <r>
    <n v="46"/>
    <s v="No"/>
    <x v="0"/>
    <n v="563"/>
    <x v="0"/>
    <n v="1"/>
    <n v="4"/>
    <s v="Life Sciences"/>
    <n v="1"/>
    <n v="1602"/>
    <n v="4"/>
    <x v="1"/>
    <n v="56"/>
    <n v="4"/>
    <n v="4"/>
    <s v="Manager"/>
    <n v="1"/>
    <s v="Single"/>
    <n v="17567"/>
    <n v="3156"/>
    <n v="1"/>
    <s v="Y"/>
    <s v="No"/>
    <n v="15"/>
    <x v="0"/>
    <n v="2"/>
    <n v="80"/>
    <n v="0"/>
    <n v="27"/>
    <n v="5"/>
    <n v="1"/>
    <n v="26"/>
    <n v="0"/>
    <n v="0"/>
    <n v="12"/>
    <n v="0"/>
    <x v="1"/>
    <x v="0"/>
    <s v="15k+"/>
    <x v="1"/>
    <x v="0"/>
    <x v="3"/>
  </r>
  <r>
    <n v="28"/>
    <s v="Yes"/>
    <x v="0"/>
    <n v="329"/>
    <x v="1"/>
    <n v="24"/>
    <n v="3"/>
    <s v="Medical"/>
    <n v="1"/>
    <n v="1604"/>
    <n v="3"/>
    <x v="1"/>
    <n v="51"/>
    <n v="3"/>
    <n v="1"/>
    <s v="Laboratory Technician"/>
    <n v="2"/>
    <s v="Married"/>
    <n v="2408"/>
    <n v="7324"/>
    <n v="1"/>
    <s v="Y"/>
    <s v="Yes"/>
    <n v="17"/>
    <x v="0"/>
    <n v="3"/>
    <n v="80"/>
    <n v="3"/>
    <n v="1"/>
    <n v="3"/>
    <n v="3"/>
    <n v="1"/>
    <n v="1"/>
    <n v="0"/>
    <n v="0"/>
    <n v="1"/>
    <x v="2"/>
    <x v="1"/>
    <s v="0-5k"/>
    <x v="0"/>
    <x v="0"/>
    <x v="1"/>
  </r>
  <r>
    <n v="22"/>
    <s v="No"/>
    <x v="2"/>
    <n v="457"/>
    <x v="1"/>
    <n v="26"/>
    <n v="2"/>
    <s v="Other"/>
    <n v="1"/>
    <n v="1605"/>
    <n v="2"/>
    <x v="0"/>
    <n v="85"/>
    <n v="2"/>
    <n v="1"/>
    <s v="Research Scientist"/>
    <n v="3"/>
    <s v="Married"/>
    <n v="2814"/>
    <n v="10293"/>
    <n v="1"/>
    <s v="Y"/>
    <s v="Yes"/>
    <n v="14"/>
    <x v="0"/>
    <n v="2"/>
    <n v="80"/>
    <n v="0"/>
    <n v="4"/>
    <n v="2"/>
    <n v="2"/>
    <n v="4"/>
    <n v="2"/>
    <n v="1"/>
    <n v="3"/>
    <n v="0"/>
    <x v="2"/>
    <x v="1"/>
    <s v="0-5k"/>
    <x v="0"/>
    <x v="0"/>
    <x v="2"/>
  </r>
  <r>
    <n v="50"/>
    <s v="No"/>
    <x v="1"/>
    <n v="1234"/>
    <x v="1"/>
    <n v="20"/>
    <n v="5"/>
    <s v="Medical"/>
    <n v="1"/>
    <n v="1606"/>
    <n v="2"/>
    <x v="1"/>
    <n v="41"/>
    <n v="3"/>
    <n v="4"/>
    <s v="Healthcare Representative"/>
    <n v="3"/>
    <s v="Married"/>
    <n v="11245"/>
    <n v="20689"/>
    <n v="2"/>
    <s v="Y"/>
    <s v="Yes"/>
    <n v="15"/>
    <x v="0"/>
    <n v="3"/>
    <n v="80"/>
    <n v="1"/>
    <n v="32"/>
    <n v="3"/>
    <n v="3"/>
    <n v="30"/>
    <n v="8"/>
    <n v="12"/>
    <n v="13"/>
    <n v="0"/>
    <x v="1"/>
    <x v="2"/>
    <s v="10k-15k"/>
    <x v="1"/>
    <x v="0"/>
    <x v="2"/>
  </r>
  <r>
    <n v="32"/>
    <s v="No"/>
    <x v="0"/>
    <n v="634"/>
    <x v="1"/>
    <n v="5"/>
    <n v="4"/>
    <s v="Other"/>
    <n v="1"/>
    <n v="1607"/>
    <n v="2"/>
    <x v="0"/>
    <n v="35"/>
    <n v="4"/>
    <n v="1"/>
    <s v="Research Scientist"/>
    <n v="4"/>
    <s v="Married"/>
    <n v="3312"/>
    <n v="18783"/>
    <n v="3"/>
    <s v="Y"/>
    <s v="No"/>
    <n v="17"/>
    <x v="0"/>
    <n v="4"/>
    <n v="80"/>
    <n v="2"/>
    <n v="6"/>
    <n v="3"/>
    <n v="3"/>
    <n v="3"/>
    <n v="2"/>
    <n v="0"/>
    <n v="2"/>
    <n v="0"/>
    <x v="0"/>
    <x v="0"/>
    <s v="0-5k"/>
    <x v="0"/>
    <x v="0"/>
    <x v="0"/>
  </r>
  <r>
    <n v="44"/>
    <s v="No"/>
    <x v="0"/>
    <n v="1313"/>
    <x v="1"/>
    <n v="7"/>
    <n v="3"/>
    <s v="Medical"/>
    <n v="1"/>
    <n v="1608"/>
    <n v="2"/>
    <x v="0"/>
    <n v="31"/>
    <n v="3"/>
    <n v="5"/>
    <s v="Research Director"/>
    <n v="4"/>
    <s v="Divorced"/>
    <n v="19049"/>
    <n v="3549"/>
    <n v="0"/>
    <s v="Y"/>
    <s v="Yes"/>
    <n v="14"/>
    <x v="0"/>
    <n v="4"/>
    <n v="80"/>
    <n v="1"/>
    <n v="23"/>
    <n v="4"/>
    <n v="2"/>
    <n v="22"/>
    <n v="7"/>
    <n v="1"/>
    <n v="10"/>
    <n v="0"/>
    <x v="0"/>
    <x v="0"/>
    <s v="15k+"/>
    <x v="1"/>
    <x v="0"/>
    <x v="0"/>
  </r>
  <r>
    <n v="30"/>
    <s v="No"/>
    <x v="0"/>
    <n v="241"/>
    <x v="1"/>
    <n v="7"/>
    <n v="3"/>
    <s v="Medical"/>
    <n v="1"/>
    <n v="1609"/>
    <n v="2"/>
    <x v="1"/>
    <n v="48"/>
    <n v="2"/>
    <n v="1"/>
    <s v="Research Scientist"/>
    <n v="2"/>
    <s v="Married"/>
    <n v="2141"/>
    <n v="5348"/>
    <n v="1"/>
    <s v="Y"/>
    <s v="No"/>
    <n v="12"/>
    <x v="0"/>
    <n v="2"/>
    <n v="80"/>
    <n v="1"/>
    <n v="6"/>
    <n v="3"/>
    <n v="2"/>
    <n v="6"/>
    <n v="4"/>
    <n v="1"/>
    <n v="1"/>
    <n v="0"/>
    <x v="2"/>
    <x v="0"/>
    <s v="0-5k"/>
    <x v="0"/>
    <x v="0"/>
    <x v="1"/>
  </r>
  <r>
    <n v="45"/>
    <s v="No"/>
    <x v="0"/>
    <n v="1015"/>
    <x v="1"/>
    <n v="5"/>
    <n v="5"/>
    <s v="Medical"/>
    <n v="1"/>
    <n v="1611"/>
    <n v="3"/>
    <x v="0"/>
    <n v="50"/>
    <n v="1"/>
    <n v="2"/>
    <s v="Laboratory Technician"/>
    <n v="1"/>
    <s v="Single"/>
    <n v="5769"/>
    <n v="23447"/>
    <n v="1"/>
    <s v="Y"/>
    <s v="Yes"/>
    <n v="14"/>
    <x v="0"/>
    <n v="1"/>
    <n v="80"/>
    <n v="0"/>
    <n v="10"/>
    <n v="3"/>
    <n v="3"/>
    <n v="10"/>
    <n v="7"/>
    <n v="1"/>
    <n v="4"/>
    <n v="0"/>
    <x v="0"/>
    <x v="0"/>
    <s v="5k-10k"/>
    <x v="0"/>
    <x v="0"/>
    <x v="3"/>
  </r>
  <r>
    <n v="45"/>
    <s v="No"/>
    <x v="2"/>
    <n v="336"/>
    <x v="0"/>
    <n v="26"/>
    <n v="3"/>
    <s v="Marketing"/>
    <n v="1"/>
    <n v="1612"/>
    <n v="1"/>
    <x v="1"/>
    <n v="52"/>
    <n v="2"/>
    <n v="2"/>
    <s v="Sales Executive"/>
    <n v="1"/>
    <s v="Married"/>
    <n v="4385"/>
    <n v="24162"/>
    <n v="1"/>
    <s v="Y"/>
    <s v="No"/>
    <n v="15"/>
    <x v="0"/>
    <n v="1"/>
    <n v="80"/>
    <n v="1"/>
    <n v="10"/>
    <n v="2"/>
    <n v="3"/>
    <n v="10"/>
    <n v="7"/>
    <n v="4"/>
    <n v="5"/>
    <n v="0"/>
    <x v="0"/>
    <x v="1"/>
    <s v="0-5k"/>
    <x v="0"/>
    <x v="0"/>
    <x v="3"/>
  </r>
  <r>
    <n v="31"/>
    <s v="No"/>
    <x v="1"/>
    <n v="715"/>
    <x v="0"/>
    <n v="2"/>
    <n v="4"/>
    <s v="Other"/>
    <n v="1"/>
    <n v="1613"/>
    <n v="4"/>
    <x v="1"/>
    <n v="54"/>
    <n v="3"/>
    <n v="2"/>
    <s v="Sales Executive"/>
    <n v="1"/>
    <s v="Single"/>
    <n v="5332"/>
    <n v="21602"/>
    <n v="7"/>
    <s v="Y"/>
    <s v="No"/>
    <n v="13"/>
    <x v="0"/>
    <n v="4"/>
    <n v="80"/>
    <n v="0"/>
    <n v="10"/>
    <n v="3"/>
    <n v="3"/>
    <n v="5"/>
    <n v="2"/>
    <n v="0"/>
    <n v="3"/>
    <n v="0"/>
    <x v="0"/>
    <x v="0"/>
    <s v="5k-10k"/>
    <x v="0"/>
    <x v="0"/>
    <x v="3"/>
  </r>
  <r>
    <n v="36"/>
    <s v="No"/>
    <x v="0"/>
    <n v="559"/>
    <x v="1"/>
    <n v="12"/>
    <n v="4"/>
    <s v="Life Sciences"/>
    <n v="1"/>
    <n v="1614"/>
    <n v="3"/>
    <x v="0"/>
    <n v="76"/>
    <n v="3"/>
    <n v="2"/>
    <s v="Manufacturing Director"/>
    <n v="3"/>
    <s v="Married"/>
    <n v="4663"/>
    <n v="12421"/>
    <n v="9"/>
    <s v="Y"/>
    <s v="Yes"/>
    <n v="12"/>
    <x v="0"/>
    <n v="2"/>
    <n v="80"/>
    <n v="2"/>
    <n v="7"/>
    <n v="2"/>
    <n v="3"/>
    <n v="3"/>
    <n v="2"/>
    <n v="1"/>
    <n v="1"/>
    <n v="0"/>
    <x v="0"/>
    <x v="2"/>
    <s v="0-5k"/>
    <x v="0"/>
    <x v="0"/>
    <x v="2"/>
  </r>
  <r>
    <n v="34"/>
    <s v="No"/>
    <x v="1"/>
    <n v="426"/>
    <x v="1"/>
    <n v="10"/>
    <n v="4"/>
    <s v="Life Sciences"/>
    <n v="1"/>
    <n v="1615"/>
    <n v="3"/>
    <x v="1"/>
    <n v="42"/>
    <n v="4"/>
    <n v="2"/>
    <s v="Manufacturing Director"/>
    <n v="4"/>
    <s v="Divorced"/>
    <n v="4724"/>
    <n v="17000"/>
    <n v="1"/>
    <s v="Y"/>
    <s v="No"/>
    <n v="13"/>
    <x v="0"/>
    <n v="1"/>
    <n v="80"/>
    <n v="1"/>
    <n v="9"/>
    <n v="3"/>
    <n v="3"/>
    <n v="9"/>
    <n v="7"/>
    <n v="7"/>
    <n v="2"/>
    <n v="0"/>
    <x v="0"/>
    <x v="0"/>
    <s v="0-5k"/>
    <x v="0"/>
    <x v="0"/>
    <x v="0"/>
  </r>
  <r>
    <n v="49"/>
    <s v="No"/>
    <x v="0"/>
    <n v="722"/>
    <x v="1"/>
    <n v="25"/>
    <n v="4"/>
    <s v="Life Sciences"/>
    <n v="1"/>
    <n v="1617"/>
    <n v="3"/>
    <x v="0"/>
    <n v="84"/>
    <n v="3"/>
    <n v="1"/>
    <s v="Laboratory Technician"/>
    <n v="1"/>
    <s v="Married"/>
    <n v="3211"/>
    <n v="22102"/>
    <n v="1"/>
    <s v="Y"/>
    <s v="No"/>
    <n v="14"/>
    <x v="0"/>
    <n v="4"/>
    <n v="80"/>
    <n v="1"/>
    <n v="10"/>
    <n v="3"/>
    <n v="2"/>
    <n v="9"/>
    <n v="6"/>
    <n v="1"/>
    <n v="4"/>
    <n v="0"/>
    <x v="1"/>
    <x v="1"/>
    <s v="0-5k"/>
    <x v="0"/>
    <x v="0"/>
    <x v="3"/>
  </r>
  <r>
    <n v="39"/>
    <s v="No"/>
    <x v="0"/>
    <n v="1387"/>
    <x v="1"/>
    <n v="10"/>
    <n v="5"/>
    <s v="Medical"/>
    <n v="1"/>
    <n v="1618"/>
    <n v="2"/>
    <x v="1"/>
    <n v="76"/>
    <n v="3"/>
    <n v="2"/>
    <s v="Manufacturing Director"/>
    <n v="1"/>
    <s v="Married"/>
    <n v="5377"/>
    <n v="3835"/>
    <n v="2"/>
    <s v="Y"/>
    <s v="No"/>
    <n v="13"/>
    <x v="0"/>
    <n v="4"/>
    <n v="80"/>
    <n v="3"/>
    <n v="10"/>
    <n v="3"/>
    <n v="3"/>
    <n v="7"/>
    <n v="7"/>
    <n v="7"/>
    <n v="7"/>
    <n v="0"/>
    <x v="0"/>
    <x v="0"/>
    <s v="5k-10k"/>
    <x v="0"/>
    <x v="0"/>
    <x v="3"/>
  </r>
  <r>
    <n v="27"/>
    <s v="No"/>
    <x v="0"/>
    <n v="1302"/>
    <x v="1"/>
    <n v="19"/>
    <n v="3"/>
    <s v="Other"/>
    <n v="1"/>
    <n v="1619"/>
    <n v="4"/>
    <x v="1"/>
    <n v="67"/>
    <n v="2"/>
    <n v="1"/>
    <s v="Laboratory Technician"/>
    <n v="1"/>
    <s v="Divorced"/>
    <n v="4066"/>
    <n v="16290"/>
    <n v="1"/>
    <s v="Y"/>
    <s v="No"/>
    <n v="11"/>
    <x v="0"/>
    <n v="1"/>
    <n v="80"/>
    <n v="2"/>
    <n v="7"/>
    <n v="3"/>
    <n v="3"/>
    <n v="7"/>
    <n v="7"/>
    <n v="0"/>
    <n v="7"/>
    <n v="0"/>
    <x v="2"/>
    <x v="2"/>
    <s v="0-5k"/>
    <x v="0"/>
    <x v="0"/>
    <x v="3"/>
  </r>
  <r>
    <n v="35"/>
    <s v="No"/>
    <x v="0"/>
    <n v="819"/>
    <x v="1"/>
    <n v="18"/>
    <n v="5"/>
    <s v="Life Sciences"/>
    <n v="1"/>
    <n v="1621"/>
    <n v="2"/>
    <x v="1"/>
    <n v="48"/>
    <n v="4"/>
    <n v="2"/>
    <s v="Research Scientist"/>
    <n v="1"/>
    <s v="Married"/>
    <n v="5208"/>
    <n v="26312"/>
    <n v="1"/>
    <s v="Y"/>
    <s v="No"/>
    <n v="11"/>
    <x v="0"/>
    <n v="4"/>
    <n v="80"/>
    <n v="0"/>
    <n v="16"/>
    <n v="2"/>
    <n v="3"/>
    <n v="16"/>
    <n v="15"/>
    <n v="1"/>
    <n v="10"/>
    <n v="0"/>
    <x v="0"/>
    <x v="2"/>
    <s v="5k-10k"/>
    <x v="2"/>
    <x v="0"/>
    <x v="3"/>
  </r>
  <r>
    <n v="28"/>
    <s v="No"/>
    <x v="0"/>
    <n v="580"/>
    <x v="1"/>
    <n v="27"/>
    <n v="3"/>
    <s v="Medical"/>
    <n v="1"/>
    <n v="1622"/>
    <n v="2"/>
    <x v="0"/>
    <n v="39"/>
    <n v="1"/>
    <n v="2"/>
    <s v="Manufacturing Director"/>
    <n v="1"/>
    <s v="Divorced"/>
    <n v="4877"/>
    <n v="20460"/>
    <n v="0"/>
    <s v="Y"/>
    <s v="No"/>
    <n v="21"/>
    <x v="1"/>
    <n v="2"/>
    <n v="80"/>
    <n v="1"/>
    <n v="6"/>
    <n v="5"/>
    <n v="2"/>
    <n v="5"/>
    <n v="3"/>
    <n v="0"/>
    <n v="0"/>
    <n v="0"/>
    <x v="2"/>
    <x v="1"/>
    <s v="0-5k"/>
    <x v="0"/>
    <x v="1"/>
    <x v="3"/>
  </r>
  <r>
    <n v="21"/>
    <s v="No"/>
    <x v="0"/>
    <n v="546"/>
    <x v="1"/>
    <n v="5"/>
    <n v="1"/>
    <s v="Medical"/>
    <n v="1"/>
    <n v="1623"/>
    <n v="3"/>
    <x v="1"/>
    <n v="97"/>
    <n v="3"/>
    <n v="1"/>
    <s v="Research Scientist"/>
    <n v="4"/>
    <s v="Single"/>
    <n v="3117"/>
    <n v="26009"/>
    <n v="1"/>
    <s v="Y"/>
    <s v="No"/>
    <n v="18"/>
    <x v="0"/>
    <n v="3"/>
    <n v="80"/>
    <n v="0"/>
    <n v="3"/>
    <n v="2"/>
    <n v="3"/>
    <n v="2"/>
    <n v="2"/>
    <n v="2"/>
    <n v="2"/>
    <n v="0"/>
    <x v="2"/>
    <x v="0"/>
    <s v="0-5k"/>
    <x v="0"/>
    <x v="0"/>
    <x v="0"/>
  </r>
  <r>
    <n v="18"/>
    <s v="Yes"/>
    <x v="1"/>
    <n v="544"/>
    <x v="0"/>
    <n v="3"/>
    <n v="2"/>
    <s v="Medical"/>
    <n v="1"/>
    <n v="1624"/>
    <n v="2"/>
    <x v="0"/>
    <n v="70"/>
    <n v="3"/>
    <n v="1"/>
    <s v="Sales Representative"/>
    <n v="4"/>
    <s v="Single"/>
    <n v="1569"/>
    <n v="18420"/>
    <n v="1"/>
    <s v="Y"/>
    <s v="Yes"/>
    <n v="12"/>
    <x v="0"/>
    <n v="3"/>
    <n v="80"/>
    <n v="0"/>
    <n v="0"/>
    <n v="2"/>
    <n v="4"/>
    <n v="0"/>
    <n v="0"/>
    <n v="0"/>
    <n v="0"/>
    <n v="1"/>
    <x v="2"/>
    <x v="0"/>
    <s v="0-5k"/>
    <x v="0"/>
    <x v="0"/>
    <x v="0"/>
  </r>
  <r>
    <n v="47"/>
    <s v="No"/>
    <x v="0"/>
    <n v="1176"/>
    <x v="2"/>
    <n v="26"/>
    <n v="4"/>
    <s v="Life Sciences"/>
    <n v="1"/>
    <n v="1625"/>
    <n v="4"/>
    <x v="0"/>
    <n v="98"/>
    <n v="3"/>
    <n v="5"/>
    <s v="Manager"/>
    <n v="3"/>
    <s v="Married"/>
    <n v="19658"/>
    <n v="5220"/>
    <n v="3"/>
    <s v="Y"/>
    <s v="No"/>
    <n v="11"/>
    <x v="0"/>
    <n v="3"/>
    <n v="80"/>
    <n v="1"/>
    <n v="27"/>
    <n v="2"/>
    <n v="3"/>
    <n v="5"/>
    <n v="2"/>
    <n v="1"/>
    <n v="0"/>
    <n v="0"/>
    <x v="1"/>
    <x v="1"/>
    <s v="15k+"/>
    <x v="0"/>
    <x v="0"/>
    <x v="2"/>
  </r>
  <r>
    <n v="39"/>
    <s v="No"/>
    <x v="0"/>
    <n v="170"/>
    <x v="1"/>
    <n v="3"/>
    <n v="2"/>
    <s v="Medical"/>
    <n v="1"/>
    <n v="1627"/>
    <n v="3"/>
    <x v="1"/>
    <n v="76"/>
    <n v="2"/>
    <n v="2"/>
    <s v="Laboratory Technician"/>
    <n v="3"/>
    <s v="Divorced"/>
    <n v="3069"/>
    <n v="10302"/>
    <n v="0"/>
    <s v="Y"/>
    <s v="No"/>
    <n v="15"/>
    <x v="0"/>
    <n v="4"/>
    <n v="80"/>
    <n v="1"/>
    <n v="11"/>
    <n v="3"/>
    <n v="3"/>
    <n v="10"/>
    <n v="8"/>
    <n v="0"/>
    <n v="7"/>
    <n v="0"/>
    <x v="0"/>
    <x v="0"/>
    <s v="0-5k"/>
    <x v="0"/>
    <x v="0"/>
    <x v="2"/>
  </r>
  <r>
    <n v="40"/>
    <s v="No"/>
    <x v="0"/>
    <n v="884"/>
    <x v="1"/>
    <n v="15"/>
    <n v="3"/>
    <s v="Life Sciences"/>
    <n v="1"/>
    <n v="1628"/>
    <n v="1"/>
    <x v="0"/>
    <n v="80"/>
    <n v="2"/>
    <n v="3"/>
    <s v="Manufacturing Director"/>
    <n v="3"/>
    <s v="Married"/>
    <n v="10435"/>
    <n v="25800"/>
    <n v="1"/>
    <s v="Y"/>
    <s v="No"/>
    <n v="13"/>
    <x v="0"/>
    <n v="4"/>
    <n v="80"/>
    <n v="2"/>
    <n v="18"/>
    <n v="2"/>
    <n v="3"/>
    <n v="18"/>
    <n v="15"/>
    <n v="14"/>
    <n v="12"/>
    <n v="0"/>
    <x v="0"/>
    <x v="2"/>
    <s v="10k-15k"/>
    <x v="2"/>
    <x v="0"/>
    <x v="2"/>
  </r>
  <r>
    <n v="35"/>
    <s v="No"/>
    <x v="2"/>
    <n v="208"/>
    <x v="1"/>
    <n v="8"/>
    <n v="4"/>
    <s v="Life Sciences"/>
    <n v="1"/>
    <n v="1630"/>
    <n v="3"/>
    <x v="0"/>
    <n v="52"/>
    <n v="3"/>
    <n v="2"/>
    <s v="Healthcare Representative"/>
    <n v="3"/>
    <s v="Married"/>
    <n v="4148"/>
    <n v="12250"/>
    <n v="1"/>
    <s v="Y"/>
    <s v="No"/>
    <n v="12"/>
    <x v="0"/>
    <n v="4"/>
    <n v="80"/>
    <n v="1"/>
    <n v="15"/>
    <n v="5"/>
    <n v="3"/>
    <n v="14"/>
    <n v="11"/>
    <n v="2"/>
    <n v="9"/>
    <n v="0"/>
    <x v="0"/>
    <x v="0"/>
    <s v="0-5k"/>
    <x v="2"/>
    <x v="0"/>
    <x v="2"/>
  </r>
  <r>
    <n v="37"/>
    <s v="No"/>
    <x v="0"/>
    <n v="671"/>
    <x v="1"/>
    <n v="19"/>
    <n v="3"/>
    <s v="Life Sciences"/>
    <n v="1"/>
    <n v="1631"/>
    <n v="3"/>
    <x v="1"/>
    <n v="85"/>
    <n v="3"/>
    <n v="2"/>
    <s v="Manufacturing Director"/>
    <n v="3"/>
    <s v="Married"/>
    <n v="5768"/>
    <n v="26493"/>
    <n v="3"/>
    <s v="Y"/>
    <s v="No"/>
    <n v="17"/>
    <x v="0"/>
    <n v="1"/>
    <n v="80"/>
    <n v="3"/>
    <n v="9"/>
    <n v="2"/>
    <n v="2"/>
    <n v="4"/>
    <n v="3"/>
    <n v="0"/>
    <n v="2"/>
    <n v="0"/>
    <x v="0"/>
    <x v="2"/>
    <s v="5k-10k"/>
    <x v="0"/>
    <x v="0"/>
    <x v="2"/>
  </r>
  <r>
    <n v="39"/>
    <s v="No"/>
    <x v="1"/>
    <n v="711"/>
    <x v="1"/>
    <n v="4"/>
    <n v="3"/>
    <s v="Medical"/>
    <n v="1"/>
    <n v="1633"/>
    <n v="1"/>
    <x v="0"/>
    <n v="81"/>
    <n v="3"/>
    <n v="2"/>
    <s v="Manufacturing Director"/>
    <n v="3"/>
    <s v="Single"/>
    <n v="5042"/>
    <n v="3140"/>
    <n v="0"/>
    <s v="Y"/>
    <s v="No"/>
    <n v="13"/>
    <x v="0"/>
    <n v="4"/>
    <n v="80"/>
    <n v="0"/>
    <n v="10"/>
    <n v="2"/>
    <n v="1"/>
    <n v="9"/>
    <n v="2"/>
    <n v="3"/>
    <n v="8"/>
    <n v="0"/>
    <x v="0"/>
    <x v="0"/>
    <s v="5k-10k"/>
    <x v="0"/>
    <x v="0"/>
    <x v="2"/>
  </r>
  <r>
    <n v="45"/>
    <s v="No"/>
    <x v="0"/>
    <n v="1329"/>
    <x v="1"/>
    <n v="2"/>
    <n v="2"/>
    <s v="Other"/>
    <n v="1"/>
    <n v="1635"/>
    <n v="4"/>
    <x v="0"/>
    <n v="59"/>
    <n v="2"/>
    <n v="2"/>
    <s v="Manufacturing Director"/>
    <n v="4"/>
    <s v="Divorced"/>
    <n v="5770"/>
    <n v="5388"/>
    <n v="1"/>
    <s v="Y"/>
    <s v="No"/>
    <n v="19"/>
    <x v="0"/>
    <n v="1"/>
    <n v="80"/>
    <n v="2"/>
    <n v="10"/>
    <n v="3"/>
    <n v="3"/>
    <n v="10"/>
    <n v="7"/>
    <n v="3"/>
    <n v="9"/>
    <n v="0"/>
    <x v="0"/>
    <x v="0"/>
    <s v="5k-10k"/>
    <x v="0"/>
    <x v="0"/>
    <x v="0"/>
  </r>
  <r>
    <n v="38"/>
    <s v="No"/>
    <x v="0"/>
    <n v="397"/>
    <x v="1"/>
    <n v="2"/>
    <n v="2"/>
    <s v="Medical"/>
    <n v="1"/>
    <n v="1638"/>
    <n v="4"/>
    <x v="0"/>
    <n v="54"/>
    <n v="2"/>
    <n v="3"/>
    <s v="Manufacturing Director"/>
    <n v="3"/>
    <s v="Married"/>
    <n v="7756"/>
    <n v="14199"/>
    <n v="3"/>
    <s v="Y"/>
    <s v="Yes"/>
    <n v="19"/>
    <x v="0"/>
    <n v="4"/>
    <n v="80"/>
    <n v="1"/>
    <n v="10"/>
    <n v="6"/>
    <n v="4"/>
    <n v="5"/>
    <n v="4"/>
    <n v="0"/>
    <n v="2"/>
    <n v="0"/>
    <x v="0"/>
    <x v="0"/>
    <s v="5k-10k"/>
    <x v="0"/>
    <x v="0"/>
    <x v="2"/>
  </r>
  <r>
    <n v="35"/>
    <s v="Yes"/>
    <x v="0"/>
    <n v="737"/>
    <x v="0"/>
    <n v="10"/>
    <n v="3"/>
    <s v="Medical"/>
    <n v="1"/>
    <n v="1639"/>
    <n v="4"/>
    <x v="1"/>
    <n v="55"/>
    <n v="2"/>
    <n v="3"/>
    <s v="Sales Executive"/>
    <n v="1"/>
    <s v="Married"/>
    <n v="10306"/>
    <n v="21530"/>
    <n v="9"/>
    <s v="Y"/>
    <s v="No"/>
    <n v="17"/>
    <x v="0"/>
    <n v="3"/>
    <n v="80"/>
    <n v="0"/>
    <n v="15"/>
    <n v="3"/>
    <n v="3"/>
    <n v="13"/>
    <n v="12"/>
    <n v="6"/>
    <n v="0"/>
    <n v="1"/>
    <x v="0"/>
    <x v="0"/>
    <s v="10k-15k"/>
    <x v="2"/>
    <x v="0"/>
    <x v="3"/>
  </r>
  <r>
    <n v="37"/>
    <s v="No"/>
    <x v="0"/>
    <n v="1470"/>
    <x v="1"/>
    <n v="10"/>
    <n v="3"/>
    <s v="Medical"/>
    <n v="1"/>
    <n v="1640"/>
    <n v="2"/>
    <x v="0"/>
    <n v="71"/>
    <n v="3"/>
    <n v="1"/>
    <s v="Research Scientist"/>
    <n v="2"/>
    <s v="Married"/>
    <n v="3936"/>
    <n v="9953"/>
    <n v="1"/>
    <s v="Y"/>
    <s v="No"/>
    <n v="11"/>
    <x v="0"/>
    <n v="1"/>
    <n v="80"/>
    <n v="1"/>
    <n v="8"/>
    <n v="2"/>
    <n v="1"/>
    <n v="8"/>
    <n v="4"/>
    <n v="7"/>
    <n v="7"/>
    <n v="0"/>
    <x v="0"/>
    <x v="0"/>
    <s v="0-5k"/>
    <x v="0"/>
    <x v="0"/>
    <x v="1"/>
  </r>
  <r>
    <n v="40"/>
    <s v="No"/>
    <x v="0"/>
    <n v="448"/>
    <x v="1"/>
    <n v="16"/>
    <n v="3"/>
    <s v="Life Sciences"/>
    <n v="1"/>
    <n v="1641"/>
    <n v="3"/>
    <x v="0"/>
    <n v="84"/>
    <n v="3"/>
    <n v="3"/>
    <s v="Manufacturing Director"/>
    <n v="4"/>
    <s v="Single"/>
    <n v="7945"/>
    <n v="19948"/>
    <n v="6"/>
    <s v="Y"/>
    <s v="Yes"/>
    <n v="15"/>
    <x v="0"/>
    <n v="4"/>
    <n v="80"/>
    <n v="0"/>
    <n v="18"/>
    <n v="2"/>
    <n v="2"/>
    <n v="4"/>
    <n v="2"/>
    <n v="3"/>
    <n v="3"/>
    <n v="0"/>
    <x v="0"/>
    <x v="2"/>
    <s v="5k-10k"/>
    <x v="0"/>
    <x v="0"/>
    <x v="0"/>
  </r>
  <r>
    <n v="44"/>
    <s v="No"/>
    <x v="1"/>
    <n v="602"/>
    <x v="2"/>
    <n v="1"/>
    <n v="5"/>
    <s v="Human Resources"/>
    <n v="1"/>
    <n v="1642"/>
    <n v="1"/>
    <x v="1"/>
    <n v="37"/>
    <n v="3"/>
    <n v="2"/>
    <s v="Human Resources"/>
    <n v="4"/>
    <s v="Married"/>
    <n v="5743"/>
    <n v="10503"/>
    <n v="4"/>
    <s v="Y"/>
    <s v="Yes"/>
    <n v="11"/>
    <x v="0"/>
    <n v="3"/>
    <n v="80"/>
    <n v="0"/>
    <n v="14"/>
    <n v="3"/>
    <n v="3"/>
    <n v="10"/>
    <n v="7"/>
    <n v="0"/>
    <n v="2"/>
    <n v="0"/>
    <x v="0"/>
    <x v="0"/>
    <s v="5k-10k"/>
    <x v="0"/>
    <x v="0"/>
    <x v="0"/>
  </r>
  <r>
    <n v="48"/>
    <s v="No"/>
    <x v="1"/>
    <n v="365"/>
    <x v="1"/>
    <n v="4"/>
    <n v="5"/>
    <s v="Medical"/>
    <n v="1"/>
    <n v="1644"/>
    <n v="3"/>
    <x v="1"/>
    <n v="89"/>
    <n v="2"/>
    <n v="4"/>
    <s v="Manager"/>
    <n v="4"/>
    <s v="Married"/>
    <n v="15202"/>
    <n v="5602"/>
    <n v="2"/>
    <s v="Y"/>
    <s v="No"/>
    <n v="25"/>
    <x v="1"/>
    <n v="2"/>
    <n v="80"/>
    <n v="1"/>
    <n v="23"/>
    <n v="3"/>
    <n v="3"/>
    <n v="2"/>
    <n v="2"/>
    <n v="2"/>
    <n v="2"/>
    <n v="0"/>
    <x v="1"/>
    <x v="0"/>
    <s v="15k+"/>
    <x v="0"/>
    <x v="1"/>
    <x v="0"/>
  </r>
  <r>
    <n v="35"/>
    <s v="Yes"/>
    <x v="0"/>
    <n v="763"/>
    <x v="0"/>
    <n v="15"/>
    <n v="2"/>
    <s v="Medical"/>
    <n v="1"/>
    <n v="1645"/>
    <n v="1"/>
    <x v="1"/>
    <n v="59"/>
    <n v="1"/>
    <n v="2"/>
    <s v="Sales Executive"/>
    <n v="4"/>
    <s v="Divorced"/>
    <n v="5440"/>
    <n v="22098"/>
    <n v="6"/>
    <s v="Y"/>
    <s v="Yes"/>
    <n v="14"/>
    <x v="0"/>
    <n v="4"/>
    <n v="80"/>
    <n v="2"/>
    <n v="7"/>
    <n v="2"/>
    <n v="2"/>
    <n v="2"/>
    <n v="2"/>
    <n v="2"/>
    <n v="2"/>
    <n v="1"/>
    <x v="0"/>
    <x v="2"/>
    <s v="5k-10k"/>
    <x v="0"/>
    <x v="0"/>
    <x v="0"/>
  </r>
  <r>
    <n v="24"/>
    <s v="No"/>
    <x v="1"/>
    <n v="567"/>
    <x v="1"/>
    <n v="2"/>
    <n v="1"/>
    <s v="Technical Degree"/>
    <n v="1"/>
    <n v="1646"/>
    <n v="1"/>
    <x v="0"/>
    <n v="32"/>
    <n v="3"/>
    <n v="1"/>
    <s v="Research Scientist"/>
    <n v="4"/>
    <s v="Single"/>
    <n v="3760"/>
    <n v="17218"/>
    <n v="1"/>
    <s v="Y"/>
    <s v="Yes"/>
    <n v="13"/>
    <x v="0"/>
    <n v="3"/>
    <n v="80"/>
    <n v="0"/>
    <n v="6"/>
    <n v="2"/>
    <n v="3"/>
    <n v="6"/>
    <n v="3"/>
    <n v="1"/>
    <n v="3"/>
    <n v="0"/>
    <x v="2"/>
    <x v="0"/>
    <s v="0-5k"/>
    <x v="0"/>
    <x v="0"/>
    <x v="0"/>
  </r>
  <r>
    <n v="27"/>
    <s v="No"/>
    <x v="0"/>
    <n v="486"/>
    <x v="1"/>
    <n v="8"/>
    <n v="3"/>
    <s v="Medical"/>
    <n v="1"/>
    <n v="1647"/>
    <n v="2"/>
    <x v="0"/>
    <n v="86"/>
    <n v="4"/>
    <n v="1"/>
    <s v="Research Scientist"/>
    <n v="3"/>
    <s v="Married"/>
    <n v="3517"/>
    <n v="22490"/>
    <n v="7"/>
    <s v="Y"/>
    <s v="No"/>
    <n v="17"/>
    <x v="0"/>
    <n v="1"/>
    <n v="80"/>
    <n v="0"/>
    <n v="5"/>
    <n v="0"/>
    <n v="3"/>
    <n v="3"/>
    <n v="2"/>
    <n v="0"/>
    <n v="2"/>
    <n v="0"/>
    <x v="2"/>
    <x v="0"/>
    <s v="0-5k"/>
    <x v="0"/>
    <x v="0"/>
    <x v="2"/>
  </r>
  <r>
    <n v="27"/>
    <s v="No"/>
    <x v="1"/>
    <n v="591"/>
    <x v="1"/>
    <n v="2"/>
    <n v="3"/>
    <s v="Medical"/>
    <n v="1"/>
    <n v="1648"/>
    <n v="4"/>
    <x v="1"/>
    <n v="87"/>
    <n v="3"/>
    <n v="1"/>
    <s v="Research Scientist"/>
    <n v="4"/>
    <s v="Single"/>
    <n v="2580"/>
    <n v="6297"/>
    <n v="2"/>
    <s v="Y"/>
    <s v="No"/>
    <n v="13"/>
    <x v="0"/>
    <n v="3"/>
    <n v="80"/>
    <n v="0"/>
    <n v="6"/>
    <n v="0"/>
    <n v="2"/>
    <n v="4"/>
    <n v="2"/>
    <n v="1"/>
    <n v="2"/>
    <n v="0"/>
    <x v="2"/>
    <x v="0"/>
    <s v="0-5k"/>
    <x v="0"/>
    <x v="0"/>
    <x v="0"/>
  </r>
  <r>
    <n v="40"/>
    <s v="Yes"/>
    <x v="0"/>
    <n v="1329"/>
    <x v="1"/>
    <n v="7"/>
    <n v="3"/>
    <s v="Life Sciences"/>
    <n v="1"/>
    <n v="1649"/>
    <n v="1"/>
    <x v="1"/>
    <n v="73"/>
    <n v="3"/>
    <n v="1"/>
    <s v="Laboratory Technician"/>
    <n v="1"/>
    <s v="Single"/>
    <n v="2166"/>
    <n v="3339"/>
    <n v="3"/>
    <s v="Y"/>
    <s v="Yes"/>
    <n v="14"/>
    <x v="0"/>
    <n v="2"/>
    <n v="80"/>
    <n v="0"/>
    <n v="10"/>
    <n v="3"/>
    <n v="1"/>
    <n v="4"/>
    <n v="2"/>
    <n v="0"/>
    <n v="3"/>
    <n v="1"/>
    <x v="0"/>
    <x v="0"/>
    <s v="0-5k"/>
    <x v="0"/>
    <x v="0"/>
    <x v="3"/>
  </r>
  <r>
    <n v="29"/>
    <s v="No"/>
    <x v="0"/>
    <n v="469"/>
    <x v="0"/>
    <n v="10"/>
    <n v="3"/>
    <s v="Medical"/>
    <n v="1"/>
    <n v="1650"/>
    <n v="3"/>
    <x v="1"/>
    <n v="42"/>
    <n v="2"/>
    <n v="2"/>
    <s v="Sales Executive"/>
    <n v="3"/>
    <s v="Single"/>
    <n v="5869"/>
    <n v="23413"/>
    <n v="9"/>
    <s v="Y"/>
    <s v="No"/>
    <n v="11"/>
    <x v="0"/>
    <n v="3"/>
    <n v="80"/>
    <n v="0"/>
    <n v="8"/>
    <n v="2"/>
    <n v="3"/>
    <n v="5"/>
    <n v="2"/>
    <n v="1"/>
    <n v="4"/>
    <n v="0"/>
    <x v="2"/>
    <x v="0"/>
    <s v="5k-10k"/>
    <x v="0"/>
    <x v="0"/>
    <x v="2"/>
  </r>
  <r>
    <n v="36"/>
    <s v="No"/>
    <x v="0"/>
    <n v="711"/>
    <x v="1"/>
    <n v="5"/>
    <n v="4"/>
    <s v="Life Sciences"/>
    <n v="1"/>
    <n v="1651"/>
    <n v="2"/>
    <x v="0"/>
    <n v="42"/>
    <n v="3"/>
    <n v="3"/>
    <s v="Healthcare Representative"/>
    <n v="1"/>
    <s v="Married"/>
    <n v="8008"/>
    <n v="22792"/>
    <n v="4"/>
    <s v="Y"/>
    <s v="No"/>
    <n v="12"/>
    <x v="0"/>
    <n v="3"/>
    <n v="80"/>
    <n v="2"/>
    <n v="9"/>
    <n v="6"/>
    <n v="3"/>
    <n v="3"/>
    <n v="2"/>
    <n v="0"/>
    <n v="2"/>
    <n v="0"/>
    <x v="0"/>
    <x v="0"/>
    <s v="5k-10k"/>
    <x v="0"/>
    <x v="0"/>
    <x v="3"/>
  </r>
  <r>
    <n v="25"/>
    <s v="No"/>
    <x v="1"/>
    <n v="772"/>
    <x v="1"/>
    <n v="2"/>
    <n v="1"/>
    <s v="Life Sciences"/>
    <n v="1"/>
    <n v="1653"/>
    <n v="4"/>
    <x v="1"/>
    <n v="77"/>
    <n v="4"/>
    <n v="2"/>
    <s v="Manufacturing Director"/>
    <n v="3"/>
    <s v="Divorced"/>
    <n v="5206"/>
    <n v="4973"/>
    <n v="1"/>
    <s v="Y"/>
    <s v="No"/>
    <n v="17"/>
    <x v="0"/>
    <n v="3"/>
    <n v="80"/>
    <n v="2"/>
    <n v="7"/>
    <n v="6"/>
    <n v="3"/>
    <n v="7"/>
    <n v="7"/>
    <n v="0"/>
    <n v="7"/>
    <n v="0"/>
    <x v="2"/>
    <x v="0"/>
    <s v="5k-10k"/>
    <x v="0"/>
    <x v="0"/>
    <x v="2"/>
  </r>
  <r>
    <n v="39"/>
    <s v="No"/>
    <x v="0"/>
    <n v="492"/>
    <x v="1"/>
    <n v="12"/>
    <n v="3"/>
    <s v="Medical"/>
    <n v="1"/>
    <n v="1654"/>
    <n v="4"/>
    <x v="1"/>
    <n v="66"/>
    <n v="3"/>
    <n v="2"/>
    <s v="Manufacturing Director"/>
    <n v="2"/>
    <s v="Married"/>
    <n v="5295"/>
    <n v="7693"/>
    <n v="4"/>
    <s v="Y"/>
    <s v="No"/>
    <n v="21"/>
    <x v="1"/>
    <n v="3"/>
    <n v="80"/>
    <n v="0"/>
    <n v="7"/>
    <n v="3"/>
    <n v="3"/>
    <n v="5"/>
    <n v="4"/>
    <n v="1"/>
    <n v="0"/>
    <n v="0"/>
    <x v="0"/>
    <x v="2"/>
    <s v="5k-10k"/>
    <x v="0"/>
    <x v="1"/>
    <x v="1"/>
  </r>
  <r>
    <n v="49"/>
    <s v="No"/>
    <x v="0"/>
    <n v="301"/>
    <x v="1"/>
    <n v="22"/>
    <n v="4"/>
    <s v="Other"/>
    <n v="1"/>
    <n v="1655"/>
    <n v="1"/>
    <x v="0"/>
    <n v="72"/>
    <n v="3"/>
    <n v="4"/>
    <s v="Research Director"/>
    <n v="2"/>
    <s v="Married"/>
    <n v="16413"/>
    <n v="3498"/>
    <n v="3"/>
    <s v="Y"/>
    <s v="No"/>
    <n v="16"/>
    <x v="0"/>
    <n v="2"/>
    <n v="80"/>
    <n v="2"/>
    <n v="27"/>
    <n v="2"/>
    <n v="3"/>
    <n v="4"/>
    <n v="2"/>
    <n v="1"/>
    <n v="2"/>
    <n v="0"/>
    <x v="1"/>
    <x v="1"/>
    <s v="15k+"/>
    <x v="0"/>
    <x v="0"/>
    <x v="1"/>
  </r>
  <r>
    <n v="50"/>
    <s v="No"/>
    <x v="0"/>
    <n v="813"/>
    <x v="1"/>
    <n v="17"/>
    <n v="5"/>
    <s v="Life Sciences"/>
    <n v="1"/>
    <n v="1656"/>
    <n v="4"/>
    <x v="0"/>
    <n v="50"/>
    <n v="2"/>
    <n v="3"/>
    <s v="Research Director"/>
    <n v="1"/>
    <s v="Divorced"/>
    <n v="13269"/>
    <n v="21981"/>
    <n v="5"/>
    <s v="Y"/>
    <s v="No"/>
    <n v="15"/>
    <x v="0"/>
    <n v="3"/>
    <n v="80"/>
    <n v="3"/>
    <n v="19"/>
    <n v="3"/>
    <n v="3"/>
    <n v="14"/>
    <n v="11"/>
    <n v="1"/>
    <n v="11"/>
    <n v="0"/>
    <x v="1"/>
    <x v="2"/>
    <s v="10k-15k"/>
    <x v="2"/>
    <x v="0"/>
    <x v="3"/>
  </r>
  <r>
    <n v="20"/>
    <s v="No"/>
    <x v="0"/>
    <n v="1141"/>
    <x v="0"/>
    <n v="2"/>
    <n v="3"/>
    <s v="Medical"/>
    <n v="1"/>
    <n v="1657"/>
    <n v="3"/>
    <x v="0"/>
    <n v="31"/>
    <n v="3"/>
    <n v="1"/>
    <s v="Sales Representative"/>
    <n v="3"/>
    <s v="Single"/>
    <n v="2783"/>
    <n v="13251"/>
    <n v="1"/>
    <s v="Y"/>
    <s v="No"/>
    <n v="19"/>
    <x v="0"/>
    <n v="1"/>
    <n v="80"/>
    <n v="0"/>
    <n v="2"/>
    <n v="3"/>
    <n v="3"/>
    <n v="2"/>
    <n v="2"/>
    <n v="2"/>
    <n v="2"/>
    <n v="0"/>
    <x v="2"/>
    <x v="0"/>
    <s v="0-5k"/>
    <x v="0"/>
    <x v="0"/>
    <x v="2"/>
  </r>
  <r>
    <n v="34"/>
    <s v="No"/>
    <x v="0"/>
    <n v="1130"/>
    <x v="1"/>
    <n v="3"/>
    <n v="3"/>
    <s v="Life Sciences"/>
    <n v="1"/>
    <n v="1658"/>
    <n v="4"/>
    <x v="0"/>
    <n v="66"/>
    <n v="3"/>
    <n v="2"/>
    <s v="Research Scientist"/>
    <n v="2"/>
    <s v="Divorced"/>
    <n v="5433"/>
    <n v="19332"/>
    <n v="1"/>
    <s v="Y"/>
    <s v="No"/>
    <n v="12"/>
    <x v="0"/>
    <n v="3"/>
    <n v="80"/>
    <n v="1"/>
    <n v="11"/>
    <n v="2"/>
    <n v="3"/>
    <n v="11"/>
    <n v="8"/>
    <n v="7"/>
    <n v="9"/>
    <n v="0"/>
    <x v="0"/>
    <x v="0"/>
    <s v="5k-10k"/>
    <x v="2"/>
    <x v="0"/>
    <x v="1"/>
  </r>
  <r>
    <n v="36"/>
    <s v="No"/>
    <x v="0"/>
    <n v="311"/>
    <x v="1"/>
    <n v="7"/>
    <n v="3"/>
    <s v="Life Sciences"/>
    <n v="1"/>
    <n v="1659"/>
    <n v="1"/>
    <x v="1"/>
    <n v="77"/>
    <n v="3"/>
    <n v="1"/>
    <s v="Laboratory Technician"/>
    <n v="2"/>
    <s v="Single"/>
    <n v="2013"/>
    <n v="10950"/>
    <n v="2"/>
    <s v="Y"/>
    <s v="No"/>
    <n v="11"/>
    <x v="0"/>
    <n v="3"/>
    <n v="80"/>
    <n v="0"/>
    <n v="15"/>
    <n v="4"/>
    <n v="3"/>
    <n v="4"/>
    <n v="3"/>
    <n v="1"/>
    <n v="3"/>
    <n v="0"/>
    <x v="0"/>
    <x v="0"/>
    <s v="0-5k"/>
    <x v="0"/>
    <x v="0"/>
    <x v="1"/>
  </r>
  <r>
    <n v="49"/>
    <s v="No"/>
    <x v="0"/>
    <n v="465"/>
    <x v="1"/>
    <n v="6"/>
    <n v="1"/>
    <s v="Life Sciences"/>
    <n v="1"/>
    <n v="1661"/>
    <n v="3"/>
    <x v="0"/>
    <n v="41"/>
    <n v="2"/>
    <n v="4"/>
    <s v="Healthcare Representative"/>
    <n v="3"/>
    <s v="Married"/>
    <n v="13966"/>
    <n v="11652"/>
    <n v="2"/>
    <s v="Y"/>
    <s v="Yes"/>
    <n v="19"/>
    <x v="0"/>
    <n v="2"/>
    <n v="80"/>
    <n v="1"/>
    <n v="30"/>
    <n v="3"/>
    <n v="3"/>
    <n v="15"/>
    <n v="11"/>
    <n v="2"/>
    <n v="12"/>
    <n v="0"/>
    <x v="1"/>
    <x v="0"/>
    <s v="10k-15k"/>
    <x v="2"/>
    <x v="0"/>
    <x v="2"/>
  </r>
  <r>
    <n v="36"/>
    <s v="No"/>
    <x v="2"/>
    <n v="894"/>
    <x v="1"/>
    <n v="1"/>
    <n v="4"/>
    <s v="Medical"/>
    <n v="1"/>
    <n v="1662"/>
    <n v="4"/>
    <x v="0"/>
    <n v="33"/>
    <n v="2"/>
    <n v="2"/>
    <s v="Manufacturing Director"/>
    <n v="3"/>
    <s v="Married"/>
    <n v="4374"/>
    <n v="15411"/>
    <n v="0"/>
    <s v="Y"/>
    <s v="No"/>
    <n v="15"/>
    <x v="0"/>
    <n v="3"/>
    <n v="80"/>
    <n v="0"/>
    <n v="4"/>
    <n v="6"/>
    <n v="3"/>
    <n v="3"/>
    <n v="2"/>
    <n v="1"/>
    <n v="2"/>
    <n v="0"/>
    <x v="0"/>
    <x v="0"/>
    <s v="0-5k"/>
    <x v="0"/>
    <x v="0"/>
    <x v="2"/>
  </r>
  <r>
    <n v="36"/>
    <s v="No"/>
    <x v="0"/>
    <n v="1040"/>
    <x v="1"/>
    <n v="3"/>
    <n v="2"/>
    <s v="Life Sciences"/>
    <n v="1"/>
    <n v="1664"/>
    <n v="4"/>
    <x v="1"/>
    <n v="79"/>
    <n v="4"/>
    <n v="2"/>
    <s v="Healthcare Representative"/>
    <n v="1"/>
    <s v="Divorced"/>
    <n v="6842"/>
    <n v="26308"/>
    <n v="6"/>
    <s v="Y"/>
    <s v="No"/>
    <n v="20"/>
    <x v="1"/>
    <n v="1"/>
    <n v="80"/>
    <n v="1"/>
    <n v="13"/>
    <n v="3"/>
    <n v="3"/>
    <n v="5"/>
    <n v="4"/>
    <n v="0"/>
    <n v="4"/>
    <n v="0"/>
    <x v="0"/>
    <x v="0"/>
    <s v="5k-10k"/>
    <x v="0"/>
    <x v="1"/>
    <x v="3"/>
  </r>
  <r>
    <n v="54"/>
    <s v="No"/>
    <x v="0"/>
    <n v="584"/>
    <x v="1"/>
    <n v="22"/>
    <n v="5"/>
    <s v="Medical"/>
    <n v="1"/>
    <n v="1665"/>
    <n v="2"/>
    <x v="0"/>
    <n v="91"/>
    <n v="3"/>
    <n v="4"/>
    <s v="Manager"/>
    <n v="3"/>
    <s v="Married"/>
    <n v="17426"/>
    <n v="18685"/>
    <n v="3"/>
    <s v="Y"/>
    <s v="No"/>
    <n v="25"/>
    <x v="1"/>
    <n v="3"/>
    <n v="80"/>
    <n v="1"/>
    <n v="36"/>
    <n v="6"/>
    <n v="3"/>
    <n v="10"/>
    <n v="8"/>
    <n v="4"/>
    <n v="7"/>
    <n v="0"/>
    <x v="1"/>
    <x v="1"/>
    <s v="15k+"/>
    <x v="0"/>
    <x v="1"/>
    <x v="2"/>
  </r>
  <r>
    <n v="43"/>
    <s v="No"/>
    <x v="0"/>
    <n v="1291"/>
    <x v="1"/>
    <n v="15"/>
    <n v="2"/>
    <s v="Life Sciences"/>
    <n v="1"/>
    <n v="1666"/>
    <n v="3"/>
    <x v="1"/>
    <n v="65"/>
    <n v="2"/>
    <n v="4"/>
    <s v="Research Director"/>
    <n v="3"/>
    <s v="Married"/>
    <n v="17603"/>
    <n v="3525"/>
    <n v="1"/>
    <s v="Y"/>
    <s v="No"/>
    <n v="24"/>
    <x v="1"/>
    <n v="1"/>
    <n v="80"/>
    <n v="1"/>
    <n v="14"/>
    <n v="3"/>
    <n v="3"/>
    <n v="14"/>
    <n v="10"/>
    <n v="6"/>
    <n v="11"/>
    <n v="0"/>
    <x v="0"/>
    <x v="2"/>
    <s v="15k+"/>
    <x v="2"/>
    <x v="1"/>
    <x v="2"/>
  </r>
  <r>
    <n v="35"/>
    <s v="Yes"/>
    <x v="1"/>
    <n v="880"/>
    <x v="0"/>
    <n v="12"/>
    <n v="4"/>
    <s v="Other"/>
    <n v="1"/>
    <n v="1667"/>
    <n v="4"/>
    <x v="1"/>
    <n v="36"/>
    <n v="3"/>
    <n v="2"/>
    <s v="Sales Executive"/>
    <n v="4"/>
    <s v="Single"/>
    <n v="4581"/>
    <n v="10414"/>
    <n v="3"/>
    <s v="Y"/>
    <s v="Yes"/>
    <n v="24"/>
    <x v="1"/>
    <n v="1"/>
    <n v="80"/>
    <n v="0"/>
    <n v="13"/>
    <n v="2"/>
    <n v="4"/>
    <n v="11"/>
    <n v="9"/>
    <n v="6"/>
    <n v="7"/>
    <n v="1"/>
    <x v="0"/>
    <x v="2"/>
    <s v="0-5k"/>
    <x v="2"/>
    <x v="1"/>
    <x v="0"/>
  </r>
  <r>
    <n v="38"/>
    <s v="No"/>
    <x v="1"/>
    <n v="1189"/>
    <x v="1"/>
    <n v="1"/>
    <n v="3"/>
    <s v="Life Sciences"/>
    <n v="1"/>
    <n v="1668"/>
    <n v="4"/>
    <x v="1"/>
    <n v="90"/>
    <n v="3"/>
    <n v="2"/>
    <s v="Research Scientist"/>
    <n v="4"/>
    <s v="Married"/>
    <n v="4735"/>
    <n v="9867"/>
    <n v="7"/>
    <s v="Y"/>
    <s v="No"/>
    <n v="15"/>
    <x v="0"/>
    <n v="4"/>
    <n v="80"/>
    <n v="2"/>
    <n v="19"/>
    <n v="4"/>
    <n v="4"/>
    <n v="13"/>
    <n v="11"/>
    <n v="2"/>
    <n v="9"/>
    <n v="0"/>
    <x v="0"/>
    <x v="0"/>
    <s v="0-5k"/>
    <x v="2"/>
    <x v="0"/>
    <x v="0"/>
  </r>
  <r>
    <n v="29"/>
    <s v="No"/>
    <x v="0"/>
    <n v="991"/>
    <x v="0"/>
    <n v="5"/>
    <n v="3"/>
    <s v="Medical"/>
    <n v="1"/>
    <n v="1669"/>
    <n v="1"/>
    <x v="1"/>
    <n v="43"/>
    <n v="2"/>
    <n v="2"/>
    <s v="Sales Executive"/>
    <n v="2"/>
    <s v="Divorced"/>
    <n v="4187"/>
    <n v="3356"/>
    <n v="1"/>
    <s v="Y"/>
    <s v="Yes"/>
    <n v="13"/>
    <x v="0"/>
    <n v="2"/>
    <n v="80"/>
    <n v="1"/>
    <n v="10"/>
    <n v="3"/>
    <n v="2"/>
    <n v="10"/>
    <n v="0"/>
    <n v="0"/>
    <n v="9"/>
    <n v="0"/>
    <x v="2"/>
    <x v="0"/>
    <s v="0-5k"/>
    <x v="0"/>
    <x v="0"/>
    <x v="1"/>
  </r>
  <r>
    <n v="33"/>
    <s v="No"/>
    <x v="0"/>
    <n v="392"/>
    <x v="0"/>
    <n v="2"/>
    <n v="4"/>
    <s v="Medical"/>
    <n v="1"/>
    <n v="1670"/>
    <n v="4"/>
    <x v="1"/>
    <n v="93"/>
    <n v="3"/>
    <n v="2"/>
    <s v="Sales Executive"/>
    <n v="4"/>
    <s v="Divorced"/>
    <n v="5505"/>
    <n v="3921"/>
    <n v="1"/>
    <s v="Y"/>
    <s v="No"/>
    <n v="14"/>
    <x v="0"/>
    <n v="3"/>
    <n v="80"/>
    <n v="2"/>
    <n v="6"/>
    <n v="5"/>
    <n v="3"/>
    <n v="6"/>
    <n v="2"/>
    <n v="0"/>
    <n v="4"/>
    <n v="0"/>
    <x v="0"/>
    <x v="0"/>
    <s v="5k-10k"/>
    <x v="0"/>
    <x v="0"/>
    <x v="0"/>
  </r>
  <r>
    <n v="32"/>
    <s v="No"/>
    <x v="0"/>
    <n v="977"/>
    <x v="1"/>
    <n v="2"/>
    <n v="3"/>
    <s v="Medical"/>
    <n v="1"/>
    <n v="1671"/>
    <n v="4"/>
    <x v="1"/>
    <n v="45"/>
    <n v="3"/>
    <n v="2"/>
    <s v="Research Scientist"/>
    <n v="2"/>
    <s v="Divorced"/>
    <n v="5470"/>
    <n v="25518"/>
    <n v="0"/>
    <s v="Y"/>
    <s v="No"/>
    <n v="13"/>
    <x v="0"/>
    <n v="3"/>
    <n v="80"/>
    <n v="2"/>
    <n v="10"/>
    <n v="4"/>
    <n v="2"/>
    <n v="9"/>
    <n v="5"/>
    <n v="1"/>
    <n v="6"/>
    <n v="0"/>
    <x v="0"/>
    <x v="0"/>
    <s v="5k-10k"/>
    <x v="0"/>
    <x v="0"/>
    <x v="1"/>
  </r>
  <r>
    <n v="31"/>
    <s v="No"/>
    <x v="0"/>
    <n v="1112"/>
    <x v="0"/>
    <n v="5"/>
    <n v="4"/>
    <s v="Life Sciences"/>
    <n v="1"/>
    <n v="1673"/>
    <n v="1"/>
    <x v="0"/>
    <n v="67"/>
    <n v="3"/>
    <n v="2"/>
    <s v="Sales Executive"/>
    <n v="4"/>
    <s v="Married"/>
    <n v="5476"/>
    <n v="22589"/>
    <n v="1"/>
    <s v="Y"/>
    <s v="No"/>
    <n v="11"/>
    <x v="0"/>
    <n v="1"/>
    <n v="80"/>
    <n v="2"/>
    <n v="10"/>
    <n v="2"/>
    <n v="3"/>
    <n v="10"/>
    <n v="0"/>
    <n v="0"/>
    <n v="2"/>
    <n v="0"/>
    <x v="0"/>
    <x v="0"/>
    <s v="5k-10k"/>
    <x v="0"/>
    <x v="0"/>
    <x v="0"/>
  </r>
  <r>
    <n v="49"/>
    <s v="No"/>
    <x v="0"/>
    <n v="464"/>
    <x v="1"/>
    <n v="16"/>
    <n v="3"/>
    <s v="Medical"/>
    <n v="1"/>
    <n v="1674"/>
    <n v="4"/>
    <x v="0"/>
    <n v="74"/>
    <n v="3"/>
    <n v="1"/>
    <s v="Laboratory Technician"/>
    <n v="1"/>
    <s v="Divorced"/>
    <n v="2587"/>
    <n v="24941"/>
    <n v="4"/>
    <s v="Y"/>
    <s v="Yes"/>
    <n v="16"/>
    <x v="0"/>
    <n v="2"/>
    <n v="80"/>
    <n v="1"/>
    <n v="17"/>
    <n v="2"/>
    <n v="2"/>
    <n v="2"/>
    <n v="2"/>
    <n v="2"/>
    <n v="2"/>
    <n v="0"/>
    <x v="1"/>
    <x v="2"/>
    <s v="0-5k"/>
    <x v="0"/>
    <x v="0"/>
    <x v="3"/>
  </r>
  <r>
    <n v="38"/>
    <s v="No"/>
    <x v="1"/>
    <n v="148"/>
    <x v="1"/>
    <n v="2"/>
    <n v="3"/>
    <s v="Medical"/>
    <n v="1"/>
    <n v="1675"/>
    <n v="4"/>
    <x v="0"/>
    <n v="42"/>
    <n v="2"/>
    <n v="1"/>
    <s v="Laboratory Technician"/>
    <n v="2"/>
    <s v="Single"/>
    <n v="2440"/>
    <n v="23826"/>
    <n v="1"/>
    <s v="Y"/>
    <s v="No"/>
    <n v="22"/>
    <x v="1"/>
    <n v="2"/>
    <n v="80"/>
    <n v="0"/>
    <n v="4"/>
    <n v="3"/>
    <n v="3"/>
    <n v="4"/>
    <n v="3"/>
    <n v="3"/>
    <n v="3"/>
    <n v="0"/>
    <x v="0"/>
    <x v="0"/>
    <s v="0-5k"/>
    <x v="0"/>
    <x v="1"/>
    <x v="1"/>
  </r>
  <r>
    <n v="47"/>
    <s v="No"/>
    <x v="0"/>
    <n v="1225"/>
    <x v="0"/>
    <n v="2"/>
    <n v="4"/>
    <s v="Life Sciences"/>
    <n v="1"/>
    <n v="1676"/>
    <n v="2"/>
    <x v="0"/>
    <n v="47"/>
    <n v="4"/>
    <n v="4"/>
    <s v="Manager"/>
    <n v="2"/>
    <s v="Divorced"/>
    <n v="15972"/>
    <n v="21086"/>
    <n v="6"/>
    <s v="Y"/>
    <s v="No"/>
    <n v="14"/>
    <x v="0"/>
    <n v="3"/>
    <n v="80"/>
    <n v="3"/>
    <n v="29"/>
    <n v="2"/>
    <n v="3"/>
    <n v="3"/>
    <n v="2"/>
    <n v="1"/>
    <n v="2"/>
    <n v="0"/>
    <x v="1"/>
    <x v="0"/>
    <s v="15k+"/>
    <x v="0"/>
    <x v="0"/>
    <x v="1"/>
  </r>
  <r>
    <n v="49"/>
    <s v="No"/>
    <x v="0"/>
    <n v="809"/>
    <x v="1"/>
    <n v="1"/>
    <n v="3"/>
    <s v="Life Sciences"/>
    <n v="1"/>
    <n v="1677"/>
    <n v="3"/>
    <x v="1"/>
    <n v="36"/>
    <n v="3"/>
    <n v="4"/>
    <s v="Manager"/>
    <n v="3"/>
    <s v="Single"/>
    <n v="15379"/>
    <n v="22384"/>
    <n v="4"/>
    <s v="Y"/>
    <s v="No"/>
    <n v="14"/>
    <x v="0"/>
    <n v="1"/>
    <n v="80"/>
    <n v="0"/>
    <n v="23"/>
    <n v="2"/>
    <n v="3"/>
    <n v="8"/>
    <n v="7"/>
    <n v="0"/>
    <n v="0"/>
    <n v="0"/>
    <x v="1"/>
    <x v="0"/>
    <s v="15k+"/>
    <x v="0"/>
    <x v="0"/>
    <x v="2"/>
  </r>
  <r>
    <n v="41"/>
    <s v="No"/>
    <x v="0"/>
    <n v="1206"/>
    <x v="0"/>
    <n v="23"/>
    <n v="2"/>
    <s v="Life Sciences"/>
    <n v="1"/>
    <n v="1678"/>
    <n v="4"/>
    <x v="1"/>
    <n v="80"/>
    <n v="3"/>
    <n v="3"/>
    <s v="Sales Executive"/>
    <n v="3"/>
    <s v="Single"/>
    <n v="7082"/>
    <n v="11591"/>
    <n v="3"/>
    <s v="Y"/>
    <s v="Yes"/>
    <n v="16"/>
    <x v="0"/>
    <n v="4"/>
    <n v="80"/>
    <n v="0"/>
    <n v="21"/>
    <n v="2"/>
    <n v="3"/>
    <n v="2"/>
    <n v="0"/>
    <n v="0"/>
    <n v="2"/>
    <n v="0"/>
    <x v="0"/>
    <x v="1"/>
    <s v="5k-10k"/>
    <x v="0"/>
    <x v="0"/>
    <x v="2"/>
  </r>
  <r>
    <n v="20"/>
    <s v="No"/>
    <x v="0"/>
    <n v="727"/>
    <x v="0"/>
    <n v="9"/>
    <n v="1"/>
    <s v="Life Sciences"/>
    <n v="1"/>
    <n v="1680"/>
    <n v="4"/>
    <x v="1"/>
    <n v="54"/>
    <n v="3"/>
    <n v="1"/>
    <s v="Sales Representative"/>
    <n v="1"/>
    <s v="Single"/>
    <n v="2728"/>
    <n v="21082"/>
    <n v="1"/>
    <s v="Y"/>
    <s v="No"/>
    <n v="11"/>
    <x v="0"/>
    <n v="1"/>
    <n v="80"/>
    <n v="0"/>
    <n v="2"/>
    <n v="3"/>
    <n v="3"/>
    <n v="2"/>
    <n v="2"/>
    <n v="0"/>
    <n v="2"/>
    <n v="0"/>
    <x v="2"/>
    <x v="0"/>
    <s v="0-5k"/>
    <x v="0"/>
    <x v="0"/>
    <x v="3"/>
  </r>
  <r>
    <n v="33"/>
    <s v="No"/>
    <x v="2"/>
    <n v="530"/>
    <x v="0"/>
    <n v="16"/>
    <n v="3"/>
    <s v="Life Sciences"/>
    <n v="1"/>
    <n v="1681"/>
    <n v="3"/>
    <x v="0"/>
    <n v="36"/>
    <n v="3"/>
    <n v="2"/>
    <s v="Sales Executive"/>
    <n v="4"/>
    <s v="Divorced"/>
    <n v="5368"/>
    <n v="16130"/>
    <n v="1"/>
    <s v="Y"/>
    <s v="Yes"/>
    <n v="25"/>
    <x v="1"/>
    <n v="3"/>
    <n v="80"/>
    <n v="1"/>
    <n v="7"/>
    <n v="2"/>
    <n v="3"/>
    <n v="6"/>
    <n v="5"/>
    <n v="1"/>
    <n v="2"/>
    <n v="0"/>
    <x v="0"/>
    <x v="2"/>
    <s v="5k-10k"/>
    <x v="0"/>
    <x v="1"/>
    <x v="0"/>
  </r>
  <r>
    <n v="36"/>
    <s v="No"/>
    <x v="0"/>
    <n v="1351"/>
    <x v="1"/>
    <n v="26"/>
    <n v="4"/>
    <s v="Life Sciences"/>
    <n v="1"/>
    <n v="1682"/>
    <n v="1"/>
    <x v="1"/>
    <n v="80"/>
    <n v="3"/>
    <n v="2"/>
    <s v="Healthcare Representative"/>
    <n v="3"/>
    <s v="Married"/>
    <n v="5347"/>
    <n v="7419"/>
    <n v="6"/>
    <s v="Y"/>
    <s v="No"/>
    <n v="14"/>
    <x v="0"/>
    <n v="2"/>
    <n v="80"/>
    <n v="2"/>
    <n v="10"/>
    <n v="2"/>
    <n v="2"/>
    <n v="3"/>
    <n v="2"/>
    <n v="0"/>
    <n v="2"/>
    <n v="0"/>
    <x v="0"/>
    <x v="1"/>
    <s v="5k-10k"/>
    <x v="0"/>
    <x v="0"/>
    <x v="2"/>
  </r>
  <r>
    <n v="44"/>
    <s v="No"/>
    <x v="0"/>
    <n v="528"/>
    <x v="2"/>
    <n v="1"/>
    <n v="3"/>
    <s v="Life Sciences"/>
    <n v="1"/>
    <n v="1683"/>
    <n v="3"/>
    <x v="0"/>
    <n v="44"/>
    <n v="3"/>
    <n v="1"/>
    <s v="Human Resources"/>
    <n v="4"/>
    <s v="Divorced"/>
    <n v="3195"/>
    <n v="4167"/>
    <n v="4"/>
    <s v="Y"/>
    <s v="Yes"/>
    <n v="18"/>
    <x v="0"/>
    <n v="1"/>
    <n v="80"/>
    <n v="3"/>
    <n v="8"/>
    <n v="2"/>
    <n v="3"/>
    <n v="2"/>
    <n v="2"/>
    <n v="2"/>
    <n v="2"/>
    <n v="0"/>
    <x v="0"/>
    <x v="0"/>
    <s v="0-5k"/>
    <x v="0"/>
    <x v="0"/>
    <x v="0"/>
  </r>
  <r>
    <n v="23"/>
    <s v="Yes"/>
    <x v="0"/>
    <n v="1320"/>
    <x v="1"/>
    <n v="8"/>
    <n v="1"/>
    <s v="Medical"/>
    <n v="1"/>
    <n v="1684"/>
    <n v="4"/>
    <x v="1"/>
    <n v="93"/>
    <n v="2"/>
    <n v="1"/>
    <s v="Laboratory Technician"/>
    <n v="3"/>
    <s v="Single"/>
    <n v="3989"/>
    <n v="20586"/>
    <n v="1"/>
    <s v="Y"/>
    <s v="Yes"/>
    <n v="11"/>
    <x v="0"/>
    <n v="1"/>
    <n v="80"/>
    <n v="0"/>
    <n v="5"/>
    <n v="2"/>
    <n v="3"/>
    <n v="5"/>
    <n v="4"/>
    <n v="1"/>
    <n v="2"/>
    <n v="1"/>
    <x v="2"/>
    <x v="0"/>
    <s v="0-5k"/>
    <x v="0"/>
    <x v="0"/>
    <x v="2"/>
  </r>
  <r>
    <n v="38"/>
    <s v="No"/>
    <x v="0"/>
    <n v="1495"/>
    <x v="1"/>
    <n v="4"/>
    <n v="2"/>
    <s v="Medical"/>
    <n v="1"/>
    <n v="1687"/>
    <n v="4"/>
    <x v="0"/>
    <n v="87"/>
    <n v="3"/>
    <n v="1"/>
    <s v="Laboratory Technician"/>
    <n v="3"/>
    <s v="Married"/>
    <n v="3306"/>
    <n v="26176"/>
    <n v="7"/>
    <s v="Y"/>
    <s v="No"/>
    <n v="19"/>
    <x v="0"/>
    <n v="4"/>
    <n v="80"/>
    <n v="1"/>
    <n v="7"/>
    <n v="5"/>
    <n v="2"/>
    <n v="0"/>
    <n v="0"/>
    <n v="0"/>
    <n v="0"/>
    <n v="0"/>
    <x v="0"/>
    <x v="0"/>
    <s v="0-5k"/>
    <x v="0"/>
    <x v="0"/>
    <x v="2"/>
  </r>
  <r>
    <n v="53"/>
    <s v="No"/>
    <x v="0"/>
    <n v="1395"/>
    <x v="1"/>
    <n v="24"/>
    <n v="4"/>
    <s v="Medical"/>
    <n v="1"/>
    <n v="1689"/>
    <n v="2"/>
    <x v="1"/>
    <n v="48"/>
    <n v="4"/>
    <n v="3"/>
    <s v="Healthcare Representative"/>
    <n v="4"/>
    <s v="Married"/>
    <n v="7005"/>
    <n v="3458"/>
    <n v="3"/>
    <s v="Y"/>
    <s v="No"/>
    <n v="15"/>
    <x v="0"/>
    <n v="3"/>
    <n v="80"/>
    <n v="0"/>
    <n v="11"/>
    <n v="2"/>
    <n v="3"/>
    <n v="4"/>
    <n v="3"/>
    <n v="1"/>
    <n v="2"/>
    <n v="0"/>
    <x v="1"/>
    <x v="1"/>
    <s v="5k-10k"/>
    <x v="0"/>
    <x v="0"/>
    <x v="0"/>
  </r>
  <r>
    <n v="48"/>
    <s v="Yes"/>
    <x v="1"/>
    <n v="708"/>
    <x v="0"/>
    <n v="7"/>
    <n v="2"/>
    <s v="Medical"/>
    <n v="1"/>
    <n v="1691"/>
    <n v="4"/>
    <x v="0"/>
    <n v="95"/>
    <n v="3"/>
    <n v="1"/>
    <s v="Sales Representative"/>
    <n v="3"/>
    <s v="Married"/>
    <n v="2655"/>
    <n v="11740"/>
    <n v="2"/>
    <s v="Y"/>
    <s v="Yes"/>
    <n v="11"/>
    <x v="0"/>
    <n v="3"/>
    <n v="80"/>
    <n v="2"/>
    <n v="19"/>
    <n v="3"/>
    <n v="3"/>
    <n v="9"/>
    <n v="7"/>
    <n v="7"/>
    <n v="7"/>
    <n v="1"/>
    <x v="1"/>
    <x v="0"/>
    <s v="0-5k"/>
    <x v="0"/>
    <x v="0"/>
    <x v="2"/>
  </r>
  <r>
    <n v="32"/>
    <s v="Yes"/>
    <x v="0"/>
    <n v="1259"/>
    <x v="1"/>
    <n v="2"/>
    <n v="4"/>
    <s v="Life Sciences"/>
    <n v="1"/>
    <n v="1692"/>
    <n v="4"/>
    <x v="1"/>
    <n v="95"/>
    <n v="3"/>
    <n v="1"/>
    <s v="Laboratory Technician"/>
    <n v="2"/>
    <s v="Single"/>
    <n v="1393"/>
    <n v="24852"/>
    <n v="1"/>
    <s v="Y"/>
    <s v="No"/>
    <n v="12"/>
    <x v="0"/>
    <n v="1"/>
    <n v="80"/>
    <n v="0"/>
    <n v="1"/>
    <n v="2"/>
    <n v="3"/>
    <n v="1"/>
    <n v="0"/>
    <n v="0"/>
    <n v="0"/>
    <n v="1"/>
    <x v="0"/>
    <x v="0"/>
    <s v="0-5k"/>
    <x v="0"/>
    <x v="0"/>
    <x v="1"/>
  </r>
  <r>
    <n v="26"/>
    <s v="No"/>
    <x v="2"/>
    <n v="786"/>
    <x v="1"/>
    <n v="7"/>
    <n v="3"/>
    <s v="Medical"/>
    <n v="1"/>
    <n v="1693"/>
    <n v="4"/>
    <x v="1"/>
    <n v="76"/>
    <n v="3"/>
    <n v="1"/>
    <s v="Laboratory Technician"/>
    <n v="4"/>
    <s v="Single"/>
    <n v="2570"/>
    <n v="11925"/>
    <n v="1"/>
    <s v="Y"/>
    <s v="No"/>
    <n v="20"/>
    <x v="1"/>
    <n v="3"/>
    <n v="80"/>
    <n v="0"/>
    <n v="7"/>
    <n v="5"/>
    <n v="3"/>
    <n v="7"/>
    <n v="7"/>
    <n v="5"/>
    <n v="7"/>
    <n v="0"/>
    <x v="2"/>
    <x v="0"/>
    <s v="0-5k"/>
    <x v="0"/>
    <x v="1"/>
    <x v="0"/>
  </r>
  <r>
    <n v="55"/>
    <s v="No"/>
    <x v="0"/>
    <n v="1441"/>
    <x v="1"/>
    <n v="22"/>
    <n v="3"/>
    <s v="Technical Degree"/>
    <n v="1"/>
    <n v="1694"/>
    <n v="1"/>
    <x v="1"/>
    <n v="94"/>
    <n v="2"/>
    <n v="1"/>
    <s v="Research Scientist"/>
    <n v="2"/>
    <s v="Divorced"/>
    <n v="3537"/>
    <n v="23737"/>
    <n v="5"/>
    <s v="Y"/>
    <s v="No"/>
    <n v="12"/>
    <x v="0"/>
    <n v="4"/>
    <n v="80"/>
    <n v="1"/>
    <n v="8"/>
    <n v="1"/>
    <n v="3"/>
    <n v="4"/>
    <n v="2"/>
    <n v="1"/>
    <n v="2"/>
    <n v="0"/>
    <x v="1"/>
    <x v="1"/>
    <s v="0-5k"/>
    <x v="0"/>
    <x v="0"/>
    <x v="1"/>
  </r>
  <r>
    <n v="34"/>
    <s v="No"/>
    <x v="0"/>
    <n v="1157"/>
    <x v="1"/>
    <n v="5"/>
    <n v="2"/>
    <s v="Medical"/>
    <n v="1"/>
    <n v="1696"/>
    <n v="2"/>
    <x v="1"/>
    <n v="57"/>
    <n v="2"/>
    <n v="2"/>
    <s v="Laboratory Technician"/>
    <n v="4"/>
    <s v="Married"/>
    <n v="3986"/>
    <n v="11912"/>
    <n v="1"/>
    <s v="Y"/>
    <s v="No"/>
    <n v="14"/>
    <x v="0"/>
    <n v="3"/>
    <n v="80"/>
    <n v="1"/>
    <n v="15"/>
    <n v="3"/>
    <n v="4"/>
    <n v="15"/>
    <n v="10"/>
    <n v="4"/>
    <n v="13"/>
    <n v="0"/>
    <x v="0"/>
    <x v="0"/>
    <s v="0-5k"/>
    <x v="2"/>
    <x v="0"/>
    <x v="0"/>
  </r>
  <r>
    <n v="60"/>
    <s v="No"/>
    <x v="0"/>
    <n v="370"/>
    <x v="1"/>
    <n v="1"/>
    <n v="4"/>
    <s v="Medical"/>
    <n v="1"/>
    <n v="1697"/>
    <n v="3"/>
    <x v="1"/>
    <n v="92"/>
    <n v="1"/>
    <n v="3"/>
    <s v="Healthcare Representative"/>
    <n v="4"/>
    <s v="Divorced"/>
    <n v="10883"/>
    <n v="20467"/>
    <n v="3"/>
    <s v="Y"/>
    <s v="No"/>
    <n v="20"/>
    <x v="1"/>
    <n v="3"/>
    <n v="80"/>
    <n v="1"/>
    <n v="19"/>
    <n v="2"/>
    <n v="4"/>
    <n v="1"/>
    <n v="0"/>
    <n v="0"/>
    <n v="0"/>
    <n v="0"/>
    <x v="1"/>
    <x v="0"/>
    <s v="10k-15k"/>
    <x v="0"/>
    <x v="1"/>
    <x v="0"/>
  </r>
  <r>
    <n v="33"/>
    <s v="No"/>
    <x v="0"/>
    <n v="267"/>
    <x v="1"/>
    <n v="21"/>
    <n v="3"/>
    <s v="Medical"/>
    <n v="1"/>
    <n v="1698"/>
    <n v="2"/>
    <x v="1"/>
    <n v="79"/>
    <n v="4"/>
    <n v="1"/>
    <s v="Laboratory Technician"/>
    <n v="2"/>
    <s v="Married"/>
    <n v="2028"/>
    <n v="13637"/>
    <n v="1"/>
    <s v="Y"/>
    <s v="No"/>
    <n v="18"/>
    <x v="0"/>
    <n v="4"/>
    <n v="80"/>
    <n v="3"/>
    <n v="14"/>
    <n v="6"/>
    <n v="3"/>
    <n v="14"/>
    <n v="11"/>
    <n v="2"/>
    <n v="13"/>
    <n v="0"/>
    <x v="0"/>
    <x v="1"/>
    <s v="0-5k"/>
    <x v="2"/>
    <x v="0"/>
    <x v="1"/>
  </r>
  <r>
    <n v="37"/>
    <s v="No"/>
    <x v="1"/>
    <n v="1278"/>
    <x v="0"/>
    <n v="1"/>
    <n v="4"/>
    <s v="Medical"/>
    <n v="1"/>
    <n v="1700"/>
    <n v="3"/>
    <x v="1"/>
    <n v="31"/>
    <n v="1"/>
    <n v="2"/>
    <s v="Sales Executive"/>
    <n v="4"/>
    <s v="Divorced"/>
    <n v="9525"/>
    <n v="7677"/>
    <n v="1"/>
    <s v="Y"/>
    <s v="No"/>
    <n v="14"/>
    <x v="0"/>
    <n v="3"/>
    <n v="80"/>
    <n v="2"/>
    <n v="6"/>
    <n v="2"/>
    <n v="2"/>
    <n v="6"/>
    <n v="3"/>
    <n v="1"/>
    <n v="3"/>
    <n v="0"/>
    <x v="0"/>
    <x v="0"/>
    <s v="5k-10k"/>
    <x v="0"/>
    <x v="0"/>
    <x v="0"/>
  </r>
  <r>
    <n v="34"/>
    <s v="No"/>
    <x v="0"/>
    <n v="678"/>
    <x v="1"/>
    <n v="19"/>
    <n v="3"/>
    <s v="Life Sciences"/>
    <n v="1"/>
    <n v="1701"/>
    <n v="2"/>
    <x v="0"/>
    <n v="35"/>
    <n v="2"/>
    <n v="1"/>
    <s v="Research Scientist"/>
    <n v="4"/>
    <s v="Married"/>
    <n v="2929"/>
    <n v="20338"/>
    <n v="1"/>
    <s v="Y"/>
    <s v="No"/>
    <n v="12"/>
    <x v="0"/>
    <n v="2"/>
    <n v="80"/>
    <n v="0"/>
    <n v="10"/>
    <n v="3"/>
    <n v="3"/>
    <n v="10"/>
    <n v="9"/>
    <n v="8"/>
    <n v="7"/>
    <n v="0"/>
    <x v="0"/>
    <x v="2"/>
    <s v="0-5k"/>
    <x v="0"/>
    <x v="0"/>
    <x v="0"/>
  </r>
  <r>
    <n v="23"/>
    <s v="Yes"/>
    <x v="0"/>
    <n v="427"/>
    <x v="0"/>
    <n v="7"/>
    <n v="3"/>
    <s v="Life Sciences"/>
    <n v="1"/>
    <n v="1702"/>
    <n v="3"/>
    <x v="1"/>
    <n v="99"/>
    <n v="3"/>
    <n v="1"/>
    <s v="Sales Representative"/>
    <n v="4"/>
    <s v="Divorced"/>
    <n v="2275"/>
    <n v="25103"/>
    <n v="1"/>
    <s v="Y"/>
    <s v="Yes"/>
    <n v="21"/>
    <x v="1"/>
    <n v="2"/>
    <n v="80"/>
    <n v="1"/>
    <n v="3"/>
    <n v="2"/>
    <n v="3"/>
    <n v="3"/>
    <n v="2"/>
    <n v="0"/>
    <n v="2"/>
    <n v="1"/>
    <x v="2"/>
    <x v="0"/>
    <s v="0-5k"/>
    <x v="0"/>
    <x v="1"/>
    <x v="0"/>
  </r>
  <r>
    <n v="44"/>
    <s v="No"/>
    <x v="0"/>
    <n v="921"/>
    <x v="1"/>
    <n v="2"/>
    <n v="3"/>
    <s v="Life Sciences"/>
    <n v="1"/>
    <n v="1703"/>
    <n v="3"/>
    <x v="0"/>
    <n v="96"/>
    <n v="4"/>
    <n v="3"/>
    <s v="Healthcare Representative"/>
    <n v="4"/>
    <s v="Married"/>
    <n v="7879"/>
    <n v="14810"/>
    <n v="1"/>
    <s v="Y"/>
    <s v="Yes"/>
    <n v="19"/>
    <x v="0"/>
    <n v="2"/>
    <n v="80"/>
    <n v="1"/>
    <n v="9"/>
    <n v="2"/>
    <n v="3"/>
    <n v="8"/>
    <n v="7"/>
    <n v="6"/>
    <n v="7"/>
    <n v="0"/>
    <x v="0"/>
    <x v="0"/>
    <s v="5k-10k"/>
    <x v="0"/>
    <x v="0"/>
    <x v="0"/>
  </r>
  <r>
    <n v="35"/>
    <s v="No"/>
    <x v="1"/>
    <n v="146"/>
    <x v="1"/>
    <n v="2"/>
    <n v="4"/>
    <s v="Medical"/>
    <n v="1"/>
    <n v="1704"/>
    <n v="1"/>
    <x v="1"/>
    <n v="79"/>
    <n v="2"/>
    <n v="1"/>
    <s v="Research Scientist"/>
    <n v="4"/>
    <s v="Single"/>
    <n v="4930"/>
    <n v="13970"/>
    <n v="0"/>
    <s v="Y"/>
    <s v="Yes"/>
    <n v="14"/>
    <x v="0"/>
    <n v="3"/>
    <n v="80"/>
    <n v="0"/>
    <n v="6"/>
    <n v="2"/>
    <n v="4"/>
    <n v="5"/>
    <n v="4"/>
    <n v="1"/>
    <n v="4"/>
    <n v="0"/>
    <x v="0"/>
    <x v="0"/>
    <s v="0-5k"/>
    <x v="0"/>
    <x v="0"/>
    <x v="0"/>
  </r>
  <r>
    <n v="43"/>
    <s v="No"/>
    <x v="0"/>
    <n v="1179"/>
    <x v="0"/>
    <n v="2"/>
    <n v="3"/>
    <s v="Medical"/>
    <n v="1"/>
    <n v="1706"/>
    <n v="4"/>
    <x v="1"/>
    <n v="73"/>
    <n v="3"/>
    <n v="2"/>
    <s v="Sales Executive"/>
    <n v="4"/>
    <s v="Married"/>
    <n v="7847"/>
    <n v="6069"/>
    <n v="1"/>
    <s v="Y"/>
    <s v="Yes"/>
    <n v="17"/>
    <x v="0"/>
    <n v="1"/>
    <n v="80"/>
    <n v="1"/>
    <n v="10"/>
    <n v="3"/>
    <n v="3"/>
    <n v="10"/>
    <n v="9"/>
    <n v="8"/>
    <n v="8"/>
    <n v="0"/>
    <x v="0"/>
    <x v="0"/>
    <s v="5k-10k"/>
    <x v="0"/>
    <x v="0"/>
    <x v="0"/>
  </r>
  <r>
    <n v="24"/>
    <s v="No"/>
    <x v="0"/>
    <n v="581"/>
    <x v="1"/>
    <n v="9"/>
    <n v="3"/>
    <s v="Medical"/>
    <n v="1"/>
    <n v="1707"/>
    <n v="3"/>
    <x v="1"/>
    <n v="62"/>
    <n v="4"/>
    <n v="1"/>
    <s v="Research Scientist"/>
    <n v="3"/>
    <s v="Married"/>
    <n v="4401"/>
    <n v="17616"/>
    <n v="1"/>
    <s v="Y"/>
    <s v="No"/>
    <n v="16"/>
    <x v="0"/>
    <n v="4"/>
    <n v="80"/>
    <n v="1"/>
    <n v="5"/>
    <n v="1"/>
    <n v="3"/>
    <n v="5"/>
    <n v="3"/>
    <n v="0"/>
    <n v="4"/>
    <n v="0"/>
    <x v="2"/>
    <x v="0"/>
    <s v="0-5k"/>
    <x v="0"/>
    <x v="0"/>
    <x v="2"/>
  </r>
  <r>
    <n v="41"/>
    <s v="No"/>
    <x v="0"/>
    <n v="918"/>
    <x v="0"/>
    <n v="6"/>
    <n v="3"/>
    <s v="Marketing"/>
    <n v="1"/>
    <n v="1708"/>
    <n v="4"/>
    <x v="1"/>
    <n v="35"/>
    <n v="3"/>
    <n v="3"/>
    <s v="Sales Executive"/>
    <n v="3"/>
    <s v="Single"/>
    <n v="9241"/>
    <n v="15869"/>
    <n v="1"/>
    <s v="Y"/>
    <s v="No"/>
    <n v="12"/>
    <x v="0"/>
    <n v="2"/>
    <n v="80"/>
    <n v="0"/>
    <n v="10"/>
    <n v="3"/>
    <n v="3"/>
    <n v="10"/>
    <n v="8"/>
    <n v="8"/>
    <n v="7"/>
    <n v="0"/>
    <x v="0"/>
    <x v="0"/>
    <s v="5k-10k"/>
    <x v="0"/>
    <x v="0"/>
    <x v="2"/>
  </r>
  <r>
    <n v="29"/>
    <s v="No"/>
    <x v="0"/>
    <n v="1082"/>
    <x v="1"/>
    <n v="9"/>
    <n v="4"/>
    <s v="Medical"/>
    <n v="1"/>
    <n v="1709"/>
    <n v="4"/>
    <x v="0"/>
    <n v="43"/>
    <n v="3"/>
    <n v="1"/>
    <s v="Laboratory Technician"/>
    <n v="3"/>
    <s v="Married"/>
    <n v="2974"/>
    <n v="25412"/>
    <n v="9"/>
    <s v="Y"/>
    <s v="No"/>
    <n v="17"/>
    <x v="0"/>
    <n v="3"/>
    <n v="80"/>
    <n v="1"/>
    <n v="9"/>
    <n v="2"/>
    <n v="3"/>
    <n v="5"/>
    <n v="3"/>
    <n v="1"/>
    <n v="2"/>
    <n v="0"/>
    <x v="2"/>
    <x v="0"/>
    <s v="0-5k"/>
    <x v="0"/>
    <x v="0"/>
    <x v="2"/>
  </r>
  <r>
    <n v="36"/>
    <s v="No"/>
    <x v="0"/>
    <n v="530"/>
    <x v="0"/>
    <n v="2"/>
    <n v="4"/>
    <s v="Life Sciences"/>
    <n v="1"/>
    <n v="1710"/>
    <n v="3"/>
    <x v="0"/>
    <n v="51"/>
    <n v="3"/>
    <n v="2"/>
    <s v="Sales Representative"/>
    <n v="4"/>
    <s v="Single"/>
    <n v="4502"/>
    <n v="7439"/>
    <n v="3"/>
    <s v="Y"/>
    <s v="No"/>
    <n v="15"/>
    <x v="0"/>
    <n v="3"/>
    <n v="80"/>
    <n v="0"/>
    <n v="17"/>
    <n v="2"/>
    <n v="2"/>
    <n v="13"/>
    <n v="7"/>
    <n v="6"/>
    <n v="7"/>
    <n v="0"/>
    <x v="0"/>
    <x v="0"/>
    <s v="0-5k"/>
    <x v="2"/>
    <x v="0"/>
    <x v="0"/>
  </r>
  <r>
    <n v="45"/>
    <s v="No"/>
    <x v="2"/>
    <n v="1238"/>
    <x v="1"/>
    <n v="1"/>
    <n v="1"/>
    <s v="Life Sciences"/>
    <n v="1"/>
    <n v="1712"/>
    <n v="3"/>
    <x v="1"/>
    <n v="74"/>
    <n v="2"/>
    <n v="3"/>
    <s v="Healthcare Representative"/>
    <n v="3"/>
    <s v="Married"/>
    <n v="10748"/>
    <n v="3395"/>
    <n v="3"/>
    <s v="Y"/>
    <s v="No"/>
    <n v="23"/>
    <x v="1"/>
    <n v="4"/>
    <n v="80"/>
    <n v="1"/>
    <n v="25"/>
    <n v="3"/>
    <n v="2"/>
    <n v="23"/>
    <n v="15"/>
    <n v="14"/>
    <n v="4"/>
    <n v="0"/>
    <x v="0"/>
    <x v="0"/>
    <s v="10k-15k"/>
    <x v="1"/>
    <x v="1"/>
    <x v="2"/>
  </r>
  <r>
    <n v="24"/>
    <s v="Yes"/>
    <x v="0"/>
    <n v="240"/>
    <x v="2"/>
    <n v="22"/>
    <n v="1"/>
    <s v="Human Resources"/>
    <n v="1"/>
    <n v="1714"/>
    <n v="4"/>
    <x v="1"/>
    <n v="58"/>
    <n v="1"/>
    <n v="1"/>
    <s v="Human Resources"/>
    <n v="3"/>
    <s v="Married"/>
    <n v="1555"/>
    <n v="11585"/>
    <n v="1"/>
    <s v="Y"/>
    <s v="No"/>
    <n v="11"/>
    <x v="0"/>
    <n v="3"/>
    <n v="80"/>
    <n v="1"/>
    <n v="1"/>
    <n v="2"/>
    <n v="3"/>
    <n v="1"/>
    <n v="0"/>
    <n v="0"/>
    <n v="0"/>
    <n v="1"/>
    <x v="2"/>
    <x v="1"/>
    <s v="0-5k"/>
    <x v="0"/>
    <x v="0"/>
    <x v="2"/>
  </r>
  <r>
    <n v="47"/>
    <s v="Yes"/>
    <x v="1"/>
    <n v="1093"/>
    <x v="0"/>
    <n v="9"/>
    <n v="3"/>
    <s v="Life Sciences"/>
    <n v="1"/>
    <n v="1716"/>
    <n v="3"/>
    <x v="1"/>
    <n v="82"/>
    <n v="1"/>
    <n v="4"/>
    <s v="Sales Executive"/>
    <n v="3"/>
    <s v="Married"/>
    <n v="12936"/>
    <n v="24164"/>
    <n v="7"/>
    <s v="Y"/>
    <s v="No"/>
    <n v="11"/>
    <x v="0"/>
    <n v="3"/>
    <n v="80"/>
    <n v="0"/>
    <n v="25"/>
    <n v="3"/>
    <n v="1"/>
    <n v="23"/>
    <n v="5"/>
    <n v="14"/>
    <n v="10"/>
    <n v="1"/>
    <x v="1"/>
    <x v="0"/>
    <s v="10k-15k"/>
    <x v="1"/>
    <x v="0"/>
    <x v="2"/>
  </r>
  <r>
    <n v="26"/>
    <s v="No"/>
    <x v="0"/>
    <n v="390"/>
    <x v="1"/>
    <n v="17"/>
    <n v="4"/>
    <s v="Medical"/>
    <n v="1"/>
    <n v="1718"/>
    <n v="4"/>
    <x v="1"/>
    <n v="62"/>
    <n v="1"/>
    <n v="1"/>
    <s v="Laboratory Technician"/>
    <n v="3"/>
    <s v="Married"/>
    <n v="2305"/>
    <n v="6217"/>
    <n v="1"/>
    <s v="Y"/>
    <s v="No"/>
    <n v="15"/>
    <x v="0"/>
    <n v="3"/>
    <n v="80"/>
    <n v="3"/>
    <n v="3"/>
    <n v="3"/>
    <n v="4"/>
    <n v="3"/>
    <n v="2"/>
    <n v="0"/>
    <n v="2"/>
    <n v="0"/>
    <x v="2"/>
    <x v="2"/>
    <s v="0-5k"/>
    <x v="0"/>
    <x v="0"/>
    <x v="2"/>
  </r>
  <r>
    <n v="45"/>
    <s v="No"/>
    <x v="0"/>
    <n v="1005"/>
    <x v="1"/>
    <n v="28"/>
    <n v="2"/>
    <s v="Technical Degree"/>
    <n v="1"/>
    <n v="1719"/>
    <n v="4"/>
    <x v="0"/>
    <n v="48"/>
    <n v="2"/>
    <n v="4"/>
    <s v="Research Director"/>
    <n v="2"/>
    <s v="Single"/>
    <n v="16704"/>
    <n v="17119"/>
    <n v="1"/>
    <s v="Y"/>
    <s v="No"/>
    <n v="11"/>
    <x v="0"/>
    <n v="3"/>
    <n v="80"/>
    <n v="0"/>
    <n v="21"/>
    <n v="2"/>
    <n v="3"/>
    <n v="21"/>
    <n v="6"/>
    <n v="8"/>
    <n v="6"/>
    <n v="0"/>
    <x v="0"/>
    <x v="1"/>
    <s v="15k+"/>
    <x v="1"/>
    <x v="0"/>
    <x v="1"/>
  </r>
  <r>
    <n v="32"/>
    <s v="No"/>
    <x v="1"/>
    <n v="585"/>
    <x v="1"/>
    <n v="10"/>
    <n v="3"/>
    <s v="Life Sciences"/>
    <n v="1"/>
    <n v="1720"/>
    <n v="1"/>
    <x v="1"/>
    <n v="56"/>
    <n v="3"/>
    <n v="1"/>
    <s v="Research Scientist"/>
    <n v="3"/>
    <s v="Married"/>
    <n v="3433"/>
    <n v="17360"/>
    <n v="6"/>
    <s v="Y"/>
    <s v="No"/>
    <n v="13"/>
    <x v="0"/>
    <n v="1"/>
    <n v="80"/>
    <n v="1"/>
    <n v="10"/>
    <n v="3"/>
    <n v="2"/>
    <n v="5"/>
    <n v="2"/>
    <n v="1"/>
    <n v="3"/>
    <n v="0"/>
    <x v="0"/>
    <x v="0"/>
    <s v="0-5k"/>
    <x v="0"/>
    <x v="0"/>
    <x v="2"/>
  </r>
  <r>
    <n v="31"/>
    <s v="No"/>
    <x v="0"/>
    <n v="741"/>
    <x v="1"/>
    <n v="2"/>
    <n v="4"/>
    <s v="Life Sciences"/>
    <n v="1"/>
    <n v="1721"/>
    <n v="2"/>
    <x v="1"/>
    <n v="69"/>
    <n v="3"/>
    <n v="1"/>
    <s v="Laboratory Technician"/>
    <n v="3"/>
    <s v="Married"/>
    <n v="3477"/>
    <n v="18103"/>
    <n v="1"/>
    <s v="Y"/>
    <s v="No"/>
    <n v="14"/>
    <x v="0"/>
    <n v="4"/>
    <n v="80"/>
    <n v="1"/>
    <n v="6"/>
    <n v="2"/>
    <n v="4"/>
    <n v="5"/>
    <n v="2"/>
    <n v="0"/>
    <n v="3"/>
    <n v="0"/>
    <x v="0"/>
    <x v="0"/>
    <s v="0-5k"/>
    <x v="0"/>
    <x v="0"/>
    <x v="2"/>
  </r>
  <r>
    <n v="41"/>
    <s v="No"/>
    <x v="2"/>
    <n v="552"/>
    <x v="2"/>
    <n v="4"/>
    <n v="3"/>
    <s v="Human Resources"/>
    <n v="1"/>
    <n v="1722"/>
    <n v="3"/>
    <x v="1"/>
    <n v="60"/>
    <n v="1"/>
    <n v="2"/>
    <s v="Human Resources"/>
    <n v="2"/>
    <s v="Married"/>
    <n v="6430"/>
    <n v="20794"/>
    <n v="6"/>
    <s v="Y"/>
    <s v="No"/>
    <n v="19"/>
    <x v="0"/>
    <n v="2"/>
    <n v="80"/>
    <n v="1"/>
    <n v="10"/>
    <n v="4"/>
    <n v="3"/>
    <n v="3"/>
    <n v="2"/>
    <n v="1"/>
    <n v="2"/>
    <n v="0"/>
    <x v="0"/>
    <x v="0"/>
    <s v="5k-10k"/>
    <x v="0"/>
    <x v="0"/>
    <x v="1"/>
  </r>
  <r>
    <n v="40"/>
    <s v="No"/>
    <x v="0"/>
    <n v="369"/>
    <x v="1"/>
    <n v="8"/>
    <n v="2"/>
    <s v="Life Sciences"/>
    <n v="1"/>
    <n v="1724"/>
    <n v="2"/>
    <x v="0"/>
    <n v="92"/>
    <n v="3"/>
    <n v="2"/>
    <s v="Manufacturing Director"/>
    <n v="1"/>
    <s v="Married"/>
    <n v="6516"/>
    <n v="5041"/>
    <n v="2"/>
    <s v="Y"/>
    <s v="Yes"/>
    <n v="16"/>
    <x v="0"/>
    <n v="2"/>
    <n v="80"/>
    <n v="1"/>
    <n v="18"/>
    <n v="3"/>
    <n v="3"/>
    <n v="1"/>
    <n v="0"/>
    <n v="0"/>
    <n v="0"/>
    <n v="0"/>
    <x v="0"/>
    <x v="0"/>
    <s v="5k-10k"/>
    <x v="0"/>
    <x v="0"/>
    <x v="3"/>
  </r>
  <r>
    <n v="24"/>
    <s v="No"/>
    <x v="0"/>
    <n v="506"/>
    <x v="1"/>
    <n v="29"/>
    <n v="1"/>
    <s v="Medical"/>
    <n v="1"/>
    <n v="1725"/>
    <n v="2"/>
    <x v="1"/>
    <n v="91"/>
    <n v="3"/>
    <n v="1"/>
    <s v="Laboratory Technician"/>
    <n v="1"/>
    <s v="Divorced"/>
    <n v="3907"/>
    <n v="3622"/>
    <n v="1"/>
    <s v="Y"/>
    <s v="No"/>
    <n v="13"/>
    <x v="0"/>
    <n v="2"/>
    <n v="80"/>
    <n v="3"/>
    <n v="6"/>
    <n v="2"/>
    <n v="4"/>
    <n v="6"/>
    <n v="2"/>
    <n v="1"/>
    <n v="2"/>
    <n v="0"/>
    <x v="2"/>
    <x v="1"/>
    <s v="0-5k"/>
    <x v="0"/>
    <x v="0"/>
    <x v="3"/>
  </r>
  <r>
    <n v="46"/>
    <s v="No"/>
    <x v="0"/>
    <n v="717"/>
    <x v="1"/>
    <n v="13"/>
    <n v="4"/>
    <s v="Life Sciences"/>
    <n v="1"/>
    <n v="1727"/>
    <n v="3"/>
    <x v="1"/>
    <n v="34"/>
    <n v="3"/>
    <n v="2"/>
    <s v="Healthcare Representative"/>
    <n v="2"/>
    <s v="Single"/>
    <n v="5562"/>
    <n v="9697"/>
    <n v="6"/>
    <s v="Y"/>
    <s v="No"/>
    <n v="14"/>
    <x v="0"/>
    <n v="4"/>
    <n v="80"/>
    <n v="0"/>
    <n v="19"/>
    <n v="3"/>
    <n v="3"/>
    <n v="10"/>
    <n v="7"/>
    <n v="0"/>
    <n v="9"/>
    <n v="0"/>
    <x v="1"/>
    <x v="2"/>
    <s v="5k-10k"/>
    <x v="0"/>
    <x v="0"/>
    <x v="1"/>
  </r>
  <r>
    <n v="35"/>
    <s v="No"/>
    <x v="0"/>
    <n v="1370"/>
    <x v="1"/>
    <n v="27"/>
    <n v="4"/>
    <s v="Life Sciences"/>
    <n v="1"/>
    <n v="1728"/>
    <n v="4"/>
    <x v="1"/>
    <n v="49"/>
    <n v="3"/>
    <n v="2"/>
    <s v="Manufacturing Director"/>
    <n v="3"/>
    <s v="Married"/>
    <n v="6883"/>
    <n v="5151"/>
    <n v="2"/>
    <s v="Y"/>
    <s v="No"/>
    <n v="16"/>
    <x v="0"/>
    <n v="2"/>
    <n v="80"/>
    <n v="1"/>
    <n v="17"/>
    <n v="3"/>
    <n v="3"/>
    <n v="7"/>
    <n v="7"/>
    <n v="0"/>
    <n v="7"/>
    <n v="0"/>
    <x v="0"/>
    <x v="1"/>
    <s v="5k-10k"/>
    <x v="0"/>
    <x v="0"/>
    <x v="2"/>
  </r>
  <r>
    <n v="30"/>
    <s v="No"/>
    <x v="0"/>
    <n v="793"/>
    <x v="1"/>
    <n v="16"/>
    <n v="1"/>
    <s v="Life Sciences"/>
    <n v="1"/>
    <n v="1729"/>
    <n v="2"/>
    <x v="1"/>
    <n v="33"/>
    <n v="3"/>
    <n v="1"/>
    <s v="Research Scientist"/>
    <n v="4"/>
    <s v="Married"/>
    <n v="2862"/>
    <n v="3811"/>
    <n v="1"/>
    <s v="Y"/>
    <s v="No"/>
    <n v="12"/>
    <x v="0"/>
    <n v="2"/>
    <n v="80"/>
    <n v="1"/>
    <n v="10"/>
    <n v="2"/>
    <n v="2"/>
    <n v="10"/>
    <n v="0"/>
    <n v="0"/>
    <n v="8"/>
    <n v="0"/>
    <x v="2"/>
    <x v="2"/>
    <s v="0-5k"/>
    <x v="0"/>
    <x v="0"/>
    <x v="0"/>
  </r>
  <r>
    <n v="47"/>
    <s v="No"/>
    <x v="2"/>
    <n v="543"/>
    <x v="0"/>
    <n v="2"/>
    <n v="4"/>
    <s v="Marketing"/>
    <n v="1"/>
    <n v="1731"/>
    <n v="3"/>
    <x v="1"/>
    <n v="87"/>
    <n v="3"/>
    <n v="2"/>
    <s v="Sales Executive"/>
    <n v="2"/>
    <s v="Married"/>
    <n v="4978"/>
    <n v="3536"/>
    <n v="7"/>
    <s v="Y"/>
    <s v="No"/>
    <n v="11"/>
    <x v="0"/>
    <n v="4"/>
    <n v="80"/>
    <n v="1"/>
    <n v="4"/>
    <n v="3"/>
    <n v="1"/>
    <n v="1"/>
    <n v="0"/>
    <n v="0"/>
    <n v="0"/>
    <n v="0"/>
    <x v="1"/>
    <x v="0"/>
    <s v="0-5k"/>
    <x v="0"/>
    <x v="0"/>
    <x v="1"/>
  </r>
  <r>
    <n v="46"/>
    <s v="No"/>
    <x v="0"/>
    <n v="1277"/>
    <x v="0"/>
    <n v="2"/>
    <n v="3"/>
    <s v="Life Sciences"/>
    <n v="1"/>
    <n v="1732"/>
    <n v="3"/>
    <x v="1"/>
    <n v="74"/>
    <n v="3"/>
    <n v="3"/>
    <s v="Sales Executive"/>
    <n v="4"/>
    <s v="Divorced"/>
    <n v="10368"/>
    <n v="5596"/>
    <n v="4"/>
    <s v="Y"/>
    <s v="Yes"/>
    <n v="12"/>
    <x v="0"/>
    <n v="2"/>
    <n v="80"/>
    <n v="1"/>
    <n v="13"/>
    <n v="5"/>
    <n v="2"/>
    <n v="10"/>
    <n v="6"/>
    <n v="0"/>
    <n v="3"/>
    <n v="0"/>
    <x v="1"/>
    <x v="0"/>
    <s v="10k-15k"/>
    <x v="0"/>
    <x v="0"/>
    <x v="0"/>
  </r>
  <r>
    <n v="36"/>
    <s v="Yes"/>
    <x v="0"/>
    <n v="1456"/>
    <x v="0"/>
    <n v="13"/>
    <n v="5"/>
    <s v="Marketing"/>
    <n v="1"/>
    <n v="1733"/>
    <n v="2"/>
    <x v="1"/>
    <n v="96"/>
    <n v="2"/>
    <n v="2"/>
    <s v="Sales Executive"/>
    <n v="1"/>
    <s v="Divorced"/>
    <n v="6134"/>
    <n v="8658"/>
    <n v="5"/>
    <s v="Y"/>
    <s v="Yes"/>
    <n v="13"/>
    <x v="0"/>
    <n v="2"/>
    <n v="80"/>
    <n v="3"/>
    <n v="16"/>
    <n v="3"/>
    <n v="3"/>
    <n v="2"/>
    <n v="2"/>
    <n v="2"/>
    <n v="2"/>
    <n v="1"/>
    <x v="0"/>
    <x v="2"/>
    <s v="5k-10k"/>
    <x v="0"/>
    <x v="0"/>
    <x v="3"/>
  </r>
  <r>
    <n v="32"/>
    <s v="Yes"/>
    <x v="0"/>
    <n v="964"/>
    <x v="0"/>
    <n v="1"/>
    <n v="2"/>
    <s v="Life Sciences"/>
    <n v="1"/>
    <n v="1734"/>
    <n v="1"/>
    <x v="1"/>
    <n v="34"/>
    <n v="1"/>
    <n v="2"/>
    <s v="Sales Executive"/>
    <n v="2"/>
    <s v="Single"/>
    <n v="6735"/>
    <n v="12147"/>
    <n v="6"/>
    <s v="Y"/>
    <s v="No"/>
    <n v="15"/>
    <x v="0"/>
    <n v="2"/>
    <n v="80"/>
    <n v="0"/>
    <n v="10"/>
    <n v="2"/>
    <n v="3"/>
    <n v="0"/>
    <n v="0"/>
    <n v="0"/>
    <n v="0"/>
    <n v="1"/>
    <x v="0"/>
    <x v="0"/>
    <s v="5k-10k"/>
    <x v="0"/>
    <x v="0"/>
    <x v="1"/>
  </r>
  <r>
    <n v="23"/>
    <s v="No"/>
    <x v="0"/>
    <n v="160"/>
    <x v="1"/>
    <n v="4"/>
    <n v="1"/>
    <s v="Medical"/>
    <n v="1"/>
    <n v="1735"/>
    <n v="3"/>
    <x v="0"/>
    <n v="51"/>
    <n v="3"/>
    <n v="1"/>
    <s v="Laboratory Technician"/>
    <n v="2"/>
    <s v="Single"/>
    <n v="3295"/>
    <n v="12862"/>
    <n v="1"/>
    <s v="Y"/>
    <s v="No"/>
    <n v="13"/>
    <x v="0"/>
    <n v="3"/>
    <n v="80"/>
    <n v="0"/>
    <n v="3"/>
    <n v="3"/>
    <n v="1"/>
    <n v="3"/>
    <n v="2"/>
    <n v="1"/>
    <n v="2"/>
    <n v="0"/>
    <x v="2"/>
    <x v="0"/>
    <s v="0-5k"/>
    <x v="0"/>
    <x v="0"/>
    <x v="1"/>
  </r>
  <r>
    <n v="31"/>
    <s v="No"/>
    <x v="1"/>
    <n v="163"/>
    <x v="1"/>
    <n v="24"/>
    <n v="1"/>
    <s v="Technical Degree"/>
    <n v="1"/>
    <n v="1736"/>
    <n v="4"/>
    <x v="0"/>
    <n v="30"/>
    <n v="3"/>
    <n v="2"/>
    <s v="Manufacturing Director"/>
    <n v="4"/>
    <s v="Single"/>
    <n v="5238"/>
    <n v="6670"/>
    <n v="2"/>
    <s v="Y"/>
    <s v="No"/>
    <n v="20"/>
    <x v="1"/>
    <n v="4"/>
    <n v="80"/>
    <n v="0"/>
    <n v="9"/>
    <n v="3"/>
    <n v="2"/>
    <n v="5"/>
    <n v="4"/>
    <n v="1"/>
    <n v="4"/>
    <n v="0"/>
    <x v="0"/>
    <x v="1"/>
    <s v="5k-10k"/>
    <x v="0"/>
    <x v="1"/>
    <x v="0"/>
  </r>
  <r>
    <n v="39"/>
    <s v="No"/>
    <x v="2"/>
    <n v="792"/>
    <x v="1"/>
    <n v="1"/>
    <n v="3"/>
    <s v="Life Sciences"/>
    <n v="1"/>
    <n v="1737"/>
    <n v="4"/>
    <x v="1"/>
    <n v="77"/>
    <n v="3"/>
    <n v="2"/>
    <s v="Laboratory Technician"/>
    <n v="4"/>
    <s v="Married"/>
    <n v="6472"/>
    <n v="8989"/>
    <n v="1"/>
    <s v="Y"/>
    <s v="Yes"/>
    <n v="15"/>
    <x v="0"/>
    <n v="4"/>
    <n v="80"/>
    <n v="1"/>
    <n v="9"/>
    <n v="2"/>
    <n v="3"/>
    <n v="9"/>
    <n v="8"/>
    <n v="5"/>
    <n v="8"/>
    <n v="0"/>
    <x v="0"/>
    <x v="0"/>
    <s v="5k-10k"/>
    <x v="0"/>
    <x v="0"/>
    <x v="0"/>
  </r>
  <r>
    <n v="32"/>
    <s v="No"/>
    <x v="0"/>
    <n v="371"/>
    <x v="0"/>
    <n v="19"/>
    <n v="3"/>
    <s v="Life Sciences"/>
    <n v="1"/>
    <n v="1739"/>
    <n v="4"/>
    <x v="1"/>
    <n v="80"/>
    <n v="1"/>
    <n v="3"/>
    <s v="Sales Executive"/>
    <n v="3"/>
    <s v="Married"/>
    <n v="9610"/>
    <n v="3840"/>
    <n v="3"/>
    <s v="Y"/>
    <s v="No"/>
    <n v="13"/>
    <x v="0"/>
    <n v="3"/>
    <n v="80"/>
    <n v="1"/>
    <n v="10"/>
    <n v="2"/>
    <n v="1"/>
    <n v="4"/>
    <n v="3"/>
    <n v="0"/>
    <n v="2"/>
    <n v="0"/>
    <x v="0"/>
    <x v="2"/>
    <s v="5k-10k"/>
    <x v="0"/>
    <x v="0"/>
    <x v="2"/>
  </r>
  <r>
    <n v="40"/>
    <s v="No"/>
    <x v="0"/>
    <n v="611"/>
    <x v="0"/>
    <n v="7"/>
    <n v="4"/>
    <s v="Medical"/>
    <n v="1"/>
    <n v="1740"/>
    <n v="2"/>
    <x v="1"/>
    <n v="88"/>
    <n v="3"/>
    <n v="5"/>
    <s v="Manager"/>
    <n v="2"/>
    <s v="Single"/>
    <n v="19833"/>
    <n v="4349"/>
    <n v="1"/>
    <s v="Y"/>
    <s v="No"/>
    <n v="14"/>
    <x v="0"/>
    <n v="2"/>
    <n v="80"/>
    <n v="0"/>
    <n v="21"/>
    <n v="3"/>
    <n v="2"/>
    <n v="21"/>
    <n v="8"/>
    <n v="12"/>
    <n v="8"/>
    <n v="0"/>
    <x v="0"/>
    <x v="0"/>
    <s v="15k+"/>
    <x v="1"/>
    <x v="0"/>
    <x v="1"/>
  </r>
  <r>
    <n v="45"/>
    <s v="No"/>
    <x v="0"/>
    <n v="176"/>
    <x v="2"/>
    <n v="4"/>
    <n v="3"/>
    <s v="Life Sciences"/>
    <n v="1"/>
    <n v="1744"/>
    <n v="3"/>
    <x v="0"/>
    <n v="56"/>
    <n v="1"/>
    <n v="3"/>
    <s v="Human Resources"/>
    <n v="3"/>
    <s v="Married"/>
    <n v="9756"/>
    <n v="6595"/>
    <n v="4"/>
    <s v="Y"/>
    <s v="No"/>
    <n v="21"/>
    <x v="1"/>
    <n v="3"/>
    <n v="80"/>
    <n v="2"/>
    <n v="9"/>
    <n v="2"/>
    <n v="4"/>
    <n v="5"/>
    <n v="0"/>
    <n v="0"/>
    <n v="3"/>
    <n v="0"/>
    <x v="0"/>
    <x v="0"/>
    <s v="5k-10k"/>
    <x v="0"/>
    <x v="1"/>
    <x v="2"/>
  </r>
  <r>
    <n v="30"/>
    <s v="No"/>
    <x v="1"/>
    <n v="1312"/>
    <x v="1"/>
    <n v="2"/>
    <n v="4"/>
    <s v="Technical Degree"/>
    <n v="1"/>
    <n v="1745"/>
    <n v="4"/>
    <x v="0"/>
    <n v="78"/>
    <n v="2"/>
    <n v="1"/>
    <s v="Research Scientist"/>
    <n v="1"/>
    <s v="Single"/>
    <n v="4968"/>
    <n v="26427"/>
    <n v="0"/>
    <s v="Y"/>
    <s v="No"/>
    <n v="16"/>
    <x v="0"/>
    <n v="4"/>
    <n v="80"/>
    <n v="0"/>
    <n v="10"/>
    <n v="2"/>
    <n v="3"/>
    <n v="9"/>
    <n v="7"/>
    <n v="0"/>
    <n v="7"/>
    <n v="0"/>
    <x v="2"/>
    <x v="0"/>
    <s v="0-5k"/>
    <x v="0"/>
    <x v="0"/>
    <x v="3"/>
  </r>
  <r>
    <n v="24"/>
    <s v="No"/>
    <x v="1"/>
    <n v="897"/>
    <x v="2"/>
    <n v="10"/>
    <n v="3"/>
    <s v="Medical"/>
    <n v="1"/>
    <n v="1746"/>
    <n v="1"/>
    <x v="1"/>
    <n v="59"/>
    <n v="3"/>
    <n v="1"/>
    <s v="Human Resources"/>
    <n v="4"/>
    <s v="Married"/>
    <n v="2145"/>
    <n v="2097"/>
    <n v="0"/>
    <s v="Y"/>
    <s v="No"/>
    <n v="14"/>
    <x v="0"/>
    <n v="4"/>
    <n v="80"/>
    <n v="1"/>
    <n v="3"/>
    <n v="2"/>
    <n v="3"/>
    <n v="2"/>
    <n v="2"/>
    <n v="2"/>
    <n v="1"/>
    <n v="0"/>
    <x v="2"/>
    <x v="0"/>
    <s v="0-5k"/>
    <x v="0"/>
    <x v="0"/>
    <x v="0"/>
  </r>
  <r>
    <n v="30"/>
    <s v="Yes"/>
    <x v="1"/>
    <n v="600"/>
    <x v="2"/>
    <n v="8"/>
    <n v="3"/>
    <s v="Human Resources"/>
    <n v="1"/>
    <n v="1747"/>
    <n v="3"/>
    <x v="0"/>
    <n v="66"/>
    <n v="2"/>
    <n v="1"/>
    <s v="Human Resources"/>
    <n v="4"/>
    <s v="Divorced"/>
    <n v="2180"/>
    <n v="9732"/>
    <n v="6"/>
    <s v="Y"/>
    <s v="No"/>
    <n v="11"/>
    <x v="0"/>
    <n v="3"/>
    <n v="80"/>
    <n v="1"/>
    <n v="6"/>
    <n v="0"/>
    <n v="2"/>
    <n v="4"/>
    <n v="2"/>
    <n v="1"/>
    <n v="2"/>
    <n v="1"/>
    <x v="2"/>
    <x v="0"/>
    <s v="0-5k"/>
    <x v="0"/>
    <x v="0"/>
    <x v="0"/>
  </r>
  <r>
    <n v="31"/>
    <s v="No"/>
    <x v="0"/>
    <n v="1003"/>
    <x v="0"/>
    <n v="5"/>
    <n v="3"/>
    <s v="Technical Degree"/>
    <n v="1"/>
    <n v="1749"/>
    <n v="1"/>
    <x v="1"/>
    <n v="51"/>
    <n v="3"/>
    <n v="2"/>
    <s v="Sales Executive"/>
    <n v="3"/>
    <s v="Married"/>
    <n v="8346"/>
    <n v="20943"/>
    <n v="1"/>
    <s v="Y"/>
    <s v="No"/>
    <n v="19"/>
    <x v="0"/>
    <n v="3"/>
    <n v="80"/>
    <n v="1"/>
    <n v="6"/>
    <n v="3"/>
    <n v="3"/>
    <n v="5"/>
    <n v="2"/>
    <n v="0"/>
    <n v="2"/>
    <n v="0"/>
    <x v="0"/>
    <x v="0"/>
    <s v="5k-10k"/>
    <x v="0"/>
    <x v="0"/>
    <x v="2"/>
  </r>
  <r>
    <n v="27"/>
    <s v="No"/>
    <x v="0"/>
    <n v="1054"/>
    <x v="1"/>
    <n v="8"/>
    <n v="3"/>
    <s v="Medical"/>
    <n v="1"/>
    <n v="1751"/>
    <n v="3"/>
    <x v="0"/>
    <n v="67"/>
    <n v="3"/>
    <n v="1"/>
    <s v="Research Scientist"/>
    <n v="4"/>
    <s v="Single"/>
    <n v="3445"/>
    <n v="6152"/>
    <n v="1"/>
    <s v="Y"/>
    <s v="No"/>
    <n v="11"/>
    <x v="0"/>
    <n v="3"/>
    <n v="80"/>
    <n v="0"/>
    <n v="6"/>
    <n v="5"/>
    <n v="2"/>
    <n v="6"/>
    <n v="2"/>
    <n v="1"/>
    <n v="4"/>
    <n v="0"/>
    <x v="2"/>
    <x v="0"/>
    <s v="0-5k"/>
    <x v="0"/>
    <x v="0"/>
    <x v="0"/>
  </r>
  <r>
    <n v="29"/>
    <s v="Yes"/>
    <x v="0"/>
    <n v="428"/>
    <x v="0"/>
    <n v="9"/>
    <n v="3"/>
    <s v="Marketing"/>
    <n v="1"/>
    <n v="1752"/>
    <n v="2"/>
    <x v="0"/>
    <n v="52"/>
    <n v="1"/>
    <n v="1"/>
    <s v="Sales Representative"/>
    <n v="2"/>
    <s v="Single"/>
    <n v="2760"/>
    <n v="14630"/>
    <n v="1"/>
    <s v="Y"/>
    <s v="No"/>
    <n v="13"/>
    <x v="0"/>
    <n v="3"/>
    <n v="80"/>
    <n v="0"/>
    <n v="2"/>
    <n v="3"/>
    <n v="3"/>
    <n v="2"/>
    <n v="2"/>
    <n v="2"/>
    <n v="2"/>
    <n v="1"/>
    <x v="2"/>
    <x v="0"/>
    <s v="0-5k"/>
    <x v="0"/>
    <x v="0"/>
    <x v="1"/>
  </r>
  <r>
    <n v="29"/>
    <s v="No"/>
    <x v="1"/>
    <n v="461"/>
    <x v="1"/>
    <n v="1"/>
    <n v="3"/>
    <s v="Life Sciences"/>
    <n v="1"/>
    <n v="1753"/>
    <n v="4"/>
    <x v="1"/>
    <n v="70"/>
    <n v="4"/>
    <n v="2"/>
    <s v="Healthcare Representative"/>
    <n v="3"/>
    <s v="Single"/>
    <n v="6294"/>
    <n v="23060"/>
    <n v="8"/>
    <s v="Y"/>
    <s v="Yes"/>
    <n v="12"/>
    <x v="0"/>
    <n v="4"/>
    <n v="80"/>
    <n v="0"/>
    <n v="10"/>
    <n v="5"/>
    <n v="4"/>
    <n v="3"/>
    <n v="2"/>
    <n v="0"/>
    <n v="2"/>
    <n v="0"/>
    <x v="2"/>
    <x v="0"/>
    <s v="5k-10k"/>
    <x v="0"/>
    <x v="0"/>
    <x v="2"/>
  </r>
  <r>
    <n v="30"/>
    <s v="No"/>
    <x v="0"/>
    <n v="979"/>
    <x v="0"/>
    <n v="15"/>
    <n v="2"/>
    <s v="Marketing"/>
    <n v="1"/>
    <n v="1754"/>
    <n v="3"/>
    <x v="1"/>
    <n v="94"/>
    <n v="2"/>
    <n v="3"/>
    <s v="Sales Executive"/>
    <n v="1"/>
    <s v="Divorced"/>
    <n v="7140"/>
    <n v="3088"/>
    <n v="2"/>
    <s v="Y"/>
    <s v="No"/>
    <n v="11"/>
    <x v="0"/>
    <n v="1"/>
    <n v="80"/>
    <n v="1"/>
    <n v="12"/>
    <n v="2"/>
    <n v="3"/>
    <n v="7"/>
    <n v="7"/>
    <n v="1"/>
    <n v="7"/>
    <n v="0"/>
    <x v="2"/>
    <x v="2"/>
    <s v="5k-10k"/>
    <x v="0"/>
    <x v="0"/>
    <x v="3"/>
  </r>
  <r>
    <n v="34"/>
    <s v="No"/>
    <x v="0"/>
    <n v="181"/>
    <x v="1"/>
    <n v="2"/>
    <n v="4"/>
    <s v="Medical"/>
    <n v="1"/>
    <n v="1755"/>
    <n v="4"/>
    <x v="1"/>
    <n v="97"/>
    <n v="4"/>
    <n v="1"/>
    <s v="Research Scientist"/>
    <n v="4"/>
    <s v="Married"/>
    <n v="2932"/>
    <n v="5586"/>
    <n v="0"/>
    <s v="Y"/>
    <s v="Yes"/>
    <n v="14"/>
    <x v="0"/>
    <n v="1"/>
    <n v="80"/>
    <n v="3"/>
    <n v="6"/>
    <n v="3"/>
    <n v="3"/>
    <n v="5"/>
    <n v="0"/>
    <n v="1"/>
    <n v="2"/>
    <n v="0"/>
    <x v="0"/>
    <x v="0"/>
    <s v="0-5k"/>
    <x v="0"/>
    <x v="0"/>
    <x v="0"/>
  </r>
  <r>
    <n v="33"/>
    <s v="No"/>
    <x v="2"/>
    <n v="1283"/>
    <x v="0"/>
    <n v="2"/>
    <n v="3"/>
    <s v="Marketing"/>
    <n v="1"/>
    <n v="1756"/>
    <n v="4"/>
    <x v="0"/>
    <n v="62"/>
    <n v="3"/>
    <n v="2"/>
    <s v="Sales Executive"/>
    <n v="2"/>
    <s v="Single"/>
    <n v="5147"/>
    <n v="10697"/>
    <n v="8"/>
    <s v="Y"/>
    <s v="No"/>
    <n v="15"/>
    <x v="0"/>
    <n v="4"/>
    <n v="80"/>
    <n v="0"/>
    <n v="13"/>
    <n v="2"/>
    <n v="2"/>
    <n v="11"/>
    <n v="7"/>
    <n v="1"/>
    <n v="7"/>
    <n v="0"/>
    <x v="0"/>
    <x v="0"/>
    <s v="5k-10k"/>
    <x v="2"/>
    <x v="0"/>
    <x v="1"/>
  </r>
  <r>
    <n v="49"/>
    <s v="No"/>
    <x v="0"/>
    <n v="1313"/>
    <x v="0"/>
    <n v="11"/>
    <n v="4"/>
    <s v="Marketing"/>
    <n v="1"/>
    <n v="1757"/>
    <n v="4"/>
    <x v="0"/>
    <n v="80"/>
    <n v="3"/>
    <n v="2"/>
    <s v="Sales Executive"/>
    <n v="4"/>
    <s v="Single"/>
    <n v="4507"/>
    <n v="8191"/>
    <n v="3"/>
    <s v="Y"/>
    <s v="No"/>
    <n v="12"/>
    <x v="0"/>
    <n v="3"/>
    <n v="80"/>
    <n v="0"/>
    <n v="8"/>
    <n v="1"/>
    <n v="4"/>
    <n v="5"/>
    <n v="1"/>
    <n v="0"/>
    <n v="4"/>
    <n v="0"/>
    <x v="1"/>
    <x v="2"/>
    <s v="0-5k"/>
    <x v="0"/>
    <x v="0"/>
    <x v="0"/>
  </r>
  <r>
    <n v="33"/>
    <s v="Yes"/>
    <x v="0"/>
    <n v="211"/>
    <x v="0"/>
    <n v="16"/>
    <n v="3"/>
    <s v="Life Sciences"/>
    <n v="1"/>
    <n v="1758"/>
    <n v="1"/>
    <x v="0"/>
    <n v="74"/>
    <n v="3"/>
    <n v="3"/>
    <s v="Sales Executive"/>
    <n v="1"/>
    <s v="Single"/>
    <n v="8564"/>
    <n v="10092"/>
    <n v="2"/>
    <s v="Y"/>
    <s v="Yes"/>
    <n v="20"/>
    <x v="1"/>
    <n v="3"/>
    <n v="80"/>
    <n v="0"/>
    <n v="11"/>
    <n v="2"/>
    <n v="2"/>
    <n v="0"/>
    <n v="0"/>
    <n v="0"/>
    <n v="0"/>
    <n v="1"/>
    <x v="0"/>
    <x v="2"/>
    <s v="5k-10k"/>
    <x v="0"/>
    <x v="1"/>
    <x v="3"/>
  </r>
  <r>
    <n v="38"/>
    <s v="No"/>
    <x v="1"/>
    <n v="594"/>
    <x v="1"/>
    <n v="2"/>
    <n v="2"/>
    <s v="Medical"/>
    <n v="1"/>
    <n v="1760"/>
    <n v="3"/>
    <x v="0"/>
    <n v="75"/>
    <n v="2"/>
    <n v="1"/>
    <s v="Laboratory Technician"/>
    <n v="2"/>
    <s v="Married"/>
    <n v="2468"/>
    <n v="15963"/>
    <n v="4"/>
    <s v="Y"/>
    <s v="No"/>
    <n v="14"/>
    <x v="0"/>
    <n v="2"/>
    <n v="80"/>
    <n v="1"/>
    <n v="9"/>
    <n v="4"/>
    <n v="2"/>
    <n v="6"/>
    <n v="1"/>
    <n v="0"/>
    <n v="5"/>
    <n v="0"/>
    <x v="0"/>
    <x v="0"/>
    <s v="0-5k"/>
    <x v="0"/>
    <x v="0"/>
    <x v="1"/>
  </r>
  <r>
    <n v="31"/>
    <s v="Yes"/>
    <x v="0"/>
    <n v="1079"/>
    <x v="0"/>
    <n v="16"/>
    <n v="4"/>
    <s v="Marketing"/>
    <n v="1"/>
    <n v="1761"/>
    <n v="1"/>
    <x v="1"/>
    <n v="70"/>
    <n v="3"/>
    <n v="3"/>
    <s v="Sales Executive"/>
    <n v="3"/>
    <s v="Married"/>
    <n v="8161"/>
    <n v="19002"/>
    <n v="2"/>
    <s v="Y"/>
    <s v="No"/>
    <n v="13"/>
    <x v="0"/>
    <n v="1"/>
    <n v="80"/>
    <n v="3"/>
    <n v="10"/>
    <n v="2"/>
    <n v="3"/>
    <n v="1"/>
    <n v="0"/>
    <n v="0"/>
    <n v="0"/>
    <n v="1"/>
    <x v="0"/>
    <x v="2"/>
    <s v="5k-10k"/>
    <x v="0"/>
    <x v="0"/>
    <x v="2"/>
  </r>
  <r>
    <n v="29"/>
    <s v="No"/>
    <x v="0"/>
    <n v="590"/>
    <x v="1"/>
    <n v="4"/>
    <n v="3"/>
    <s v="Technical Degree"/>
    <n v="1"/>
    <n v="1762"/>
    <n v="4"/>
    <x v="0"/>
    <n v="91"/>
    <n v="2"/>
    <n v="1"/>
    <s v="Research Scientist"/>
    <n v="1"/>
    <s v="Divorced"/>
    <n v="2109"/>
    <n v="10007"/>
    <n v="1"/>
    <s v="Y"/>
    <s v="No"/>
    <n v="13"/>
    <x v="0"/>
    <n v="3"/>
    <n v="80"/>
    <n v="1"/>
    <n v="1"/>
    <n v="2"/>
    <n v="3"/>
    <n v="1"/>
    <n v="0"/>
    <n v="0"/>
    <n v="0"/>
    <n v="0"/>
    <x v="2"/>
    <x v="0"/>
    <s v="0-5k"/>
    <x v="0"/>
    <x v="0"/>
    <x v="3"/>
  </r>
  <r>
    <n v="30"/>
    <s v="No"/>
    <x v="0"/>
    <n v="305"/>
    <x v="1"/>
    <n v="16"/>
    <n v="3"/>
    <s v="Life Sciences"/>
    <n v="1"/>
    <n v="1763"/>
    <n v="3"/>
    <x v="1"/>
    <n v="58"/>
    <n v="4"/>
    <n v="2"/>
    <s v="Healthcare Representative"/>
    <n v="3"/>
    <s v="Married"/>
    <n v="5294"/>
    <n v="9128"/>
    <n v="3"/>
    <s v="Y"/>
    <s v="No"/>
    <n v="16"/>
    <x v="0"/>
    <n v="3"/>
    <n v="80"/>
    <n v="1"/>
    <n v="10"/>
    <n v="3"/>
    <n v="3"/>
    <n v="7"/>
    <n v="0"/>
    <n v="1"/>
    <n v="7"/>
    <n v="0"/>
    <x v="2"/>
    <x v="2"/>
    <s v="5k-10k"/>
    <x v="0"/>
    <x v="0"/>
    <x v="2"/>
  </r>
  <r>
    <n v="32"/>
    <s v="No"/>
    <x v="2"/>
    <n v="953"/>
    <x v="1"/>
    <n v="5"/>
    <n v="4"/>
    <s v="Technical Degree"/>
    <n v="1"/>
    <n v="1764"/>
    <n v="2"/>
    <x v="1"/>
    <n v="65"/>
    <n v="3"/>
    <n v="1"/>
    <s v="Research Scientist"/>
    <n v="2"/>
    <s v="Single"/>
    <n v="2718"/>
    <n v="17674"/>
    <n v="2"/>
    <s v="Y"/>
    <s v="No"/>
    <n v="14"/>
    <x v="0"/>
    <n v="2"/>
    <n v="80"/>
    <n v="0"/>
    <n v="12"/>
    <n v="3"/>
    <n v="3"/>
    <n v="7"/>
    <n v="7"/>
    <n v="0"/>
    <n v="7"/>
    <n v="0"/>
    <x v="0"/>
    <x v="0"/>
    <s v="0-5k"/>
    <x v="0"/>
    <x v="0"/>
    <x v="1"/>
  </r>
  <r>
    <n v="38"/>
    <s v="No"/>
    <x v="0"/>
    <n v="833"/>
    <x v="1"/>
    <n v="18"/>
    <n v="3"/>
    <s v="Medical"/>
    <n v="1"/>
    <n v="1766"/>
    <n v="2"/>
    <x v="1"/>
    <n v="60"/>
    <n v="1"/>
    <n v="2"/>
    <s v="Healthcare Representative"/>
    <n v="4"/>
    <s v="Married"/>
    <n v="5811"/>
    <n v="24539"/>
    <n v="3"/>
    <s v="Y"/>
    <s v="Yes"/>
    <n v="16"/>
    <x v="0"/>
    <n v="3"/>
    <n v="80"/>
    <n v="1"/>
    <n v="15"/>
    <n v="2"/>
    <n v="3"/>
    <n v="1"/>
    <n v="0"/>
    <n v="1"/>
    <n v="0"/>
    <n v="0"/>
    <x v="0"/>
    <x v="2"/>
    <s v="5k-10k"/>
    <x v="0"/>
    <x v="0"/>
    <x v="0"/>
  </r>
  <r>
    <n v="43"/>
    <s v="Yes"/>
    <x v="1"/>
    <n v="807"/>
    <x v="1"/>
    <n v="17"/>
    <n v="3"/>
    <s v="Technical Degree"/>
    <n v="1"/>
    <n v="1767"/>
    <n v="3"/>
    <x v="1"/>
    <n v="38"/>
    <n v="2"/>
    <n v="1"/>
    <s v="Research Scientist"/>
    <n v="3"/>
    <s v="Married"/>
    <n v="2437"/>
    <n v="15587"/>
    <n v="9"/>
    <s v="Y"/>
    <s v="Yes"/>
    <n v="16"/>
    <x v="0"/>
    <n v="4"/>
    <n v="80"/>
    <n v="1"/>
    <n v="6"/>
    <n v="4"/>
    <n v="3"/>
    <n v="1"/>
    <n v="0"/>
    <n v="0"/>
    <n v="0"/>
    <n v="1"/>
    <x v="0"/>
    <x v="2"/>
    <s v="0-5k"/>
    <x v="0"/>
    <x v="0"/>
    <x v="2"/>
  </r>
  <r>
    <n v="42"/>
    <s v="No"/>
    <x v="0"/>
    <n v="855"/>
    <x v="1"/>
    <n v="12"/>
    <n v="3"/>
    <s v="Medical"/>
    <n v="1"/>
    <n v="1768"/>
    <n v="2"/>
    <x v="1"/>
    <n v="57"/>
    <n v="3"/>
    <n v="1"/>
    <s v="Laboratory Technician"/>
    <n v="2"/>
    <s v="Divorced"/>
    <n v="2766"/>
    <n v="8952"/>
    <n v="8"/>
    <s v="Y"/>
    <s v="No"/>
    <n v="22"/>
    <x v="1"/>
    <n v="2"/>
    <n v="80"/>
    <n v="3"/>
    <n v="7"/>
    <n v="6"/>
    <n v="2"/>
    <n v="5"/>
    <n v="3"/>
    <n v="0"/>
    <n v="4"/>
    <n v="0"/>
    <x v="0"/>
    <x v="2"/>
    <s v="0-5k"/>
    <x v="0"/>
    <x v="1"/>
    <x v="1"/>
  </r>
  <r>
    <n v="55"/>
    <s v="No"/>
    <x v="0"/>
    <n v="478"/>
    <x v="1"/>
    <n v="2"/>
    <n v="3"/>
    <s v="Medical"/>
    <n v="1"/>
    <n v="1770"/>
    <n v="3"/>
    <x v="1"/>
    <n v="60"/>
    <n v="2"/>
    <n v="5"/>
    <s v="Research Director"/>
    <n v="1"/>
    <s v="Married"/>
    <n v="19038"/>
    <n v="19805"/>
    <n v="8"/>
    <s v="Y"/>
    <s v="No"/>
    <n v="12"/>
    <x v="0"/>
    <n v="2"/>
    <n v="80"/>
    <n v="3"/>
    <n v="34"/>
    <n v="2"/>
    <n v="3"/>
    <n v="1"/>
    <n v="0"/>
    <n v="0"/>
    <n v="0"/>
    <n v="0"/>
    <x v="1"/>
    <x v="0"/>
    <s v="15k+"/>
    <x v="0"/>
    <x v="0"/>
    <x v="3"/>
  </r>
  <r>
    <n v="33"/>
    <s v="No"/>
    <x v="2"/>
    <n v="775"/>
    <x v="1"/>
    <n v="4"/>
    <n v="3"/>
    <s v="Technical Degree"/>
    <n v="1"/>
    <n v="1771"/>
    <n v="4"/>
    <x v="1"/>
    <n v="90"/>
    <n v="3"/>
    <n v="2"/>
    <s v="Research Scientist"/>
    <n v="2"/>
    <s v="Divorced"/>
    <n v="3055"/>
    <n v="6194"/>
    <n v="5"/>
    <s v="Y"/>
    <s v="No"/>
    <n v="15"/>
    <x v="0"/>
    <n v="4"/>
    <n v="80"/>
    <n v="2"/>
    <n v="11"/>
    <n v="2"/>
    <n v="2"/>
    <n v="9"/>
    <n v="8"/>
    <n v="1"/>
    <n v="7"/>
    <n v="0"/>
    <x v="0"/>
    <x v="0"/>
    <s v="0-5k"/>
    <x v="0"/>
    <x v="0"/>
    <x v="1"/>
  </r>
  <r>
    <n v="41"/>
    <s v="No"/>
    <x v="0"/>
    <n v="548"/>
    <x v="1"/>
    <n v="9"/>
    <n v="4"/>
    <s v="Life Sciences"/>
    <n v="1"/>
    <n v="1772"/>
    <n v="3"/>
    <x v="1"/>
    <n v="94"/>
    <n v="3"/>
    <n v="1"/>
    <s v="Laboratory Technician"/>
    <n v="1"/>
    <s v="Divorced"/>
    <n v="2289"/>
    <n v="20520"/>
    <n v="1"/>
    <s v="Y"/>
    <s v="No"/>
    <n v="20"/>
    <x v="1"/>
    <n v="2"/>
    <n v="80"/>
    <n v="2"/>
    <n v="5"/>
    <n v="2"/>
    <n v="3"/>
    <n v="5"/>
    <n v="3"/>
    <n v="0"/>
    <n v="4"/>
    <n v="0"/>
    <x v="0"/>
    <x v="0"/>
    <s v="0-5k"/>
    <x v="0"/>
    <x v="1"/>
    <x v="3"/>
  </r>
  <r>
    <n v="34"/>
    <s v="No"/>
    <x v="2"/>
    <n v="1375"/>
    <x v="0"/>
    <n v="10"/>
    <n v="3"/>
    <s v="Life Sciences"/>
    <n v="1"/>
    <n v="1774"/>
    <n v="4"/>
    <x v="1"/>
    <n v="87"/>
    <n v="3"/>
    <n v="2"/>
    <s v="Sales Executive"/>
    <n v="3"/>
    <s v="Divorced"/>
    <n v="4001"/>
    <n v="12313"/>
    <n v="1"/>
    <s v="Y"/>
    <s v="Yes"/>
    <n v="14"/>
    <x v="0"/>
    <n v="3"/>
    <n v="80"/>
    <n v="1"/>
    <n v="15"/>
    <n v="3"/>
    <n v="3"/>
    <n v="15"/>
    <n v="14"/>
    <n v="0"/>
    <n v="7"/>
    <n v="0"/>
    <x v="0"/>
    <x v="0"/>
    <s v="0-5k"/>
    <x v="2"/>
    <x v="0"/>
    <x v="2"/>
  </r>
  <r>
    <n v="53"/>
    <s v="No"/>
    <x v="2"/>
    <n v="661"/>
    <x v="1"/>
    <n v="1"/>
    <n v="4"/>
    <s v="Medical"/>
    <n v="1"/>
    <n v="1775"/>
    <n v="1"/>
    <x v="0"/>
    <n v="60"/>
    <n v="2"/>
    <n v="4"/>
    <s v="Manufacturing Director"/>
    <n v="3"/>
    <s v="Married"/>
    <n v="12965"/>
    <n v="22308"/>
    <n v="4"/>
    <s v="Y"/>
    <s v="Yes"/>
    <n v="20"/>
    <x v="1"/>
    <n v="4"/>
    <n v="80"/>
    <n v="3"/>
    <n v="27"/>
    <n v="2"/>
    <n v="2"/>
    <n v="3"/>
    <n v="2"/>
    <n v="0"/>
    <n v="2"/>
    <n v="0"/>
    <x v="1"/>
    <x v="0"/>
    <s v="10k-15k"/>
    <x v="0"/>
    <x v="1"/>
    <x v="2"/>
  </r>
  <r>
    <n v="43"/>
    <s v="No"/>
    <x v="0"/>
    <n v="244"/>
    <x v="2"/>
    <n v="2"/>
    <n v="3"/>
    <s v="Life Sciences"/>
    <n v="1"/>
    <n v="1778"/>
    <n v="2"/>
    <x v="1"/>
    <n v="97"/>
    <n v="3"/>
    <n v="1"/>
    <s v="Human Resources"/>
    <n v="4"/>
    <s v="Single"/>
    <n v="3539"/>
    <n v="5033"/>
    <n v="0"/>
    <s v="Y"/>
    <s v="No"/>
    <n v="13"/>
    <x v="0"/>
    <n v="2"/>
    <n v="80"/>
    <n v="0"/>
    <n v="10"/>
    <n v="5"/>
    <n v="3"/>
    <n v="9"/>
    <n v="7"/>
    <n v="1"/>
    <n v="8"/>
    <n v="0"/>
    <x v="0"/>
    <x v="0"/>
    <s v="0-5k"/>
    <x v="0"/>
    <x v="0"/>
    <x v="0"/>
  </r>
  <r>
    <n v="34"/>
    <s v="No"/>
    <x v="0"/>
    <n v="511"/>
    <x v="0"/>
    <n v="3"/>
    <n v="2"/>
    <s v="Life Sciences"/>
    <n v="1"/>
    <n v="1779"/>
    <n v="4"/>
    <x v="0"/>
    <n v="32"/>
    <n v="1"/>
    <n v="2"/>
    <s v="Sales Executive"/>
    <n v="4"/>
    <s v="Single"/>
    <n v="6029"/>
    <n v="25353"/>
    <n v="5"/>
    <s v="Y"/>
    <s v="No"/>
    <n v="12"/>
    <x v="0"/>
    <n v="1"/>
    <n v="80"/>
    <n v="0"/>
    <n v="6"/>
    <n v="3"/>
    <n v="3"/>
    <n v="2"/>
    <n v="2"/>
    <n v="2"/>
    <n v="2"/>
    <n v="0"/>
    <x v="0"/>
    <x v="0"/>
    <s v="5k-10k"/>
    <x v="0"/>
    <x v="0"/>
    <x v="0"/>
  </r>
  <r>
    <n v="21"/>
    <s v="Yes"/>
    <x v="0"/>
    <n v="337"/>
    <x v="0"/>
    <n v="7"/>
    <n v="1"/>
    <s v="Marketing"/>
    <n v="1"/>
    <n v="1780"/>
    <n v="2"/>
    <x v="1"/>
    <n v="31"/>
    <n v="3"/>
    <n v="1"/>
    <s v="Sales Representative"/>
    <n v="2"/>
    <s v="Single"/>
    <n v="2679"/>
    <n v="4567"/>
    <n v="1"/>
    <s v="Y"/>
    <s v="No"/>
    <n v="13"/>
    <x v="0"/>
    <n v="2"/>
    <n v="80"/>
    <n v="0"/>
    <n v="1"/>
    <n v="3"/>
    <n v="3"/>
    <n v="1"/>
    <n v="0"/>
    <n v="1"/>
    <n v="0"/>
    <n v="1"/>
    <x v="2"/>
    <x v="0"/>
    <s v="0-5k"/>
    <x v="0"/>
    <x v="0"/>
    <x v="1"/>
  </r>
  <r>
    <n v="38"/>
    <s v="No"/>
    <x v="0"/>
    <n v="1153"/>
    <x v="1"/>
    <n v="6"/>
    <n v="2"/>
    <s v="Other"/>
    <n v="1"/>
    <n v="1782"/>
    <n v="4"/>
    <x v="0"/>
    <n v="40"/>
    <n v="2"/>
    <n v="1"/>
    <s v="Laboratory Technician"/>
    <n v="3"/>
    <s v="Married"/>
    <n v="3702"/>
    <n v="16376"/>
    <n v="1"/>
    <s v="Y"/>
    <s v="No"/>
    <n v="11"/>
    <x v="0"/>
    <n v="2"/>
    <n v="80"/>
    <n v="1"/>
    <n v="5"/>
    <n v="3"/>
    <n v="3"/>
    <n v="5"/>
    <n v="4"/>
    <n v="0"/>
    <n v="4"/>
    <n v="0"/>
    <x v="0"/>
    <x v="0"/>
    <s v="0-5k"/>
    <x v="0"/>
    <x v="0"/>
    <x v="2"/>
  </r>
  <r>
    <n v="22"/>
    <s v="Yes"/>
    <x v="0"/>
    <n v="1294"/>
    <x v="1"/>
    <n v="8"/>
    <n v="1"/>
    <s v="Medical"/>
    <n v="1"/>
    <n v="1783"/>
    <n v="3"/>
    <x v="0"/>
    <n v="79"/>
    <n v="3"/>
    <n v="1"/>
    <s v="Laboratory Technician"/>
    <n v="1"/>
    <s v="Married"/>
    <n v="2398"/>
    <n v="15999"/>
    <n v="1"/>
    <s v="Y"/>
    <s v="Yes"/>
    <n v="17"/>
    <x v="0"/>
    <n v="3"/>
    <n v="80"/>
    <n v="0"/>
    <n v="1"/>
    <n v="6"/>
    <n v="3"/>
    <n v="1"/>
    <n v="0"/>
    <n v="0"/>
    <n v="0"/>
    <n v="1"/>
    <x v="2"/>
    <x v="0"/>
    <s v="0-5k"/>
    <x v="0"/>
    <x v="0"/>
    <x v="3"/>
  </r>
  <r>
    <n v="31"/>
    <s v="No"/>
    <x v="0"/>
    <n v="196"/>
    <x v="0"/>
    <n v="29"/>
    <n v="4"/>
    <s v="Marketing"/>
    <n v="1"/>
    <n v="1784"/>
    <n v="1"/>
    <x v="0"/>
    <n v="91"/>
    <n v="2"/>
    <n v="2"/>
    <s v="Sales Executive"/>
    <n v="4"/>
    <s v="Married"/>
    <n v="5468"/>
    <n v="13402"/>
    <n v="1"/>
    <s v="Y"/>
    <s v="No"/>
    <n v="14"/>
    <x v="0"/>
    <n v="1"/>
    <n v="80"/>
    <n v="2"/>
    <n v="13"/>
    <n v="3"/>
    <n v="3"/>
    <n v="12"/>
    <n v="7"/>
    <n v="5"/>
    <n v="7"/>
    <n v="0"/>
    <x v="0"/>
    <x v="1"/>
    <s v="5k-10k"/>
    <x v="2"/>
    <x v="0"/>
    <x v="0"/>
  </r>
  <r>
    <n v="51"/>
    <s v="No"/>
    <x v="0"/>
    <n v="942"/>
    <x v="1"/>
    <n v="3"/>
    <n v="3"/>
    <s v="Technical Degree"/>
    <n v="1"/>
    <n v="1786"/>
    <n v="1"/>
    <x v="0"/>
    <n v="53"/>
    <n v="3"/>
    <n v="3"/>
    <s v="Manager"/>
    <n v="3"/>
    <s v="Married"/>
    <n v="13116"/>
    <n v="22984"/>
    <n v="2"/>
    <s v="Y"/>
    <s v="No"/>
    <n v="11"/>
    <x v="0"/>
    <n v="4"/>
    <n v="80"/>
    <n v="0"/>
    <n v="15"/>
    <n v="2"/>
    <n v="3"/>
    <n v="2"/>
    <n v="2"/>
    <n v="2"/>
    <n v="2"/>
    <n v="0"/>
    <x v="1"/>
    <x v="0"/>
    <s v="10k-15k"/>
    <x v="0"/>
    <x v="0"/>
    <x v="2"/>
  </r>
  <r>
    <n v="37"/>
    <s v="No"/>
    <x v="0"/>
    <n v="589"/>
    <x v="0"/>
    <n v="9"/>
    <n v="2"/>
    <s v="Marketing"/>
    <n v="1"/>
    <n v="1787"/>
    <n v="2"/>
    <x v="1"/>
    <n v="46"/>
    <n v="2"/>
    <n v="2"/>
    <s v="Sales Executive"/>
    <n v="2"/>
    <s v="Married"/>
    <n v="4189"/>
    <n v="8800"/>
    <n v="1"/>
    <s v="Y"/>
    <s v="No"/>
    <n v="14"/>
    <x v="0"/>
    <n v="1"/>
    <n v="80"/>
    <n v="2"/>
    <n v="5"/>
    <n v="2"/>
    <n v="3"/>
    <n v="5"/>
    <n v="2"/>
    <n v="0"/>
    <n v="3"/>
    <n v="0"/>
    <x v="0"/>
    <x v="0"/>
    <s v="0-5k"/>
    <x v="0"/>
    <x v="0"/>
    <x v="1"/>
  </r>
  <r>
    <n v="46"/>
    <s v="No"/>
    <x v="0"/>
    <n v="734"/>
    <x v="1"/>
    <n v="2"/>
    <n v="4"/>
    <s v="Medical"/>
    <n v="1"/>
    <n v="1789"/>
    <n v="3"/>
    <x v="1"/>
    <n v="46"/>
    <n v="3"/>
    <n v="5"/>
    <s v="Research Director"/>
    <n v="4"/>
    <s v="Divorced"/>
    <n v="19328"/>
    <n v="14218"/>
    <n v="7"/>
    <s v="Y"/>
    <s v="Yes"/>
    <n v="17"/>
    <x v="0"/>
    <n v="3"/>
    <n v="80"/>
    <n v="1"/>
    <n v="24"/>
    <n v="3"/>
    <n v="3"/>
    <n v="2"/>
    <n v="1"/>
    <n v="2"/>
    <n v="2"/>
    <n v="0"/>
    <x v="1"/>
    <x v="0"/>
    <s v="15k+"/>
    <x v="0"/>
    <x v="0"/>
    <x v="0"/>
  </r>
  <r>
    <n v="36"/>
    <s v="No"/>
    <x v="0"/>
    <n v="1383"/>
    <x v="1"/>
    <n v="10"/>
    <n v="3"/>
    <s v="Life Sciences"/>
    <n v="1"/>
    <n v="1790"/>
    <n v="4"/>
    <x v="1"/>
    <n v="90"/>
    <n v="3"/>
    <n v="3"/>
    <s v="Healthcare Representative"/>
    <n v="1"/>
    <s v="Married"/>
    <n v="8321"/>
    <n v="25949"/>
    <n v="7"/>
    <s v="Y"/>
    <s v="Yes"/>
    <n v="13"/>
    <x v="0"/>
    <n v="4"/>
    <n v="80"/>
    <n v="1"/>
    <n v="15"/>
    <n v="1"/>
    <n v="3"/>
    <n v="12"/>
    <n v="8"/>
    <n v="5"/>
    <n v="7"/>
    <n v="0"/>
    <x v="0"/>
    <x v="0"/>
    <s v="5k-10k"/>
    <x v="2"/>
    <x v="0"/>
    <x v="3"/>
  </r>
  <r>
    <n v="44"/>
    <s v="Yes"/>
    <x v="1"/>
    <n v="429"/>
    <x v="1"/>
    <n v="1"/>
    <n v="2"/>
    <s v="Medical"/>
    <n v="1"/>
    <n v="1792"/>
    <n v="3"/>
    <x v="1"/>
    <n v="99"/>
    <n v="3"/>
    <n v="1"/>
    <s v="Research Scientist"/>
    <n v="2"/>
    <s v="Divorced"/>
    <n v="2342"/>
    <n v="11092"/>
    <n v="1"/>
    <s v="Y"/>
    <s v="Yes"/>
    <n v="12"/>
    <x v="0"/>
    <n v="3"/>
    <n v="80"/>
    <n v="3"/>
    <n v="6"/>
    <n v="2"/>
    <n v="2"/>
    <n v="5"/>
    <n v="3"/>
    <n v="2"/>
    <n v="3"/>
    <n v="1"/>
    <x v="0"/>
    <x v="0"/>
    <s v="0-5k"/>
    <x v="0"/>
    <x v="0"/>
    <x v="1"/>
  </r>
  <r>
    <n v="37"/>
    <s v="No"/>
    <x v="0"/>
    <n v="1239"/>
    <x v="2"/>
    <n v="8"/>
    <n v="2"/>
    <s v="Other"/>
    <n v="1"/>
    <n v="1794"/>
    <n v="3"/>
    <x v="1"/>
    <n v="89"/>
    <n v="3"/>
    <n v="2"/>
    <s v="Human Resources"/>
    <n v="2"/>
    <s v="Divorced"/>
    <n v="4071"/>
    <n v="12832"/>
    <n v="2"/>
    <s v="Y"/>
    <s v="No"/>
    <n v="13"/>
    <x v="0"/>
    <n v="3"/>
    <n v="80"/>
    <n v="0"/>
    <n v="19"/>
    <n v="4"/>
    <n v="2"/>
    <n v="10"/>
    <n v="0"/>
    <n v="4"/>
    <n v="7"/>
    <n v="0"/>
    <x v="0"/>
    <x v="0"/>
    <s v="0-5k"/>
    <x v="0"/>
    <x v="0"/>
    <x v="1"/>
  </r>
  <r>
    <n v="35"/>
    <s v="Yes"/>
    <x v="0"/>
    <n v="303"/>
    <x v="0"/>
    <n v="27"/>
    <n v="3"/>
    <s v="Life Sciences"/>
    <n v="1"/>
    <n v="1797"/>
    <n v="3"/>
    <x v="1"/>
    <n v="84"/>
    <n v="3"/>
    <n v="2"/>
    <s v="Sales Executive"/>
    <n v="4"/>
    <s v="Single"/>
    <n v="5813"/>
    <n v="13492"/>
    <n v="1"/>
    <s v="Y"/>
    <s v="Yes"/>
    <n v="18"/>
    <x v="0"/>
    <n v="4"/>
    <n v="80"/>
    <n v="0"/>
    <n v="10"/>
    <n v="2"/>
    <n v="3"/>
    <n v="10"/>
    <n v="7"/>
    <n v="7"/>
    <n v="7"/>
    <n v="1"/>
    <x v="0"/>
    <x v="1"/>
    <s v="5k-10k"/>
    <x v="0"/>
    <x v="0"/>
    <x v="0"/>
  </r>
  <r>
    <n v="33"/>
    <s v="No"/>
    <x v="0"/>
    <n v="867"/>
    <x v="1"/>
    <n v="8"/>
    <n v="4"/>
    <s v="Life Sciences"/>
    <n v="1"/>
    <n v="1798"/>
    <n v="4"/>
    <x v="1"/>
    <n v="90"/>
    <n v="4"/>
    <n v="1"/>
    <s v="Research Scientist"/>
    <n v="1"/>
    <s v="Married"/>
    <n v="3143"/>
    <n v="6076"/>
    <n v="6"/>
    <s v="Y"/>
    <s v="No"/>
    <n v="19"/>
    <x v="0"/>
    <n v="2"/>
    <n v="80"/>
    <n v="1"/>
    <n v="14"/>
    <n v="1"/>
    <n v="3"/>
    <n v="10"/>
    <n v="8"/>
    <n v="7"/>
    <n v="6"/>
    <n v="0"/>
    <x v="0"/>
    <x v="0"/>
    <s v="0-5k"/>
    <x v="0"/>
    <x v="0"/>
    <x v="3"/>
  </r>
  <r>
    <n v="28"/>
    <s v="No"/>
    <x v="0"/>
    <n v="1181"/>
    <x v="1"/>
    <n v="1"/>
    <n v="3"/>
    <s v="Life Sciences"/>
    <n v="1"/>
    <n v="1799"/>
    <n v="3"/>
    <x v="1"/>
    <n v="82"/>
    <n v="3"/>
    <n v="1"/>
    <s v="Research Scientist"/>
    <n v="4"/>
    <s v="Married"/>
    <n v="2044"/>
    <n v="5531"/>
    <n v="1"/>
    <s v="Y"/>
    <s v="No"/>
    <n v="11"/>
    <x v="0"/>
    <n v="3"/>
    <n v="80"/>
    <n v="1"/>
    <n v="5"/>
    <n v="6"/>
    <n v="4"/>
    <n v="5"/>
    <n v="3"/>
    <n v="0"/>
    <n v="3"/>
    <n v="0"/>
    <x v="2"/>
    <x v="0"/>
    <s v="0-5k"/>
    <x v="0"/>
    <x v="0"/>
    <x v="0"/>
  </r>
  <r>
    <n v="39"/>
    <s v="No"/>
    <x v="0"/>
    <n v="1253"/>
    <x v="1"/>
    <n v="10"/>
    <n v="1"/>
    <s v="Medical"/>
    <n v="1"/>
    <n v="1800"/>
    <n v="3"/>
    <x v="1"/>
    <n v="65"/>
    <n v="3"/>
    <n v="3"/>
    <s v="Research Director"/>
    <n v="3"/>
    <s v="Single"/>
    <n v="13464"/>
    <n v="7914"/>
    <n v="7"/>
    <s v="Y"/>
    <s v="No"/>
    <n v="21"/>
    <x v="1"/>
    <n v="3"/>
    <n v="80"/>
    <n v="0"/>
    <n v="9"/>
    <n v="3"/>
    <n v="3"/>
    <n v="4"/>
    <n v="3"/>
    <n v="2"/>
    <n v="2"/>
    <n v="0"/>
    <x v="0"/>
    <x v="0"/>
    <s v="10k-15k"/>
    <x v="0"/>
    <x v="1"/>
    <x v="2"/>
  </r>
  <r>
    <n v="46"/>
    <s v="No"/>
    <x v="2"/>
    <n v="849"/>
    <x v="0"/>
    <n v="26"/>
    <n v="2"/>
    <s v="Life Sciences"/>
    <n v="1"/>
    <n v="1801"/>
    <n v="2"/>
    <x v="1"/>
    <n v="98"/>
    <n v="2"/>
    <n v="2"/>
    <s v="Sales Executive"/>
    <n v="2"/>
    <s v="Single"/>
    <n v="7991"/>
    <n v="25166"/>
    <n v="8"/>
    <s v="Y"/>
    <s v="No"/>
    <n v="15"/>
    <x v="0"/>
    <n v="3"/>
    <n v="80"/>
    <n v="0"/>
    <n v="6"/>
    <n v="3"/>
    <n v="3"/>
    <n v="2"/>
    <n v="2"/>
    <n v="2"/>
    <n v="2"/>
    <n v="0"/>
    <x v="1"/>
    <x v="1"/>
    <s v="5k-10k"/>
    <x v="0"/>
    <x v="0"/>
    <x v="1"/>
  </r>
  <r>
    <n v="40"/>
    <s v="No"/>
    <x v="0"/>
    <n v="616"/>
    <x v="1"/>
    <n v="2"/>
    <n v="2"/>
    <s v="Life Sciences"/>
    <n v="1"/>
    <n v="1802"/>
    <n v="3"/>
    <x v="0"/>
    <n v="99"/>
    <n v="3"/>
    <n v="1"/>
    <s v="Laboratory Technician"/>
    <n v="1"/>
    <s v="Married"/>
    <n v="3377"/>
    <n v="25605"/>
    <n v="4"/>
    <s v="Y"/>
    <s v="No"/>
    <n v="17"/>
    <x v="0"/>
    <n v="4"/>
    <n v="80"/>
    <n v="1"/>
    <n v="7"/>
    <n v="5"/>
    <n v="2"/>
    <n v="4"/>
    <n v="3"/>
    <n v="0"/>
    <n v="2"/>
    <n v="0"/>
    <x v="0"/>
    <x v="0"/>
    <s v="0-5k"/>
    <x v="0"/>
    <x v="0"/>
    <x v="3"/>
  </r>
  <r>
    <n v="42"/>
    <s v="No"/>
    <x v="0"/>
    <n v="1128"/>
    <x v="1"/>
    <n v="13"/>
    <n v="3"/>
    <s v="Medical"/>
    <n v="1"/>
    <n v="1803"/>
    <n v="2"/>
    <x v="1"/>
    <n v="95"/>
    <n v="4"/>
    <n v="2"/>
    <s v="Healthcare Representative"/>
    <n v="1"/>
    <s v="Married"/>
    <n v="5538"/>
    <n v="5696"/>
    <n v="5"/>
    <s v="Y"/>
    <s v="No"/>
    <n v="18"/>
    <x v="0"/>
    <n v="3"/>
    <n v="80"/>
    <n v="2"/>
    <n v="10"/>
    <n v="2"/>
    <n v="2"/>
    <n v="0"/>
    <n v="0"/>
    <n v="0"/>
    <n v="0"/>
    <n v="0"/>
    <x v="0"/>
    <x v="2"/>
    <s v="5k-10k"/>
    <x v="0"/>
    <x v="0"/>
    <x v="3"/>
  </r>
  <r>
    <n v="35"/>
    <s v="No"/>
    <x v="2"/>
    <n v="1180"/>
    <x v="1"/>
    <n v="2"/>
    <n v="2"/>
    <s v="Medical"/>
    <n v="1"/>
    <n v="1804"/>
    <n v="2"/>
    <x v="1"/>
    <n v="90"/>
    <n v="3"/>
    <n v="2"/>
    <s v="Manufacturing Director"/>
    <n v="4"/>
    <s v="Divorced"/>
    <n v="5762"/>
    <n v="24442"/>
    <n v="2"/>
    <s v="Y"/>
    <s v="No"/>
    <n v="14"/>
    <x v="0"/>
    <n v="3"/>
    <n v="80"/>
    <n v="1"/>
    <n v="15"/>
    <n v="6"/>
    <n v="3"/>
    <n v="7"/>
    <n v="7"/>
    <n v="1"/>
    <n v="7"/>
    <n v="0"/>
    <x v="0"/>
    <x v="0"/>
    <s v="5k-10k"/>
    <x v="0"/>
    <x v="0"/>
    <x v="0"/>
  </r>
  <r>
    <n v="38"/>
    <s v="No"/>
    <x v="2"/>
    <n v="1336"/>
    <x v="2"/>
    <n v="2"/>
    <n v="3"/>
    <s v="Human Resources"/>
    <n v="1"/>
    <n v="1805"/>
    <n v="1"/>
    <x v="1"/>
    <n v="100"/>
    <n v="3"/>
    <n v="1"/>
    <s v="Human Resources"/>
    <n v="2"/>
    <s v="Divorced"/>
    <n v="2592"/>
    <n v="7129"/>
    <n v="5"/>
    <s v="Y"/>
    <s v="No"/>
    <n v="13"/>
    <x v="0"/>
    <n v="4"/>
    <n v="80"/>
    <n v="3"/>
    <n v="13"/>
    <n v="3"/>
    <n v="3"/>
    <n v="11"/>
    <n v="10"/>
    <n v="3"/>
    <n v="8"/>
    <n v="0"/>
    <x v="0"/>
    <x v="0"/>
    <s v="0-5k"/>
    <x v="2"/>
    <x v="0"/>
    <x v="1"/>
  </r>
  <r>
    <n v="34"/>
    <s v="Yes"/>
    <x v="1"/>
    <n v="234"/>
    <x v="1"/>
    <n v="9"/>
    <n v="4"/>
    <s v="Life Sciences"/>
    <n v="1"/>
    <n v="1807"/>
    <n v="4"/>
    <x v="1"/>
    <n v="93"/>
    <n v="3"/>
    <n v="2"/>
    <s v="Laboratory Technician"/>
    <n v="1"/>
    <s v="Married"/>
    <n v="5346"/>
    <n v="6208"/>
    <n v="4"/>
    <s v="Y"/>
    <s v="No"/>
    <n v="17"/>
    <x v="0"/>
    <n v="3"/>
    <n v="80"/>
    <n v="1"/>
    <n v="11"/>
    <n v="3"/>
    <n v="2"/>
    <n v="7"/>
    <n v="1"/>
    <n v="0"/>
    <n v="7"/>
    <n v="1"/>
    <x v="0"/>
    <x v="0"/>
    <s v="5k-10k"/>
    <x v="0"/>
    <x v="0"/>
    <x v="3"/>
  </r>
  <r>
    <n v="37"/>
    <s v="Yes"/>
    <x v="0"/>
    <n v="370"/>
    <x v="1"/>
    <n v="10"/>
    <n v="4"/>
    <s v="Medical"/>
    <n v="1"/>
    <n v="1809"/>
    <n v="4"/>
    <x v="1"/>
    <n v="58"/>
    <n v="3"/>
    <n v="2"/>
    <s v="Manufacturing Director"/>
    <n v="1"/>
    <s v="Single"/>
    <n v="4213"/>
    <n v="4992"/>
    <n v="1"/>
    <s v="Y"/>
    <s v="No"/>
    <n v="15"/>
    <x v="0"/>
    <n v="2"/>
    <n v="80"/>
    <n v="0"/>
    <n v="10"/>
    <n v="4"/>
    <n v="1"/>
    <n v="10"/>
    <n v="3"/>
    <n v="0"/>
    <n v="8"/>
    <n v="1"/>
    <x v="0"/>
    <x v="0"/>
    <s v="0-5k"/>
    <x v="0"/>
    <x v="0"/>
    <x v="3"/>
  </r>
  <r>
    <n v="39"/>
    <s v="No"/>
    <x v="1"/>
    <n v="766"/>
    <x v="0"/>
    <n v="20"/>
    <n v="3"/>
    <s v="Life Sciences"/>
    <n v="1"/>
    <n v="1812"/>
    <n v="3"/>
    <x v="1"/>
    <n v="83"/>
    <n v="3"/>
    <n v="2"/>
    <s v="Sales Executive"/>
    <n v="4"/>
    <s v="Divorced"/>
    <n v="4127"/>
    <n v="19188"/>
    <n v="2"/>
    <s v="Y"/>
    <s v="No"/>
    <n v="18"/>
    <x v="0"/>
    <n v="4"/>
    <n v="80"/>
    <n v="1"/>
    <n v="7"/>
    <n v="6"/>
    <n v="3"/>
    <n v="2"/>
    <n v="1"/>
    <n v="2"/>
    <n v="2"/>
    <n v="0"/>
    <x v="0"/>
    <x v="2"/>
    <s v="0-5k"/>
    <x v="0"/>
    <x v="0"/>
    <x v="0"/>
  </r>
  <r>
    <n v="43"/>
    <s v="No"/>
    <x v="2"/>
    <n v="343"/>
    <x v="1"/>
    <n v="9"/>
    <n v="3"/>
    <s v="Life Sciences"/>
    <n v="1"/>
    <n v="1813"/>
    <n v="1"/>
    <x v="1"/>
    <n v="52"/>
    <n v="3"/>
    <n v="1"/>
    <s v="Research Scientist"/>
    <n v="3"/>
    <s v="Single"/>
    <n v="2438"/>
    <n v="24978"/>
    <n v="4"/>
    <s v="Y"/>
    <s v="No"/>
    <n v="13"/>
    <x v="0"/>
    <n v="3"/>
    <n v="80"/>
    <n v="0"/>
    <n v="7"/>
    <n v="2"/>
    <n v="2"/>
    <n v="3"/>
    <n v="2"/>
    <n v="1"/>
    <n v="2"/>
    <n v="0"/>
    <x v="0"/>
    <x v="0"/>
    <s v="0-5k"/>
    <x v="0"/>
    <x v="0"/>
    <x v="2"/>
  </r>
  <r>
    <n v="41"/>
    <s v="No"/>
    <x v="0"/>
    <n v="447"/>
    <x v="1"/>
    <n v="5"/>
    <n v="3"/>
    <s v="Life Sciences"/>
    <n v="1"/>
    <n v="1814"/>
    <n v="2"/>
    <x v="1"/>
    <n v="85"/>
    <n v="4"/>
    <n v="2"/>
    <s v="Healthcare Representative"/>
    <n v="2"/>
    <s v="Single"/>
    <n v="6870"/>
    <n v="15530"/>
    <n v="3"/>
    <s v="Y"/>
    <s v="No"/>
    <n v="12"/>
    <x v="0"/>
    <n v="1"/>
    <n v="80"/>
    <n v="0"/>
    <n v="11"/>
    <n v="3"/>
    <n v="1"/>
    <n v="3"/>
    <n v="2"/>
    <n v="1"/>
    <n v="2"/>
    <n v="0"/>
    <x v="0"/>
    <x v="0"/>
    <s v="5k-10k"/>
    <x v="0"/>
    <x v="0"/>
    <x v="1"/>
  </r>
  <r>
    <n v="41"/>
    <s v="No"/>
    <x v="0"/>
    <n v="796"/>
    <x v="0"/>
    <n v="4"/>
    <n v="1"/>
    <s v="Marketing"/>
    <n v="1"/>
    <n v="1815"/>
    <n v="3"/>
    <x v="0"/>
    <n v="81"/>
    <n v="3"/>
    <n v="3"/>
    <s v="Sales Executive"/>
    <n v="3"/>
    <s v="Divorced"/>
    <n v="10447"/>
    <n v="26458"/>
    <n v="0"/>
    <s v="Y"/>
    <s v="Yes"/>
    <n v="13"/>
    <x v="0"/>
    <n v="4"/>
    <n v="80"/>
    <n v="1"/>
    <n v="23"/>
    <n v="3"/>
    <n v="4"/>
    <n v="22"/>
    <n v="14"/>
    <n v="13"/>
    <n v="5"/>
    <n v="0"/>
    <x v="0"/>
    <x v="0"/>
    <s v="10k-15k"/>
    <x v="1"/>
    <x v="0"/>
    <x v="2"/>
  </r>
  <r>
    <n v="30"/>
    <s v="No"/>
    <x v="0"/>
    <n v="1092"/>
    <x v="1"/>
    <n v="10"/>
    <n v="3"/>
    <s v="Medical"/>
    <n v="1"/>
    <n v="1816"/>
    <n v="1"/>
    <x v="0"/>
    <n v="64"/>
    <n v="3"/>
    <n v="3"/>
    <s v="Manufacturing Director"/>
    <n v="3"/>
    <s v="Single"/>
    <n v="9667"/>
    <n v="2739"/>
    <n v="9"/>
    <s v="Y"/>
    <s v="No"/>
    <n v="14"/>
    <x v="0"/>
    <n v="2"/>
    <n v="80"/>
    <n v="0"/>
    <n v="9"/>
    <n v="3"/>
    <n v="3"/>
    <n v="7"/>
    <n v="7"/>
    <n v="0"/>
    <n v="2"/>
    <n v="0"/>
    <x v="2"/>
    <x v="0"/>
    <s v="5k-10k"/>
    <x v="0"/>
    <x v="0"/>
    <x v="2"/>
  </r>
  <r>
    <n v="26"/>
    <s v="Yes"/>
    <x v="0"/>
    <n v="920"/>
    <x v="2"/>
    <n v="20"/>
    <n v="2"/>
    <s v="Medical"/>
    <n v="1"/>
    <n v="1818"/>
    <n v="4"/>
    <x v="0"/>
    <n v="69"/>
    <n v="3"/>
    <n v="1"/>
    <s v="Human Resources"/>
    <n v="2"/>
    <s v="Married"/>
    <n v="2148"/>
    <n v="6889"/>
    <n v="0"/>
    <s v="Y"/>
    <s v="Yes"/>
    <n v="11"/>
    <x v="0"/>
    <n v="3"/>
    <n v="80"/>
    <n v="0"/>
    <n v="6"/>
    <n v="3"/>
    <n v="3"/>
    <n v="5"/>
    <n v="1"/>
    <n v="1"/>
    <n v="4"/>
    <n v="1"/>
    <x v="2"/>
    <x v="2"/>
    <s v="0-5k"/>
    <x v="0"/>
    <x v="0"/>
    <x v="1"/>
  </r>
  <r>
    <n v="46"/>
    <s v="Yes"/>
    <x v="0"/>
    <n v="261"/>
    <x v="1"/>
    <n v="21"/>
    <n v="2"/>
    <s v="Medical"/>
    <n v="1"/>
    <n v="1821"/>
    <n v="4"/>
    <x v="0"/>
    <n v="66"/>
    <n v="3"/>
    <n v="2"/>
    <s v="Healthcare Representative"/>
    <n v="2"/>
    <s v="Married"/>
    <n v="8926"/>
    <n v="10842"/>
    <n v="4"/>
    <s v="Y"/>
    <s v="No"/>
    <n v="22"/>
    <x v="1"/>
    <n v="4"/>
    <n v="80"/>
    <n v="1"/>
    <n v="13"/>
    <n v="2"/>
    <n v="4"/>
    <n v="9"/>
    <n v="7"/>
    <n v="3"/>
    <n v="7"/>
    <n v="1"/>
    <x v="1"/>
    <x v="1"/>
    <s v="5k-10k"/>
    <x v="0"/>
    <x v="1"/>
    <x v="1"/>
  </r>
  <r>
    <n v="40"/>
    <s v="No"/>
    <x v="0"/>
    <n v="1194"/>
    <x v="1"/>
    <n v="1"/>
    <n v="3"/>
    <s v="Life Sciences"/>
    <n v="1"/>
    <n v="1822"/>
    <n v="3"/>
    <x v="0"/>
    <n v="52"/>
    <n v="3"/>
    <n v="2"/>
    <s v="Healthcare Representative"/>
    <n v="4"/>
    <s v="Divorced"/>
    <n v="6513"/>
    <n v="9060"/>
    <n v="4"/>
    <s v="Y"/>
    <s v="No"/>
    <n v="17"/>
    <x v="0"/>
    <n v="4"/>
    <n v="80"/>
    <n v="1"/>
    <n v="12"/>
    <n v="3"/>
    <n v="3"/>
    <n v="5"/>
    <n v="3"/>
    <n v="0"/>
    <n v="3"/>
    <n v="0"/>
    <x v="0"/>
    <x v="0"/>
    <s v="5k-10k"/>
    <x v="0"/>
    <x v="0"/>
    <x v="0"/>
  </r>
  <r>
    <n v="34"/>
    <s v="No"/>
    <x v="0"/>
    <n v="810"/>
    <x v="0"/>
    <n v="8"/>
    <n v="2"/>
    <s v="Technical Degree"/>
    <n v="1"/>
    <n v="1823"/>
    <n v="2"/>
    <x v="1"/>
    <n v="92"/>
    <n v="4"/>
    <n v="2"/>
    <s v="Sales Executive"/>
    <n v="3"/>
    <s v="Married"/>
    <n v="6799"/>
    <n v="22128"/>
    <n v="1"/>
    <s v="Y"/>
    <s v="No"/>
    <n v="21"/>
    <x v="1"/>
    <n v="3"/>
    <n v="80"/>
    <n v="2"/>
    <n v="10"/>
    <n v="5"/>
    <n v="3"/>
    <n v="10"/>
    <n v="8"/>
    <n v="4"/>
    <n v="8"/>
    <n v="0"/>
    <x v="0"/>
    <x v="0"/>
    <s v="5k-10k"/>
    <x v="0"/>
    <x v="1"/>
    <x v="2"/>
  </r>
  <r>
    <n v="58"/>
    <s v="No"/>
    <x v="2"/>
    <n v="350"/>
    <x v="0"/>
    <n v="2"/>
    <n v="3"/>
    <s v="Medical"/>
    <n v="1"/>
    <n v="1824"/>
    <n v="2"/>
    <x v="1"/>
    <n v="52"/>
    <n v="3"/>
    <n v="4"/>
    <s v="Manager"/>
    <n v="2"/>
    <s v="Divorced"/>
    <n v="16291"/>
    <n v="22577"/>
    <n v="4"/>
    <s v="Y"/>
    <s v="No"/>
    <n v="22"/>
    <x v="1"/>
    <n v="4"/>
    <n v="80"/>
    <n v="1"/>
    <n v="37"/>
    <n v="0"/>
    <n v="2"/>
    <n v="16"/>
    <n v="9"/>
    <n v="14"/>
    <n v="14"/>
    <n v="0"/>
    <x v="1"/>
    <x v="0"/>
    <s v="15k+"/>
    <x v="2"/>
    <x v="1"/>
    <x v="1"/>
  </r>
  <r>
    <n v="35"/>
    <s v="No"/>
    <x v="0"/>
    <n v="185"/>
    <x v="1"/>
    <n v="23"/>
    <n v="4"/>
    <s v="Medical"/>
    <n v="1"/>
    <n v="1826"/>
    <n v="2"/>
    <x v="1"/>
    <n v="91"/>
    <n v="1"/>
    <n v="1"/>
    <s v="Laboratory Technician"/>
    <n v="3"/>
    <s v="Married"/>
    <n v="2705"/>
    <n v="9696"/>
    <n v="0"/>
    <s v="Y"/>
    <s v="No"/>
    <n v="16"/>
    <x v="0"/>
    <n v="2"/>
    <n v="80"/>
    <n v="1"/>
    <n v="6"/>
    <n v="2"/>
    <n v="4"/>
    <n v="5"/>
    <n v="4"/>
    <n v="0"/>
    <n v="3"/>
    <n v="0"/>
    <x v="0"/>
    <x v="1"/>
    <s v="0-5k"/>
    <x v="0"/>
    <x v="0"/>
    <x v="2"/>
  </r>
  <r>
    <n v="47"/>
    <s v="No"/>
    <x v="0"/>
    <n v="1001"/>
    <x v="1"/>
    <n v="4"/>
    <n v="3"/>
    <s v="Life Sciences"/>
    <n v="1"/>
    <n v="1827"/>
    <n v="3"/>
    <x v="0"/>
    <n v="92"/>
    <n v="2"/>
    <n v="3"/>
    <s v="Manufacturing Director"/>
    <n v="2"/>
    <s v="Divorced"/>
    <n v="10333"/>
    <n v="19271"/>
    <n v="8"/>
    <s v="Y"/>
    <s v="Yes"/>
    <n v="12"/>
    <x v="0"/>
    <n v="3"/>
    <n v="80"/>
    <n v="1"/>
    <n v="28"/>
    <n v="4"/>
    <n v="3"/>
    <n v="22"/>
    <n v="11"/>
    <n v="14"/>
    <n v="10"/>
    <n v="0"/>
    <x v="1"/>
    <x v="0"/>
    <s v="10k-15k"/>
    <x v="1"/>
    <x v="0"/>
    <x v="1"/>
  </r>
  <r>
    <n v="40"/>
    <s v="No"/>
    <x v="0"/>
    <n v="750"/>
    <x v="1"/>
    <n v="12"/>
    <n v="3"/>
    <s v="Life Sciences"/>
    <n v="1"/>
    <n v="1829"/>
    <n v="2"/>
    <x v="0"/>
    <n v="47"/>
    <n v="3"/>
    <n v="2"/>
    <s v="Healthcare Representative"/>
    <n v="1"/>
    <s v="Divorced"/>
    <n v="4448"/>
    <n v="10748"/>
    <n v="2"/>
    <s v="Y"/>
    <s v="No"/>
    <n v="12"/>
    <x v="0"/>
    <n v="2"/>
    <n v="80"/>
    <n v="1"/>
    <n v="15"/>
    <n v="3"/>
    <n v="3"/>
    <n v="7"/>
    <n v="4"/>
    <n v="7"/>
    <n v="7"/>
    <n v="0"/>
    <x v="0"/>
    <x v="2"/>
    <s v="0-5k"/>
    <x v="0"/>
    <x v="0"/>
    <x v="3"/>
  </r>
  <r>
    <n v="54"/>
    <s v="No"/>
    <x v="0"/>
    <n v="431"/>
    <x v="1"/>
    <n v="7"/>
    <n v="4"/>
    <s v="Medical"/>
    <n v="1"/>
    <n v="1830"/>
    <n v="4"/>
    <x v="0"/>
    <n v="68"/>
    <n v="3"/>
    <n v="2"/>
    <s v="Research Scientist"/>
    <n v="4"/>
    <s v="Married"/>
    <n v="6854"/>
    <n v="15696"/>
    <n v="4"/>
    <s v="Y"/>
    <s v="No"/>
    <n v="15"/>
    <x v="0"/>
    <n v="2"/>
    <n v="80"/>
    <n v="1"/>
    <n v="14"/>
    <n v="2"/>
    <n v="2"/>
    <n v="7"/>
    <n v="1"/>
    <n v="1"/>
    <n v="7"/>
    <n v="0"/>
    <x v="1"/>
    <x v="0"/>
    <s v="5k-10k"/>
    <x v="0"/>
    <x v="0"/>
    <x v="0"/>
  </r>
  <r>
    <n v="31"/>
    <s v="No"/>
    <x v="1"/>
    <n v="1125"/>
    <x v="0"/>
    <n v="7"/>
    <n v="4"/>
    <s v="Marketing"/>
    <n v="1"/>
    <n v="1833"/>
    <n v="1"/>
    <x v="0"/>
    <n v="68"/>
    <n v="3"/>
    <n v="3"/>
    <s v="Sales Executive"/>
    <n v="1"/>
    <s v="Married"/>
    <n v="9637"/>
    <n v="8277"/>
    <n v="2"/>
    <s v="Y"/>
    <s v="No"/>
    <n v="14"/>
    <x v="0"/>
    <n v="4"/>
    <n v="80"/>
    <n v="2"/>
    <n v="9"/>
    <n v="3"/>
    <n v="3"/>
    <n v="3"/>
    <n v="2"/>
    <n v="2"/>
    <n v="2"/>
    <n v="0"/>
    <x v="0"/>
    <x v="0"/>
    <s v="5k-10k"/>
    <x v="0"/>
    <x v="0"/>
    <x v="3"/>
  </r>
  <r>
    <n v="28"/>
    <s v="No"/>
    <x v="0"/>
    <n v="1217"/>
    <x v="1"/>
    <n v="1"/>
    <n v="3"/>
    <s v="Medical"/>
    <n v="1"/>
    <n v="1834"/>
    <n v="3"/>
    <x v="0"/>
    <n v="67"/>
    <n v="3"/>
    <n v="1"/>
    <s v="Research Scientist"/>
    <n v="1"/>
    <s v="Married"/>
    <n v="3591"/>
    <n v="12719"/>
    <n v="1"/>
    <s v="Y"/>
    <s v="No"/>
    <n v="25"/>
    <x v="1"/>
    <n v="3"/>
    <n v="80"/>
    <n v="1"/>
    <n v="3"/>
    <n v="3"/>
    <n v="3"/>
    <n v="3"/>
    <n v="2"/>
    <n v="1"/>
    <n v="2"/>
    <n v="0"/>
    <x v="2"/>
    <x v="0"/>
    <s v="0-5k"/>
    <x v="0"/>
    <x v="1"/>
    <x v="3"/>
  </r>
  <r>
    <n v="38"/>
    <s v="No"/>
    <x v="0"/>
    <n v="723"/>
    <x v="0"/>
    <n v="2"/>
    <n v="4"/>
    <s v="Marketing"/>
    <n v="1"/>
    <n v="1835"/>
    <n v="2"/>
    <x v="0"/>
    <n v="77"/>
    <n v="1"/>
    <n v="2"/>
    <s v="Sales Representative"/>
    <n v="4"/>
    <s v="Married"/>
    <n v="5405"/>
    <n v="4244"/>
    <n v="2"/>
    <s v="Y"/>
    <s v="Yes"/>
    <n v="20"/>
    <x v="1"/>
    <n v="1"/>
    <n v="80"/>
    <n v="2"/>
    <n v="20"/>
    <n v="4"/>
    <n v="2"/>
    <n v="4"/>
    <n v="2"/>
    <n v="0"/>
    <n v="3"/>
    <n v="0"/>
    <x v="0"/>
    <x v="0"/>
    <s v="5k-10k"/>
    <x v="0"/>
    <x v="1"/>
    <x v="0"/>
  </r>
  <r>
    <n v="26"/>
    <s v="No"/>
    <x v="0"/>
    <n v="572"/>
    <x v="0"/>
    <n v="10"/>
    <n v="3"/>
    <s v="Medical"/>
    <n v="1"/>
    <n v="1836"/>
    <n v="3"/>
    <x v="1"/>
    <n v="46"/>
    <n v="3"/>
    <n v="2"/>
    <s v="Sales Executive"/>
    <n v="4"/>
    <s v="Single"/>
    <n v="4684"/>
    <n v="9125"/>
    <n v="1"/>
    <s v="Y"/>
    <s v="No"/>
    <n v="13"/>
    <x v="0"/>
    <n v="1"/>
    <n v="80"/>
    <n v="0"/>
    <n v="5"/>
    <n v="4"/>
    <n v="3"/>
    <n v="5"/>
    <n v="3"/>
    <n v="1"/>
    <n v="2"/>
    <n v="0"/>
    <x v="2"/>
    <x v="0"/>
    <s v="0-5k"/>
    <x v="0"/>
    <x v="0"/>
    <x v="0"/>
  </r>
  <r>
    <n v="58"/>
    <s v="No"/>
    <x v="1"/>
    <n v="1216"/>
    <x v="1"/>
    <n v="15"/>
    <n v="4"/>
    <s v="Life Sciences"/>
    <n v="1"/>
    <n v="1837"/>
    <n v="1"/>
    <x v="1"/>
    <n v="87"/>
    <n v="3"/>
    <n v="4"/>
    <s v="Research Director"/>
    <n v="3"/>
    <s v="Married"/>
    <n v="15787"/>
    <n v="21624"/>
    <n v="2"/>
    <s v="Y"/>
    <s v="Yes"/>
    <n v="14"/>
    <x v="0"/>
    <n v="2"/>
    <n v="80"/>
    <n v="0"/>
    <n v="23"/>
    <n v="3"/>
    <n v="3"/>
    <n v="2"/>
    <n v="2"/>
    <n v="2"/>
    <n v="2"/>
    <n v="0"/>
    <x v="1"/>
    <x v="2"/>
    <s v="15k+"/>
    <x v="0"/>
    <x v="0"/>
    <x v="2"/>
  </r>
  <r>
    <n v="18"/>
    <s v="No"/>
    <x v="2"/>
    <n v="1431"/>
    <x v="1"/>
    <n v="14"/>
    <n v="3"/>
    <s v="Medical"/>
    <n v="1"/>
    <n v="1839"/>
    <n v="2"/>
    <x v="0"/>
    <n v="33"/>
    <n v="3"/>
    <n v="1"/>
    <s v="Research Scientist"/>
    <n v="3"/>
    <s v="Single"/>
    <n v="1514"/>
    <n v="8018"/>
    <n v="1"/>
    <s v="Y"/>
    <s v="No"/>
    <n v="16"/>
    <x v="0"/>
    <n v="3"/>
    <n v="80"/>
    <n v="0"/>
    <n v="0"/>
    <n v="4"/>
    <n v="1"/>
    <n v="0"/>
    <n v="0"/>
    <n v="0"/>
    <n v="0"/>
    <n v="0"/>
    <x v="2"/>
    <x v="2"/>
    <s v="0-5k"/>
    <x v="0"/>
    <x v="0"/>
    <x v="2"/>
  </r>
  <r>
    <n v="31"/>
    <s v="Yes"/>
    <x v="0"/>
    <n v="359"/>
    <x v="2"/>
    <n v="18"/>
    <n v="5"/>
    <s v="Human Resources"/>
    <n v="1"/>
    <n v="1842"/>
    <n v="4"/>
    <x v="1"/>
    <n v="89"/>
    <n v="4"/>
    <n v="1"/>
    <s v="Human Resources"/>
    <n v="1"/>
    <s v="Married"/>
    <n v="2956"/>
    <n v="21495"/>
    <n v="0"/>
    <s v="Y"/>
    <s v="No"/>
    <n v="17"/>
    <x v="0"/>
    <n v="3"/>
    <n v="80"/>
    <n v="0"/>
    <n v="2"/>
    <n v="4"/>
    <n v="3"/>
    <n v="1"/>
    <n v="0"/>
    <n v="0"/>
    <n v="0"/>
    <n v="1"/>
    <x v="0"/>
    <x v="2"/>
    <s v="0-5k"/>
    <x v="0"/>
    <x v="0"/>
    <x v="3"/>
  </r>
  <r>
    <n v="29"/>
    <s v="Yes"/>
    <x v="0"/>
    <n v="350"/>
    <x v="2"/>
    <n v="13"/>
    <n v="3"/>
    <s v="Human Resources"/>
    <n v="1"/>
    <n v="1844"/>
    <n v="1"/>
    <x v="1"/>
    <n v="56"/>
    <n v="2"/>
    <n v="1"/>
    <s v="Human Resources"/>
    <n v="1"/>
    <s v="Divorced"/>
    <n v="2335"/>
    <n v="3157"/>
    <n v="4"/>
    <s v="Y"/>
    <s v="Yes"/>
    <n v="15"/>
    <x v="0"/>
    <n v="4"/>
    <n v="80"/>
    <n v="3"/>
    <n v="4"/>
    <n v="3"/>
    <n v="3"/>
    <n v="2"/>
    <n v="2"/>
    <n v="2"/>
    <n v="0"/>
    <n v="1"/>
    <x v="2"/>
    <x v="2"/>
    <s v="0-5k"/>
    <x v="0"/>
    <x v="0"/>
    <x v="3"/>
  </r>
  <r>
    <n v="45"/>
    <s v="No"/>
    <x v="2"/>
    <n v="589"/>
    <x v="0"/>
    <n v="2"/>
    <n v="4"/>
    <s v="Life Sciences"/>
    <n v="1"/>
    <n v="1845"/>
    <n v="3"/>
    <x v="0"/>
    <n v="67"/>
    <n v="3"/>
    <n v="2"/>
    <s v="Sales Executive"/>
    <n v="3"/>
    <s v="Married"/>
    <n v="5154"/>
    <n v="19665"/>
    <n v="4"/>
    <s v="Y"/>
    <s v="No"/>
    <n v="22"/>
    <x v="1"/>
    <n v="2"/>
    <n v="80"/>
    <n v="2"/>
    <n v="10"/>
    <n v="3"/>
    <n v="4"/>
    <n v="8"/>
    <n v="7"/>
    <n v="5"/>
    <n v="7"/>
    <n v="0"/>
    <x v="0"/>
    <x v="0"/>
    <s v="5k-10k"/>
    <x v="0"/>
    <x v="1"/>
    <x v="2"/>
  </r>
  <r>
    <n v="36"/>
    <s v="No"/>
    <x v="0"/>
    <n v="430"/>
    <x v="1"/>
    <n v="2"/>
    <n v="4"/>
    <s v="Other"/>
    <n v="1"/>
    <n v="1847"/>
    <n v="4"/>
    <x v="0"/>
    <n v="73"/>
    <n v="3"/>
    <n v="2"/>
    <s v="Research Scientist"/>
    <n v="2"/>
    <s v="Married"/>
    <n v="6962"/>
    <n v="19573"/>
    <n v="4"/>
    <s v="Y"/>
    <s v="Yes"/>
    <n v="22"/>
    <x v="1"/>
    <n v="4"/>
    <n v="80"/>
    <n v="1"/>
    <n v="15"/>
    <n v="2"/>
    <n v="3"/>
    <n v="1"/>
    <n v="0"/>
    <n v="0"/>
    <n v="0"/>
    <n v="0"/>
    <x v="0"/>
    <x v="0"/>
    <s v="5k-10k"/>
    <x v="0"/>
    <x v="1"/>
    <x v="1"/>
  </r>
  <r>
    <n v="43"/>
    <s v="No"/>
    <x v="1"/>
    <n v="1422"/>
    <x v="0"/>
    <n v="2"/>
    <n v="4"/>
    <s v="Life Sciences"/>
    <n v="1"/>
    <n v="1849"/>
    <n v="1"/>
    <x v="1"/>
    <n v="92"/>
    <n v="3"/>
    <n v="2"/>
    <s v="Sales Executive"/>
    <n v="4"/>
    <s v="Married"/>
    <n v="5675"/>
    <n v="19246"/>
    <n v="1"/>
    <s v="Y"/>
    <s v="No"/>
    <n v="20"/>
    <x v="1"/>
    <n v="3"/>
    <n v="80"/>
    <n v="1"/>
    <n v="7"/>
    <n v="5"/>
    <n v="3"/>
    <n v="7"/>
    <n v="7"/>
    <n v="7"/>
    <n v="7"/>
    <n v="0"/>
    <x v="0"/>
    <x v="0"/>
    <s v="5k-10k"/>
    <x v="0"/>
    <x v="1"/>
    <x v="0"/>
  </r>
  <r>
    <n v="27"/>
    <s v="No"/>
    <x v="1"/>
    <n v="1297"/>
    <x v="1"/>
    <n v="5"/>
    <n v="2"/>
    <s v="Life Sciences"/>
    <n v="1"/>
    <n v="1850"/>
    <n v="4"/>
    <x v="0"/>
    <n v="53"/>
    <n v="3"/>
    <n v="1"/>
    <s v="Laboratory Technician"/>
    <n v="4"/>
    <s v="Single"/>
    <n v="2379"/>
    <n v="19826"/>
    <n v="0"/>
    <s v="Y"/>
    <s v="Yes"/>
    <n v="14"/>
    <x v="0"/>
    <n v="3"/>
    <n v="80"/>
    <n v="0"/>
    <n v="6"/>
    <n v="3"/>
    <n v="2"/>
    <n v="5"/>
    <n v="4"/>
    <n v="0"/>
    <n v="2"/>
    <n v="0"/>
    <x v="2"/>
    <x v="0"/>
    <s v="0-5k"/>
    <x v="0"/>
    <x v="0"/>
    <x v="0"/>
  </r>
  <r>
    <n v="29"/>
    <s v="No"/>
    <x v="1"/>
    <n v="574"/>
    <x v="1"/>
    <n v="20"/>
    <n v="1"/>
    <s v="Medical"/>
    <n v="1"/>
    <n v="1852"/>
    <n v="4"/>
    <x v="1"/>
    <n v="40"/>
    <n v="3"/>
    <n v="1"/>
    <s v="Laboratory Technician"/>
    <n v="4"/>
    <s v="Married"/>
    <n v="3812"/>
    <n v="7003"/>
    <n v="1"/>
    <s v="Y"/>
    <s v="No"/>
    <n v="13"/>
    <x v="0"/>
    <n v="2"/>
    <n v="80"/>
    <n v="0"/>
    <n v="11"/>
    <n v="3"/>
    <n v="4"/>
    <n v="11"/>
    <n v="8"/>
    <n v="3"/>
    <n v="10"/>
    <n v="0"/>
    <x v="2"/>
    <x v="2"/>
    <s v="0-5k"/>
    <x v="2"/>
    <x v="0"/>
    <x v="0"/>
  </r>
  <r>
    <n v="32"/>
    <s v="No"/>
    <x v="1"/>
    <n v="1318"/>
    <x v="0"/>
    <n v="10"/>
    <n v="4"/>
    <s v="Marketing"/>
    <n v="1"/>
    <n v="1853"/>
    <n v="4"/>
    <x v="1"/>
    <n v="79"/>
    <n v="3"/>
    <n v="2"/>
    <s v="Sales Executive"/>
    <n v="4"/>
    <s v="Single"/>
    <n v="4648"/>
    <n v="26075"/>
    <n v="8"/>
    <s v="Y"/>
    <s v="No"/>
    <n v="13"/>
    <x v="0"/>
    <n v="3"/>
    <n v="80"/>
    <n v="0"/>
    <n v="4"/>
    <n v="2"/>
    <n v="4"/>
    <n v="0"/>
    <n v="0"/>
    <n v="0"/>
    <n v="0"/>
    <n v="0"/>
    <x v="0"/>
    <x v="0"/>
    <s v="0-5k"/>
    <x v="0"/>
    <x v="0"/>
    <x v="0"/>
  </r>
  <r>
    <n v="42"/>
    <s v="No"/>
    <x v="2"/>
    <n v="355"/>
    <x v="1"/>
    <n v="10"/>
    <n v="4"/>
    <s v="Technical Degree"/>
    <n v="1"/>
    <n v="1854"/>
    <n v="3"/>
    <x v="1"/>
    <n v="38"/>
    <n v="3"/>
    <n v="1"/>
    <s v="Research Scientist"/>
    <n v="3"/>
    <s v="Married"/>
    <n v="2936"/>
    <n v="6161"/>
    <n v="3"/>
    <s v="Y"/>
    <s v="No"/>
    <n v="22"/>
    <x v="1"/>
    <n v="2"/>
    <n v="80"/>
    <n v="2"/>
    <n v="10"/>
    <n v="1"/>
    <n v="2"/>
    <n v="6"/>
    <n v="3"/>
    <n v="3"/>
    <n v="3"/>
    <n v="0"/>
    <x v="0"/>
    <x v="0"/>
    <s v="0-5k"/>
    <x v="0"/>
    <x v="1"/>
    <x v="2"/>
  </r>
  <r>
    <n v="47"/>
    <s v="No"/>
    <x v="0"/>
    <n v="207"/>
    <x v="1"/>
    <n v="9"/>
    <n v="4"/>
    <s v="Life Sciences"/>
    <n v="1"/>
    <n v="1856"/>
    <n v="2"/>
    <x v="0"/>
    <n v="64"/>
    <n v="3"/>
    <n v="1"/>
    <s v="Laboratory Technician"/>
    <n v="3"/>
    <s v="Single"/>
    <n v="2105"/>
    <n v="5411"/>
    <n v="4"/>
    <s v="Y"/>
    <s v="No"/>
    <n v="12"/>
    <x v="0"/>
    <n v="3"/>
    <n v="80"/>
    <n v="0"/>
    <n v="7"/>
    <n v="2"/>
    <n v="3"/>
    <n v="2"/>
    <n v="2"/>
    <n v="2"/>
    <n v="0"/>
    <n v="0"/>
    <x v="1"/>
    <x v="0"/>
    <s v="0-5k"/>
    <x v="0"/>
    <x v="0"/>
    <x v="2"/>
  </r>
  <r>
    <n v="46"/>
    <s v="No"/>
    <x v="0"/>
    <n v="706"/>
    <x v="1"/>
    <n v="2"/>
    <n v="2"/>
    <s v="Life Sciences"/>
    <n v="1"/>
    <n v="1857"/>
    <n v="4"/>
    <x v="1"/>
    <n v="82"/>
    <n v="3"/>
    <n v="3"/>
    <s v="Manufacturing Director"/>
    <n v="4"/>
    <s v="Divorced"/>
    <n v="8578"/>
    <n v="19989"/>
    <n v="3"/>
    <s v="Y"/>
    <s v="No"/>
    <n v="14"/>
    <x v="0"/>
    <n v="3"/>
    <n v="80"/>
    <n v="1"/>
    <n v="12"/>
    <n v="4"/>
    <n v="2"/>
    <n v="9"/>
    <n v="8"/>
    <n v="4"/>
    <n v="7"/>
    <n v="0"/>
    <x v="1"/>
    <x v="0"/>
    <s v="5k-10k"/>
    <x v="0"/>
    <x v="0"/>
    <x v="0"/>
  </r>
  <r>
    <n v="28"/>
    <s v="No"/>
    <x v="2"/>
    <n v="280"/>
    <x v="2"/>
    <n v="1"/>
    <n v="2"/>
    <s v="Life Sciences"/>
    <n v="1"/>
    <n v="1858"/>
    <n v="3"/>
    <x v="1"/>
    <n v="43"/>
    <n v="3"/>
    <n v="1"/>
    <s v="Human Resources"/>
    <n v="4"/>
    <s v="Divorced"/>
    <n v="2706"/>
    <n v="10494"/>
    <n v="1"/>
    <s v="Y"/>
    <s v="No"/>
    <n v="15"/>
    <x v="0"/>
    <n v="2"/>
    <n v="80"/>
    <n v="1"/>
    <n v="3"/>
    <n v="2"/>
    <n v="3"/>
    <n v="3"/>
    <n v="2"/>
    <n v="2"/>
    <n v="2"/>
    <n v="0"/>
    <x v="2"/>
    <x v="0"/>
    <s v="0-5k"/>
    <x v="0"/>
    <x v="0"/>
    <x v="0"/>
  </r>
  <r>
    <n v="29"/>
    <s v="No"/>
    <x v="0"/>
    <n v="726"/>
    <x v="1"/>
    <n v="29"/>
    <n v="1"/>
    <s v="Life Sciences"/>
    <n v="1"/>
    <n v="1859"/>
    <n v="4"/>
    <x v="1"/>
    <n v="93"/>
    <n v="1"/>
    <n v="2"/>
    <s v="Healthcare Representative"/>
    <n v="3"/>
    <s v="Divorced"/>
    <n v="6384"/>
    <n v="21143"/>
    <n v="8"/>
    <s v="Y"/>
    <s v="No"/>
    <n v="17"/>
    <x v="0"/>
    <n v="4"/>
    <n v="80"/>
    <n v="2"/>
    <n v="11"/>
    <n v="3"/>
    <n v="3"/>
    <n v="7"/>
    <n v="0"/>
    <n v="1"/>
    <n v="6"/>
    <n v="0"/>
    <x v="2"/>
    <x v="1"/>
    <s v="5k-10k"/>
    <x v="0"/>
    <x v="0"/>
    <x v="2"/>
  </r>
  <r>
    <n v="42"/>
    <s v="No"/>
    <x v="0"/>
    <n v="1142"/>
    <x v="1"/>
    <n v="8"/>
    <n v="3"/>
    <s v="Life Sciences"/>
    <n v="1"/>
    <n v="1860"/>
    <n v="4"/>
    <x v="1"/>
    <n v="81"/>
    <n v="3"/>
    <n v="1"/>
    <s v="Laboratory Technician"/>
    <n v="3"/>
    <s v="Single"/>
    <n v="3968"/>
    <n v="13624"/>
    <n v="4"/>
    <s v="Y"/>
    <s v="No"/>
    <n v="13"/>
    <x v="0"/>
    <n v="4"/>
    <n v="80"/>
    <n v="0"/>
    <n v="8"/>
    <n v="3"/>
    <n v="3"/>
    <n v="0"/>
    <n v="0"/>
    <n v="0"/>
    <n v="0"/>
    <n v="0"/>
    <x v="0"/>
    <x v="0"/>
    <s v="0-5k"/>
    <x v="0"/>
    <x v="0"/>
    <x v="2"/>
  </r>
  <r>
    <n v="32"/>
    <s v="Yes"/>
    <x v="0"/>
    <n v="414"/>
    <x v="0"/>
    <n v="2"/>
    <n v="4"/>
    <s v="Marketing"/>
    <n v="1"/>
    <n v="1862"/>
    <n v="3"/>
    <x v="1"/>
    <n v="82"/>
    <n v="2"/>
    <n v="2"/>
    <s v="Sales Executive"/>
    <n v="2"/>
    <s v="Single"/>
    <n v="9907"/>
    <n v="26186"/>
    <n v="7"/>
    <s v="Y"/>
    <s v="Yes"/>
    <n v="12"/>
    <x v="0"/>
    <n v="3"/>
    <n v="80"/>
    <n v="0"/>
    <n v="7"/>
    <n v="3"/>
    <n v="2"/>
    <n v="2"/>
    <n v="2"/>
    <n v="2"/>
    <n v="2"/>
    <n v="1"/>
    <x v="0"/>
    <x v="0"/>
    <s v="5k-10k"/>
    <x v="0"/>
    <x v="0"/>
    <x v="1"/>
  </r>
  <r>
    <n v="46"/>
    <s v="No"/>
    <x v="0"/>
    <n v="1319"/>
    <x v="0"/>
    <n v="3"/>
    <n v="3"/>
    <s v="Technical Degree"/>
    <n v="1"/>
    <n v="1863"/>
    <n v="1"/>
    <x v="0"/>
    <n v="45"/>
    <n v="4"/>
    <n v="4"/>
    <s v="Sales Executive"/>
    <n v="1"/>
    <s v="Divorced"/>
    <n v="13225"/>
    <n v="7739"/>
    <n v="2"/>
    <s v="Y"/>
    <s v="No"/>
    <n v="12"/>
    <x v="0"/>
    <n v="4"/>
    <n v="80"/>
    <n v="1"/>
    <n v="25"/>
    <n v="5"/>
    <n v="3"/>
    <n v="19"/>
    <n v="17"/>
    <n v="2"/>
    <n v="8"/>
    <n v="0"/>
    <x v="1"/>
    <x v="0"/>
    <s v="10k-15k"/>
    <x v="2"/>
    <x v="0"/>
    <x v="3"/>
  </r>
  <r>
    <n v="27"/>
    <s v="No"/>
    <x v="0"/>
    <n v="728"/>
    <x v="0"/>
    <n v="23"/>
    <n v="1"/>
    <s v="Medical"/>
    <n v="1"/>
    <n v="1864"/>
    <n v="2"/>
    <x v="0"/>
    <n v="36"/>
    <n v="2"/>
    <n v="2"/>
    <s v="Sales Representative"/>
    <n v="3"/>
    <s v="Married"/>
    <n v="3540"/>
    <n v="7018"/>
    <n v="1"/>
    <s v="Y"/>
    <s v="No"/>
    <n v="21"/>
    <x v="1"/>
    <n v="4"/>
    <n v="80"/>
    <n v="1"/>
    <n v="9"/>
    <n v="5"/>
    <n v="3"/>
    <n v="9"/>
    <n v="8"/>
    <n v="5"/>
    <n v="8"/>
    <n v="0"/>
    <x v="2"/>
    <x v="1"/>
    <s v="0-5k"/>
    <x v="0"/>
    <x v="1"/>
    <x v="2"/>
  </r>
  <r>
    <n v="29"/>
    <s v="No"/>
    <x v="0"/>
    <n v="352"/>
    <x v="2"/>
    <n v="6"/>
    <n v="1"/>
    <s v="Medical"/>
    <n v="1"/>
    <n v="1865"/>
    <n v="4"/>
    <x v="1"/>
    <n v="87"/>
    <n v="2"/>
    <n v="1"/>
    <s v="Human Resources"/>
    <n v="2"/>
    <s v="Married"/>
    <n v="2804"/>
    <n v="15434"/>
    <n v="1"/>
    <s v="Y"/>
    <s v="No"/>
    <n v="11"/>
    <x v="0"/>
    <n v="4"/>
    <n v="80"/>
    <n v="0"/>
    <n v="1"/>
    <n v="3"/>
    <n v="3"/>
    <n v="1"/>
    <n v="0"/>
    <n v="0"/>
    <n v="0"/>
    <n v="0"/>
    <x v="2"/>
    <x v="0"/>
    <s v="0-5k"/>
    <x v="0"/>
    <x v="0"/>
    <x v="1"/>
  </r>
  <r>
    <n v="43"/>
    <s v="No"/>
    <x v="0"/>
    <n v="823"/>
    <x v="1"/>
    <n v="6"/>
    <n v="3"/>
    <s v="Medical"/>
    <n v="1"/>
    <n v="1866"/>
    <n v="1"/>
    <x v="0"/>
    <n v="81"/>
    <n v="2"/>
    <n v="5"/>
    <s v="Manager"/>
    <n v="3"/>
    <s v="Married"/>
    <n v="19392"/>
    <n v="22539"/>
    <n v="7"/>
    <s v="Y"/>
    <s v="No"/>
    <n v="13"/>
    <x v="0"/>
    <n v="4"/>
    <n v="80"/>
    <n v="0"/>
    <n v="21"/>
    <n v="2"/>
    <n v="3"/>
    <n v="16"/>
    <n v="12"/>
    <n v="6"/>
    <n v="14"/>
    <n v="0"/>
    <x v="0"/>
    <x v="0"/>
    <s v="15k+"/>
    <x v="2"/>
    <x v="0"/>
    <x v="2"/>
  </r>
  <r>
    <n v="48"/>
    <s v="No"/>
    <x v="0"/>
    <n v="1224"/>
    <x v="1"/>
    <n v="10"/>
    <n v="3"/>
    <s v="Life Sciences"/>
    <n v="1"/>
    <n v="1867"/>
    <n v="4"/>
    <x v="1"/>
    <n v="91"/>
    <n v="2"/>
    <n v="5"/>
    <s v="Research Director"/>
    <n v="2"/>
    <s v="Married"/>
    <n v="19665"/>
    <n v="13583"/>
    <n v="4"/>
    <s v="Y"/>
    <s v="No"/>
    <n v="12"/>
    <x v="0"/>
    <n v="4"/>
    <n v="80"/>
    <n v="0"/>
    <n v="29"/>
    <n v="3"/>
    <n v="3"/>
    <n v="22"/>
    <n v="10"/>
    <n v="12"/>
    <n v="9"/>
    <n v="0"/>
    <x v="1"/>
    <x v="0"/>
    <s v="15k+"/>
    <x v="1"/>
    <x v="0"/>
    <x v="1"/>
  </r>
  <r>
    <n v="29"/>
    <s v="Yes"/>
    <x v="1"/>
    <n v="459"/>
    <x v="1"/>
    <n v="24"/>
    <n v="2"/>
    <s v="Life Sciences"/>
    <n v="1"/>
    <n v="1868"/>
    <n v="4"/>
    <x v="1"/>
    <n v="73"/>
    <n v="2"/>
    <n v="1"/>
    <s v="Research Scientist"/>
    <n v="4"/>
    <s v="Single"/>
    <n v="2439"/>
    <n v="14753"/>
    <n v="1"/>
    <s v="Y"/>
    <s v="Yes"/>
    <n v="24"/>
    <x v="1"/>
    <n v="2"/>
    <n v="80"/>
    <n v="0"/>
    <n v="1"/>
    <n v="3"/>
    <n v="2"/>
    <n v="1"/>
    <n v="0"/>
    <n v="1"/>
    <n v="0"/>
    <n v="1"/>
    <x v="2"/>
    <x v="1"/>
    <s v="0-5k"/>
    <x v="0"/>
    <x v="1"/>
    <x v="0"/>
  </r>
  <r>
    <n v="46"/>
    <s v="Yes"/>
    <x v="0"/>
    <n v="1254"/>
    <x v="0"/>
    <n v="10"/>
    <n v="3"/>
    <s v="Life Sciences"/>
    <n v="1"/>
    <n v="1869"/>
    <n v="3"/>
    <x v="0"/>
    <n v="64"/>
    <n v="3"/>
    <n v="3"/>
    <s v="Sales Executive"/>
    <n v="2"/>
    <s v="Married"/>
    <n v="7314"/>
    <n v="14011"/>
    <n v="5"/>
    <s v="Y"/>
    <s v="No"/>
    <n v="21"/>
    <x v="1"/>
    <n v="3"/>
    <n v="80"/>
    <n v="3"/>
    <n v="14"/>
    <n v="2"/>
    <n v="3"/>
    <n v="8"/>
    <n v="7"/>
    <n v="0"/>
    <n v="7"/>
    <n v="1"/>
    <x v="1"/>
    <x v="0"/>
    <s v="5k-10k"/>
    <x v="0"/>
    <x v="1"/>
    <x v="1"/>
  </r>
  <r>
    <n v="27"/>
    <s v="No"/>
    <x v="1"/>
    <n v="1131"/>
    <x v="1"/>
    <n v="15"/>
    <n v="3"/>
    <s v="Life Sciences"/>
    <n v="1"/>
    <n v="1870"/>
    <n v="4"/>
    <x v="0"/>
    <n v="77"/>
    <n v="2"/>
    <n v="1"/>
    <s v="Research Scientist"/>
    <n v="1"/>
    <s v="Married"/>
    <n v="4774"/>
    <n v="23844"/>
    <n v="0"/>
    <s v="Y"/>
    <s v="No"/>
    <n v="19"/>
    <x v="0"/>
    <n v="4"/>
    <n v="80"/>
    <n v="1"/>
    <n v="8"/>
    <n v="2"/>
    <n v="2"/>
    <n v="7"/>
    <n v="6"/>
    <n v="7"/>
    <n v="3"/>
    <n v="0"/>
    <x v="2"/>
    <x v="2"/>
    <s v="0-5k"/>
    <x v="0"/>
    <x v="0"/>
    <x v="3"/>
  </r>
  <r>
    <n v="39"/>
    <s v="No"/>
    <x v="0"/>
    <n v="835"/>
    <x v="1"/>
    <n v="19"/>
    <n v="4"/>
    <s v="Other"/>
    <n v="1"/>
    <n v="1871"/>
    <n v="4"/>
    <x v="1"/>
    <n v="41"/>
    <n v="3"/>
    <n v="2"/>
    <s v="Research Scientist"/>
    <n v="4"/>
    <s v="Divorced"/>
    <n v="3902"/>
    <n v="5141"/>
    <n v="8"/>
    <s v="Y"/>
    <s v="No"/>
    <n v="14"/>
    <x v="0"/>
    <n v="2"/>
    <n v="80"/>
    <n v="3"/>
    <n v="7"/>
    <n v="2"/>
    <n v="3"/>
    <n v="2"/>
    <n v="2"/>
    <n v="2"/>
    <n v="2"/>
    <n v="0"/>
    <x v="0"/>
    <x v="2"/>
    <s v="0-5k"/>
    <x v="0"/>
    <x v="0"/>
    <x v="0"/>
  </r>
  <r>
    <n v="55"/>
    <s v="No"/>
    <x v="0"/>
    <n v="836"/>
    <x v="1"/>
    <n v="2"/>
    <n v="4"/>
    <s v="Technical Degree"/>
    <n v="1"/>
    <n v="1873"/>
    <n v="2"/>
    <x v="1"/>
    <n v="98"/>
    <n v="2"/>
    <n v="1"/>
    <s v="Research Scientist"/>
    <n v="4"/>
    <s v="Married"/>
    <n v="2662"/>
    <n v="7975"/>
    <n v="8"/>
    <s v="Y"/>
    <s v="No"/>
    <n v="20"/>
    <x v="1"/>
    <n v="2"/>
    <n v="80"/>
    <n v="1"/>
    <n v="19"/>
    <n v="2"/>
    <n v="4"/>
    <n v="5"/>
    <n v="2"/>
    <n v="0"/>
    <n v="4"/>
    <n v="0"/>
    <x v="1"/>
    <x v="0"/>
    <s v="0-5k"/>
    <x v="0"/>
    <x v="1"/>
    <x v="0"/>
  </r>
  <r>
    <n v="28"/>
    <s v="No"/>
    <x v="0"/>
    <n v="1172"/>
    <x v="0"/>
    <n v="3"/>
    <n v="3"/>
    <s v="Medical"/>
    <n v="1"/>
    <n v="1875"/>
    <n v="2"/>
    <x v="0"/>
    <n v="78"/>
    <n v="3"/>
    <n v="1"/>
    <s v="Sales Representative"/>
    <n v="2"/>
    <s v="Married"/>
    <n v="2856"/>
    <n v="3692"/>
    <n v="1"/>
    <s v="Y"/>
    <s v="No"/>
    <n v="19"/>
    <x v="0"/>
    <n v="4"/>
    <n v="80"/>
    <n v="1"/>
    <n v="1"/>
    <n v="3"/>
    <n v="3"/>
    <n v="1"/>
    <n v="0"/>
    <n v="0"/>
    <n v="0"/>
    <n v="0"/>
    <x v="2"/>
    <x v="0"/>
    <s v="0-5k"/>
    <x v="0"/>
    <x v="0"/>
    <x v="1"/>
  </r>
  <r>
    <n v="30"/>
    <s v="Yes"/>
    <x v="0"/>
    <n v="945"/>
    <x v="0"/>
    <n v="9"/>
    <n v="3"/>
    <s v="Medical"/>
    <n v="1"/>
    <n v="1876"/>
    <n v="2"/>
    <x v="1"/>
    <n v="89"/>
    <n v="3"/>
    <n v="1"/>
    <s v="Sales Representative"/>
    <n v="4"/>
    <s v="Single"/>
    <n v="1081"/>
    <n v="16019"/>
    <n v="1"/>
    <s v="Y"/>
    <s v="No"/>
    <n v="13"/>
    <x v="0"/>
    <n v="3"/>
    <n v="80"/>
    <n v="0"/>
    <n v="1"/>
    <n v="3"/>
    <n v="2"/>
    <n v="1"/>
    <n v="0"/>
    <n v="0"/>
    <n v="0"/>
    <n v="1"/>
    <x v="2"/>
    <x v="0"/>
    <s v="0-5k"/>
    <x v="0"/>
    <x v="0"/>
    <x v="0"/>
  </r>
  <r>
    <n v="22"/>
    <s v="Yes"/>
    <x v="0"/>
    <n v="391"/>
    <x v="1"/>
    <n v="7"/>
    <n v="1"/>
    <s v="Life Sciences"/>
    <n v="1"/>
    <n v="1878"/>
    <n v="4"/>
    <x v="1"/>
    <n v="75"/>
    <n v="3"/>
    <n v="1"/>
    <s v="Research Scientist"/>
    <n v="2"/>
    <s v="Single"/>
    <n v="2472"/>
    <n v="26092"/>
    <n v="1"/>
    <s v="Y"/>
    <s v="Yes"/>
    <n v="23"/>
    <x v="1"/>
    <n v="1"/>
    <n v="80"/>
    <n v="0"/>
    <n v="1"/>
    <n v="2"/>
    <n v="3"/>
    <n v="1"/>
    <n v="0"/>
    <n v="0"/>
    <n v="0"/>
    <n v="1"/>
    <x v="2"/>
    <x v="0"/>
    <s v="0-5k"/>
    <x v="0"/>
    <x v="1"/>
    <x v="1"/>
  </r>
  <r>
    <n v="36"/>
    <s v="No"/>
    <x v="0"/>
    <n v="1266"/>
    <x v="0"/>
    <n v="10"/>
    <n v="4"/>
    <s v="Technical Degree"/>
    <n v="1"/>
    <n v="1880"/>
    <n v="2"/>
    <x v="0"/>
    <n v="63"/>
    <n v="2"/>
    <n v="2"/>
    <s v="Sales Executive"/>
    <n v="3"/>
    <s v="Married"/>
    <n v="5673"/>
    <n v="6060"/>
    <n v="1"/>
    <s v="Y"/>
    <s v="Yes"/>
    <n v="13"/>
    <x v="0"/>
    <n v="1"/>
    <n v="80"/>
    <n v="1"/>
    <n v="10"/>
    <n v="4"/>
    <n v="3"/>
    <n v="10"/>
    <n v="9"/>
    <n v="1"/>
    <n v="7"/>
    <n v="0"/>
    <x v="0"/>
    <x v="0"/>
    <s v="5k-10k"/>
    <x v="0"/>
    <x v="0"/>
    <x v="2"/>
  </r>
  <r>
    <n v="31"/>
    <s v="No"/>
    <x v="0"/>
    <n v="311"/>
    <x v="1"/>
    <n v="20"/>
    <n v="3"/>
    <s v="Life Sciences"/>
    <n v="1"/>
    <n v="1881"/>
    <n v="2"/>
    <x v="1"/>
    <n v="89"/>
    <n v="3"/>
    <n v="2"/>
    <s v="Laboratory Technician"/>
    <n v="3"/>
    <s v="Divorced"/>
    <n v="4197"/>
    <n v="18624"/>
    <n v="1"/>
    <s v="Y"/>
    <s v="No"/>
    <n v="11"/>
    <x v="0"/>
    <n v="1"/>
    <n v="80"/>
    <n v="1"/>
    <n v="10"/>
    <n v="2"/>
    <n v="3"/>
    <n v="10"/>
    <n v="8"/>
    <n v="0"/>
    <n v="2"/>
    <n v="0"/>
    <x v="0"/>
    <x v="2"/>
    <s v="0-5k"/>
    <x v="0"/>
    <x v="0"/>
    <x v="2"/>
  </r>
  <r>
    <n v="34"/>
    <s v="No"/>
    <x v="0"/>
    <n v="1480"/>
    <x v="0"/>
    <n v="4"/>
    <n v="3"/>
    <s v="Life Sciences"/>
    <n v="1"/>
    <n v="1882"/>
    <n v="3"/>
    <x v="1"/>
    <n v="64"/>
    <n v="3"/>
    <n v="3"/>
    <s v="Sales Executive"/>
    <n v="4"/>
    <s v="Married"/>
    <n v="9713"/>
    <n v="24444"/>
    <n v="2"/>
    <s v="Y"/>
    <s v="Yes"/>
    <n v="13"/>
    <x v="0"/>
    <n v="4"/>
    <n v="80"/>
    <n v="3"/>
    <n v="9"/>
    <n v="3"/>
    <n v="3"/>
    <n v="5"/>
    <n v="3"/>
    <n v="1"/>
    <n v="0"/>
    <n v="0"/>
    <x v="0"/>
    <x v="0"/>
    <s v="5k-10k"/>
    <x v="0"/>
    <x v="0"/>
    <x v="0"/>
  </r>
  <r>
    <n v="29"/>
    <s v="No"/>
    <x v="0"/>
    <n v="592"/>
    <x v="1"/>
    <n v="7"/>
    <n v="3"/>
    <s v="Life Sciences"/>
    <n v="1"/>
    <n v="1883"/>
    <n v="4"/>
    <x v="1"/>
    <n v="59"/>
    <n v="3"/>
    <n v="1"/>
    <s v="Laboratory Technician"/>
    <n v="1"/>
    <s v="Single"/>
    <n v="2062"/>
    <n v="19384"/>
    <n v="3"/>
    <s v="Y"/>
    <s v="No"/>
    <n v="14"/>
    <x v="0"/>
    <n v="2"/>
    <n v="80"/>
    <n v="0"/>
    <n v="11"/>
    <n v="2"/>
    <n v="3"/>
    <n v="3"/>
    <n v="2"/>
    <n v="1"/>
    <n v="2"/>
    <n v="0"/>
    <x v="2"/>
    <x v="0"/>
    <s v="0-5k"/>
    <x v="0"/>
    <x v="0"/>
    <x v="3"/>
  </r>
  <r>
    <n v="37"/>
    <s v="No"/>
    <x v="0"/>
    <n v="783"/>
    <x v="1"/>
    <n v="7"/>
    <n v="4"/>
    <s v="Medical"/>
    <n v="1"/>
    <n v="1885"/>
    <n v="4"/>
    <x v="1"/>
    <n v="78"/>
    <n v="3"/>
    <n v="2"/>
    <s v="Research Scientist"/>
    <n v="1"/>
    <s v="Married"/>
    <n v="4284"/>
    <n v="13588"/>
    <n v="5"/>
    <s v="Y"/>
    <s v="Yes"/>
    <n v="22"/>
    <x v="1"/>
    <n v="3"/>
    <n v="80"/>
    <n v="1"/>
    <n v="16"/>
    <n v="2"/>
    <n v="3"/>
    <n v="5"/>
    <n v="3"/>
    <n v="0"/>
    <n v="4"/>
    <n v="0"/>
    <x v="0"/>
    <x v="0"/>
    <s v="0-5k"/>
    <x v="0"/>
    <x v="1"/>
    <x v="3"/>
  </r>
  <r>
    <n v="35"/>
    <s v="No"/>
    <x v="0"/>
    <n v="219"/>
    <x v="1"/>
    <n v="16"/>
    <n v="2"/>
    <s v="Other"/>
    <n v="1"/>
    <n v="1886"/>
    <n v="4"/>
    <x v="0"/>
    <n v="44"/>
    <n v="2"/>
    <n v="2"/>
    <s v="Manufacturing Director"/>
    <n v="2"/>
    <s v="Married"/>
    <n v="4788"/>
    <n v="25388"/>
    <n v="0"/>
    <s v="Y"/>
    <s v="Yes"/>
    <n v="11"/>
    <x v="0"/>
    <n v="4"/>
    <n v="80"/>
    <n v="0"/>
    <n v="4"/>
    <n v="2"/>
    <n v="3"/>
    <n v="3"/>
    <n v="2"/>
    <n v="0"/>
    <n v="2"/>
    <n v="0"/>
    <x v="0"/>
    <x v="2"/>
    <s v="0-5k"/>
    <x v="0"/>
    <x v="0"/>
    <x v="1"/>
  </r>
  <r>
    <n v="45"/>
    <s v="No"/>
    <x v="0"/>
    <n v="556"/>
    <x v="1"/>
    <n v="25"/>
    <n v="2"/>
    <s v="Life Sciences"/>
    <n v="1"/>
    <n v="1888"/>
    <n v="2"/>
    <x v="0"/>
    <n v="93"/>
    <n v="2"/>
    <n v="2"/>
    <s v="Manufacturing Director"/>
    <n v="4"/>
    <s v="Married"/>
    <n v="5906"/>
    <n v="23888"/>
    <n v="0"/>
    <s v="Y"/>
    <s v="No"/>
    <n v="13"/>
    <x v="0"/>
    <n v="4"/>
    <n v="80"/>
    <n v="2"/>
    <n v="10"/>
    <n v="2"/>
    <n v="2"/>
    <n v="9"/>
    <n v="8"/>
    <n v="3"/>
    <n v="8"/>
    <n v="0"/>
    <x v="0"/>
    <x v="1"/>
    <s v="5k-10k"/>
    <x v="0"/>
    <x v="0"/>
    <x v="0"/>
  </r>
  <r>
    <n v="36"/>
    <s v="No"/>
    <x v="1"/>
    <n v="1213"/>
    <x v="2"/>
    <n v="2"/>
    <n v="1"/>
    <s v="Human Resources"/>
    <n v="1"/>
    <n v="1890"/>
    <n v="2"/>
    <x v="1"/>
    <n v="94"/>
    <n v="2"/>
    <n v="2"/>
    <s v="Human Resources"/>
    <n v="4"/>
    <s v="Single"/>
    <n v="3886"/>
    <n v="4223"/>
    <n v="1"/>
    <s v="Y"/>
    <s v="No"/>
    <n v="21"/>
    <x v="1"/>
    <n v="4"/>
    <n v="80"/>
    <n v="0"/>
    <n v="10"/>
    <n v="2"/>
    <n v="2"/>
    <n v="10"/>
    <n v="1"/>
    <n v="0"/>
    <n v="8"/>
    <n v="0"/>
    <x v="0"/>
    <x v="0"/>
    <s v="0-5k"/>
    <x v="0"/>
    <x v="1"/>
    <x v="0"/>
  </r>
  <r>
    <n v="40"/>
    <s v="No"/>
    <x v="0"/>
    <n v="1137"/>
    <x v="1"/>
    <n v="1"/>
    <n v="4"/>
    <s v="Life Sciences"/>
    <n v="1"/>
    <n v="1892"/>
    <n v="1"/>
    <x v="1"/>
    <n v="98"/>
    <n v="3"/>
    <n v="4"/>
    <s v="Manager"/>
    <n v="1"/>
    <s v="Divorced"/>
    <n v="16823"/>
    <n v="18991"/>
    <n v="2"/>
    <s v="Y"/>
    <s v="No"/>
    <n v="11"/>
    <x v="0"/>
    <n v="1"/>
    <n v="80"/>
    <n v="1"/>
    <n v="22"/>
    <n v="3"/>
    <n v="3"/>
    <n v="19"/>
    <n v="7"/>
    <n v="11"/>
    <n v="16"/>
    <n v="0"/>
    <x v="0"/>
    <x v="0"/>
    <s v="15k+"/>
    <x v="2"/>
    <x v="0"/>
    <x v="3"/>
  </r>
  <r>
    <n v="26"/>
    <s v="No"/>
    <x v="0"/>
    <n v="482"/>
    <x v="1"/>
    <n v="1"/>
    <n v="2"/>
    <s v="Life Sciences"/>
    <n v="1"/>
    <n v="1893"/>
    <n v="2"/>
    <x v="0"/>
    <n v="90"/>
    <n v="2"/>
    <n v="1"/>
    <s v="Research Scientist"/>
    <n v="3"/>
    <s v="Married"/>
    <n v="2933"/>
    <n v="14908"/>
    <n v="1"/>
    <s v="Y"/>
    <s v="Yes"/>
    <n v="13"/>
    <x v="0"/>
    <n v="3"/>
    <n v="80"/>
    <n v="1"/>
    <n v="1"/>
    <n v="3"/>
    <n v="2"/>
    <n v="1"/>
    <n v="0"/>
    <n v="1"/>
    <n v="0"/>
    <n v="0"/>
    <x v="2"/>
    <x v="0"/>
    <s v="0-5k"/>
    <x v="0"/>
    <x v="0"/>
    <x v="2"/>
  </r>
  <r>
    <n v="27"/>
    <s v="No"/>
    <x v="0"/>
    <n v="511"/>
    <x v="0"/>
    <n v="2"/>
    <n v="2"/>
    <s v="Medical"/>
    <n v="1"/>
    <n v="1898"/>
    <n v="1"/>
    <x v="0"/>
    <n v="89"/>
    <n v="4"/>
    <n v="2"/>
    <s v="Sales Executive"/>
    <n v="3"/>
    <s v="Single"/>
    <n v="6500"/>
    <n v="26997"/>
    <n v="0"/>
    <s v="Y"/>
    <s v="No"/>
    <n v="14"/>
    <x v="0"/>
    <n v="2"/>
    <n v="80"/>
    <n v="0"/>
    <n v="9"/>
    <n v="5"/>
    <n v="2"/>
    <n v="8"/>
    <n v="7"/>
    <n v="0"/>
    <n v="7"/>
    <n v="0"/>
    <x v="2"/>
    <x v="0"/>
    <s v="5k-10k"/>
    <x v="0"/>
    <x v="0"/>
    <x v="2"/>
  </r>
  <r>
    <n v="48"/>
    <s v="No"/>
    <x v="1"/>
    <n v="117"/>
    <x v="1"/>
    <n v="22"/>
    <n v="3"/>
    <s v="Medical"/>
    <n v="1"/>
    <n v="1900"/>
    <n v="4"/>
    <x v="0"/>
    <n v="58"/>
    <n v="3"/>
    <n v="4"/>
    <s v="Manager"/>
    <n v="4"/>
    <s v="Divorced"/>
    <n v="17174"/>
    <n v="2437"/>
    <n v="3"/>
    <s v="Y"/>
    <s v="No"/>
    <n v="11"/>
    <x v="0"/>
    <n v="2"/>
    <n v="80"/>
    <n v="1"/>
    <n v="24"/>
    <n v="3"/>
    <n v="3"/>
    <n v="22"/>
    <n v="17"/>
    <n v="4"/>
    <n v="7"/>
    <n v="0"/>
    <x v="1"/>
    <x v="1"/>
    <s v="15k+"/>
    <x v="1"/>
    <x v="0"/>
    <x v="0"/>
  </r>
  <r>
    <n v="44"/>
    <s v="No"/>
    <x v="0"/>
    <n v="170"/>
    <x v="1"/>
    <n v="1"/>
    <n v="4"/>
    <s v="Life Sciences"/>
    <n v="1"/>
    <n v="1903"/>
    <n v="2"/>
    <x v="1"/>
    <n v="78"/>
    <n v="4"/>
    <n v="2"/>
    <s v="Healthcare Representative"/>
    <n v="1"/>
    <s v="Married"/>
    <n v="5033"/>
    <n v="9364"/>
    <n v="2"/>
    <s v="Y"/>
    <s v="No"/>
    <n v="15"/>
    <x v="0"/>
    <n v="4"/>
    <n v="80"/>
    <n v="1"/>
    <n v="10"/>
    <n v="5"/>
    <n v="3"/>
    <n v="2"/>
    <n v="0"/>
    <n v="2"/>
    <n v="2"/>
    <n v="0"/>
    <x v="0"/>
    <x v="0"/>
    <s v="5k-10k"/>
    <x v="0"/>
    <x v="0"/>
    <x v="3"/>
  </r>
  <r>
    <n v="34"/>
    <s v="Yes"/>
    <x v="2"/>
    <n v="967"/>
    <x v="1"/>
    <n v="16"/>
    <n v="4"/>
    <s v="Technical Degree"/>
    <n v="1"/>
    <n v="1905"/>
    <n v="4"/>
    <x v="1"/>
    <n v="85"/>
    <n v="1"/>
    <n v="1"/>
    <s v="Research Scientist"/>
    <n v="1"/>
    <s v="Married"/>
    <n v="2307"/>
    <n v="14460"/>
    <n v="1"/>
    <s v="Y"/>
    <s v="Yes"/>
    <n v="23"/>
    <x v="1"/>
    <n v="2"/>
    <n v="80"/>
    <n v="1"/>
    <n v="5"/>
    <n v="2"/>
    <n v="3"/>
    <n v="5"/>
    <n v="2"/>
    <n v="3"/>
    <n v="0"/>
    <n v="1"/>
    <x v="0"/>
    <x v="2"/>
    <s v="0-5k"/>
    <x v="0"/>
    <x v="1"/>
    <x v="3"/>
  </r>
  <r>
    <n v="56"/>
    <s v="Yes"/>
    <x v="0"/>
    <n v="1162"/>
    <x v="1"/>
    <n v="24"/>
    <n v="2"/>
    <s v="Life Sciences"/>
    <n v="1"/>
    <n v="1907"/>
    <n v="1"/>
    <x v="1"/>
    <n v="97"/>
    <n v="3"/>
    <n v="1"/>
    <s v="Laboratory Technician"/>
    <n v="4"/>
    <s v="Single"/>
    <n v="2587"/>
    <n v="10261"/>
    <n v="1"/>
    <s v="Y"/>
    <s v="No"/>
    <n v="16"/>
    <x v="0"/>
    <n v="4"/>
    <n v="80"/>
    <n v="0"/>
    <n v="5"/>
    <n v="3"/>
    <n v="3"/>
    <n v="4"/>
    <n v="2"/>
    <n v="1"/>
    <n v="0"/>
    <n v="1"/>
    <x v="1"/>
    <x v="1"/>
    <s v="0-5k"/>
    <x v="0"/>
    <x v="0"/>
    <x v="0"/>
  </r>
  <r>
    <n v="36"/>
    <s v="No"/>
    <x v="0"/>
    <n v="335"/>
    <x v="0"/>
    <n v="17"/>
    <n v="2"/>
    <s v="Marketing"/>
    <n v="1"/>
    <n v="1908"/>
    <n v="3"/>
    <x v="1"/>
    <n v="33"/>
    <n v="2"/>
    <n v="2"/>
    <s v="Sales Executive"/>
    <n v="2"/>
    <s v="Married"/>
    <n v="5507"/>
    <n v="16822"/>
    <n v="2"/>
    <s v="Y"/>
    <s v="No"/>
    <n v="16"/>
    <x v="0"/>
    <n v="3"/>
    <n v="80"/>
    <n v="2"/>
    <n v="12"/>
    <n v="1"/>
    <n v="1"/>
    <n v="4"/>
    <n v="2"/>
    <n v="1"/>
    <n v="3"/>
    <n v="0"/>
    <x v="0"/>
    <x v="2"/>
    <s v="5k-10k"/>
    <x v="0"/>
    <x v="0"/>
    <x v="1"/>
  </r>
  <r>
    <n v="41"/>
    <s v="No"/>
    <x v="0"/>
    <n v="337"/>
    <x v="0"/>
    <n v="8"/>
    <n v="3"/>
    <s v="Marketing"/>
    <n v="1"/>
    <n v="1909"/>
    <n v="3"/>
    <x v="0"/>
    <n v="54"/>
    <n v="3"/>
    <n v="2"/>
    <s v="Sales Executive"/>
    <n v="2"/>
    <s v="Married"/>
    <n v="4393"/>
    <n v="26841"/>
    <n v="5"/>
    <s v="Y"/>
    <s v="No"/>
    <n v="21"/>
    <x v="1"/>
    <n v="3"/>
    <n v="80"/>
    <n v="1"/>
    <n v="14"/>
    <n v="3"/>
    <n v="3"/>
    <n v="5"/>
    <n v="4"/>
    <n v="1"/>
    <n v="4"/>
    <n v="0"/>
    <x v="0"/>
    <x v="0"/>
    <s v="0-5k"/>
    <x v="0"/>
    <x v="1"/>
    <x v="1"/>
  </r>
  <r>
    <n v="42"/>
    <s v="No"/>
    <x v="0"/>
    <n v="1396"/>
    <x v="1"/>
    <n v="6"/>
    <n v="3"/>
    <s v="Medical"/>
    <n v="1"/>
    <n v="1911"/>
    <n v="3"/>
    <x v="1"/>
    <n v="83"/>
    <n v="3"/>
    <n v="3"/>
    <s v="Research Director"/>
    <n v="1"/>
    <s v="Married"/>
    <n v="13348"/>
    <n v="14842"/>
    <n v="9"/>
    <s v="Y"/>
    <s v="No"/>
    <n v="13"/>
    <x v="0"/>
    <n v="2"/>
    <n v="80"/>
    <n v="1"/>
    <n v="18"/>
    <n v="3"/>
    <n v="4"/>
    <n v="13"/>
    <n v="7"/>
    <n v="5"/>
    <n v="7"/>
    <n v="0"/>
    <x v="0"/>
    <x v="0"/>
    <s v="10k-15k"/>
    <x v="2"/>
    <x v="0"/>
    <x v="3"/>
  </r>
  <r>
    <n v="31"/>
    <s v="No"/>
    <x v="0"/>
    <n v="1079"/>
    <x v="0"/>
    <n v="10"/>
    <n v="2"/>
    <s v="Medical"/>
    <n v="1"/>
    <n v="1912"/>
    <n v="3"/>
    <x v="0"/>
    <n v="86"/>
    <n v="3"/>
    <n v="2"/>
    <s v="Sales Executive"/>
    <n v="4"/>
    <s v="Divorced"/>
    <n v="6583"/>
    <n v="20115"/>
    <n v="2"/>
    <s v="Y"/>
    <s v="Yes"/>
    <n v="11"/>
    <x v="0"/>
    <n v="4"/>
    <n v="80"/>
    <n v="1"/>
    <n v="8"/>
    <n v="2"/>
    <n v="3"/>
    <n v="5"/>
    <n v="2"/>
    <n v="1"/>
    <n v="4"/>
    <n v="0"/>
    <x v="0"/>
    <x v="0"/>
    <s v="5k-10k"/>
    <x v="0"/>
    <x v="0"/>
    <x v="0"/>
  </r>
  <r>
    <n v="34"/>
    <s v="No"/>
    <x v="0"/>
    <n v="735"/>
    <x v="0"/>
    <n v="3"/>
    <n v="1"/>
    <s v="Medical"/>
    <n v="1"/>
    <n v="1915"/>
    <n v="4"/>
    <x v="0"/>
    <n v="75"/>
    <n v="2"/>
    <n v="2"/>
    <s v="Sales Executive"/>
    <n v="4"/>
    <s v="Married"/>
    <n v="8103"/>
    <n v="16495"/>
    <n v="3"/>
    <s v="Y"/>
    <s v="Yes"/>
    <n v="12"/>
    <x v="0"/>
    <n v="3"/>
    <n v="80"/>
    <n v="0"/>
    <n v="9"/>
    <n v="3"/>
    <n v="2"/>
    <n v="4"/>
    <n v="2"/>
    <n v="0"/>
    <n v="1"/>
    <n v="0"/>
    <x v="0"/>
    <x v="0"/>
    <s v="5k-10k"/>
    <x v="0"/>
    <x v="0"/>
    <x v="0"/>
  </r>
  <r>
    <n v="31"/>
    <s v="No"/>
    <x v="0"/>
    <n v="471"/>
    <x v="1"/>
    <n v="4"/>
    <n v="3"/>
    <s v="Medical"/>
    <n v="1"/>
    <n v="1916"/>
    <n v="1"/>
    <x v="0"/>
    <n v="62"/>
    <n v="4"/>
    <n v="1"/>
    <s v="Laboratory Technician"/>
    <n v="3"/>
    <s v="Divorced"/>
    <n v="3978"/>
    <n v="16031"/>
    <n v="8"/>
    <s v="Y"/>
    <s v="No"/>
    <n v="12"/>
    <x v="0"/>
    <n v="2"/>
    <n v="80"/>
    <n v="1"/>
    <n v="4"/>
    <n v="0"/>
    <n v="2"/>
    <n v="2"/>
    <n v="2"/>
    <n v="2"/>
    <n v="2"/>
    <n v="0"/>
    <x v="0"/>
    <x v="0"/>
    <s v="0-5k"/>
    <x v="0"/>
    <x v="0"/>
    <x v="2"/>
  </r>
  <r>
    <n v="26"/>
    <s v="No"/>
    <x v="1"/>
    <n v="1096"/>
    <x v="1"/>
    <n v="6"/>
    <n v="3"/>
    <s v="Other"/>
    <n v="1"/>
    <n v="1918"/>
    <n v="3"/>
    <x v="1"/>
    <n v="61"/>
    <n v="4"/>
    <n v="1"/>
    <s v="Laboratory Technician"/>
    <n v="4"/>
    <s v="Married"/>
    <n v="2544"/>
    <n v="7102"/>
    <n v="0"/>
    <s v="Y"/>
    <s v="No"/>
    <n v="18"/>
    <x v="0"/>
    <n v="1"/>
    <n v="80"/>
    <n v="1"/>
    <n v="8"/>
    <n v="3"/>
    <n v="3"/>
    <n v="7"/>
    <n v="7"/>
    <n v="7"/>
    <n v="7"/>
    <n v="0"/>
    <x v="2"/>
    <x v="0"/>
    <s v="0-5k"/>
    <x v="0"/>
    <x v="0"/>
    <x v="0"/>
  </r>
  <r>
    <n v="45"/>
    <s v="No"/>
    <x v="1"/>
    <n v="1297"/>
    <x v="1"/>
    <n v="1"/>
    <n v="4"/>
    <s v="Medical"/>
    <n v="1"/>
    <n v="1922"/>
    <n v="2"/>
    <x v="1"/>
    <n v="44"/>
    <n v="3"/>
    <n v="2"/>
    <s v="Healthcare Representative"/>
    <n v="3"/>
    <s v="Single"/>
    <n v="5399"/>
    <n v="14511"/>
    <n v="4"/>
    <s v="Y"/>
    <s v="No"/>
    <n v="12"/>
    <x v="0"/>
    <n v="3"/>
    <n v="80"/>
    <n v="0"/>
    <n v="12"/>
    <n v="3"/>
    <n v="3"/>
    <n v="4"/>
    <n v="2"/>
    <n v="0"/>
    <n v="3"/>
    <n v="0"/>
    <x v="0"/>
    <x v="0"/>
    <s v="5k-10k"/>
    <x v="0"/>
    <x v="0"/>
    <x v="2"/>
  </r>
  <r>
    <n v="33"/>
    <s v="No"/>
    <x v="0"/>
    <n v="217"/>
    <x v="0"/>
    <n v="10"/>
    <n v="4"/>
    <s v="Marketing"/>
    <n v="1"/>
    <n v="1924"/>
    <n v="2"/>
    <x v="1"/>
    <n v="43"/>
    <n v="3"/>
    <n v="2"/>
    <s v="Sales Executive"/>
    <n v="3"/>
    <s v="Single"/>
    <n v="5487"/>
    <n v="10410"/>
    <n v="1"/>
    <s v="Y"/>
    <s v="No"/>
    <n v="14"/>
    <x v="0"/>
    <n v="2"/>
    <n v="80"/>
    <n v="0"/>
    <n v="10"/>
    <n v="2"/>
    <n v="2"/>
    <n v="10"/>
    <n v="4"/>
    <n v="0"/>
    <n v="9"/>
    <n v="0"/>
    <x v="0"/>
    <x v="0"/>
    <s v="5k-10k"/>
    <x v="0"/>
    <x v="0"/>
    <x v="2"/>
  </r>
  <r>
    <n v="28"/>
    <s v="No"/>
    <x v="1"/>
    <n v="783"/>
    <x v="0"/>
    <n v="1"/>
    <n v="2"/>
    <s v="Life Sciences"/>
    <n v="1"/>
    <n v="1927"/>
    <n v="3"/>
    <x v="1"/>
    <n v="42"/>
    <n v="2"/>
    <n v="2"/>
    <s v="Sales Executive"/>
    <n v="4"/>
    <s v="Married"/>
    <n v="6834"/>
    <n v="19255"/>
    <n v="1"/>
    <s v="Y"/>
    <s v="Yes"/>
    <n v="12"/>
    <x v="0"/>
    <n v="3"/>
    <n v="80"/>
    <n v="1"/>
    <n v="7"/>
    <n v="2"/>
    <n v="3"/>
    <n v="7"/>
    <n v="7"/>
    <n v="0"/>
    <n v="7"/>
    <n v="0"/>
    <x v="2"/>
    <x v="0"/>
    <s v="5k-10k"/>
    <x v="0"/>
    <x v="0"/>
    <x v="0"/>
  </r>
  <r>
    <n v="29"/>
    <s v="Yes"/>
    <x v="1"/>
    <n v="746"/>
    <x v="0"/>
    <n v="24"/>
    <n v="3"/>
    <s v="Technical Degree"/>
    <n v="1"/>
    <n v="1928"/>
    <n v="3"/>
    <x v="1"/>
    <n v="45"/>
    <n v="4"/>
    <n v="1"/>
    <s v="Sales Representative"/>
    <n v="1"/>
    <s v="Single"/>
    <n v="1091"/>
    <n v="10642"/>
    <n v="1"/>
    <s v="Y"/>
    <s v="No"/>
    <n v="17"/>
    <x v="0"/>
    <n v="4"/>
    <n v="80"/>
    <n v="0"/>
    <n v="1"/>
    <n v="3"/>
    <n v="3"/>
    <n v="1"/>
    <n v="0"/>
    <n v="0"/>
    <n v="0"/>
    <n v="1"/>
    <x v="2"/>
    <x v="1"/>
    <s v="0-5k"/>
    <x v="0"/>
    <x v="0"/>
    <x v="3"/>
  </r>
  <r>
    <n v="39"/>
    <s v="No"/>
    <x v="2"/>
    <n v="1251"/>
    <x v="0"/>
    <n v="21"/>
    <n v="4"/>
    <s v="Life Sciences"/>
    <n v="1"/>
    <n v="1929"/>
    <n v="1"/>
    <x v="0"/>
    <n v="32"/>
    <n v="1"/>
    <n v="2"/>
    <s v="Sales Executive"/>
    <n v="3"/>
    <s v="Married"/>
    <n v="5736"/>
    <n v="3987"/>
    <n v="6"/>
    <s v="Y"/>
    <s v="No"/>
    <n v="19"/>
    <x v="0"/>
    <n v="3"/>
    <n v="80"/>
    <n v="1"/>
    <n v="10"/>
    <n v="1"/>
    <n v="3"/>
    <n v="3"/>
    <n v="2"/>
    <n v="1"/>
    <n v="2"/>
    <n v="0"/>
    <x v="0"/>
    <x v="1"/>
    <s v="5k-10k"/>
    <x v="0"/>
    <x v="0"/>
    <x v="2"/>
  </r>
  <r>
    <n v="27"/>
    <s v="No"/>
    <x v="0"/>
    <n v="1354"/>
    <x v="1"/>
    <n v="2"/>
    <n v="4"/>
    <s v="Technical Degree"/>
    <n v="1"/>
    <n v="1931"/>
    <n v="2"/>
    <x v="1"/>
    <n v="41"/>
    <n v="3"/>
    <n v="1"/>
    <s v="Research Scientist"/>
    <n v="2"/>
    <s v="Married"/>
    <n v="2226"/>
    <n v="6073"/>
    <n v="1"/>
    <s v="Y"/>
    <s v="No"/>
    <n v="11"/>
    <x v="0"/>
    <n v="3"/>
    <n v="80"/>
    <n v="1"/>
    <n v="6"/>
    <n v="3"/>
    <n v="2"/>
    <n v="5"/>
    <n v="3"/>
    <n v="1"/>
    <n v="2"/>
    <n v="0"/>
    <x v="2"/>
    <x v="0"/>
    <s v="0-5k"/>
    <x v="0"/>
    <x v="0"/>
    <x v="1"/>
  </r>
  <r>
    <n v="34"/>
    <s v="No"/>
    <x v="1"/>
    <n v="735"/>
    <x v="1"/>
    <n v="22"/>
    <n v="4"/>
    <s v="Other"/>
    <n v="1"/>
    <n v="1932"/>
    <n v="3"/>
    <x v="1"/>
    <n v="86"/>
    <n v="2"/>
    <n v="2"/>
    <s v="Research Scientist"/>
    <n v="4"/>
    <s v="Married"/>
    <n v="5747"/>
    <n v="26496"/>
    <n v="1"/>
    <s v="Y"/>
    <s v="Yes"/>
    <n v="15"/>
    <x v="0"/>
    <n v="2"/>
    <n v="80"/>
    <n v="0"/>
    <n v="16"/>
    <n v="3"/>
    <n v="3"/>
    <n v="15"/>
    <n v="10"/>
    <n v="6"/>
    <n v="11"/>
    <n v="0"/>
    <x v="0"/>
    <x v="1"/>
    <s v="5k-10k"/>
    <x v="2"/>
    <x v="0"/>
    <x v="0"/>
  </r>
  <r>
    <n v="28"/>
    <s v="Yes"/>
    <x v="0"/>
    <n v="1475"/>
    <x v="0"/>
    <n v="13"/>
    <n v="2"/>
    <s v="Marketing"/>
    <n v="1"/>
    <n v="1933"/>
    <n v="4"/>
    <x v="0"/>
    <n v="84"/>
    <n v="3"/>
    <n v="2"/>
    <s v="Sales Executive"/>
    <n v="3"/>
    <s v="Single"/>
    <n v="9854"/>
    <n v="23352"/>
    <n v="3"/>
    <s v="Y"/>
    <s v="Yes"/>
    <n v="11"/>
    <x v="0"/>
    <n v="4"/>
    <n v="80"/>
    <n v="0"/>
    <n v="6"/>
    <n v="0"/>
    <n v="3"/>
    <n v="2"/>
    <n v="0"/>
    <n v="2"/>
    <n v="2"/>
    <n v="1"/>
    <x v="2"/>
    <x v="2"/>
    <s v="5k-10k"/>
    <x v="0"/>
    <x v="0"/>
    <x v="2"/>
  </r>
  <r>
    <n v="47"/>
    <s v="No"/>
    <x v="2"/>
    <n v="1169"/>
    <x v="1"/>
    <n v="14"/>
    <n v="4"/>
    <s v="Technical Degree"/>
    <n v="1"/>
    <n v="1934"/>
    <n v="3"/>
    <x v="1"/>
    <n v="64"/>
    <n v="3"/>
    <n v="2"/>
    <s v="Research Scientist"/>
    <n v="2"/>
    <s v="Married"/>
    <n v="5467"/>
    <n v="2125"/>
    <n v="8"/>
    <s v="Y"/>
    <s v="No"/>
    <n v="18"/>
    <x v="0"/>
    <n v="3"/>
    <n v="80"/>
    <n v="1"/>
    <n v="16"/>
    <n v="4"/>
    <n v="4"/>
    <n v="8"/>
    <n v="7"/>
    <n v="1"/>
    <n v="7"/>
    <n v="0"/>
    <x v="1"/>
    <x v="2"/>
    <s v="5k-10k"/>
    <x v="0"/>
    <x v="0"/>
    <x v="1"/>
  </r>
  <r>
    <n v="56"/>
    <s v="No"/>
    <x v="0"/>
    <n v="1443"/>
    <x v="0"/>
    <n v="11"/>
    <n v="5"/>
    <s v="Marketing"/>
    <n v="1"/>
    <n v="1935"/>
    <n v="4"/>
    <x v="0"/>
    <n v="89"/>
    <n v="2"/>
    <n v="2"/>
    <s v="Sales Executive"/>
    <n v="1"/>
    <s v="Married"/>
    <n v="5380"/>
    <n v="20328"/>
    <n v="4"/>
    <s v="Y"/>
    <s v="No"/>
    <n v="16"/>
    <x v="0"/>
    <n v="3"/>
    <n v="80"/>
    <n v="1"/>
    <n v="6"/>
    <n v="3"/>
    <n v="3"/>
    <n v="0"/>
    <n v="0"/>
    <n v="0"/>
    <n v="0"/>
    <n v="0"/>
    <x v="1"/>
    <x v="2"/>
    <s v="5k-10k"/>
    <x v="0"/>
    <x v="0"/>
    <x v="3"/>
  </r>
  <r>
    <n v="39"/>
    <s v="No"/>
    <x v="0"/>
    <n v="867"/>
    <x v="1"/>
    <n v="9"/>
    <n v="2"/>
    <s v="Medical"/>
    <n v="1"/>
    <n v="1936"/>
    <n v="1"/>
    <x v="1"/>
    <n v="87"/>
    <n v="3"/>
    <n v="2"/>
    <s v="Manufacturing Director"/>
    <n v="1"/>
    <s v="Married"/>
    <n v="5151"/>
    <n v="12315"/>
    <n v="1"/>
    <s v="Y"/>
    <s v="No"/>
    <n v="25"/>
    <x v="1"/>
    <n v="4"/>
    <n v="80"/>
    <n v="1"/>
    <n v="10"/>
    <n v="3"/>
    <n v="3"/>
    <n v="10"/>
    <n v="0"/>
    <n v="7"/>
    <n v="9"/>
    <n v="0"/>
    <x v="0"/>
    <x v="0"/>
    <s v="5k-10k"/>
    <x v="0"/>
    <x v="1"/>
    <x v="3"/>
  </r>
  <r>
    <n v="38"/>
    <s v="No"/>
    <x v="1"/>
    <n v="1394"/>
    <x v="1"/>
    <n v="8"/>
    <n v="3"/>
    <s v="Medical"/>
    <n v="1"/>
    <n v="1937"/>
    <n v="4"/>
    <x v="0"/>
    <n v="58"/>
    <n v="2"/>
    <n v="2"/>
    <s v="Research Scientist"/>
    <n v="2"/>
    <s v="Divorced"/>
    <n v="2133"/>
    <n v="18115"/>
    <n v="1"/>
    <s v="Y"/>
    <s v="Yes"/>
    <n v="16"/>
    <x v="0"/>
    <n v="3"/>
    <n v="80"/>
    <n v="1"/>
    <n v="20"/>
    <n v="3"/>
    <n v="3"/>
    <n v="20"/>
    <n v="11"/>
    <n v="0"/>
    <n v="7"/>
    <n v="0"/>
    <x v="0"/>
    <x v="0"/>
    <s v="0-5k"/>
    <x v="2"/>
    <x v="0"/>
    <x v="1"/>
  </r>
  <r>
    <n v="58"/>
    <s v="No"/>
    <x v="0"/>
    <n v="605"/>
    <x v="0"/>
    <n v="21"/>
    <n v="3"/>
    <s v="Life Sciences"/>
    <n v="1"/>
    <n v="1938"/>
    <n v="4"/>
    <x v="0"/>
    <n v="72"/>
    <n v="3"/>
    <n v="4"/>
    <s v="Manager"/>
    <n v="4"/>
    <s v="Married"/>
    <n v="17875"/>
    <n v="11761"/>
    <n v="4"/>
    <s v="Y"/>
    <s v="Yes"/>
    <n v="13"/>
    <x v="0"/>
    <n v="3"/>
    <n v="80"/>
    <n v="1"/>
    <n v="29"/>
    <n v="2"/>
    <n v="2"/>
    <n v="1"/>
    <n v="0"/>
    <n v="0"/>
    <n v="0"/>
    <n v="0"/>
    <x v="1"/>
    <x v="1"/>
    <s v="15k+"/>
    <x v="0"/>
    <x v="0"/>
    <x v="0"/>
  </r>
  <r>
    <n v="32"/>
    <s v="Yes"/>
    <x v="1"/>
    <n v="238"/>
    <x v="1"/>
    <n v="5"/>
    <n v="2"/>
    <s v="Life Sciences"/>
    <n v="1"/>
    <n v="1939"/>
    <n v="1"/>
    <x v="0"/>
    <n v="47"/>
    <n v="4"/>
    <n v="1"/>
    <s v="Research Scientist"/>
    <n v="3"/>
    <s v="Single"/>
    <n v="2432"/>
    <n v="15318"/>
    <n v="3"/>
    <s v="Y"/>
    <s v="Yes"/>
    <n v="14"/>
    <x v="0"/>
    <n v="1"/>
    <n v="80"/>
    <n v="0"/>
    <n v="8"/>
    <n v="2"/>
    <n v="3"/>
    <n v="4"/>
    <n v="1"/>
    <n v="0"/>
    <n v="3"/>
    <n v="1"/>
    <x v="0"/>
    <x v="0"/>
    <s v="0-5k"/>
    <x v="0"/>
    <x v="0"/>
    <x v="2"/>
  </r>
  <r>
    <n v="38"/>
    <s v="No"/>
    <x v="0"/>
    <n v="1206"/>
    <x v="1"/>
    <n v="9"/>
    <n v="2"/>
    <s v="Life Sciences"/>
    <n v="1"/>
    <n v="1940"/>
    <n v="2"/>
    <x v="1"/>
    <n v="71"/>
    <n v="3"/>
    <n v="1"/>
    <s v="Research Scientist"/>
    <n v="4"/>
    <s v="Divorced"/>
    <n v="4771"/>
    <n v="14293"/>
    <n v="2"/>
    <s v="Y"/>
    <s v="No"/>
    <n v="19"/>
    <x v="0"/>
    <n v="4"/>
    <n v="80"/>
    <n v="2"/>
    <n v="10"/>
    <n v="0"/>
    <n v="4"/>
    <n v="5"/>
    <n v="2"/>
    <n v="0"/>
    <n v="3"/>
    <n v="0"/>
    <x v="0"/>
    <x v="0"/>
    <s v="0-5k"/>
    <x v="0"/>
    <x v="0"/>
    <x v="0"/>
  </r>
  <r>
    <n v="49"/>
    <s v="No"/>
    <x v="1"/>
    <n v="1064"/>
    <x v="1"/>
    <n v="2"/>
    <n v="1"/>
    <s v="Life Sciences"/>
    <n v="1"/>
    <n v="1941"/>
    <n v="2"/>
    <x v="1"/>
    <n v="42"/>
    <n v="3"/>
    <n v="5"/>
    <s v="Research Director"/>
    <n v="4"/>
    <s v="Married"/>
    <n v="19161"/>
    <n v="13738"/>
    <n v="3"/>
    <s v="Y"/>
    <s v="No"/>
    <n v="15"/>
    <x v="0"/>
    <n v="4"/>
    <n v="80"/>
    <n v="0"/>
    <n v="28"/>
    <n v="3"/>
    <n v="3"/>
    <n v="5"/>
    <n v="4"/>
    <n v="4"/>
    <n v="3"/>
    <n v="0"/>
    <x v="1"/>
    <x v="0"/>
    <s v="15k+"/>
    <x v="0"/>
    <x v="0"/>
    <x v="0"/>
  </r>
  <r>
    <n v="42"/>
    <s v="No"/>
    <x v="0"/>
    <n v="419"/>
    <x v="0"/>
    <n v="12"/>
    <n v="4"/>
    <s v="Marketing"/>
    <n v="1"/>
    <n v="1943"/>
    <n v="2"/>
    <x v="1"/>
    <n v="77"/>
    <n v="3"/>
    <n v="2"/>
    <s v="Sales Executive"/>
    <n v="4"/>
    <s v="Divorced"/>
    <n v="5087"/>
    <n v="2900"/>
    <n v="3"/>
    <s v="Y"/>
    <s v="Yes"/>
    <n v="12"/>
    <x v="0"/>
    <n v="3"/>
    <n v="80"/>
    <n v="2"/>
    <n v="14"/>
    <n v="4"/>
    <n v="3"/>
    <n v="0"/>
    <n v="0"/>
    <n v="0"/>
    <n v="0"/>
    <n v="0"/>
    <x v="0"/>
    <x v="2"/>
    <s v="5k-10k"/>
    <x v="0"/>
    <x v="0"/>
    <x v="0"/>
  </r>
  <r>
    <n v="27"/>
    <s v="Yes"/>
    <x v="1"/>
    <n v="1337"/>
    <x v="2"/>
    <n v="22"/>
    <n v="3"/>
    <s v="Human Resources"/>
    <n v="1"/>
    <n v="1944"/>
    <n v="1"/>
    <x v="0"/>
    <n v="58"/>
    <n v="2"/>
    <n v="1"/>
    <s v="Human Resources"/>
    <n v="2"/>
    <s v="Married"/>
    <n v="2863"/>
    <n v="19555"/>
    <n v="1"/>
    <s v="Y"/>
    <s v="No"/>
    <n v="12"/>
    <x v="0"/>
    <n v="1"/>
    <n v="80"/>
    <n v="0"/>
    <n v="1"/>
    <n v="2"/>
    <n v="3"/>
    <n v="1"/>
    <n v="0"/>
    <n v="0"/>
    <n v="0"/>
    <n v="1"/>
    <x v="2"/>
    <x v="1"/>
    <s v="0-5k"/>
    <x v="0"/>
    <x v="0"/>
    <x v="1"/>
  </r>
  <r>
    <n v="35"/>
    <s v="No"/>
    <x v="0"/>
    <n v="682"/>
    <x v="0"/>
    <n v="18"/>
    <n v="4"/>
    <s v="Medical"/>
    <n v="1"/>
    <n v="1945"/>
    <n v="2"/>
    <x v="1"/>
    <n v="71"/>
    <n v="3"/>
    <n v="2"/>
    <s v="Sales Executive"/>
    <n v="1"/>
    <s v="Married"/>
    <n v="5561"/>
    <n v="15975"/>
    <n v="0"/>
    <s v="Y"/>
    <s v="No"/>
    <n v="16"/>
    <x v="0"/>
    <n v="4"/>
    <n v="80"/>
    <n v="1"/>
    <n v="6"/>
    <n v="2"/>
    <n v="1"/>
    <n v="5"/>
    <n v="3"/>
    <n v="0"/>
    <n v="4"/>
    <n v="0"/>
    <x v="0"/>
    <x v="2"/>
    <s v="5k-10k"/>
    <x v="0"/>
    <x v="0"/>
    <x v="3"/>
  </r>
  <r>
    <n v="28"/>
    <s v="No"/>
    <x v="2"/>
    <n v="1103"/>
    <x v="1"/>
    <n v="16"/>
    <n v="3"/>
    <s v="Medical"/>
    <n v="1"/>
    <n v="1947"/>
    <n v="3"/>
    <x v="1"/>
    <n v="49"/>
    <n v="3"/>
    <n v="1"/>
    <s v="Research Scientist"/>
    <n v="3"/>
    <s v="Single"/>
    <n v="2144"/>
    <n v="2122"/>
    <n v="1"/>
    <s v="Y"/>
    <s v="No"/>
    <n v="14"/>
    <x v="0"/>
    <n v="3"/>
    <n v="80"/>
    <n v="0"/>
    <n v="5"/>
    <n v="3"/>
    <n v="2"/>
    <n v="5"/>
    <n v="3"/>
    <n v="1"/>
    <n v="4"/>
    <n v="0"/>
    <x v="2"/>
    <x v="2"/>
    <s v="0-5k"/>
    <x v="0"/>
    <x v="0"/>
    <x v="2"/>
  </r>
  <r>
    <n v="31"/>
    <s v="No"/>
    <x v="2"/>
    <n v="976"/>
    <x v="1"/>
    <n v="3"/>
    <n v="2"/>
    <s v="Medical"/>
    <n v="1"/>
    <n v="1948"/>
    <n v="3"/>
    <x v="1"/>
    <n v="48"/>
    <n v="3"/>
    <n v="1"/>
    <s v="Research Scientist"/>
    <n v="1"/>
    <s v="Divorced"/>
    <n v="3065"/>
    <n v="3995"/>
    <n v="1"/>
    <s v="Y"/>
    <s v="Yes"/>
    <n v="13"/>
    <x v="0"/>
    <n v="4"/>
    <n v="80"/>
    <n v="1"/>
    <n v="4"/>
    <n v="3"/>
    <n v="4"/>
    <n v="4"/>
    <n v="2"/>
    <n v="2"/>
    <n v="3"/>
    <n v="0"/>
    <x v="0"/>
    <x v="0"/>
    <s v="0-5k"/>
    <x v="0"/>
    <x v="0"/>
    <x v="3"/>
  </r>
  <r>
    <n v="36"/>
    <s v="No"/>
    <x v="2"/>
    <n v="1351"/>
    <x v="1"/>
    <n v="9"/>
    <n v="4"/>
    <s v="Life Sciences"/>
    <n v="1"/>
    <n v="1949"/>
    <n v="1"/>
    <x v="1"/>
    <n v="66"/>
    <n v="4"/>
    <n v="1"/>
    <s v="Laboratory Technician"/>
    <n v="2"/>
    <s v="Married"/>
    <n v="2810"/>
    <n v="9238"/>
    <n v="1"/>
    <s v="Y"/>
    <s v="No"/>
    <n v="22"/>
    <x v="1"/>
    <n v="2"/>
    <n v="80"/>
    <n v="0"/>
    <n v="5"/>
    <n v="3"/>
    <n v="3"/>
    <n v="5"/>
    <n v="4"/>
    <n v="0"/>
    <n v="2"/>
    <n v="0"/>
    <x v="0"/>
    <x v="0"/>
    <s v="0-5k"/>
    <x v="0"/>
    <x v="1"/>
    <x v="1"/>
  </r>
  <r>
    <n v="34"/>
    <s v="No"/>
    <x v="0"/>
    <n v="937"/>
    <x v="0"/>
    <n v="1"/>
    <n v="3"/>
    <s v="Marketing"/>
    <n v="1"/>
    <n v="1950"/>
    <n v="1"/>
    <x v="1"/>
    <n v="32"/>
    <n v="3"/>
    <n v="3"/>
    <s v="Sales Executive"/>
    <n v="4"/>
    <s v="Single"/>
    <n v="9888"/>
    <n v="6770"/>
    <n v="1"/>
    <s v="Y"/>
    <s v="No"/>
    <n v="21"/>
    <x v="1"/>
    <n v="1"/>
    <n v="80"/>
    <n v="0"/>
    <n v="14"/>
    <n v="3"/>
    <n v="2"/>
    <n v="14"/>
    <n v="8"/>
    <n v="2"/>
    <n v="1"/>
    <n v="0"/>
    <x v="0"/>
    <x v="0"/>
    <s v="5k-10k"/>
    <x v="2"/>
    <x v="1"/>
    <x v="0"/>
  </r>
  <r>
    <n v="34"/>
    <s v="No"/>
    <x v="0"/>
    <n v="1239"/>
    <x v="0"/>
    <n v="13"/>
    <n v="4"/>
    <s v="Medical"/>
    <n v="1"/>
    <n v="1951"/>
    <n v="4"/>
    <x v="1"/>
    <n v="39"/>
    <n v="3"/>
    <n v="3"/>
    <s v="Sales Executive"/>
    <n v="3"/>
    <s v="Divorced"/>
    <n v="8628"/>
    <n v="22914"/>
    <n v="1"/>
    <s v="Y"/>
    <s v="No"/>
    <n v="18"/>
    <x v="0"/>
    <n v="3"/>
    <n v="80"/>
    <n v="1"/>
    <n v="9"/>
    <n v="2"/>
    <n v="2"/>
    <n v="8"/>
    <n v="7"/>
    <n v="1"/>
    <n v="1"/>
    <n v="0"/>
    <x v="0"/>
    <x v="2"/>
    <s v="5k-10k"/>
    <x v="0"/>
    <x v="0"/>
    <x v="2"/>
  </r>
  <r>
    <n v="26"/>
    <s v="No"/>
    <x v="0"/>
    <n v="157"/>
    <x v="1"/>
    <n v="1"/>
    <n v="3"/>
    <s v="Medical"/>
    <n v="1"/>
    <n v="1952"/>
    <n v="3"/>
    <x v="1"/>
    <n v="95"/>
    <n v="3"/>
    <n v="1"/>
    <s v="Laboratory Technician"/>
    <n v="1"/>
    <s v="Single"/>
    <n v="2867"/>
    <n v="20006"/>
    <n v="0"/>
    <s v="Y"/>
    <s v="No"/>
    <n v="13"/>
    <x v="0"/>
    <n v="4"/>
    <n v="80"/>
    <n v="0"/>
    <n v="8"/>
    <n v="6"/>
    <n v="2"/>
    <n v="7"/>
    <n v="7"/>
    <n v="7"/>
    <n v="6"/>
    <n v="0"/>
    <x v="2"/>
    <x v="0"/>
    <s v="0-5k"/>
    <x v="0"/>
    <x v="0"/>
    <x v="3"/>
  </r>
  <r>
    <n v="29"/>
    <s v="No"/>
    <x v="0"/>
    <n v="136"/>
    <x v="1"/>
    <n v="1"/>
    <n v="3"/>
    <s v="Life Sciences"/>
    <n v="1"/>
    <n v="1954"/>
    <n v="1"/>
    <x v="1"/>
    <n v="89"/>
    <n v="3"/>
    <n v="2"/>
    <s v="Healthcare Representative"/>
    <n v="1"/>
    <s v="Married"/>
    <n v="5373"/>
    <n v="6225"/>
    <n v="0"/>
    <s v="Y"/>
    <s v="No"/>
    <n v="12"/>
    <x v="0"/>
    <n v="1"/>
    <n v="80"/>
    <n v="1"/>
    <n v="6"/>
    <n v="5"/>
    <n v="2"/>
    <n v="5"/>
    <n v="3"/>
    <n v="0"/>
    <n v="2"/>
    <n v="0"/>
    <x v="2"/>
    <x v="0"/>
    <s v="5k-10k"/>
    <x v="0"/>
    <x v="0"/>
    <x v="3"/>
  </r>
  <r>
    <n v="32"/>
    <s v="No"/>
    <x v="2"/>
    <n v="1146"/>
    <x v="1"/>
    <n v="15"/>
    <n v="4"/>
    <s v="Medical"/>
    <n v="1"/>
    <n v="1955"/>
    <n v="3"/>
    <x v="0"/>
    <n v="34"/>
    <n v="3"/>
    <n v="2"/>
    <s v="Healthcare Representative"/>
    <n v="4"/>
    <s v="Divorced"/>
    <n v="6667"/>
    <n v="16542"/>
    <n v="5"/>
    <s v="Y"/>
    <s v="No"/>
    <n v="18"/>
    <x v="0"/>
    <n v="2"/>
    <n v="80"/>
    <n v="1"/>
    <n v="9"/>
    <n v="6"/>
    <n v="3"/>
    <n v="5"/>
    <n v="1"/>
    <n v="1"/>
    <n v="2"/>
    <n v="0"/>
    <x v="0"/>
    <x v="2"/>
    <s v="5k-10k"/>
    <x v="0"/>
    <x v="0"/>
    <x v="0"/>
  </r>
  <r>
    <n v="31"/>
    <s v="No"/>
    <x v="1"/>
    <n v="1125"/>
    <x v="1"/>
    <n v="1"/>
    <n v="3"/>
    <s v="Life Sciences"/>
    <n v="1"/>
    <n v="1956"/>
    <n v="4"/>
    <x v="1"/>
    <n v="48"/>
    <n v="1"/>
    <n v="2"/>
    <s v="Research Scientist"/>
    <n v="1"/>
    <s v="Married"/>
    <n v="5003"/>
    <n v="5771"/>
    <n v="1"/>
    <s v="Y"/>
    <s v="No"/>
    <n v="21"/>
    <x v="1"/>
    <n v="2"/>
    <n v="80"/>
    <n v="0"/>
    <n v="10"/>
    <n v="6"/>
    <n v="3"/>
    <n v="10"/>
    <n v="8"/>
    <n v="8"/>
    <n v="7"/>
    <n v="0"/>
    <x v="0"/>
    <x v="0"/>
    <s v="5k-10k"/>
    <x v="0"/>
    <x v="1"/>
    <x v="3"/>
  </r>
  <r>
    <n v="28"/>
    <s v="Yes"/>
    <x v="0"/>
    <n v="1404"/>
    <x v="1"/>
    <n v="17"/>
    <n v="3"/>
    <s v="Technical Degree"/>
    <n v="1"/>
    <n v="1960"/>
    <n v="3"/>
    <x v="1"/>
    <n v="32"/>
    <n v="2"/>
    <n v="1"/>
    <s v="Laboratory Technician"/>
    <n v="4"/>
    <s v="Divorced"/>
    <n v="2367"/>
    <n v="18779"/>
    <n v="5"/>
    <s v="Y"/>
    <s v="No"/>
    <n v="12"/>
    <x v="0"/>
    <n v="1"/>
    <n v="80"/>
    <n v="1"/>
    <n v="6"/>
    <n v="2"/>
    <n v="2"/>
    <n v="4"/>
    <n v="1"/>
    <n v="0"/>
    <n v="3"/>
    <n v="1"/>
    <x v="2"/>
    <x v="2"/>
    <s v="0-5k"/>
    <x v="0"/>
    <x v="0"/>
    <x v="0"/>
  </r>
  <r>
    <n v="38"/>
    <s v="No"/>
    <x v="0"/>
    <n v="1404"/>
    <x v="0"/>
    <n v="1"/>
    <n v="3"/>
    <s v="Life Sciences"/>
    <n v="1"/>
    <n v="1961"/>
    <n v="1"/>
    <x v="1"/>
    <n v="59"/>
    <n v="2"/>
    <n v="1"/>
    <s v="Sales Representative"/>
    <n v="1"/>
    <s v="Single"/>
    <n v="2858"/>
    <n v="11473"/>
    <n v="4"/>
    <s v="Y"/>
    <s v="No"/>
    <n v="14"/>
    <x v="0"/>
    <n v="1"/>
    <n v="80"/>
    <n v="0"/>
    <n v="20"/>
    <n v="3"/>
    <n v="2"/>
    <n v="1"/>
    <n v="0"/>
    <n v="0"/>
    <n v="0"/>
    <n v="0"/>
    <x v="0"/>
    <x v="0"/>
    <s v="0-5k"/>
    <x v="0"/>
    <x v="0"/>
    <x v="3"/>
  </r>
  <r>
    <n v="35"/>
    <s v="No"/>
    <x v="0"/>
    <n v="1224"/>
    <x v="0"/>
    <n v="7"/>
    <n v="4"/>
    <s v="Life Sciences"/>
    <n v="1"/>
    <n v="1962"/>
    <n v="3"/>
    <x v="0"/>
    <n v="55"/>
    <n v="3"/>
    <n v="2"/>
    <s v="Sales Executive"/>
    <n v="4"/>
    <s v="Married"/>
    <n v="5204"/>
    <n v="13586"/>
    <n v="1"/>
    <s v="Y"/>
    <s v="Yes"/>
    <n v="11"/>
    <x v="0"/>
    <n v="4"/>
    <n v="80"/>
    <n v="0"/>
    <n v="10"/>
    <n v="2"/>
    <n v="3"/>
    <n v="10"/>
    <n v="8"/>
    <n v="0"/>
    <n v="9"/>
    <n v="0"/>
    <x v="0"/>
    <x v="0"/>
    <s v="5k-10k"/>
    <x v="0"/>
    <x v="0"/>
    <x v="0"/>
  </r>
  <r>
    <n v="27"/>
    <s v="No"/>
    <x v="0"/>
    <n v="954"/>
    <x v="0"/>
    <n v="9"/>
    <n v="3"/>
    <s v="Marketing"/>
    <n v="1"/>
    <n v="1965"/>
    <n v="4"/>
    <x v="1"/>
    <n v="44"/>
    <n v="3"/>
    <n v="2"/>
    <s v="Sales Executive"/>
    <n v="4"/>
    <s v="Single"/>
    <n v="4105"/>
    <n v="5099"/>
    <n v="1"/>
    <s v="Y"/>
    <s v="No"/>
    <n v="14"/>
    <x v="0"/>
    <n v="1"/>
    <n v="80"/>
    <n v="0"/>
    <n v="7"/>
    <n v="5"/>
    <n v="3"/>
    <n v="7"/>
    <n v="7"/>
    <n v="0"/>
    <n v="7"/>
    <n v="0"/>
    <x v="2"/>
    <x v="0"/>
    <s v="0-5k"/>
    <x v="0"/>
    <x v="0"/>
    <x v="0"/>
  </r>
  <r>
    <n v="32"/>
    <s v="No"/>
    <x v="0"/>
    <n v="1373"/>
    <x v="1"/>
    <n v="5"/>
    <n v="4"/>
    <s v="Life Sciences"/>
    <n v="1"/>
    <n v="1966"/>
    <n v="4"/>
    <x v="1"/>
    <n v="56"/>
    <n v="2"/>
    <n v="2"/>
    <s v="Manufacturing Director"/>
    <n v="4"/>
    <s v="Single"/>
    <n v="9679"/>
    <n v="10138"/>
    <n v="8"/>
    <s v="Y"/>
    <s v="No"/>
    <n v="24"/>
    <x v="1"/>
    <n v="2"/>
    <n v="80"/>
    <n v="0"/>
    <n v="8"/>
    <n v="1"/>
    <n v="3"/>
    <n v="1"/>
    <n v="0"/>
    <n v="0"/>
    <n v="0"/>
    <n v="0"/>
    <x v="0"/>
    <x v="0"/>
    <s v="5k-10k"/>
    <x v="0"/>
    <x v="1"/>
    <x v="0"/>
  </r>
  <r>
    <n v="31"/>
    <s v="Yes"/>
    <x v="1"/>
    <n v="754"/>
    <x v="0"/>
    <n v="26"/>
    <n v="4"/>
    <s v="Marketing"/>
    <n v="1"/>
    <n v="1967"/>
    <n v="1"/>
    <x v="1"/>
    <n v="63"/>
    <n v="3"/>
    <n v="2"/>
    <s v="Sales Executive"/>
    <n v="4"/>
    <s v="Married"/>
    <n v="5617"/>
    <n v="21075"/>
    <n v="1"/>
    <s v="Y"/>
    <s v="Yes"/>
    <n v="11"/>
    <x v="0"/>
    <n v="3"/>
    <n v="80"/>
    <n v="0"/>
    <n v="10"/>
    <n v="4"/>
    <n v="3"/>
    <n v="10"/>
    <n v="7"/>
    <n v="0"/>
    <n v="8"/>
    <n v="1"/>
    <x v="0"/>
    <x v="1"/>
    <s v="5k-10k"/>
    <x v="0"/>
    <x v="0"/>
    <x v="0"/>
  </r>
  <r>
    <n v="53"/>
    <s v="Yes"/>
    <x v="0"/>
    <n v="1168"/>
    <x v="0"/>
    <n v="24"/>
    <n v="4"/>
    <s v="Life Sciences"/>
    <n v="1"/>
    <n v="1968"/>
    <n v="1"/>
    <x v="1"/>
    <n v="66"/>
    <n v="3"/>
    <n v="3"/>
    <s v="Sales Executive"/>
    <n v="1"/>
    <s v="Single"/>
    <n v="10448"/>
    <n v="5843"/>
    <n v="6"/>
    <s v="Y"/>
    <s v="Yes"/>
    <n v="13"/>
    <x v="0"/>
    <n v="2"/>
    <n v="80"/>
    <n v="0"/>
    <n v="15"/>
    <n v="2"/>
    <n v="2"/>
    <n v="2"/>
    <n v="2"/>
    <n v="2"/>
    <n v="2"/>
    <n v="1"/>
    <x v="1"/>
    <x v="1"/>
    <s v="10k-15k"/>
    <x v="0"/>
    <x v="0"/>
    <x v="3"/>
  </r>
  <r>
    <n v="54"/>
    <s v="No"/>
    <x v="0"/>
    <n v="155"/>
    <x v="1"/>
    <n v="9"/>
    <n v="2"/>
    <s v="Life Sciences"/>
    <n v="1"/>
    <n v="1969"/>
    <n v="1"/>
    <x v="0"/>
    <n v="67"/>
    <n v="3"/>
    <n v="2"/>
    <s v="Research Scientist"/>
    <n v="3"/>
    <s v="Married"/>
    <n v="2897"/>
    <n v="22474"/>
    <n v="3"/>
    <s v="Y"/>
    <s v="No"/>
    <n v="11"/>
    <x v="0"/>
    <n v="3"/>
    <n v="80"/>
    <n v="2"/>
    <n v="9"/>
    <n v="6"/>
    <n v="2"/>
    <n v="4"/>
    <n v="3"/>
    <n v="2"/>
    <n v="3"/>
    <n v="0"/>
    <x v="1"/>
    <x v="0"/>
    <s v="0-5k"/>
    <x v="0"/>
    <x v="0"/>
    <x v="2"/>
  </r>
  <r>
    <n v="33"/>
    <s v="No"/>
    <x v="1"/>
    <n v="1303"/>
    <x v="1"/>
    <n v="7"/>
    <n v="2"/>
    <s v="Life Sciences"/>
    <n v="1"/>
    <n v="1970"/>
    <n v="4"/>
    <x v="1"/>
    <n v="36"/>
    <n v="3"/>
    <n v="2"/>
    <s v="Healthcare Representative"/>
    <n v="3"/>
    <s v="Divorced"/>
    <n v="5968"/>
    <n v="18079"/>
    <n v="1"/>
    <s v="Y"/>
    <s v="No"/>
    <n v="20"/>
    <x v="1"/>
    <n v="3"/>
    <n v="80"/>
    <n v="3"/>
    <n v="9"/>
    <n v="2"/>
    <n v="3"/>
    <n v="9"/>
    <n v="7"/>
    <n v="2"/>
    <n v="8"/>
    <n v="0"/>
    <x v="0"/>
    <x v="0"/>
    <s v="5k-10k"/>
    <x v="0"/>
    <x v="1"/>
    <x v="2"/>
  </r>
  <r>
    <n v="43"/>
    <s v="No"/>
    <x v="0"/>
    <n v="574"/>
    <x v="1"/>
    <n v="11"/>
    <n v="3"/>
    <s v="Life Sciences"/>
    <n v="1"/>
    <n v="1971"/>
    <n v="1"/>
    <x v="1"/>
    <n v="30"/>
    <n v="3"/>
    <n v="3"/>
    <s v="Healthcare Representative"/>
    <n v="3"/>
    <s v="Married"/>
    <n v="7510"/>
    <n v="16873"/>
    <n v="1"/>
    <s v="Y"/>
    <s v="No"/>
    <n v="17"/>
    <x v="0"/>
    <n v="2"/>
    <n v="80"/>
    <n v="1"/>
    <n v="10"/>
    <n v="1"/>
    <n v="3"/>
    <n v="10"/>
    <n v="9"/>
    <n v="0"/>
    <n v="9"/>
    <n v="0"/>
    <x v="0"/>
    <x v="2"/>
    <s v="5k-10k"/>
    <x v="0"/>
    <x v="0"/>
    <x v="2"/>
  </r>
  <r>
    <n v="38"/>
    <s v="No"/>
    <x v="1"/>
    <n v="1444"/>
    <x v="2"/>
    <n v="1"/>
    <n v="4"/>
    <s v="Other"/>
    <n v="1"/>
    <n v="1972"/>
    <n v="4"/>
    <x v="1"/>
    <n v="88"/>
    <n v="3"/>
    <n v="1"/>
    <s v="Human Resources"/>
    <n v="2"/>
    <s v="Married"/>
    <n v="2991"/>
    <n v="5224"/>
    <n v="0"/>
    <s v="Y"/>
    <s v="Yes"/>
    <n v="11"/>
    <x v="0"/>
    <n v="2"/>
    <n v="80"/>
    <n v="1"/>
    <n v="7"/>
    <n v="2"/>
    <n v="3"/>
    <n v="6"/>
    <n v="2"/>
    <n v="1"/>
    <n v="2"/>
    <n v="0"/>
    <x v="0"/>
    <x v="0"/>
    <s v="0-5k"/>
    <x v="0"/>
    <x v="0"/>
    <x v="1"/>
  </r>
  <r>
    <n v="55"/>
    <s v="No"/>
    <x v="0"/>
    <n v="189"/>
    <x v="2"/>
    <n v="26"/>
    <n v="4"/>
    <s v="Human Resources"/>
    <n v="1"/>
    <n v="1973"/>
    <n v="3"/>
    <x v="1"/>
    <n v="71"/>
    <n v="4"/>
    <n v="5"/>
    <s v="Manager"/>
    <n v="2"/>
    <s v="Married"/>
    <n v="19636"/>
    <n v="25811"/>
    <n v="4"/>
    <s v="Y"/>
    <s v="Yes"/>
    <n v="18"/>
    <x v="0"/>
    <n v="1"/>
    <n v="80"/>
    <n v="1"/>
    <n v="35"/>
    <n v="0"/>
    <n v="3"/>
    <n v="10"/>
    <n v="9"/>
    <n v="1"/>
    <n v="4"/>
    <n v="0"/>
    <x v="1"/>
    <x v="1"/>
    <s v="15k+"/>
    <x v="0"/>
    <x v="0"/>
    <x v="1"/>
  </r>
  <r>
    <n v="31"/>
    <s v="No"/>
    <x v="0"/>
    <n v="1276"/>
    <x v="1"/>
    <n v="2"/>
    <n v="1"/>
    <s v="Medical"/>
    <n v="1"/>
    <n v="1974"/>
    <n v="4"/>
    <x v="0"/>
    <n v="59"/>
    <n v="1"/>
    <n v="1"/>
    <s v="Laboratory Technician"/>
    <n v="4"/>
    <s v="Divorced"/>
    <n v="1129"/>
    <n v="17536"/>
    <n v="1"/>
    <s v="Y"/>
    <s v="Yes"/>
    <n v="11"/>
    <x v="0"/>
    <n v="3"/>
    <n v="80"/>
    <n v="3"/>
    <n v="1"/>
    <n v="4"/>
    <n v="3"/>
    <n v="1"/>
    <n v="0"/>
    <n v="0"/>
    <n v="0"/>
    <n v="0"/>
    <x v="0"/>
    <x v="0"/>
    <s v="0-5k"/>
    <x v="0"/>
    <x v="0"/>
    <x v="0"/>
  </r>
  <r>
    <n v="39"/>
    <s v="No"/>
    <x v="0"/>
    <n v="119"/>
    <x v="0"/>
    <n v="15"/>
    <n v="4"/>
    <s v="Marketing"/>
    <n v="1"/>
    <n v="1975"/>
    <n v="2"/>
    <x v="1"/>
    <n v="77"/>
    <n v="3"/>
    <n v="4"/>
    <s v="Sales Executive"/>
    <n v="1"/>
    <s v="Single"/>
    <n v="13341"/>
    <n v="25098"/>
    <n v="0"/>
    <s v="Y"/>
    <s v="No"/>
    <n v="12"/>
    <x v="0"/>
    <n v="1"/>
    <n v="80"/>
    <n v="0"/>
    <n v="21"/>
    <n v="3"/>
    <n v="3"/>
    <n v="20"/>
    <n v="8"/>
    <n v="11"/>
    <n v="10"/>
    <n v="0"/>
    <x v="0"/>
    <x v="2"/>
    <s v="10k-15k"/>
    <x v="2"/>
    <x v="0"/>
    <x v="3"/>
  </r>
  <r>
    <n v="42"/>
    <s v="No"/>
    <x v="2"/>
    <n v="335"/>
    <x v="1"/>
    <n v="23"/>
    <n v="2"/>
    <s v="Life Sciences"/>
    <n v="1"/>
    <n v="1976"/>
    <n v="4"/>
    <x v="1"/>
    <n v="37"/>
    <n v="2"/>
    <n v="2"/>
    <s v="Research Scientist"/>
    <n v="3"/>
    <s v="Single"/>
    <n v="4332"/>
    <n v="14811"/>
    <n v="1"/>
    <s v="Y"/>
    <s v="No"/>
    <n v="12"/>
    <x v="0"/>
    <n v="4"/>
    <n v="80"/>
    <n v="0"/>
    <n v="20"/>
    <n v="2"/>
    <n v="3"/>
    <n v="20"/>
    <n v="9"/>
    <n v="3"/>
    <n v="7"/>
    <n v="0"/>
    <x v="0"/>
    <x v="1"/>
    <s v="0-5k"/>
    <x v="2"/>
    <x v="0"/>
    <x v="2"/>
  </r>
  <r>
    <n v="31"/>
    <s v="No"/>
    <x v="2"/>
    <n v="697"/>
    <x v="1"/>
    <n v="10"/>
    <n v="3"/>
    <s v="Medical"/>
    <n v="1"/>
    <n v="1979"/>
    <n v="3"/>
    <x v="0"/>
    <n v="40"/>
    <n v="3"/>
    <n v="3"/>
    <s v="Research Director"/>
    <n v="3"/>
    <s v="Married"/>
    <n v="11031"/>
    <n v="26862"/>
    <n v="4"/>
    <s v="Y"/>
    <s v="No"/>
    <n v="20"/>
    <x v="1"/>
    <n v="3"/>
    <n v="80"/>
    <n v="1"/>
    <n v="13"/>
    <n v="2"/>
    <n v="4"/>
    <n v="11"/>
    <n v="7"/>
    <n v="4"/>
    <n v="8"/>
    <n v="0"/>
    <x v="0"/>
    <x v="0"/>
    <s v="10k-15k"/>
    <x v="2"/>
    <x v="1"/>
    <x v="2"/>
  </r>
  <r>
    <n v="54"/>
    <s v="No"/>
    <x v="0"/>
    <n v="157"/>
    <x v="1"/>
    <n v="10"/>
    <n v="3"/>
    <s v="Medical"/>
    <n v="1"/>
    <n v="1980"/>
    <n v="3"/>
    <x v="0"/>
    <n v="77"/>
    <n v="3"/>
    <n v="2"/>
    <s v="Manufacturing Director"/>
    <n v="1"/>
    <s v="Single"/>
    <n v="4440"/>
    <n v="25198"/>
    <n v="6"/>
    <s v="Y"/>
    <s v="Yes"/>
    <n v="19"/>
    <x v="0"/>
    <n v="4"/>
    <n v="80"/>
    <n v="0"/>
    <n v="9"/>
    <n v="3"/>
    <n v="3"/>
    <n v="5"/>
    <n v="2"/>
    <n v="1"/>
    <n v="4"/>
    <n v="0"/>
    <x v="1"/>
    <x v="0"/>
    <s v="0-5k"/>
    <x v="0"/>
    <x v="0"/>
    <x v="3"/>
  </r>
  <r>
    <n v="24"/>
    <s v="No"/>
    <x v="0"/>
    <n v="771"/>
    <x v="1"/>
    <n v="1"/>
    <n v="2"/>
    <s v="Life Sciences"/>
    <n v="1"/>
    <n v="1981"/>
    <n v="2"/>
    <x v="1"/>
    <n v="45"/>
    <n v="2"/>
    <n v="2"/>
    <s v="Healthcare Representative"/>
    <n v="3"/>
    <s v="Single"/>
    <n v="4617"/>
    <n v="14120"/>
    <n v="1"/>
    <s v="Y"/>
    <s v="No"/>
    <n v="12"/>
    <x v="0"/>
    <n v="2"/>
    <n v="80"/>
    <n v="0"/>
    <n v="4"/>
    <n v="2"/>
    <n v="2"/>
    <n v="4"/>
    <n v="3"/>
    <n v="1"/>
    <n v="2"/>
    <n v="0"/>
    <x v="2"/>
    <x v="0"/>
    <s v="0-5k"/>
    <x v="0"/>
    <x v="0"/>
    <x v="2"/>
  </r>
  <r>
    <n v="23"/>
    <s v="No"/>
    <x v="0"/>
    <n v="571"/>
    <x v="1"/>
    <n v="12"/>
    <n v="2"/>
    <s v="Other"/>
    <n v="1"/>
    <n v="1982"/>
    <n v="4"/>
    <x v="1"/>
    <n v="78"/>
    <n v="3"/>
    <n v="1"/>
    <s v="Laboratory Technician"/>
    <n v="4"/>
    <s v="Single"/>
    <n v="2647"/>
    <n v="13672"/>
    <n v="1"/>
    <s v="Y"/>
    <s v="No"/>
    <n v="13"/>
    <x v="0"/>
    <n v="3"/>
    <n v="80"/>
    <n v="0"/>
    <n v="5"/>
    <n v="6"/>
    <n v="4"/>
    <n v="5"/>
    <n v="2"/>
    <n v="1"/>
    <n v="4"/>
    <n v="0"/>
    <x v="2"/>
    <x v="2"/>
    <s v="0-5k"/>
    <x v="0"/>
    <x v="0"/>
    <x v="0"/>
  </r>
  <r>
    <n v="40"/>
    <s v="No"/>
    <x v="1"/>
    <n v="692"/>
    <x v="1"/>
    <n v="11"/>
    <n v="3"/>
    <s v="Technical Degree"/>
    <n v="1"/>
    <n v="1985"/>
    <n v="4"/>
    <x v="0"/>
    <n v="73"/>
    <n v="3"/>
    <n v="2"/>
    <s v="Laboratory Technician"/>
    <n v="3"/>
    <s v="Married"/>
    <n v="6323"/>
    <n v="26849"/>
    <n v="1"/>
    <s v="Y"/>
    <s v="No"/>
    <n v="11"/>
    <x v="0"/>
    <n v="1"/>
    <n v="80"/>
    <n v="1"/>
    <n v="10"/>
    <n v="2"/>
    <n v="4"/>
    <n v="10"/>
    <n v="9"/>
    <n v="9"/>
    <n v="4"/>
    <n v="0"/>
    <x v="0"/>
    <x v="2"/>
    <s v="5k-10k"/>
    <x v="0"/>
    <x v="0"/>
    <x v="2"/>
  </r>
  <r>
    <n v="40"/>
    <s v="No"/>
    <x v="0"/>
    <n v="444"/>
    <x v="0"/>
    <n v="2"/>
    <n v="2"/>
    <s v="Marketing"/>
    <n v="1"/>
    <n v="1986"/>
    <n v="2"/>
    <x v="0"/>
    <n v="92"/>
    <n v="3"/>
    <n v="2"/>
    <s v="Sales Executive"/>
    <n v="2"/>
    <s v="Married"/>
    <n v="5677"/>
    <n v="4258"/>
    <n v="3"/>
    <s v="Y"/>
    <s v="No"/>
    <n v="14"/>
    <x v="0"/>
    <n v="3"/>
    <n v="80"/>
    <n v="1"/>
    <n v="15"/>
    <n v="4"/>
    <n v="3"/>
    <n v="11"/>
    <n v="8"/>
    <n v="5"/>
    <n v="10"/>
    <n v="0"/>
    <x v="0"/>
    <x v="0"/>
    <s v="5k-10k"/>
    <x v="2"/>
    <x v="0"/>
    <x v="1"/>
  </r>
  <r>
    <n v="25"/>
    <s v="No"/>
    <x v="0"/>
    <n v="309"/>
    <x v="2"/>
    <n v="2"/>
    <n v="3"/>
    <s v="Human Resources"/>
    <n v="1"/>
    <n v="1987"/>
    <n v="3"/>
    <x v="0"/>
    <n v="82"/>
    <n v="3"/>
    <n v="1"/>
    <s v="Human Resources"/>
    <n v="2"/>
    <s v="Married"/>
    <n v="2187"/>
    <n v="19655"/>
    <n v="4"/>
    <s v="Y"/>
    <s v="No"/>
    <n v="14"/>
    <x v="0"/>
    <n v="3"/>
    <n v="80"/>
    <n v="0"/>
    <n v="6"/>
    <n v="3"/>
    <n v="3"/>
    <n v="2"/>
    <n v="0"/>
    <n v="1"/>
    <n v="2"/>
    <n v="0"/>
    <x v="2"/>
    <x v="0"/>
    <s v="0-5k"/>
    <x v="0"/>
    <x v="0"/>
    <x v="1"/>
  </r>
  <r>
    <n v="30"/>
    <s v="No"/>
    <x v="0"/>
    <n v="911"/>
    <x v="1"/>
    <n v="1"/>
    <n v="2"/>
    <s v="Medical"/>
    <n v="1"/>
    <n v="1989"/>
    <n v="4"/>
    <x v="1"/>
    <n v="76"/>
    <n v="3"/>
    <n v="1"/>
    <s v="Laboratory Technician"/>
    <n v="2"/>
    <s v="Married"/>
    <n v="3748"/>
    <n v="4077"/>
    <n v="1"/>
    <s v="Y"/>
    <s v="No"/>
    <n v="13"/>
    <x v="0"/>
    <n v="3"/>
    <n v="80"/>
    <n v="0"/>
    <n v="12"/>
    <n v="6"/>
    <n v="2"/>
    <n v="12"/>
    <n v="8"/>
    <n v="1"/>
    <n v="7"/>
    <n v="0"/>
    <x v="2"/>
    <x v="0"/>
    <s v="0-5k"/>
    <x v="2"/>
    <x v="0"/>
    <x v="1"/>
  </r>
  <r>
    <n v="25"/>
    <s v="No"/>
    <x v="0"/>
    <n v="977"/>
    <x v="1"/>
    <n v="2"/>
    <n v="1"/>
    <s v="Other"/>
    <n v="1"/>
    <n v="1992"/>
    <n v="4"/>
    <x v="1"/>
    <n v="57"/>
    <n v="3"/>
    <n v="1"/>
    <s v="Laboratory Technician"/>
    <n v="3"/>
    <s v="Divorced"/>
    <n v="3977"/>
    <n v="7298"/>
    <n v="6"/>
    <s v="Y"/>
    <s v="Yes"/>
    <n v="19"/>
    <x v="0"/>
    <n v="3"/>
    <n v="80"/>
    <n v="1"/>
    <n v="7"/>
    <n v="2"/>
    <n v="2"/>
    <n v="2"/>
    <n v="2"/>
    <n v="0"/>
    <n v="2"/>
    <n v="0"/>
    <x v="2"/>
    <x v="0"/>
    <s v="0-5k"/>
    <x v="0"/>
    <x v="0"/>
    <x v="2"/>
  </r>
  <r>
    <n v="47"/>
    <s v="No"/>
    <x v="0"/>
    <n v="1180"/>
    <x v="1"/>
    <n v="25"/>
    <n v="3"/>
    <s v="Medical"/>
    <n v="1"/>
    <n v="1993"/>
    <n v="1"/>
    <x v="1"/>
    <n v="84"/>
    <n v="3"/>
    <n v="3"/>
    <s v="Healthcare Representative"/>
    <n v="3"/>
    <s v="Single"/>
    <n v="8633"/>
    <n v="13084"/>
    <n v="2"/>
    <s v="Y"/>
    <s v="No"/>
    <n v="23"/>
    <x v="1"/>
    <n v="2"/>
    <n v="80"/>
    <n v="0"/>
    <n v="25"/>
    <n v="3"/>
    <n v="3"/>
    <n v="17"/>
    <n v="14"/>
    <n v="12"/>
    <n v="11"/>
    <n v="0"/>
    <x v="1"/>
    <x v="1"/>
    <s v="5k-10k"/>
    <x v="2"/>
    <x v="1"/>
    <x v="2"/>
  </r>
  <r>
    <n v="33"/>
    <s v="No"/>
    <x v="2"/>
    <n v="1313"/>
    <x v="1"/>
    <n v="1"/>
    <n v="2"/>
    <s v="Medical"/>
    <n v="1"/>
    <n v="1994"/>
    <n v="2"/>
    <x v="1"/>
    <n v="59"/>
    <n v="2"/>
    <n v="1"/>
    <s v="Laboratory Technician"/>
    <n v="3"/>
    <s v="Divorced"/>
    <n v="2008"/>
    <n v="20439"/>
    <n v="1"/>
    <s v="Y"/>
    <s v="No"/>
    <n v="12"/>
    <x v="0"/>
    <n v="3"/>
    <n v="80"/>
    <n v="3"/>
    <n v="1"/>
    <n v="2"/>
    <n v="2"/>
    <n v="1"/>
    <n v="1"/>
    <n v="0"/>
    <n v="0"/>
    <n v="0"/>
    <x v="0"/>
    <x v="0"/>
    <s v="0-5k"/>
    <x v="0"/>
    <x v="0"/>
    <x v="2"/>
  </r>
  <r>
    <n v="38"/>
    <s v="No"/>
    <x v="0"/>
    <n v="1321"/>
    <x v="0"/>
    <n v="1"/>
    <n v="4"/>
    <s v="Life Sciences"/>
    <n v="1"/>
    <n v="1995"/>
    <n v="4"/>
    <x v="1"/>
    <n v="86"/>
    <n v="3"/>
    <n v="2"/>
    <s v="Sales Executive"/>
    <n v="2"/>
    <s v="Married"/>
    <n v="4440"/>
    <n v="7636"/>
    <n v="0"/>
    <s v="Y"/>
    <s v="No"/>
    <n v="15"/>
    <x v="0"/>
    <n v="1"/>
    <n v="80"/>
    <n v="2"/>
    <n v="16"/>
    <n v="3"/>
    <n v="3"/>
    <n v="15"/>
    <n v="13"/>
    <n v="5"/>
    <n v="8"/>
    <n v="0"/>
    <x v="0"/>
    <x v="0"/>
    <s v="0-5k"/>
    <x v="2"/>
    <x v="0"/>
    <x v="1"/>
  </r>
  <r>
    <n v="31"/>
    <s v="No"/>
    <x v="0"/>
    <n v="1154"/>
    <x v="0"/>
    <n v="2"/>
    <n v="2"/>
    <s v="Life Sciences"/>
    <n v="1"/>
    <n v="1996"/>
    <n v="1"/>
    <x v="1"/>
    <n v="54"/>
    <n v="3"/>
    <n v="1"/>
    <s v="Sales Representative"/>
    <n v="3"/>
    <s v="Married"/>
    <n v="3067"/>
    <n v="6393"/>
    <n v="0"/>
    <s v="Y"/>
    <s v="No"/>
    <n v="19"/>
    <x v="0"/>
    <n v="3"/>
    <n v="80"/>
    <n v="1"/>
    <n v="3"/>
    <n v="1"/>
    <n v="3"/>
    <n v="2"/>
    <n v="2"/>
    <n v="1"/>
    <n v="2"/>
    <n v="0"/>
    <x v="0"/>
    <x v="0"/>
    <s v="0-5k"/>
    <x v="0"/>
    <x v="0"/>
    <x v="2"/>
  </r>
  <r>
    <n v="38"/>
    <s v="No"/>
    <x v="1"/>
    <n v="508"/>
    <x v="1"/>
    <n v="6"/>
    <n v="4"/>
    <s v="Life Sciences"/>
    <n v="1"/>
    <n v="1997"/>
    <n v="1"/>
    <x v="1"/>
    <n v="72"/>
    <n v="2"/>
    <n v="2"/>
    <s v="Manufacturing Director"/>
    <n v="3"/>
    <s v="Married"/>
    <n v="5321"/>
    <n v="14284"/>
    <n v="2"/>
    <s v="Y"/>
    <s v="No"/>
    <n v="11"/>
    <x v="0"/>
    <n v="4"/>
    <n v="80"/>
    <n v="1"/>
    <n v="10"/>
    <n v="1"/>
    <n v="3"/>
    <n v="8"/>
    <n v="3"/>
    <n v="7"/>
    <n v="7"/>
    <n v="0"/>
    <x v="0"/>
    <x v="0"/>
    <s v="5k-10k"/>
    <x v="0"/>
    <x v="0"/>
    <x v="2"/>
  </r>
  <r>
    <n v="42"/>
    <s v="No"/>
    <x v="0"/>
    <n v="557"/>
    <x v="1"/>
    <n v="18"/>
    <n v="4"/>
    <s v="Life Sciences"/>
    <n v="1"/>
    <n v="1998"/>
    <n v="4"/>
    <x v="1"/>
    <n v="35"/>
    <n v="3"/>
    <n v="2"/>
    <s v="Research Scientist"/>
    <n v="1"/>
    <s v="Divorced"/>
    <n v="5410"/>
    <n v="11189"/>
    <n v="6"/>
    <s v="Y"/>
    <s v="Yes"/>
    <n v="17"/>
    <x v="0"/>
    <n v="3"/>
    <n v="80"/>
    <n v="1"/>
    <n v="9"/>
    <n v="3"/>
    <n v="2"/>
    <n v="4"/>
    <n v="3"/>
    <n v="1"/>
    <n v="2"/>
    <n v="0"/>
    <x v="0"/>
    <x v="2"/>
    <s v="5k-10k"/>
    <x v="0"/>
    <x v="0"/>
    <x v="3"/>
  </r>
  <r>
    <n v="41"/>
    <s v="No"/>
    <x v="0"/>
    <n v="642"/>
    <x v="1"/>
    <n v="1"/>
    <n v="3"/>
    <s v="Life Sciences"/>
    <n v="1"/>
    <n v="1999"/>
    <n v="4"/>
    <x v="1"/>
    <n v="76"/>
    <n v="3"/>
    <n v="1"/>
    <s v="Research Scientist"/>
    <n v="4"/>
    <s v="Married"/>
    <n v="2782"/>
    <n v="21412"/>
    <n v="3"/>
    <s v="Y"/>
    <s v="No"/>
    <n v="22"/>
    <x v="1"/>
    <n v="1"/>
    <n v="80"/>
    <n v="1"/>
    <n v="12"/>
    <n v="3"/>
    <n v="3"/>
    <n v="5"/>
    <n v="3"/>
    <n v="1"/>
    <n v="0"/>
    <n v="0"/>
    <x v="0"/>
    <x v="0"/>
    <s v="0-5k"/>
    <x v="0"/>
    <x v="1"/>
    <x v="0"/>
  </r>
  <r>
    <n v="47"/>
    <s v="No"/>
    <x v="2"/>
    <n v="1162"/>
    <x v="1"/>
    <n v="1"/>
    <n v="1"/>
    <s v="Medical"/>
    <n v="1"/>
    <n v="2000"/>
    <n v="3"/>
    <x v="0"/>
    <n v="98"/>
    <n v="3"/>
    <n v="3"/>
    <s v="Research Director"/>
    <n v="2"/>
    <s v="Married"/>
    <n v="11957"/>
    <n v="17231"/>
    <n v="0"/>
    <s v="Y"/>
    <s v="No"/>
    <n v="18"/>
    <x v="0"/>
    <n v="1"/>
    <n v="80"/>
    <n v="2"/>
    <n v="14"/>
    <n v="3"/>
    <n v="1"/>
    <n v="13"/>
    <n v="8"/>
    <n v="5"/>
    <n v="12"/>
    <n v="0"/>
    <x v="1"/>
    <x v="0"/>
    <s v="10k-15k"/>
    <x v="2"/>
    <x v="0"/>
    <x v="1"/>
  </r>
  <r>
    <n v="35"/>
    <s v="No"/>
    <x v="0"/>
    <n v="1490"/>
    <x v="1"/>
    <n v="11"/>
    <n v="4"/>
    <s v="Medical"/>
    <n v="1"/>
    <n v="2003"/>
    <n v="4"/>
    <x v="1"/>
    <n v="43"/>
    <n v="3"/>
    <n v="1"/>
    <s v="Laboratory Technician"/>
    <n v="3"/>
    <s v="Married"/>
    <n v="2660"/>
    <n v="20232"/>
    <n v="7"/>
    <s v="Y"/>
    <s v="Yes"/>
    <n v="11"/>
    <x v="0"/>
    <n v="3"/>
    <n v="80"/>
    <n v="1"/>
    <n v="5"/>
    <n v="3"/>
    <n v="3"/>
    <n v="2"/>
    <n v="2"/>
    <n v="2"/>
    <n v="2"/>
    <n v="0"/>
    <x v="0"/>
    <x v="2"/>
    <s v="0-5k"/>
    <x v="0"/>
    <x v="0"/>
    <x v="2"/>
  </r>
  <r>
    <n v="22"/>
    <s v="No"/>
    <x v="0"/>
    <n v="581"/>
    <x v="1"/>
    <n v="1"/>
    <n v="2"/>
    <s v="Life Sciences"/>
    <n v="1"/>
    <n v="2007"/>
    <n v="4"/>
    <x v="1"/>
    <n v="63"/>
    <n v="3"/>
    <n v="1"/>
    <s v="Research Scientist"/>
    <n v="3"/>
    <s v="Single"/>
    <n v="3375"/>
    <n v="17624"/>
    <n v="0"/>
    <s v="Y"/>
    <s v="No"/>
    <n v="12"/>
    <x v="0"/>
    <n v="4"/>
    <n v="80"/>
    <n v="0"/>
    <n v="4"/>
    <n v="2"/>
    <n v="4"/>
    <n v="3"/>
    <n v="2"/>
    <n v="1"/>
    <n v="2"/>
    <n v="0"/>
    <x v="2"/>
    <x v="0"/>
    <s v="0-5k"/>
    <x v="0"/>
    <x v="0"/>
    <x v="2"/>
  </r>
  <r>
    <n v="35"/>
    <s v="No"/>
    <x v="0"/>
    <n v="1395"/>
    <x v="1"/>
    <n v="9"/>
    <n v="4"/>
    <s v="Medical"/>
    <n v="1"/>
    <n v="2008"/>
    <n v="2"/>
    <x v="1"/>
    <n v="48"/>
    <n v="3"/>
    <n v="2"/>
    <s v="Research Scientist"/>
    <n v="3"/>
    <s v="Single"/>
    <n v="5098"/>
    <n v="18698"/>
    <n v="1"/>
    <s v="Y"/>
    <s v="No"/>
    <n v="19"/>
    <x v="0"/>
    <n v="2"/>
    <n v="80"/>
    <n v="0"/>
    <n v="10"/>
    <n v="5"/>
    <n v="3"/>
    <n v="10"/>
    <n v="7"/>
    <n v="0"/>
    <n v="8"/>
    <n v="0"/>
    <x v="0"/>
    <x v="0"/>
    <s v="5k-10k"/>
    <x v="0"/>
    <x v="0"/>
    <x v="2"/>
  </r>
  <r>
    <n v="33"/>
    <s v="No"/>
    <x v="0"/>
    <n v="501"/>
    <x v="1"/>
    <n v="15"/>
    <n v="2"/>
    <s v="Medical"/>
    <n v="1"/>
    <n v="2009"/>
    <n v="2"/>
    <x v="0"/>
    <n v="95"/>
    <n v="3"/>
    <n v="2"/>
    <s v="Healthcare Representative"/>
    <n v="4"/>
    <s v="Married"/>
    <n v="4878"/>
    <n v="21653"/>
    <n v="0"/>
    <s v="Y"/>
    <s v="Yes"/>
    <n v="13"/>
    <x v="0"/>
    <n v="1"/>
    <n v="80"/>
    <n v="1"/>
    <n v="10"/>
    <n v="6"/>
    <n v="3"/>
    <n v="9"/>
    <n v="7"/>
    <n v="8"/>
    <n v="1"/>
    <n v="0"/>
    <x v="0"/>
    <x v="2"/>
    <s v="0-5k"/>
    <x v="0"/>
    <x v="0"/>
    <x v="0"/>
  </r>
  <r>
    <n v="32"/>
    <s v="No"/>
    <x v="0"/>
    <n v="267"/>
    <x v="1"/>
    <n v="29"/>
    <n v="4"/>
    <s v="Life Sciences"/>
    <n v="1"/>
    <n v="2010"/>
    <n v="3"/>
    <x v="0"/>
    <n v="49"/>
    <n v="2"/>
    <n v="1"/>
    <s v="Laboratory Technician"/>
    <n v="2"/>
    <s v="Single"/>
    <n v="2837"/>
    <n v="15919"/>
    <n v="1"/>
    <s v="Y"/>
    <s v="No"/>
    <n v="13"/>
    <x v="0"/>
    <n v="3"/>
    <n v="80"/>
    <n v="0"/>
    <n v="6"/>
    <n v="3"/>
    <n v="3"/>
    <n v="6"/>
    <n v="2"/>
    <n v="4"/>
    <n v="1"/>
    <n v="0"/>
    <x v="0"/>
    <x v="1"/>
    <s v="0-5k"/>
    <x v="0"/>
    <x v="0"/>
    <x v="1"/>
  </r>
  <r>
    <n v="40"/>
    <s v="No"/>
    <x v="0"/>
    <n v="543"/>
    <x v="1"/>
    <n v="1"/>
    <n v="4"/>
    <s v="Life Sciences"/>
    <n v="1"/>
    <n v="2012"/>
    <n v="1"/>
    <x v="1"/>
    <n v="83"/>
    <n v="3"/>
    <n v="1"/>
    <s v="Laboratory Technician"/>
    <n v="4"/>
    <s v="Married"/>
    <n v="2406"/>
    <n v="4060"/>
    <n v="8"/>
    <s v="Y"/>
    <s v="No"/>
    <n v="19"/>
    <x v="0"/>
    <n v="3"/>
    <n v="80"/>
    <n v="2"/>
    <n v="8"/>
    <n v="3"/>
    <n v="2"/>
    <n v="1"/>
    <n v="0"/>
    <n v="0"/>
    <n v="0"/>
    <n v="0"/>
    <x v="0"/>
    <x v="0"/>
    <s v="0-5k"/>
    <x v="0"/>
    <x v="0"/>
    <x v="0"/>
  </r>
  <r>
    <n v="32"/>
    <s v="No"/>
    <x v="0"/>
    <n v="234"/>
    <x v="0"/>
    <n v="1"/>
    <n v="4"/>
    <s v="Medical"/>
    <n v="1"/>
    <n v="2013"/>
    <n v="2"/>
    <x v="1"/>
    <n v="68"/>
    <n v="2"/>
    <n v="1"/>
    <s v="Sales Representative"/>
    <n v="2"/>
    <s v="Married"/>
    <n v="2269"/>
    <n v="18024"/>
    <n v="0"/>
    <s v="Y"/>
    <s v="No"/>
    <n v="14"/>
    <x v="0"/>
    <n v="2"/>
    <n v="80"/>
    <n v="1"/>
    <n v="3"/>
    <n v="2"/>
    <n v="3"/>
    <n v="2"/>
    <n v="2"/>
    <n v="2"/>
    <n v="2"/>
    <n v="0"/>
    <x v="0"/>
    <x v="0"/>
    <s v="0-5k"/>
    <x v="0"/>
    <x v="0"/>
    <x v="1"/>
  </r>
  <r>
    <n v="39"/>
    <s v="No"/>
    <x v="0"/>
    <n v="116"/>
    <x v="1"/>
    <n v="24"/>
    <n v="1"/>
    <s v="Life Sciences"/>
    <n v="1"/>
    <n v="2014"/>
    <n v="1"/>
    <x v="1"/>
    <n v="52"/>
    <n v="3"/>
    <n v="2"/>
    <s v="Research Scientist"/>
    <n v="4"/>
    <s v="Single"/>
    <n v="4108"/>
    <n v="5340"/>
    <n v="7"/>
    <s v="Y"/>
    <s v="No"/>
    <n v="13"/>
    <x v="0"/>
    <n v="1"/>
    <n v="80"/>
    <n v="0"/>
    <n v="18"/>
    <n v="2"/>
    <n v="3"/>
    <n v="7"/>
    <n v="7"/>
    <n v="1"/>
    <n v="7"/>
    <n v="0"/>
    <x v="0"/>
    <x v="1"/>
    <s v="0-5k"/>
    <x v="0"/>
    <x v="0"/>
    <x v="0"/>
  </r>
  <r>
    <n v="38"/>
    <s v="No"/>
    <x v="0"/>
    <n v="201"/>
    <x v="1"/>
    <n v="10"/>
    <n v="3"/>
    <s v="Medical"/>
    <n v="1"/>
    <n v="2015"/>
    <n v="2"/>
    <x v="0"/>
    <n v="99"/>
    <n v="1"/>
    <n v="3"/>
    <s v="Research Director"/>
    <n v="3"/>
    <s v="Married"/>
    <n v="13206"/>
    <n v="3376"/>
    <n v="3"/>
    <s v="Y"/>
    <s v="No"/>
    <n v="12"/>
    <x v="0"/>
    <n v="1"/>
    <n v="80"/>
    <n v="1"/>
    <n v="20"/>
    <n v="3"/>
    <n v="3"/>
    <n v="18"/>
    <n v="16"/>
    <n v="1"/>
    <n v="11"/>
    <n v="0"/>
    <x v="0"/>
    <x v="0"/>
    <s v="10k-15k"/>
    <x v="2"/>
    <x v="0"/>
    <x v="2"/>
  </r>
  <r>
    <n v="32"/>
    <s v="No"/>
    <x v="0"/>
    <n v="801"/>
    <x v="0"/>
    <n v="1"/>
    <n v="4"/>
    <s v="Marketing"/>
    <n v="1"/>
    <n v="2016"/>
    <n v="3"/>
    <x v="0"/>
    <n v="48"/>
    <n v="3"/>
    <n v="3"/>
    <s v="Sales Executive"/>
    <n v="4"/>
    <s v="Married"/>
    <n v="10422"/>
    <n v="24032"/>
    <n v="1"/>
    <s v="Y"/>
    <s v="No"/>
    <n v="19"/>
    <x v="0"/>
    <n v="3"/>
    <n v="80"/>
    <n v="2"/>
    <n v="14"/>
    <n v="3"/>
    <n v="3"/>
    <n v="14"/>
    <n v="10"/>
    <n v="5"/>
    <n v="7"/>
    <n v="0"/>
    <x v="0"/>
    <x v="0"/>
    <s v="10k-15k"/>
    <x v="2"/>
    <x v="0"/>
    <x v="0"/>
  </r>
  <r>
    <n v="37"/>
    <s v="No"/>
    <x v="0"/>
    <n v="161"/>
    <x v="1"/>
    <n v="10"/>
    <n v="3"/>
    <s v="Life Sciences"/>
    <n v="1"/>
    <n v="2017"/>
    <n v="3"/>
    <x v="0"/>
    <n v="42"/>
    <n v="4"/>
    <n v="3"/>
    <s v="Research Director"/>
    <n v="4"/>
    <s v="Married"/>
    <n v="13744"/>
    <n v="15471"/>
    <n v="1"/>
    <s v="Y"/>
    <s v="Yes"/>
    <n v="25"/>
    <x v="1"/>
    <n v="1"/>
    <n v="80"/>
    <n v="1"/>
    <n v="16"/>
    <n v="2"/>
    <n v="3"/>
    <n v="16"/>
    <n v="11"/>
    <n v="6"/>
    <n v="8"/>
    <n v="0"/>
    <x v="0"/>
    <x v="0"/>
    <s v="10k-15k"/>
    <x v="2"/>
    <x v="1"/>
    <x v="0"/>
  </r>
  <r>
    <n v="25"/>
    <s v="No"/>
    <x v="0"/>
    <n v="1382"/>
    <x v="0"/>
    <n v="8"/>
    <n v="2"/>
    <s v="Other"/>
    <n v="1"/>
    <n v="2018"/>
    <n v="1"/>
    <x v="0"/>
    <n v="85"/>
    <n v="3"/>
    <n v="2"/>
    <s v="Sales Executive"/>
    <n v="3"/>
    <s v="Divorced"/>
    <n v="4907"/>
    <n v="13684"/>
    <n v="0"/>
    <s v="Y"/>
    <s v="Yes"/>
    <n v="22"/>
    <x v="1"/>
    <n v="2"/>
    <n v="80"/>
    <n v="1"/>
    <n v="6"/>
    <n v="3"/>
    <n v="2"/>
    <n v="5"/>
    <n v="3"/>
    <n v="0"/>
    <n v="4"/>
    <n v="0"/>
    <x v="2"/>
    <x v="0"/>
    <s v="0-5k"/>
    <x v="0"/>
    <x v="1"/>
    <x v="2"/>
  </r>
  <r>
    <n v="52"/>
    <s v="No"/>
    <x v="2"/>
    <n v="585"/>
    <x v="0"/>
    <n v="29"/>
    <n v="4"/>
    <s v="Life Sciences"/>
    <n v="1"/>
    <n v="2019"/>
    <n v="1"/>
    <x v="1"/>
    <n v="40"/>
    <n v="3"/>
    <n v="1"/>
    <s v="Sales Representative"/>
    <n v="4"/>
    <s v="Divorced"/>
    <n v="3482"/>
    <n v="19788"/>
    <n v="2"/>
    <s v="Y"/>
    <s v="No"/>
    <n v="15"/>
    <x v="0"/>
    <n v="2"/>
    <n v="80"/>
    <n v="2"/>
    <n v="16"/>
    <n v="3"/>
    <n v="2"/>
    <n v="9"/>
    <n v="8"/>
    <n v="0"/>
    <n v="0"/>
    <n v="0"/>
    <x v="1"/>
    <x v="1"/>
    <s v="0-5k"/>
    <x v="0"/>
    <x v="0"/>
    <x v="0"/>
  </r>
  <r>
    <n v="44"/>
    <s v="No"/>
    <x v="0"/>
    <n v="1037"/>
    <x v="1"/>
    <n v="1"/>
    <n v="3"/>
    <s v="Medical"/>
    <n v="1"/>
    <n v="2020"/>
    <n v="2"/>
    <x v="1"/>
    <n v="42"/>
    <n v="3"/>
    <n v="1"/>
    <s v="Research Scientist"/>
    <n v="4"/>
    <s v="Single"/>
    <n v="2436"/>
    <n v="13422"/>
    <n v="6"/>
    <s v="Y"/>
    <s v="Yes"/>
    <n v="12"/>
    <x v="0"/>
    <n v="3"/>
    <n v="80"/>
    <n v="0"/>
    <n v="6"/>
    <n v="2"/>
    <n v="3"/>
    <n v="4"/>
    <n v="3"/>
    <n v="1"/>
    <n v="2"/>
    <n v="0"/>
    <x v="0"/>
    <x v="0"/>
    <s v="0-5k"/>
    <x v="0"/>
    <x v="0"/>
    <x v="0"/>
  </r>
  <r>
    <n v="21"/>
    <s v="No"/>
    <x v="0"/>
    <n v="501"/>
    <x v="0"/>
    <n v="5"/>
    <n v="1"/>
    <s v="Medical"/>
    <n v="1"/>
    <n v="2021"/>
    <n v="3"/>
    <x v="1"/>
    <n v="58"/>
    <n v="3"/>
    <n v="1"/>
    <s v="Sales Representative"/>
    <n v="1"/>
    <s v="Single"/>
    <n v="2380"/>
    <n v="25479"/>
    <n v="1"/>
    <s v="Y"/>
    <s v="Yes"/>
    <n v="11"/>
    <x v="0"/>
    <n v="4"/>
    <n v="80"/>
    <n v="0"/>
    <n v="2"/>
    <n v="6"/>
    <n v="3"/>
    <n v="2"/>
    <n v="2"/>
    <n v="1"/>
    <n v="2"/>
    <n v="0"/>
    <x v="2"/>
    <x v="0"/>
    <s v="0-5k"/>
    <x v="0"/>
    <x v="0"/>
    <x v="3"/>
  </r>
  <r>
    <n v="39"/>
    <s v="No"/>
    <x v="2"/>
    <n v="105"/>
    <x v="1"/>
    <n v="9"/>
    <n v="3"/>
    <s v="Life Sciences"/>
    <n v="1"/>
    <n v="2022"/>
    <n v="4"/>
    <x v="1"/>
    <n v="87"/>
    <n v="3"/>
    <n v="5"/>
    <s v="Manager"/>
    <n v="4"/>
    <s v="Single"/>
    <n v="19431"/>
    <n v="15302"/>
    <n v="2"/>
    <s v="Y"/>
    <s v="No"/>
    <n v="13"/>
    <x v="0"/>
    <n v="3"/>
    <n v="80"/>
    <n v="0"/>
    <n v="21"/>
    <n v="3"/>
    <n v="2"/>
    <n v="6"/>
    <n v="0"/>
    <n v="1"/>
    <n v="3"/>
    <n v="0"/>
    <x v="0"/>
    <x v="0"/>
    <s v="15k+"/>
    <x v="0"/>
    <x v="0"/>
    <x v="0"/>
  </r>
  <r>
    <n v="23"/>
    <s v="Yes"/>
    <x v="1"/>
    <n v="638"/>
    <x v="0"/>
    <n v="9"/>
    <n v="3"/>
    <s v="Marketing"/>
    <n v="1"/>
    <n v="2023"/>
    <n v="4"/>
    <x v="1"/>
    <n v="33"/>
    <n v="3"/>
    <n v="1"/>
    <s v="Sales Representative"/>
    <n v="1"/>
    <s v="Married"/>
    <n v="1790"/>
    <n v="26956"/>
    <n v="1"/>
    <s v="Y"/>
    <s v="No"/>
    <n v="19"/>
    <x v="0"/>
    <n v="1"/>
    <n v="80"/>
    <n v="1"/>
    <n v="1"/>
    <n v="3"/>
    <n v="2"/>
    <n v="1"/>
    <n v="0"/>
    <n v="1"/>
    <n v="0"/>
    <n v="1"/>
    <x v="2"/>
    <x v="0"/>
    <s v="0-5k"/>
    <x v="0"/>
    <x v="0"/>
    <x v="3"/>
  </r>
  <r>
    <n v="36"/>
    <s v="No"/>
    <x v="0"/>
    <n v="557"/>
    <x v="0"/>
    <n v="3"/>
    <n v="3"/>
    <s v="Medical"/>
    <n v="1"/>
    <n v="2024"/>
    <n v="1"/>
    <x v="0"/>
    <n v="94"/>
    <n v="2"/>
    <n v="3"/>
    <s v="Sales Executive"/>
    <n v="4"/>
    <s v="Married"/>
    <n v="7644"/>
    <n v="12695"/>
    <n v="0"/>
    <s v="Y"/>
    <s v="No"/>
    <n v="19"/>
    <x v="0"/>
    <n v="3"/>
    <n v="80"/>
    <n v="2"/>
    <n v="10"/>
    <n v="2"/>
    <n v="3"/>
    <n v="9"/>
    <n v="7"/>
    <n v="3"/>
    <n v="4"/>
    <n v="0"/>
    <x v="0"/>
    <x v="0"/>
    <s v="5k-10k"/>
    <x v="0"/>
    <x v="0"/>
    <x v="0"/>
  </r>
  <r>
    <n v="36"/>
    <s v="No"/>
    <x v="1"/>
    <n v="688"/>
    <x v="1"/>
    <n v="4"/>
    <n v="2"/>
    <s v="Life Sciences"/>
    <n v="1"/>
    <n v="2025"/>
    <n v="4"/>
    <x v="0"/>
    <n v="97"/>
    <n v="3"/>
    <n v="2"/>
    <s v="Manufacturing Director"/>
    <n v="2"/>
    <s v="Divorced"/>
    <n v="5131"/>
    <n v="9192"/>
    <n v="7"/>
    <s v="Y"/>
    <s v="No"/>
    <n v="13"/>
    <x v="0"/>
    <n v="2"/>
    <n v="80"/>
    <n v="3"/>
    <n v="18"/>
    <n v="3"/>
    <n v="3"/>
    <n v="4"/>
    <n v="2"/>
    <n v="0"/>
    <n v="2"/>
    <n v="0"/>
    <x v="0"/>
    <x v="0"/>
    <s v="5k-10k"/>
    <x v="0"/>
    <x v="0"/>
    <x v="1"/>
  </r>
  <r>
    <n v="56"/>
    <s v="No"/>
    <x v="2"/>
    <n v="667"/>
    <x v="1"/>
    <n v="1"/>
    <n v="4"/>
    <s v="Life Sciences"/>
    <n v="1"/>
    <n v="2026"/>
    <n v="3"/>
    <x v="1"/>
    <n v="57"/>
    <n v="3"/>
    <n v="2"/>
    <s v="Healthcare Representative"/>
    <n v="3"/>
    <s v="Divorced"/>
    <n v="6306"/>
    <n v="26236"/>
    <n v="1"/>
    <s v="Y"/>
    <s v="No"/>
    <n v="21"/>
    <x v="1"/>
    <n v="1"/>
    <n v="80"/>
    <n v="1"/>
    <n v="13"/>
    <n v="2"/>
    <n v="2"/>
    <n v="13"/>
    <n v="12"/>
    <n v="1"/>
    <n v="9"/>
    <n v="0"/>
    <x v="1"/>
    <x v="0"/>
    <s v="5k-10k"/>
    <x v="2"/>
    <x v="1"/>
    <x v="2"/>
  </r>
  <r>
    <n v="29"/>
    <s v="Yes"/>
    <x v="0"/>
    <n v="1092"/>
    <x v="1"/>
    <n v="1"/>
    <n v="4"/>
    <s v="Medical"/>
    <n v="1"/>
    <n v="2027"/>
    <n v="1"/>
    <x v="1"/>
    <n v="36"/>
    <n v="3"/>
    <n v="1"/>
    <s v="Research Scientist"/>
    <n v="4"/>
    <s v="Married"/>
    <n v="4787"/>
    <n v="26124"/>
    <n v="9"/>
    <s v="Y"/>
    <s v="Yes"/>
    <n v="14"/>
    <x v="0"/>
    <n v="2"/>
    <n v="80"/>
    <n v="3"/>
    <n v="4"/>
    <n v="3"/>
    <n v="4"/>
    <n v="2"/>
    <n v="2"/>
    <n v="2"/>
    <n v="2"/>
    <n v="1"/>
    <x v="2"/>
    <x v="0"/>
    <s v="0-5k"/>
    <x v="0"/>
    <x v="0"/>
    <x v="0"/>
  </r>
  <r>
    <n v="42"/>
    <s v="No"/>
    <x v="0"/>
    <n v="300"/>
    <x v="1"/>
    <n v="2"/>
    <n v="3"/>
    <s v="Life Sciences"/>
    <n v="1"/>
    <n v="2031"/>
    <n v="1"/>
    <x v="1"/>
    <n v="56"/>
    <n v="3"/>
    <n v="5"/>
    <s v="Manager"/>
    <n v="3"/>
    <s v="Married"/>
    <n v="18880"/>
    <n v="17312"/>
    <n v="5"/>
    <s v="Y"/>
    <s v="No"/>
    <n v="11"/>
    <x v="0"/>
    <n v="1"/>
    <n v="80"/>
    <n v="0"/>
    <n v="24"/>
    <n v="2"/>
    <n v="2"/>
    <n v="22"/>
    <n v="6"/>
    <n v="4"/>
    <n v="14"/>
    <n v="0"/>
    <x v="0"/>
    <x v="0"/>
    <s v="15k+"/>
    <x v="1"/>
    <x v="0"/>
    <x v="2"/>
  </r>
  <r>
    <n v="56"/>
    <s v="Yes"/>
    <x v="0"/>
    <n v="310"/>
    <x v="1"/>
    <n v="7"/>
    <n v="2"/>
    <s v="Technical Degree"/>
    <n v="1"/>
    <n v="2032"/>
    <n v="4"/>
    <x v="1"/>
    <n v="72"/>
    <n v="3"/>
    <n v="1"/>
    <s v="Laboratory Technician"/>
    <n v="3"/>
    <s v="Married"/>
    <n v="2339"/>
    <n v="3666"/>
    <n v="8"/>
    <s v="Y"/>
    <s v="No"/>
    <n v="11"/>
    <x v="0"/>
    <n v="4"/>
    <n v="80"/>
    <n v="1"/>
    <n v="14"/>
    <n v="4"/>
    <n v="1"/>
    <n v="10"/>
    <n v="9"/>
    <n v="9"/>
    <n v="8"/>
    <n v="1"/>
    <x v="1"/>
    <x v="0"/>
    <s v="0-5k"/>
    <x v="0"/>
    <x v="0"/>
    <x v="2"/>
  </r>
  <r>
    <n v="41"/>
    <s v="No"/>
    <x v="0"/>
    <n v="582"/>
    <x v="1"/>
    <n v="28"/>
    <n v="4"/>
    <s v="Life Sciences"/>
    <n v="1"/>
    <n v="2034"/>
    <n v="1"/>
    <x v="0"/>
    <n v="60"/>
    <n v="2"/>
    <n v="4"/>
    <s v="Manufacturing Director"/>
    <n v="2"/>
    <s v="Married"/>
    <n v="13570"/>
    <n v="5640"/>
    <n v="0"/>
    <s v="Y"/>
    <s v="No"/>
    <n v="23"/>
    <x v="1"/>
    <n v="3"/>
    <n v="80"/>
    <n v="1"/>
    <n v="21"/>
    <n v="3"/>
    <n v="3"/>
    <n v="20"/>
    <n v="7"/>
    <n v="0"/>
    <n v="10"/>
    <n v="0"/>
    <x v="0"/>
    <x v="1"/>
    <s v="10k-15k"/>
    <x v="2"/>
    <x v="1"/>
    <x v="1"/>
  </r>
  <r>
    <n v="34"/>
    <s v="No"/>
    <x v="0"/>
    <n v="704"/>
    <x v="0"/>
    <n v="28"/>
    <n v="3"/>
    <s v="Marketing"/>
    <n v="1"/>
    <n v="2035"/>
    <n v="4"/>
    <x v="0"/>
    <n v="95"/>
    <n v="2"/>
    <n v="2"/>
    <s v="Sales Executive"/>
    <n v="3"/>
    <s v="Married"/>
    <n v="6712"/>
    <n v="8978"/>
    <n v="1"/>
    <s v="Y"/>
    <s v="No"/>
    <n v="21"/>
    <x v="1"/>
    <n v="4"/>
    <n v="80"/>
    <n v="2"/>
    <n v="8"/>
    <n v="2"/>
    <n v="3"/>
    <n v="8"/>
    <n v="7"/>
    <n v="1"/>
    <n v="7"/>
    <n v="0"/>
    <x v="0"/>
    <x v="1"/>
    <s v="5k-10k"/>
    <x v="0"/>
    <x v="1"/>
    <x v="2"/>
  </r>
  <r>
    <n v="36"/>
    <s v="No"/>
    <x v="2"/>
    <n v="301"/>
    <x v="0"/>
    <n v="15"/>
    <n v="4"/>
    <s v="Marketing"/>
    <n v="1"/>
    <n v="2036"/>
    <n v="4"/>
    <x v="1"/>
    <n v="88"/>
    <n v="1"/>
    <n v="2"/>
    <s v="Sales Executive"/>
    <n v="4"/>
    <s v="Divorced"/>
    <n v="5406"/>
    <n v="10436"/>
    <n v="1"/>
    <s v="Y"/>
    <s v="No"/>
    <n v="24"/>
    <x v="1"/>
    <n v="1"/>
    <n v="80"/>
    <n v="1"/>
    <n v="15"/>
    <n v="4"/>
    <n v="2"/>
    <n v="15"/>
    <n v="12"/>
    <n v="11"/>
    <n v="11"/>
    <n v="0"/>
    <x v="0"/>
    <x v="2"/>
    <s v="5k-10k"/>
    <x v="2"/>
    <x v="1"/>
    <x v="0"/>
  </r>
  <r>
    <n v="41"/>
    <s v="No"/>
    <x v="0"/>
    <n v="930"/>
    <x v="0"/>
    <n v="3"/>
    <n v="3"/>
    <s v="Life Sciences"/>
    <n v="1"/>
    <n v="2037"/>
    <n v="3"/>
    <x v="1"/>
    <n v="57"/>
    <n v="2"/>
    <n v="2"/>
    <s v="Sales Executive"/>
    <n v="2"/>
    <s v="Divorced"/>
    <n v="8938"/>
    <n v="12227"/>
    <n v="2"/>
    <s v="Y"/>
    <s v="No"/>
    <n v="11"/>
    <x v="0"/>
    <n v="3"/>
    <n v="80"/>
    <n v="1"/>
    <n v="14"/>
    <n v="5"/>
    <n v="3"/>
    <n v="5"/>
    <n v="4"/>
    <n v="0"/>
    <n v="4"/>
    <n v="0"/>
    <x v="0"/>
    <x v="0"/>
    <s v="5k-10k"/>
    <x v="0"/>
    <x v="0"/>
    <x v="1"/>
  </r>
  <r>
    <n v="32"/>
    <s v="No"/>
    <x v="0"/>
    <n v="529"/>
    <x v="1"/>
    <n v="2"/>
    <n v="3"/>
    <s v="Technical Degree"/>
    <n v="1"/>
    <n v="2038"/>
    <n v="4"/>
    <x v="1"/>
    <n v="78"/>
    <n v="3"/>
    <n v="1"/>
    <s v="Research Scientist"/>
    <n v="1"/>
    <s v="Single"/>
    <n v="2439"/>
    <n v="11288"/>
    <n v="1"/>
    <s v="Y"/>
    <s v="No"/>
    <n v="14"/>
    <x v="0"/>
    <n v="4"/>
    <n v="80"/>
    <n v="0"/>
    <n v="4"/>
    <n v="4"/>
    <n v="3"/>
    <n v="4"/>
    <n v="2"/>
    <n v="1"/>
    <n v="2"/>
    <n v="0"/>
    <x v="0"/>
    <x v="0"/>
    <s v="0-5k"/>
    <x v="0"/>
    <x v="0"/>
    <x v="3"/>
  </r>
  <r>
    <n v="35"/>
    <s v="No"/>
    <x v="0"/>
    <n v="1146"/>
    <x v="2"/>
    <n v="26"/>
    <n v="4"/>
    <s v="Life Sciences"/>
    <n v="1"/>
    <n v="2040"/>
    <n v="3"/>
    <x v="0"/>
    <n v="31"/>
    <n v="3"/>
    <n v="3"/>
    <s v="Human Resources"/>
    <n v="4"/>
    <s v="Single"/>
    <n v="8837"/>
    <n v="16642"/>
    <n v="1"/>
    <s v="Y"/>
    <s v="Yes"/>
    <n v="16"/>
    <x v="0"/>
    <n v="3"/>
    <n v="80"/>
    <n v="0"/>
    <n v="9"/>
    <n v="2"/>
    <n v="3"/>
    <n v="9"/>
    <n v="0"/>
    <n v="1"/>
    <n v="7"/>
    <n v="0"/>
    <x v="0"/>
    <x v="1"/>
    <s v="5k-10k"/>
    <x v="0"/>
    <x v="0"/>
    <x v="0"/>
  </r>
  <r>
    <n v="38"/>
    <s v="No"/>
    <x v="0"/>
    <n v="345"/>
    <x v="0"/>
    <n v="10"/>
    <n v="2"/>
    <s v="Life Sciences"/>
    <n v="1"/>
    <n v="2041"/>
    <n v="1"/>
    <x v="0"/>
    <n v="100"/>
    <n v="3"/>
    <n v="2"/>
    <s v="Sales Executive"/>
    <n v="4"/>
    <s v="Married"/>
    <n v="5343"/>
    <n v="5982"/>
    <n v="1"/>
    <s v="Y"/>
    <s v="No"/>
    <n v="11"/>
    <x v="0"/>
    <n v="3"/>
    <n v="80"/>
    <n v="1"/>
    <n v="10"/>
    <n v="1"/>
    <n v="3"/>
    <n v="10"/>
    <n v="7"/>
    <n v="1"/>
    <n v="9"/>
    <n v="0"/>
    <x v="0"/>
    <x v="0"/>
    <s v="5k-10k"/>
    <x v="0"/>
    <x v="0"/>
    <x v="0"/>
  </r>
  <r>
    <n v="50"/>
    <s v="Yes"/>
    <x v="1"/>
    <n v="878"/>
    <x v="0"/>
    <n v="1"/>
    <n v="4"/>
    <s v="Life Sciences"/>
    <n v="1"/>
    <n v="2044"/>
    <n v="2"/>
    <x v="1"/>
    <n v="94"/>
    <n v="3"/>
    <n v="2"/>
    <s v="Sales Executive"/>
    <n v="3"/>
    <s v="Divorced"/>
    <n v="6728"/>
    <n v="14255"/>
    <n v="7"/>
    <s v="Y"/>
    <s v="No"/>
    <n v="12"/>
    <x v="0"/>
    <n v="4"/>
    <n v="80"/>
    <n v="2"/>
    <n v="12"/>
    <n v="3"/>
    <n v="3"/>
    <n v="6"/>
    <n v="3"/>
    <n v="0"/>
    <n v="1"/>
    <n v="1"/>
    <x v="1"/>
    <x v="0"/>
    <s v="5k-10k"/>
    <x v="0"/>
    <x v="0"/>
    <x v="2"/>
  </r>
  <r>
    <n v="36"/>
    <s v="No"/>
    <x v="0"/>
    <n v="1120"/>
    <x v="0"/>
    <n v="11"/>
    <n v="4"/>
    <s v="Marketing"/>
    <n v="1"/>
    <n v="2045"/>
    <n v="2"/>
    <x v="0"/>
    <n v="100"/>
    <n v="2"/>
    <n v="2"/>
    <s v="Sales Executive"/>
    <n v="4"/>
    <s v="Married"/>
    <n v="6652"/>
    <n v="14369"/>
    <n v="4"/>
    <s v="Y"/>
    <s v="No"/>
    <n v="13"/>
    <x v="0"/>
    <n v="1"/>
    <n v="80"/>
    <n v="1"/>
    <n v="8"/>
    <n v="2"/>
    <n v="2"/>
    <n v="6"/>
    <n v="3"/>
    <n v="0"/>
    <n v="0"/>
    <n v="0"/>
    <x v="0"/>
    <x v="2"/>
    <s v="5k-10k"/>
    <x v="0"/>
    <x v="0"/>
    <x v="0"/>
  </r>
  <r>
    <n v="45"/>
    <s v="No"/>
    <x v="0"/>
    <n v="374"/>
    <x v="0"/>
    <n v="20"/>
    <n v="3"/>
    <s v="Life Sciences"/>
    <n v="1"/>
    <n v="2046"/>
    <n v="4"/>
    <x v="0"/>
    <n v="50"/>
    <n v="3"/>
    <n v="2"/>
    <s v="Sales Executive"/>
    <n v="3"/>
    <s v="Single"/>
    <n v="4850"/>
    <n v="23333"/>
    <n v="8"/>
    <s v="Y"/>
    <s v="No"/>
    <n v="15"/>
    <x v="0"/>
    <n v="3"/>
    <n v="80"/>
    <n v="0"/>
    <n v="8"/>
    <n v="3"/>
    <n v="3"/>
    <n v="5"/>
    <n v="3"/>
    <n v="0"/>
    <n v="1"/>
    <n v="0"/>
    <x v="0"/>
    <x v="2"/>
    <s v="0-5k"/>
    <x v="0"/>
    <x v="0"/>
    <x v="2"/>
  </r>
  <r>
    <n v="40"/>
    <s v="No"/>
    <x v="0"/>
    <n v="1322"/>
    <x v="1"/>
    <n v="2"/>
    <n v="4"/>
    <s v="Life Sciences"/>
    <n v="1"/>
    <n v="2048"/>
    <n v="3"/>
    <x v="1"/>
    <n v="52"/>
    <n v="2"/>
    <n v="1"/>
    <s v="Research Scientist"/>
    <n v="3"/>
    <s v="Single"/>
    <n v="2809"/>
    <n v="2725"/>
    <n v="2"/>
    <s v="Y"/>
    <s v="No"/>
    <n v="14"/>
    <x v="0"/>
    <n v="4"/>
    <n v="80"/>
    <n v="0"/>
    <n v="8"/>
    <n v="2"/>
    <n v="3"/>
    <n v="2"/>
    <n v="2"/>
    <n v="2"/>
    <n v="2"/>
    <n v="0"/>
    <x v="0"/>
    <x v="0"/>
    <s v="0-5k"/>
    <x v="0"/>
    <x v="0"/>
    <x v="2"/>
  </r>
  <r>
    <n v="35"/>
    <s v="No"/>
    <x v="1"/>
    <n v="1199"/>
    <x v="1"/>
    <n v="18"/>
    <n v="4"/>
    <s v="Life Sciences"/>
    <n v="1"/>
    <n v="2049"/>
    <n v="3"/>
    <x v="1"/>
    <n v="80"/>
    <n v="3"/>
    <n v="2"/>
    <s v="Healthcare Representative"/>
    <n v="3"/>
    <s v="Married"/>
    <n v="5689"/>
    <n v="24594"/>
    <n v="1"/>
    <s v="Y"/>
    <s v="Yes"/>
    <n v="14"/>
    <x v="0"/>
    <n v="4"/>
    <n v="80"/>
    <n v="2"/>
    <n v="10"/>
    <n v="2"/>
    <n v="4"/>
    <n v="10"/>
    <n v="2"/>
    <n v="0"/>
    <n v="2"/>
    <n v="0"/>
    <x v="0"/>
    <x v="2"/>
    <s v="5k-10k"/>
    <x v="0"/>
    <x v="0"/>
    <x v="2"/>
  </r>
  <r>
    <n v="40"/>
    <s v="No"/>
    <x v="0"/>
    <n v="1194"/>
    <x v="1"/>
    <n v="2"/>
    <n v="4"/>
    <s v="Medical"/>
    <n v="1"/>
    <n v="2051"/>
    <n v="3"/>
    <x v="0"/>
    <n v="98"/>
    <n v="3"/>
    <n v="1"/>
    <s v="Research Scientist"/>
    <n v="3"/>
    <s v="Married"/>
    <n v="2001"/>
    <n v="12549"/>
    <n v="2"/>
    <s v="Y"/>
    <s v="No"/>
    <n v="14"/>
    <x v="0"/>
    <n v="2"/>
    <n v="80"/>
    <n v="3"/>
    <n v="20"/>
    <n v="2"/>
    <n v="3"/>
    <n v="5"/>
    <n v="3"/>
    <n v="0"/>
    <n v="2"/>
    <n v="0"/>
    <x v="0"/>
    <x v="0"/>
    <s v="0-5k"/>
    <x v="0"/>
    <x v="0"/>
    <x v="2"/>
  </r>
  <r>
    <n v="35"/>
    <s v="No"/>
    <x v="0"/>
    <n v="287"/>
    <x v="1"/>
    <n v="1"/>
    <n v="4"/>
    <s v="Life Sciences"/>
    <n v="1"/>
    <n v="2052"/>
    <n v="3"/>
    <x v="0"/>
    <n v="62"/>
    <n v="1"/>
    <n v="1"/>
    <s v="Research Scientist"/>
    <n v="4"/>
    <s v="Married"/>
    <n v="2977"/>
    <n v="8952"/>
    <n v="1"/>
    <s v="Y"/>
    <s v="No"/>
    <n v="12"/>
    <x v="0"/>
    <n v="4"/>
    <n v="80"/>
    <n v="1"/>
    <n v="4"/>
    <n v="5"/>
    <n v="3"/>
    <n v="4"/>
    <n v="3"/>
    <n v="1"/>
    <n v="1"/>
    <n v="0"/>
    <x v="0"/>
    <x v="0"/>
    <s v="0-5k"/>
    <x v="0"/>
    <x v="0"/>
    <x v="0"/>
  </r>
  <r>
    <n v="29"/>
    <s v="No"/>
    <x v="0"/>
    <n v="1378"/>
    <x v="1"/>
    <n v="13"/>
    <n v="2"/>
    <s v="Other"/>
    <n v="1"/>
    <n v="2053"/>
    <n v="4"/>
    <x v="1"/>
    <n v="46"/>
    <n v="2"/>
    <n v="2"/>
    <s v="Laboratory Technician"/>
    <n v="2"/>
    <s v="Married"/>
    <n v="4025"/>
    <n v="23679"/>
    <n v="4"/>
    <s v="Y"/>
    <s v="Yes"/>
    <n v="13"/>
    <x v="0"/>
    <n v="1"/>
    <n v="80"/>
    <n v="1"/>
    <n v="10"/>
    <n v="2"/>
    <n v="3"/>
    <n v="4"/>
    <n v="3"/>
    <n v="0"/>
    <n v="3"/>
    <n v="0"/>
    <x v="2"/>
    <x v="2"/>
    <s v="0-5k"/>
    <x v="0"/>
    <x v="0"/>
    <x v="1"/>
  </r>
  <r>
    <n v="29"/>
    <s v="No"/>
    <x v="0"/>
    <n v="468"/>
    <x v="1"/>
    <n v="28"/>
    <n v="4"/>
    <s v="Medical"/>
    <n v="1"/>
    <n v="2054"/>
    <n v="4"/>
    <x v="0"/>
    <n v="73"/>
    <n v="2"/>
    <n v="1"/>
    <s v="Research Scientist"/>
    <n v="1"/>
    <s v="Single"/>
    <n v="3785"/>
    <n v="8489"/>
    <n v="1"/>
    <s v="Y"/>
    <s v="No"/>
    <n v="14"/>
    <x v="0"/>
    <n v="2"/>
    <n v="80"/>
    <n v="0"/>
    <n v="5"/>
    <n v="3"/>
    <n v="1"/>
    <n v="5"/>
    <n v="4"/>
    <n v="0"/>
    <n v="4"/>
    <n v="0"/>
    <x v="2"/>
    <x v="1"/>
    <s v="0-5k"/>
    <x v="0"/>
    <x v="0"/>
    <x v="3"/>
  </r>
  <r>
    <n v="50"/>
    <s v="Yes"/>
    <x v="0"/>
    <n v="410"/>
    <x v="0"/>
    <n v="28"/>
    <n v="3"/>
    <s v="Marketing"/>
    <n v="1"/>
    <n v="2055"/>
    <n v="4"/>
    <x v="1"/>
    <n v="39"/>
    <n v="2"/>
    <n v="3"/>
    <s v="Sales Executive"/>
    <n v="1"/>
    <s v="Divorced"/>
    <n v="10854"/>
    <n v="16586"/>
    <n v="4"/>
    <s v="Y"/>
    <s v="Yes"/>
    <n v="13"/>
    <x v="0"/>
    <n v="2"/>
    <n v="80"/>
    <n v="1"/>
    <n v="20"/>
    <n v="3"/>
    <n v="3"/>
    <n v="3"/>
    <n v="2"/>
    <n v="2"/>
    <n v="0"/>
    <n v="1"/>
    <x v="1"/>
    <x v="1"/>
    <s v="10k-15k"/>
    <x v="0"/>
    <x v="0"/>
    <x v="3"/>
  </r>
  <r>
    <n v="39"/>
    <s v="No"/>
    <x v="0"/>
    <n v="722"/>
    <x v="0"/>
    <n v="24"/>
    <n v="1"/>
    <s v="Marketing"/>
    <n v="1"/>
    <n v="2056"/>
    <n v="2"/>
    <x v="0"/>
    <n v="60"/>
    <n v="2"/>
    <n v="4"/>
    <s v="Sales Executive"/>
    <n v="4"/>
    <s v="Married"/>
    <n v="12031"/>
    <n v="8828"/>
    <n v="0"/>
    <s v="Y"/>
    <s v="No"/>
    <n v="11"/>
    <x v="0"/>
    <n v="1"/>
    <n v="80"/>
    <n v="1"/>
    <n v="21"/>
    <n v="2"/>
    <n v="2"/>
    <n v="20"/>
    <n v="9"/>
    <n v="9"/>
    <n v="6"/>
    <n v="0"/>
    <x v="0"/>
    <x v="1"/>
    <s v="10k-15k"/>
    <x v="2"/>
    <x v="0"/>
    <x v="0"/>
  </r>
  <r>
    <n v="31"/>
    <s v="No"/>
    <x v="2"/>
    <n v="325"/>
    <x v="1"/>
    <n v="5"/>
    <n v="3"/>
    <s v="Medical"/>
    <n v="1"/>
    <n v="2057"/>
    <n v="2"/>
    <x v="1"/>
    <n v="74"/>
    <n v="3"/>
    <n v="2"/>
    <s v="Manufacturing Director"/>
    <n v="1"/>
    <s v="Single"/>
    <n v="9936"/>
    <n v="3787"/>
    <n v="0"/>
    <s v="Y"/>
    <s v="No"/>
    <n v="19"/>
    <x v="0"/>
    <n v="2"/>
    <n v="80"/>
    <n v="0"/>
    <n v="10"/>
    <n v="2"/>
    <n v="3"/>
    <n v="9"/>
    <n v="4"/>
    <n v="1"/>
    <n v="7"/>
    <n v="0"/>
    <x v="0"/>
    <x v="0"/>
    <s v="5k-10k"/>
    <x v="0"/>
    <x v="0"/>
    <x v="3"/>
  </r>
  <r>
    <n v="26"/>
    <s v="No"/>
    <x v="0"/>
    <n v="1167"/>
    <x v="0"/>
    <n v="5"/>
    <n v="3"/>
    <s v="Other"/>
    <n v="1"/>
    <n v="2060"/>
    <n v="4"/>
    <x v="0"/>
    <n v="30"/>
    <n v="2"/>
    <n v="1"/>
    <s v="Sales Representative"/>
    <n v="3"/>
    <s v="Single"/>
    <n v="2966"/>
    <n v="21378"/>
    <n v="0"/>
    <s v="Y"/>
    <s v="No"/>
    <n v="18"/>
    <x v="0"/>
    <n v="4"/>
    <n v="80"/>
    <n v="0"/>
    <n v="5"/>
    <n v="2"/>
    <n v="3"/>
    <n v="4"/>
    <n v="2"/>
    <n v="0"/>
    <n v="0"/>
    <n v="0"/>
    <x v="2"/>
    <x v="0"/>
    <s v="0-5k"/>
    <x v="0"/>
    <x v="0"/>
    <x v="2"/>
  </r>
  <r>
    <n v="36"/>
    <s v="No"/>
    <x v="1"/>
    <n v="884"/>
    <x v="1"/>
    <n v="23"/>
    <n v="2"/>
    <s v="Medical"/>
    <n v="1"/>
    <n v="2061"/>
    <n v="3"/>
    <x v="1"/>
    <n v="41"/>
    <n v="4"/>
    <n v="2"/>
    <s v="Laboratory Technician"/>
    <n v="4"/>
    <s v="Married"/>
    <n v="2571"/>
    <n v="12290"/>
    <n v="4"/>
    <s v="Y"/>
    <s v="No"/>
    <n v="17"/>
    <x v="0"/>
    <n v="3"/>
    <n v="80"/>
    <n v="1"/>
    <n v="17"/>
    <n v="3"/>
    <n v="3"/>
    <n v="5"/>
    <n v="2"/>
    <n v="0"/>
    <n v="3"/>
    <n v="0"/>
    <x v="0"/>
    <x v="1"/>
    <s v="0-5k"/>
    <x v="0"/>
    <x v="0"/>
    <x v="0"/>
  </r>
  <r>
    <n v="39"/>
    <s v="No"/>
    <x v="0"/>
    <n v="613"/>
    <x v="1"/>
    <n v="6"/>
    <n v="1"/>
    <s v="Medical"/>
    <n v="1"/>
    <n v="2062"/>
    <n v="4"/>
    <x v="1"/>
    <n v="42"/>
    <n v="2"/>
    <n v="3"/>
    <s v="Healthcare Representative"/>
    <n v="1"/>
    <s v="Married"/>
    <n v="9991"/>
    <n v="21457"/>
    <n v="4"/>
    <s v="Y"/>
    <s v="No"/>
    <n v="15"/>
    <x v="0"/>
    <n v="1"/>
    <n v="80"/>
    <n v="1"/>
    <n v="9"/>
    <n v="5"/>
    <n v="3"/>
    <n v="7"/>
    <n v="7"/>
    <n v="1"/>
    <n v="7"/>
    <n v="0"/>
    <x v="0"/>
    <x v="0"/>
    <s v="5k-10k"/>
    <x v="0"/>
    <x v="0"/>
    <x v="3"/>
  </r>
  <r>
    <n v="27"/>
    <s v="No"/>
    <x v="0"/>
    <n v="155"/>
    <x v="1"/>
    <n v="4"/>
    <n v="3"/>
    <s v="Life Sciences"/>
    <n v="1"/>
    <n v="2064"/>
    <n v="2"/>
    <x v="1"/>
    <n v="87"/>
    <n v="4"/>
    <n v="2"/>
    <s v="Manufacturing Director"/>
    <n v="2"/>
    <s v="Married"/>
    <n v="6142"/>
    <n v="5174"/>
    <n v="1"/>
    <s v="Y"/>
    <s v="Yes"/>
    <n v="20"/>
    <x v="1"/>
    <n v="2"/>
    <n v="80"/>
    <n v="1"/>
    <n v="6"/>
    <n v="0"/>
    <n v="3"/>
    <n v="6"/>
    <n v="2"/>
    <n v="0"/>
    <n v="3"/>
    <n v="0"/>
    <x v="2"/>
    <x v="0"/>
    <s v="5k-10k"/>
    <x v="0"/>
    <x v="1"/>
    <x v="1"/>
  </r>
  <r>
    <n v="49"/>
    <s v="No"/>
    <x v="1"/>
    <n v="1023"/>
    <x v="0"/>
    <n v="2"/>
    <n v="3"/>
    <s v="Medical"/>
    <n v="1"/>
    <n v="2065"/>
    <n v="4"/>
    <x v="1"/>
    <n v="63"/>
    <n v="2"/>
    <n v="2"/>
    <s v="Sales Executive"/>
    <n v="2"/>
    <s v="Married"/>
    <n v="5390"/>
    <n v="13243"/>
    <n v="2"/>
    <s v="Y"/>
    <s v="No"/>
    <n v="14"/>
    <x v="0"/>
    <n v="4"/>
    <n v="80"/>
    <n v="0"/>
    <n v="17"/>
    <n v="3"/>
    <n v="2"/>
    <n v="9"/>
    <n v="6"/>
    <n v="0"/>
    <n v="8"/>
    <n v="0"/>
    <x v="1"/>
    <x v="0"/>
    <s v="5k-10k"/>
    <x v="0"/>
    <x v="0"/>
    <x v="1"/>
  </r>
  <r>
    <n v="34"/>
    <s v="No"/>
    <x v="0"/>
    <n v="628"/>
    <x v="1"/>
    <n v="8"/>
    <n v="3"/>
    <s v="Medical"/>
    <n v="1"/>
    <n v="2068"/>
    <n v="2"/>
    <x v="1"/>
    <n v="82"/>
    <n v="4"/>
    <n v="2"/>
    <s v="Laboratory Technician"/>
    <n v="3"/>
    <s v="Married"/>
    <n v="4404"/>
    <n v="10228"/>
    <n v="2"/>
    <s v="Y"/>
    <s v="No"/>
    <n v="12"/>
    <x v="0"/>
    <n v="1"/>
    <n v="80"/>
    <n v="0"/>
    <n v="6"/>
    <n v="3"/>
    <n v="4"/>
    <n v="4"/>
    <n v="3"/>
    <n v="1"/>
    <n v="2"/>
    <n v="0"/>
    <x v="0"/>
    <x v="0"/>
    <s v="0-5k"/>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8D7BF-5C9D-4D25-B997-1F8B2AB886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Group">
  <location ref="A3:B7" firstHeaderRow="1" firstDataRow="1" firstDataCol="1"/>
  <pivotFields count="42">
    <pivotField showAll="0"/>
    <pivotField showAll="0"/>
    <pivotField showAll="0">
      <items count="6">
        <item x="2"/>
        <item x="1"/>
        <item x="0"/>
        <item m="1" x="4"/>
        <item m="1" x="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pivotField showAll="0"/>
    <pivotField showAll="0"/>
  </pivotFields>
  <rowFields count="1">
    <field x="36"/>
  </rowFields>
  <rowItems count="4">
    <i>
      <x/>
    </i>
    <i>
      <x v="1"/>
    </i>
    <i>
      <x v="2"/>
    </i>
    <i t="grand">
      <x/>
    </i>
  </rowItems>
  <colItems count="1">
    <i/>
  </colItems>
  <dataFields count="1">
    <dataField name="Average of AttritionFlag" fld="35" subtotal="average" baseField="36" baseItem="0" numFmtId="10"/>
  </dataFields>
  <formats count="4">
    <format dxfId="48">
      <pivotArea collapsedLevelsAreSubtotals="1" fieldPosition="0">
        <references count="2">
          <reference field="4294967294" count="1" selected="0">
            <x v="0"/>
          </reference>
          <reference field="36" count="1">
            <x v="0"/>
          </reference>
        </references>
      </pivotArea>
    </format>
    <format dxfId="47">
      <pivotArea collapsedLevelsAreSubtotals="1" fieldPosition="0">
        <references count="2">
          <reference field="4294967294" count="1" selected="0">
            <x v="0"/>
          </reference>
          <reference field="36" count="1">
            <x v="1"/>
          </reference>
        </references>
      </pivotArea>
    </format>
    <format dxfId="46">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2ABF1-BAAD-452F-9BC1-64B522ED7E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tangeGroup">
  <location ref="A3:B7" firstHeaderRow="1" firstDataRow="1" firstDataCol="1"/>
  <pivotFields count="42">
    <pivotField showAll="0"/>
    <pivotField showAll="0"/>
    <pivotField showAll="0">
      <items count="6">
        <item x="2"/>
        <item x="1"/>
        <item x="0"/>
        <item m="1" x="4"/>
        <item m="1" x="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2"/>
        <item x="1"/>
        <item t="default"/>
      </items>
    </pivotField>
    <pivotField showAll="0"/>
    <pivotField showAll="0"/>
    <pivotField showAll="0"/>
    <pivotField showAll="0"/>
  </pivotFields>
  <rowFields count="1">
    <field x="37"/>
  </rowFields>
  <rowItems count="4">
    <i>
      <x/>
    </i>
    <i>
      <x v="1"/>
    </i>
    <i>
      <x v="2"/>
    </i>
    <i t="grand">
      <x/>
    </i>
  </rowItems>
  <colItems count="1">
    <i/>
  </colItems>
  <dataFields count="1">
    <dataField name="Average of AttritionFlag" fld="35" subtotal="average" baseField="37" baseItem="0" numFmtId="10"/>
  </dataFields>
  <formats count="2">
    <format dxfId="44">
      <pivotArea outline="0" collapsedLevelsAreSubtotals="1" fieldPosition="0">
        <references count="1">
          <reference field="4294967294" count="1" selected="0">
            <x v="0"/>
          </reference>
        </references>
      </pivotArea>
    </format>
    <format dxfId="43">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CB02E-F8AF-4D2A-A31B-8DB41E5F5A8A}"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12" firstHeaderRow="1" firstDataRow="1" firstDataCol="2"/>
  <pivotFields count="42">
    <pivotField compact="0" outline="0" showAll="0" defaultSubtotal="0"/>
    <pivotField compact="0" outline="0" showAll="0" defaultSubtotal="0"/>
    <pivotField compact="0" outline="0" showAll="0" defaultSubtotal="0">
      <items count="5">
        <item x="2"/>
        <item x="1"/>
        <item x="0"/>
        <item m="1" x="4"/>
        <item m="1" x="3"/>
      </items>
    </pivotField>
    <pivotField compact="0" outline="0" showAll="0" defaultSubtotal="0"/>
    <pivotField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0"/>
        <item x="2"/>
        <item x="1"/>
        <item x="3"/>
      </items>
    </pivotField>
    <pivotField axis="axisRow" compact="0" outline="0" showAll="0" defaultSubtotal="0">
      <items count="2">
        <item x="1"/>
        <item x="0"/>
      </items>
    </pivotField>
    <pivotField compact="0" outline="0" subtotalTop="0" showAll="0" defaultSubtotal="0"/>
  </pivotFields>
  <rowFields count="2">
    <field x="40"/>
    <field x="39"/>
  </rowFields>
  <rowItems count="9">
    <i>
      <x/>
      <x/>
    </i>
    <i r="1">
      <x v="1"/>
    </i>
    <i r="1">
      <x v="2"/>
    </i>
    <i r="1">
      <x v="3"/>
    </i>
    <i>
      <x v="1"/>
      <x/>
    </i>
    <i r="1">
      <x v="1"/>
    </i>
    <i r="1">
      <x v="2"/>
    </i>
    <i r="1">
      <x v="3"/>
    </i>
    <i t="grand">
      <x/>
    </i>
  </rowItems>
  <colItems count="1">
    <i/>
  </colItems>
  <dataFields count="1">
    <dataField name="Average of AttritionFlag" fld="35" subtotal="average" baseField="39" baseItem="0" numFmtId="10"/>
  </dataFields>
  <formats count="2">
    <format dxfId="42">
      <pivotArea outline="0" collapsedLevelsAreSubtotals="1" fieldPosition="0"/>
    </format>
    <format dxfId="4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4">
      <pivotArea type="data" outline="0" fieldPosition="0">
        <references count="3">
          <reference field="4294967294" count="1" selected="0">
            <x v="0"/>
          </reference>
          <reference field="39" count="1" selected="0">
            <x v="3"/>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81C3E4-9A75-41CF-AA9B-EDC5B7C064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ormanceRating">
  <location ref="A3:C6" firstHeaderRow="0" firstDataRow="1" firstDataCol="1"/>
  <pivotFields count="42">
    <pivotField showAll="0"/>
    <pivotField showAll="0"/>
    <pivotField showAll="0">
      <items count="6">
        <item x="2"/>
        <item x="1"/>
        <item x="0"/>
        <item m="1" x="4"/>
        <item m="1" x="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4"/>
  </rowFields>
  <rowItems count="3">
    <i>
      <x/>
    </i>
    <i>
      <x v="1"/>
    </i>
    <i t="grand">
      <x/>
    </i>
  </rowItems>
  <colFields count="1">
    <field x="-2"/>
  </colFields>
  <colItems count="2">
    <i>
      <x/>
    </i>
    <i i="1">
      <x v="1"/>
    </i>
  </colItems>
  <dataFields count="2">
    <dataField name="Average of MonthlyIncome" fld="18" subtotal="average" baseField="24" baseItem="0" numFmtId="164"/>
    <dataField name="Average of AttritionFlag" fld="35" subtotal="average" baseField="24" baseItem="0" numFmtId="10"/>
  </dataFields>
  <formats count="4">
    <format dxfId="40">
      <pivotArea outline="0" collapsedLevelsAreSubtotals="1" fieldPosition="0">
        <references count="1">
          <reference field="4294967294" count="1" selected="0">
            <x v="1"/>
          </reference>
        </references>
      </pivotArea>
    </format>
    <format dxfId="39">
      <pivotArea dataOnly="0" labelOnly="1" outline="0" fieldPosition="0">
        <references count="1">
          <reference field="4294967294" count="1">
            <x v="1"/>
          </reference>
        </references>
      </pivotArea>
    </format>
    <format dxfId="38">
      <pivotArea outline="0" collapsedLevelsAreSubtotals="1" fieldPosition="0">
        <references count="1">
          <reference field="4294967294" count="1" selected="0">
            <x v="0"/>
          </reference>
        </references>
      </pivotArea>
    </format>
    <format dxfId="3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BCBF75-D2C2-4054-AF5D-B7DAD5327BAB}"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2">
  <location ref="A3:B8" firstHeaderRow="1" firstDataRow="1" firstDataCol="1"/>
  <pivotFields count="42">
    <pivotField showAll="0"/>
    <pivotField showAll="0"/>
    <pivotField showAll="0">
      <items count="6">
        <item x="2"/>
        <item x="1"/>
        <item x="0"/>
        <item m="1" x="4"/>
        <item m="1" x="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2"/>
        <item x="3"/>
        <item x="1"/>
        <item x="0"/>
        <item t="default"/>
      </items>
    </pivotField>
  </pivotFields>
  <rowFields count="1">
    <field x="41"/>
  </rowFields>
  <rowItems count="5">
    <i>
      <x/>
    </i>
    <i>
      <x v="1"/>
    </i>
    <i>
      <x v="2"/>
    </i>
    <i>
      <x v="3"/>
    </i>
    <i t="grand">
      <x/>
    </i>
  </rowItems>
  <colItems count="1">
    <i/>
  </colItems>
  <dataFields count="1">
    <dataField name="Average of AttritionFlag" fld="35" subtotal="average" baseField="16" baseItem="0" numFmtId="10"/>
  </dataFields>
  <formats count="2">
    <format dxfId="36">
      <pivotArea outline="0" collapsedLevelsAreSubtotals="1" fieldPosition="0">
        <references count="1">
          <reference field="4294967294" count="1" selected="0">
            <x v="0"/>
          </reference>
        </references>
      </pivotArea>
    </format>
    <format dxfId="35">
      <pivotArea dataOnly="0" labelOnly="1"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531AFAB-A876-4A46-8208-009F971A9662}" sourceName="Department">
  <pivotTables>
    <pivotTable tabId="2" name="PivotTable1"/>
    <pivotTable tabId="3" name="PivotTable1"/>
    <pivotTable tabId="4" name="PivotTable2"/>
    <pivotTable tabId="5" name="PivotTable1"/>
    <pivotTable tabId="7" name="PivotTable3"/>
  </pivotTables>
  <data>
    <tabular pivotCacheId="5905791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2B76246-D24D-4763-B9E9-9DDF180819AA}" sourceName="Gender">
  <pivotTables>
    <pivotTable tabId="2" name="PivotTable1"/>
    <pivotTable tabId="3" name="PivotTable1"/>
    <pivotTable tabId="4" name="PivotTable2"/>
    <pivotTable tabId="5" name="PivotTable1"/>
    <pivotTable tabId="7" name="PivotTable3"/>
  </pivotTables>
  <data>
    <tabular pivotCacheId="5905791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1" xr10:uid="{6360CE30-AF1A-4929-B53A-D9F9209F4FE0}" sourceName="BusinessTravel">
  <pivotTables>
    <pivotTable tabId="7" name="PivotTable3"/>
    <pivotTable tabId="2" name="PivotTable1"/>
    <pivotTable tabId="3" name="PivotTable1"/>
    <pivotTable tabId="4" name="PivotTable2"/>
    <pivotTable tabId="5" name="PivotTable1"/>
  </pivotTables>
  <data>
    <tabular pivotCacheId="59057918">
      <items count="5">
        <i x="2" s="1"/>
        <i x="1" s="1"/>
        <i x="0" s="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C9EFF157-034E-4072-B92C-D6EA4E153D65}" sourceName="BusinessTravel">
  <extLst>
    <x:ext xmlns:x15="http://schemas.microsoft.com/office/spreadsheetml/2010/11/main" uri="{2F2917AC-EB37-4324-AD4E-5DD8C200BD13}">
      <x15:tableSlicerCache tableId="1"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F673D06-0B91-4B23-9E4C-4BDF3DE764F8}" sourceName="Department">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70AEF1-6521-4CA3-B3A3-CC5BFBD34EE6}" sourceName="Gender">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EA175BF1-4BBF-4EC9-878D-6EE4C3610720}" cache="Slicer_BusinessTravel" caption="BusinessTravel" rowHeight="257175"/>
  <slicer name="Department" xr10:uid="{7172C6C6-8B28-4EA7-8F80-5171AB38B1A7}" cache="Slicer_Department" caption="Department" rowHeight="257175"/>
  <slicer name="Gender" xr10:uid="{05C88FAE-9DBE-4B3A-BBD5-E98E220F6A7B}"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2570640-34D0-47E4-9E23-012AC7331E80}" cache="Slicer_Department1" caption="Department" rowHeight="257175"/>
  <slicer name="Gender 1" xr10:uid="{D3B371A6-AC99-468F-9F24-A5DAE667A00A}" cache="Slicer_Gender1" caption="Gender" rowHeight="257175"/>
  <slicer name="BusinessTravel 1" xr10:uid="{94D6EBED-CD82-488A-B812-F136F900ECF4}" cache="Slicer_BusinessTravel1" caption="BusinessTravel"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CE5B0E-E3BA-47B6-8D58-59A95D554130}" name="Table1" displayName="Table1" ref="A1:AP1471" totalsRowShown="0">
  <autoFilter ref="A1:AP1471" xr:uid="{68CE5B0E-E3BA-47B6-8D58-59A95D554130}"/>
  <tableColumns count="42">
    <tableColumn id="1" xr3:uid="{D425ED87-E109-4F2A-A933-F594A1AFB917}" name="Age"/>
    <tableColumn id="2" xr3:uid="{74D39137-E4A6-43F6-B034-765B078EAB61}" name="Attrition"/>
    <tableColumn id="3" xr3:uid="{0D44B773-B9AC-464C-BFD1-151B78D2056A}" name="BusinessTravel"/>
    <tableColumn id="4" xr3:uid="{F23BDFE0-6665-4F12-AD5E-DD4F3544717B}" name="DailyRate"/>
    <tableColumn id="5" xr3:uid="{8F5B3C70-30AE-4433-8C8A-91401F286F74}" name="Department"/>
    <tableColumn id="6" xr3:uid="{46AC3D72-F1BF-43CF-BA24-67D6390C173E}" name="DistanceFromHome"/>
    <tableColumn id="7" xr3:uid="{6936F052-512E-47AC-AE2A-7234F1788E88}" name="Education"/>
    <tableColumn id="8" xr3:uid="{10D9D2E5-E4AA-434E-BCCF-1733AF1696DA}" name="EducationField"/>
    <tableColumn id="9" xr3:uid="{DD88401A-6D86-4C3A-9380-B7AC8887918B}" name="EmployeeCount"/>
    <tableColumn id="10" xr3:uid="{65AD6C30-B9D6-4FE8-8378-ED4A8FB637DF}" name="EmployeeNumber"/>
    <tableColumn id="11" xr3:uid="{D0E98726-F1F5-4792-8131-0A7A3CE7C4C5}" name="EnvironmentSatisfaction"/>
    <tableColumn id="12" xr3:uid="{F70E4610-FFB5-41EF-BADC-69BC286E3BE0}" name="Gender"/>
    <tableColumn id="13" xr3:uid="{612503A1-E38A-4BCD-995F-E92CD5C3EA1F}" name="HourlyRate"/>
    <tableColumn id="14" xr3:uid="{1F9324B5-B1E0-4594-A9C6-ECBCAA840365}" name="JobInvolvement"/>
    <tableColumn id="15" xr3:uid="{ABFEB44E-C0BC-4A95-A2CB-31C729AAE8D6}" name="JobLevel"/>
    <tableColumn id="16" xr3:uid="{F8D14BBA-BF63-49E3-A581-BA3F3BD64780}" name="JobRole"/>
    <tableColumn id="17" xr3:uid="{1857BDF7-0201-4198-98D0-E7C0F668E0AA}" name="JobSatisfaction"/>
    <tableColumn id="18" xr3:uid="{E6DF7A42-59D5-47EC-85BC-796FFCFAF787}" name="MaritalStatus"/>
    <tableColumn id="19" xr3:uid="{0BECE73C-9D53-4791-BC43-3ECA3BB89493}" name="MonthlyIncome"/>
    <tableColumn id="20" xr3:uid="{B9163D54-F82C-4A8F-8B25-783C2910E2B2}" name="MonthlyRate"/>
    <tableColumn id="21" xr3:uid="{613E0A67-437F-42F5-A49B-69DD61C1319F}" name="NumCompaniesWorked"/>
    <tableColumn id="22" xr3:uid="{835FF58A-C052-4E08-A71E-C34D348C6066}" name="Over18"/>
    <tableColumn id="23" xr3:uid="{0CA90D35-BECA-4D2D-941F-9D9A6F3EBD6A}" name="OverTime"/>
    <tableColumn id="24" xr3:uid="{F74EFAF8-F51D-45A2-A2C7-1E6776406267}" name="PercentSalaryHike"/>
    <tableColumn id="25" xr3:uid="{9DA0BEB7-F8B8-43AD-BC4D-FED4F4F9081F}" name="PerformanceRating"/>
    <tableColumn id="26" xr3:uid="{9F6DCC89-42D0-45E2-82BD-27818BB77D94}" name="RelationshipSatisfaction"/>
    <tableColumn id="27" xr3:uid="{2052CE75-3AC6-4C02-8B55-8B1E64B7C03C}" name="StandardHours"/>
    <tableColumn id="28" xr3:uid="{CA3E7A20-6EBF-4F10-BE1F-C3F12FB81AE6}" name="StockOptionLevel"/>
    <tableColumn id="29" xr3:uid="{053E2C22-0DCD-4D0B-9EF9-16453AEDF751}" name="TotalWorkingYears"/>
    <tableColumn id="30" xr3:uid="{36169296-F29D-4A3D-A6ED-56E892991E52}" name="TrainingTimesLastYear"/>
    <tableColumn id="31" xr3:uid="{6A18B8F5-9827-487C-814F-51A97806AD86}" name="WorkLifeBalance"/>
    <tableColumn id="32" xr3:uid="{5A1732AF-8C9C-4B98-9B41-0A2480819840}" name="YearsAtCompany"/>
    <tableColumn id="33" xr3:uid="{0B5D547E-3971-4C68-B1B4-A8AD1E568B11}" name="YearsInCurrentRole"/>
    <tableColumn id="34" xr3:uid="{57ECA8E0-9E05-428C-82AF-4F9D6443C886}" name="YearsSinceLastPromotion"/>
    <tableColumn id="35" xr3:uid="{40D80EE2-6644-4C17-B033-7080B9195671}" name="YearsWithCurrManager"/>
    <tableColumn id="36" xr3:uid="{C7542672-34BA-4594-AF78-6DDC62F7D6FD}" name="AttritionFlag" dataDxfId="34">
      <calculatedColumnFormula>IF(B2="yes",1,0)</calculatedColumnFormula>
    </tableColumn>
    <tableColumn id="37" xr3:uid="{5CD2771A-2CAD-467E-908E-8B994B880BE0}" name="AgeGroup" dataDxfId="33">
      <calculatedColumnFormula array="1">_xlfn.IFS(A2&lt;=30,"18-30",A2&lt;=45,"31-45",A2&lt;=60,"46-60",TRUE, "60+")</calculatedColumnFormula>
    </tableColumn>
    <tableColumn id="38" xr3:uid="{10CC4F2C-D91F-4287-AC3E-B735F2232DC6}" name="DistanceGroup" dataDxfId="32">
      <calculatedColumnFormula array="1">_xlfn.IFS(F2&lt;=10,"0-10",F2&lt;=20,"11-20",TRUE,"20+")</calculatedColumnFormula>
    </tableColumn>
    <tableColumn id="39" xr3:uid="{4F057AFA-9BBE-4079-A4C1-A3CEEEE61E02}" name="SalaryBand" dataDxfId="31">
      <calculatedColumnFormula array="1">_xlfn.IFS(S2&lt;=5000,"0-5k",S2&lt;=10000,"5k-10k",S2&lt;=15000,"10k-15k",TRUE,"15k+")</calculatedColumnFormula>
    </tableColumn>
    <tableColumn id="40" xr3:uid="{06DE0606-D591-4621-BBF7-A61458C7DCE5}" name="TenureGroup" dataDxfId="30">
      <calculatedColumnFormula array="1">_xlfn.IFS(AF2&lt;=10,"0-10",AF2&lt;=20,"10-20",AF2&lt;=30,"20-30",TRUE,"30+")</calculatedColumnFormula>
    </tableColumn>
    <tableColumn id="41" xr3:uid="{14D07B4E-FC83-4558-8BE0-84EEF339EF42}" name="PerformanceGroup" dataDxfId="29">
      <calculatedColumnFormula array="1">_xlfn.IFS(Y2=1,"Poor",Y2=2,"Average",Y2=3,"Good",TRUE,"Excellent")</calculatedColumnFormula>
    </tableColumn>
    <tableColumn id="42" xr3:uid="{A7149B11-C821-499E-9B2A-882BF075EE94}" name="JobSatisfactionGroup" dataDxfId="28">
      <calculatedColumnFormula array="1">_xlfn.IFS(Q2=1,"Low",Q2=2,"Medium",Q2=3,"High",TRUE,"Very 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5AC2-8C77-446A-978D-5353BE6688B1}">
  <dimension ref="A3:C7"/>
  <sheetViews>
    <sheetView workbookViewId="0">
      <selection activeCell="A3" sqref="A3:C7"/>
    </sheetView>
  </sheetViews>
  <sheetFormatPr defaultRowHeight="15" x14ac:dyDescent="0.25"/>
  <cols>
    <col min="1" max="1" width="12.140625" bestFit="1" customWidth="1"/>
    <col min="2" max="2" width="22.28515625" style="4" bestFit="1" customWidth="1"/>
    <col min="3" max="3" width="22.28515625" style="3" bestFit="1" customWidth="1"/>
    <col min="4" max="4" width="23.140625" bestFit="1" customWidth="1"/>
    <col min="5" max="1073" width="5" bestFit="1" customWidth="1"/>
    <col min="1074" max="1350" width="6" bestFit="1" customWidth="1"/>
    <col min="1351" max="1351" width="11.28515625" bestFit="1" customWidth="1"/>
  </cols>
  <sheetData>
    <row r="3" spans="1:3" x14ac:dyDescent="0.25">
      <c r="A3" s="1" t="s">
        <v>61</v>
      </c>
      <c r="B3" t="s">
        <v>74</v>
      </c>
      <c r="C3"/>
    </row>
    <row r="4" spans="1:3" x14ac:dyDescent="0.25">
      <c r="A4" s="2" t="s">
        <v>70</v>
      </c>
      <c r="B4" s="3">
        <v>0.25906735751295334</v>
      </c>
      <c r="C4"/>
    </row>
    <row r="5" spans="1:3" x14ac:dyDescent="0.25">
      <c r="A5" s="2" t="s">
        <v>71</v>
      </c>
      <c r="B5" s="3">
        <v>0.12700369913686807</v>
      </c>
      <c r="C5"/>
    </row>
    <row r="6" spans="1:3" x14ac:dyDescent="0.25">
      <c r="A6" s="2" t="s">
        <v>72</v>
      </c>
      <c r="B6" s="3">
        <v>0.12454212454212454</v>
      </c>
      <c r="C6"/>
    </row>
    <row r="7" spans="1:3" x14ac:dyDescent="0.25">
      <c r="A7" s="2" t="s">
        <v>66</v>
      </c>
      <c r="B7" s="3">
        <v>0.16122448979591836</v>
      </c>
      <c r="C7"/>
    </row>
  </sheetData>
  <pageMargins left="0.7" right="0.7" top="0.75" bottom="0.75" header="0.3" footer="0.3"/>
  <pageSetup paperSize="9"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053D-674C-456E-898C-C148373309BC}">
  <dimension ref="A3:C7"/>
  <sheetViews>
    <sheetView workbookViewId="0">
      <selection activeCell="F20" sqref="F20"/>
    </sheetView>
  </sheetViews>
  <sheetFormatPr defaultRowHeight="15" x14ac:dyDescent="0.25"/>
  <cols>
    <col min="1" max="1" width="17" bestFit="1" customWidth="1"/>
    <col min="2" max="2" width="22.28515625" style="3" bestFit="1" customWidth="1"/>
    <col min="3" max="3" width="25.28515625" style="4" bestFit="1" customWidth="1"/>
  </cols>
  <sheetData>
    <row r="3" spans="1:3" x14ac:dyDescent="0.25">
      <c r="A3" s="1" t="s">
        <v>75</v>
      </c>
      <c r="B3" t="s">
        <v>74</v>
      </c>
      <c r="C3"/>
    </row>
    <row r="4" spans="1:3" x14ac:dyDescent="0.25">
      <c r="A4" s="2" t="s">
        <v>67</v>
      </c>
      <c r="B4" s="3">
        <v>0.14035087719298245</v>
      </c>
      <c r="C4"/>
    </row>
    <row r="5" spans="1:3" x14ac:dyDescent="0.25">
      <c r="A5" s="2" t="s">
        <v>68</v>
      </c>
      <c r="B5" s="3">
        <v>0.2</v>
      </c>
      <c r="C5"/>
    </row>
    <row r="6" spans="1:3" x14ac:dyDescent="0.25">
      <c r="A6" s="2" t="s">
        <v>69</v>
      </c>
      <c r="B6" s="3">
        <v>0.22058823529411764</v>
      </c>
      <c r="C6"/>
    </row>
    <row r="7" spans="1:3" x14ac:dyDescent="0.25">
      <c r="A7" s="2" t="s">
        <v>66</v>
      </c>
      <c r="B7" s="3">
        <v>0.16122448979591836</v>
      </c>
      <c r="C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E91F-5970-4E7E-B7D5-3FE11FA73793}">
  <dimension ref="A3:C14"/>
  <sheetViews>
    <sheetView workbookViewId="0">
      <selection activeCell="J18" sqref="J18"/>
    </sheetView>
  </sheetViews>
  <sheetFormatPr defaultRowHeight="15" x14ac:dyDescent="0.25"/>
  <cols>
    <col min="1" max="1" width="13.42578125" bestFit="1" customWidth="1"/>
    <col min="2" max="2" width="15.140625" bestFit="1" customWidth="1"/>
    <col min="3" max="3" width="22.28515625" style="3" bestFit="1" customWidth="1"/>
    <col min="4" max="4" width="22.28515625" bestFit="1" customWidth="1"/>
  </cols>
  <sheetData>
    <row r="3" spans="1:3" x14ac:dyDescent="0.25">
      <c r="A3" s="1" t="s">
        <v>65</v>
      </c>
      <c r="B3" s="1" t="s">
        <v>64</v>
      </c>
      <c r="C3" s="3" t="s">
        <v>74</v>
      </c>
    </row>
    <row r="4" spans="1:3" x14ac:dyDescent="0.25">
      <c r="A4" t="s">
        <v>87</v>
      </c>
      <c r="B4" t="s">
        <v>67</v>
      </c>
      <c r="C4" s="3">
        <v>0.18681318681318682</v>
      </c>
    </row>
    <row r="5" spans="1:3" x14ac:dyDescent="0.25">
      <c r="B5" t="s">
        <v>76</v>
      </c>
      <c r="C5" s="3">
        <v>8.3333333333333329E-2</v>
      </c>
    </row>
    <row r="6" spans="1:3" x14ac:dyDescent="0.25">
      <c r="B6" t="s">
        <v>77</v>
      </c>
      <c r="C6" s="3">
        <v>0</v>
      </c>
    </row>
    <row r="7" spans="1:3" x14ac:dyDescent="0.25">
      <c r="B7" t="s">
        <v>78</v>
      </c>
      <c r="C7" s="3">
        <v>0</v>
      </c>
    </row>
    <row r="8" spans="1:3" x14ac:dyDescent="0.25">
      <c r="A8" t="s">
        <v>86</v>
      </c>
      <c r="B8" t="s">
        <v>67</v>
      </c>
      <c r="C8" s="3">
        <v>0.17562380038387715</v>
      </c>
    </row>
    <row r="9" spans="1:3" x14ac:dyDescent="0.25">
      <c r="B9" t="s">
        <v>76</v>
      </c>
      <c r="C9" s="3">
        <v>6.25E-2</v>
      </c>
    </row>
    <row r="10" spans="1:3" x14ac:dyDescent="0.25">
      <c r="B10" t="s">
        <v>77</v>
      </c>
      <c r="C10" s="3">
        <v>9.3023255813953487E-2</v>
      </c>
    </row>
    <row r="11" spans="1:3" x14ac:dyDescent="0.25">
      <c r="B11" t="s">
        <v>78</v>
      </c>
      <c r="C11" s="3">
        <v>0.26666666666666666</v>
      </c>
    </row>
    <row r="12" spans="1:3" x14ac:dyDescent="0.25">
      <c r="A12" t="s">
        <v>66</v>
      </c>
      <c r="C12" s="3">
        <v>0.16122448979591836</v>
      </c>
    </row>
    <row r="13" spans="1:3" x14ac:dyDescent="0.25">
      <c r="C13"/>
    </row>
    <row r="14" spans="1:3" x14ac:dyDescent="0.25">
      <c r="C1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4AFD-7C56-40C5-AA6E-E185CF835613}">
  <dimension ref="A3:F6"/>
  <sheetViews>
    <sheetView workbookViewId="0">
      <selection activeCell="D15" sqref="D15"/>
    </sheetView>
  </sheetViews>
  <sheetFormatPr defaultRowHeight="15" x14ac:dyDescent="0.25"/>
  <cols>
    <col min="1" max="1" width="20.85546875" bestFit="1" customWidth="1"/>
    <col min="2" max="2" width="25.28515625" style="4" bestFit="1" customWidth="1"/>
    <col min="3" max="3" width="22.28515625" style="3" bestFit="1" customWidth="1"/>
  </cols>
  <sheetData>
    <row r="3" spans="1:6" x14ac:dyDescent="0.25">
      <c r="A3" s="1" t="s">
        <v>24</v>
      </c>
      <c r="B3" s="4" t="s">
        <v>73</v>
      </c>
      <c r="C3" s="3" t="s">
        <v>74</v>
      </c>
      <c r="F3" s="4"/>
    </row>
    <row r="4" spans="1:6" x14ac:dyDescent="0.25">
      <c r="A4" s="2">
        <v>3</v>
      </c>
      <c r="B4" s="4">
        <v>6537.2741157556275</v>
      </c>
      <c r="C4" s="3">
        <v>0.16077170418006431</v>
      </c>
    </row>
    <row r="5" spans="1:6" x14ac:dyDescent="0.25">
      <c r="A5" s="2">
        <v>4</v>
      </c>
      <c r="B5" s="4">
        <v>6313.8938053097345</v>
      </c>
      <c r="C5" s="3">
        <v>0.16371681415929204</v>
      </c>
    </row>
    <row r="6" spans="1:6" x14ac:dyDescent="0.25">
      <c r="A6" s="2" t="s">
        <v>66</v>
      </c>
      <c r="B6" s="4">
        <v>6502.931292517007</v>
      </c>
      <c r="C6" s="3">
        <v>0.16122448979591836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7D7E-8774-4C20-9131-336CD4E81EF7}">
  <dimension ref="A3:C12"/>
  <sheetViews>
    <sheetView topLeftCell="AD1" workbookViewId="0">
      <selection activeCell="L10" sqref="L10"/>
    </sheetView>
  </sheetViews>
  <sheetFormatPr defaultRowHeight="15" x14ac:dyDescent="0.25"/>
  <cols>
    <col min="1" max="1" width="11.28515625" bestFit="1" customWidth="1"/>
    <col min="2" max="2" width="22.28515625" style="4" bestFit="1" customWidth="1"/>
    <col min="3" max="3" width="22.140625" style="3" bestFit="1" customWidth="1"/>
    <col min="4" max="5" width="9.5703125" bestFit="1" customWidth="1"/>
    <col min="6" max="6" width="11.28515625" bestFit="1" customWidth="1"/>
  </cols>
  <sheetData>
    <row r="3" spans="1:3" x14ac:dyDescent="0.25">
      <c r="B3" t="s">
        <v>74</v>
      </c>
      <c r="C3"/>
    </row>
    <row r="4" spans="1:3" x14ac:dyDescent="0.25">
      <c r="A4" s="2" t="s">
        <v>84</v>
      </c>
      <c r="B4" s="3">
        <v>0.16515837104072398</v>
      </c>
      <c r="C4"/>
    </row>
    <row r="5" spans="1:3" x14ac:dyDescent="0.25">
      <c r="A5" s="2" t="s">
        <v>82</v>
      </c>
      <c r="B5" s="3">
        <v>0.22837370242214533</v>
      </c>
      <c r="C5"/>
    </row>
    <row r="6" spans="1:3" x14ac:dyDescent="0.25">
      <c r="A6" s="2" t="s">
        <v>83</v>
      </c>
      <c r="B6" s="3">
        <v>0.16428571428571428</v>
      </c>
      <c r="C6"/>
    </row>
    <row r="7" spans="1:3" x14ac:dyDescent="0.25">
      <c r="A7" s="2" t="s">
        <v>85</v>
      </c>
      <c r="B7" s="3">
        <v>0.11328976034858387</v>
      </c>
      <c r="C7"/>
    </row>
    <row r="8" spans="1:3" x14ac:dyDescent="0.25">
      <c r="A8" s="2" t="s">
        <v>66</v>
      </c>
      <c r="B8" s="3">
        <v>0.16122448979591836</v>
      </c>
      <c r="C8"/>
    </row>
    <row r="9" spans="1:3" x14ac:dyDescent="0.25">
      <c r="B9"/>
      <c r="C9"/>
    </row>
    <row r="10" spans="1:3" x14ac:dyDescent="0.25">
      <c r="B10"/>
      <c r="C10"/>
    </row>
    <row r="11" spans="1:3" x14ac:dyDescent="0.25">
      <c r="B11"/>
      <c r="C11"/>
    </row>
    <row r="12" spans="1:3" x14ac:dyDescent="0.25">
      <c r="B12"/>
      <c r="C1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364D6-5DD6-4C9E-A762-3C2DCD3CD8BD}">
  <dimension ref="A1:AP1471"/>
  <sheetViews>
    <sheetView zoomScale="85" zoomScaleNormal="85" workbookViewId="0">
      <selection activeCell="C1" sqref="C1:C1048576"/>
    </sheetView>
  </sheetViews>
  <sheetFormatPr defaultRowHeight="15" x14ac:dyDescent="0.25"/>
  <cols>
    <col min="1" max="1" width="6.5703125" bestFit="1" customWidth="1"/>
    <col min="2" max="2" width="10.7109375" bestFit="1" customWidth="1"/>
    <col min="3" max="3" width="17" bestFit="1" customWidth="1"/>
    <col min="4" max="4" width="12" bestFit="1" customWidth="1"/>
    <col min="5" max="5" width="14.140625" bestFit="1" customWidth="1"/>
    <col min="6" max="6" width="21.5703125" bestFit="1" customWidth="1"/>
    <col min="7" max="7" width="12.28515625" bestFit="1" customWidth="1"/>
    <col min="8" max="8" width="16.85546875" bestFit="1" customWidth="1"/>
    <col min="9" max="9" width="18" bestFit="1" customWidth="1"/>
    <col min="10" max="10" width="19.8554687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10.425781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20.42578125" bestFit="1" customWidth="1"/>
    <col min="30" max="30" width="24" bestFit="1" customWidth="1"/>
    <col min="31" max="31" width="18.5703125" bestFit="1" customWidth="1"/>
    <col min="32" max="32" width="18.85546875" bestFit="1" customWidth="1"/>
    <col min="33" max="33" width="21.42578125" bestFit="1" customWidth="1"/>
    <col min="34" max="34" width="26.85546875" bestFit="1" customWidth="1"/>
    <col min="35" max="35" width="24.5703125" bestFit="1" customWidth="1"/>
    <col min="36" max="36" width="14.28515625" bestFit="1" customWidth="1"/>
    <col min="37" max="37" width="12.140625" bestFit="1" customWidth="1"/>
    <col min="38" max="38" width="17" bestFit="1" customWidth="1"/>
    <col min="39" max="39" width="13.140625" bestFit="1" customWidth="1"/>
    <col min="40" max="40" width="15.140625" bestFit="1" customWidth="1"/>
    <col min="41" max="41" width="20.7109375" bestFit="1" customWidth="1"/>
    <col min="42" max="42" width="23" bestFit="1"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60</v>
      </c>
      <c r="AK1" t="s">
        <v>61</v>
      </c>
      <c r="AL1" t="s">
        <v>62</v>
      </c>
      <c r="AM1" t="s">
        <v>63</v>
      </c>
      <c r="AN1" t="s">
        <v>64</v>
      </c>
      <c r="AO1" t="s">
        <v>65</v>
      </c>
      <c r="AP1" t="s">
        <v>79</v>
      </c>
    </row>
    <row r="2" spans="1:42" x14ac:dyDescent="0.25">
      <c r="A2">
        <v>41</v>
      </c>
      <c r="B2" t="s">
        <v>35</v>
      </c>
      <c r="C2" t="s">
        <v>90</v>
      </c>
      <c r="D2">
        <v>1102</v>
      </c>
      <c r="E2" t="s">
        <v>36</v>
      </c>
      <c r="F2">
        <v>1</v>
      </c>
      <c r="G2">
        <v>2</v>
      </c>
      <c r="H2" t="s">
        <v>37</v>
      </c>
      <c r="I2">
        <v>1</v>
      </c>
      <c r="J2">
        <v>1</v>
      </c>
      <c r="K2">
        <v>2</v>
      </c>
      <c r="L2" t="s">
        <v>38</v>
      </c>
      <c r="M2">
        <v>94</v>
      </c>
      <c r="N2">
        <v>3</v>
      </c>
      <c r="O2">
        <v>2</v>
      </c>
      <c r="P2" t="s">
        <v>39</v>
      </c>
      <c r="Q2">
        <v>4</v>
      </c>
      <c r="R2" t="s">
        <v>40</v>
      </c>
      <c r="S2">
        <v>5993</v>
      </c>
      <c r="T2">
        <v>19479</v>
      </c>
      <c r="U2">
        <v>8</v>
      </c>
      <c r="V2" t="s">
        <v>41</v>
      </c>
      <c r="W2" t="s">
        <v>35</v>
      </c>
      <c r="X2">
        <v>11</v>
      </c>
      <c r="Y2">
        <v>3</v>
      </c>
      <c r="Z2">
        <v>1</v>
      </c>
      <c r="AA2">
        <v>80</v>
      </c>
      <c r="AB2">
        <v>0</v>
      </c>
      <c r="AC2">
        <v>8</v>
      </c>
      <c r="AD2">
        <v>0</v>
      </c>
      <c r="AE2">
        <v>1</v>
      </c>
      <c r="AF2">
        <v>6</v>
      </c>
      <c r="AG2">
        <v>4</v>
      </c>
      <c r="AH2">
        <v>0</v>
      </c>
      <c r="AI2">
        <v>5</v>
      </c>
      <c r="AJ2">
        <f t="shared" ref="AJ2:AJ65" si="0">IF(B2="yes",1,0)</f>
        <v>1</v>
      </c>
      <c r="AK2" t="str" cm="1">
        <f t="array" ref="AK2">_xlfn.IFS(A2&lt;=30,"18-30",A2&lt;=45,"31-45",A2&lt;=60,"46-60",TRUE, "60+")</f>
        <v>31-45</v>
      </c>
      <c r="AL2" t="str" cm="1">
        <f t="array" ref="AL2">_xlfn.IFS(F2&lt;=10,"0-10",F2&lt;=20,"11-20",TRUE,"20+")</f>
        <v>0-10</v>
      </c>
      <c r="AM2" t="str" cm="1">
        <f t="array" ref="AM2">_xlfn.IFS(S2&lt;=5000,"0-5k",S2&lt;=10000,"5k-10k",S2&lt;=15000,"10k-15k",TRUE,"15k+")</f>
        <v>5k-10k</v>
      </c>
      <c r="AN2" t="str" cm="1">
        <f t="array" ref="AN2">_xlfn.IFS(AF2&lt;=10,"0-10",AF2&lt;=20,"10-20",AF2&lt;=30,"20-30",TRUE,"30+")</f>
        <v>0-10</v>
      </c>
      <c r="AO2" t="str" cm="1">
        <f t="array" ref="AO2">_xlfn.IFS(Y2=1,"Poor",Y2=2,"Average",Y2=3,"Good",TRUE,"Excellent")</f>
        <v>Good</v>
      </c>
      <c r="AP2" t="str" cm="1">
        <f t="array" ref="AP2">_xlfn.IFS(Q2=1,"Low",Q2=2,"Medium",Q2=3,"High",TRUE,"Very High")</f>
        <v>Very High</v>
      </c>
    </row>
    <row r="3" spans="1:42" x14ac:dyDescent="0.25">
      <c r="A3">
        <v>49</v>
      </c>
      <c r="B3" t="s">
        <v>42</v>
      </c>
      <c r="C3" t="s">
        <v>91</v>
      </c>
      <c r="D3">
        <v>279</v>
      </c>
      <c r="E3" t="s">
        <v>43</v>
      </c>
      <c r="F3">
        <v>8</v>
      </c>
      <c r="G3">
        <v>1</v>
      </c>
      <c r="H3" t="s">
        <v>37</v>
      </c>
      <c r="I3">
        <v>1</v>
      </c>
      <c r="J3">
        <v>2</v>
      </c>
      <c r="K3">
        <v>3</v>
      </c>
      <c r="L3" t="s">
        <v>44</v>
      </c>
      <c r="M3">
        <v>61</v>
      </c>
      <c r="N3">
        <v>2</v>
      </c>
      <c r="O3">
        <v>2</v>
      </c>
      <c r="P3" t="s">
        <v>45</v>
      </c>
      <c r="Q3">
        <v>2</v>
      </c>
      <c r="R3" t="s">
        <v>46</v>
      </c>
      <c r="S3">
        <v>5130</v>
      </c>
      <c r="T3">
        <v>24907</v>
      </c>
      <c r="U3">
        <v>1</v>
      </c>
      <c r="V3" t="s">
        <v>41</v>
      </c>
      <c r="W3" t="s">
        <v>42</v>
      </c>
      <c r="X3">
        <v>23</v>
      </c>
      <c r="Y3">
        <v>4</v>
      </c>
      <c r="Z3">
        <v>4</v>
      </c>
      <c r="AA3">
        <v>80</v>
      </c>
      <c r="AB3">
        <v>1</v>
      </c>
      <c r="AC3">
        <v>10</v>
      </c>
      <c r="AD3">
        <v>3</v>
      </c>
      <c r="AE3">
        <v>3</v>
      </c>
      <c r="AF3">
        <v>10</v>
      </c>
      <c r="AG3">
        <v>7</v>
      </c>
      <c r="AH3">
        <v>1</v>
      </c>
      <c r="AI3">
        <v>7</v>
      </c>
      <c r="AJ3">
        <f t="shared" si="0"/>
        <v>0</v>
      </c>
      <c r="AK3" t="str" cm="1">
        <f t="array" ref="AK3">_xlfn.IFS(A3&lt;=30,"18-30",A3&lt;=45,"31-45",A3&lt;=60,"46-60",TRUE, "60+")</f>
        <v>46-60</v>
      </c>
      <c r="AL3" t="str" cm="1">
        <f t="array" ref="AL3">_xlfn.IFS(F3&lt;=10,"0-10",F3&lt;=20,"11-20",TRUE,"20+")</f>
        <v>0-10</v>
      </c>
      <c r="AM3" t="str" cm="1">
        <f t="array" ref="AM3">_xlfn.IFS(S3&lt;=5000,"0-5k",S3&lt;=10000,"5k-10k",S3&lt;=15000,"10k-15k",TRUE,"15k+")</f>
        <v>5k-10k</v>
      </c>
      <c r="AN3" t="str" cm="1">
        <f t="array" ref="AN3">_xlfn.IFS(AF3&lt;=10,"0-10",AF3&lt;=20,"10-20",AF3&lt;=30,"20-30",TRUE,"30+")</f>
        <v>0-10</v>
      </c>
      <c r="AO3" t="str" cm="1">
        <f t="array" ref="AO3">_xlfn.IFS(Y3=1,"Poor",Y3=2,"Average",Y3=3,"Good",TRUE,"Excellent")</f>
        <v>Excellent</v>
      </c>
      <c r="AP3" t="str" cm="1">
        <f t="array" ref="AP3">_xlfn.IFS(Q3=1,"Low",Q3=2,"Medium",Q3=3,"High",TRUE,"Very High")</f>
        <v>Medium</v>
      </c>
    </row>
    <row r="4" spans="1:42" x14ac:dyDescent="0.25">
      <c r="A4">
        <v>37</v>
      </c>
      <c r="B4" t="s">
        <v>35</v>
      </c>
      <c r="C4" t="s">
        <v>90</v>
      </c>
      <c r="D4">
        <v>1373</v>
      </c>
      <c r="E4" t="s">
        <v>43</v>
      </c>
      <c r="F4">
        <v>2</v>
      </c>
      <c r="G4">
        <v>2</v>
      </c>
      <c r="H4" t="s">
        <v>47</v>
      </c>
      <c r="I4">
        <v>1</v>
      </c>
      <c r="J4">
        <v>4</v>
      </c>
      <c r="K4">
        <v>4</v>
      </c>
      <c r="L4" t="s">
        <v>44</v>
      </c>
      <c r="M4">
        <v>92</v>
      </c>
      <c r="N4">
        <v>2</v>
      </c>
      <c r="O4">
        <v>1</v>
      </c>
      <c r="P4" t="s">
        <v>48</v>
      </c>
      <c r="Q4">
        <v>3</v>
      </c>
      <c r="R4" t="s">
        <v>40</v>
      </c>
      <c r="S4">
        <v>2090</v>
      </c>
      <c r="T4">
        <v>2396</v>
      </c>
      <c r="U4">
        <v>6</v>
      </c>
      <c r="V4" t="s">
        <v>41</v>
      </c>
      <c r="W4" t="s">
        <v>35</v>
      </c>
      <c r="X4">
        <v>15</v>
      </c>
      <c r="Y4">
        <v>3</v>
      </c>
      <c r="Z4">
        <v>2</v>
      </c>
      <c r="AA4">
        <v>80</v>
      </c>
      <c r="AB4">
        <v>0</v>
      </c>
      <c r="AC4">
        <v>7</v>
      </c>
      <c r="AD4">
        <v>3</v>
      </c>
      <c r="AE4">
        <v>3</v>
      </c>
      <c r="AF4">
        <v>0</v>
      </c>
      <c r="AG4">
        <v>0</v>
      </c>
      <c r="AH4">
        <v>0</v>
      </c>
      <c r="AI4">
        <v>0</v>
      </c>
      <c r="AJ4">
        <f t="shared" si="0"/>
        <v>1</v>
      </c>
      <c r="AK4" t="str" cm="1">
        <f t="array" ref="AK4">_xlfn.IFS(A4&lt;=30,"18-30",A4&lt;=45,"31-45",A4&lt;=60,"46-60",TRUE, "60+")</f>
        <v>31-45</v>
      </c>
      <c r="AL4" t="str" cm="1">
        <f t="array" ref="AL4">_xlfn.IFS(F4&lt;=10,"0-10",F4&lt;=20,"11-20",TRUE,"20+")</f>
        <v>0-10</v>
      </c>
      <c r="AM4" t="str" cm="1">
        <f t="array" ref="AM4">_xlfn.IFS(S4&lt;=5000,"0-5k",S4&lt;=10000,"5k-10k",S4&lt;=15000,"10k-15k",TRUE,"15k+")</f>
        <v>0-5k</v>
      </c>
      <c r="AN4" t="str" cm="1">
        <f t="array" ref="AN4">_xlfn.IFS(AF4&lt;=10,"0-10",AF4&lt;=20,"10-20",AF4&lt;=30,"20-30",TRUE,"30+")</f>
        <v>0-10</v>
      </c>
      <c r="AO4" t="str" cm="1">
        <f t="array" ref="AO4">_xlfn.IFS(Y4=1,"Poor",Y4=2,"Average",Y4=3,"Good",TRUE,"Excellent")</f>
        <v>Good</v>
      </c>
      <c r="AP4" t="str" cm="1">
        <f t="array" ref="AP4">_xlfn.IFS(Q4=1,"Low",Q4=2,"Medium",Q4=3,"High",TRUE,"Very High")</f>
        <v>High</v>
      </c>
    </row>
    <row r="5" spans="1:42" x14ac:dyDescent="0.25">
      <c r="A5">
        <v>33</v>
      </c>
      <c r="B5" t="s">
        <v>42</v>
      </c>
      <c r="C5" t="s">
        <v>91</v>
      </c>
      <c r="D5">
        <v>1392</v>
      </c>
      <c r="E5" t="s">
        <v>43</v>
      </c>
      <c r="F5">
        <v>3</v>
      </c>
      <c r="G5">
        <v>4</v>
      </c>
      <c r="H5" t="s">
        <v>37</v>
      </c>
      <c r="I5">
        <v>1</v>
      </c>
      <c r="J5">
        <v>5</v>
      </c>
      <c r="K5">
        <v>4</v>
      </c>
      <c r="L5" t="s">
        <v>38</v>
      </c>
      <c r="M5">
        <v>56</v>
      </c>
      <c r="N5">
        <v>3</v>
      </c>
      <c r="O5">
        <v>1</v>
      </c>
      <c r="P5" t="s">
        <v>45</v>
      </c>
      <c r="Q5">
        <v>3</v>
      </c>
      <c r="R5" t="s">
        <v>46</v>
      </c>
      <c r="S5">
        <v>2909</v>
      </c>
      <c r="T5">
        <v>23159</v>
      </c>
      <c r="U5">
        <v>1</v>
      </c>
      <c r="V5" t="s">
        <v>41</v>
      </c>
      <c r="W5" t="s">
        <v>35</v>
      </c>
      <c r="X5">
        <v>11</v>
      </c>
      <c r="Y5">
        <v>3</v>
      </c>
      <c r="Z5">
        <v>3</v>
      </c>
      <c r="AA5">
        <v>80</v>
      </c>
      <c r="AB5">
        <v>0</v>
      </c>
      <c r="AC5">
        <v>8</v>
      </c>
      <c r="AD5">
        <v>3</v>
      </c>
      <c r="AE5">
        <v>3</v>
      </c>
      <c r="AF5">
        <v>8</v>
      </c>
      <c r="AG5">
        <v>7</v>
      </c>
      <c r="AH5">
        <v>3</v>
      </c>
      <c r="AI5">
        <v>0</v>
      </c>
      <c r="AJ5">
        <f t="shared" si="0"/>
        <v>0</v>
      </c>
      <c r="AK5" t="str" cm="1">
        <f t="array" ref="AK5">_xlfn.IFS(A5&lt;=30,"18-30",A5&lt;=45,"31-45",A5&lt;=60,"46-60",TRUE, "60+")</f>
        <v>31-45</v>
      </c>
      <c r="AL5" t="str" cm="1">
        <f t="array" ref="AL5">_xlfn.IFS(F5&lt;=10,"0-10",F5&lt;=20,"11-20",TRUE,"20+")</f>
        <v>0-10</v>
      </c>
      <c r="AM5" t="str" cm="1">
        <f t="array" ref="AM5">_xlfn.IFS(S5&lt;=5000,"0-5k",S5&lt;=10000,"5k-10k",S5&lt;=15000,"10k-15k",TRUE,"15k+")</f>
        <v>0-5k</v>
      </c>
      <c r="AN5" t="str" cm="1">
        <f t="array" ref="AN5">_xlfn.IFS(AF5&lt;=10,"0-10",AF5&lt;=20,"10-20",AF5&lt;=30,"20-30",TRUE,"30+")</f>
        <v>0-10</v>
      </c>
      <c r="AO5" t="str" cm="1">
        <f t="array" ref="AO5">_xlfn.IFS(Y5=1,"Poor",Y5=2,"Average",Y5=3,"Good",TRUE,"Excellent")</f>
        <v>Good</v>
      </c>
      <c r="AP5" t="str" cm="1">
        <f t="array" ref="AP5">_xlfn.IFS(Q5=1,"Low",Q5=2,"Medium",Q5=3,"High",TRUE,"Very High")</f>
        <v>High</v>
      </c>
    </row>
    <row r="6" spans="1:42" x14ac:dyDescent="0.25">
      <c r="A6">
        <v>27</v>
      </c>
      <c r="B6" t="s">
        <v>42</v>
      </c>
      <c r="C6" t="s">
        <v>90</v>
      </c>
      <c r="D6">
        <v>591</v>
      </c>
      <c r="E6" t="s">
        <v>43</v>
      </c>
      <c r="F6">
        <v>2</v>
      </c>
      <c r="G6">
        <v>1</v>
      </c>
      <c r="H6" t="s">
        <v>49</v>
      </c>
      <c r="I6">
        <v>1</v>
      </c>
      <c r="J6">
        <v>7</v>
      </c>
      <c r="K6">
        <v>1</v>
      </c>
      <c r="L6" t="s">
        <v>44</v>
      </c>
      <c r="M6">
        <v>40</v>
      </c>
      <c r="N6">
        <v>3</v>
      </c>
      <c r="O6">
        <v>1</v>
      </c>
      <c r="P6" t="s">
        <v>48</v>
      </c>
      <c r="Q6">
        <v>2</v>
      </c>
      <c r="R6" t="s">
        <v>46</v>
      </c>
      <c r="S6">
        <v>3468</v>
      </c>
      <c r="T6">
        <v>16632</v>
      </c>
      <c r="U6">
        <v>9</v>
      </c>
      <c r="V6" t="s">
        <v>41</v>
      </c>
      <c r="W6" t="s">
        <v>42</v>
      </c>
      <c r="X6">
        <v>12</v>
      </c>
      <c r="Y6">
        <v>3</v>
      </c>
      <c r="Z6">
        <v>4</v>
      </c>
      <c r="AA6">
        <v>80</v>
      </c>
      <c r="AB6">
        <v>1</v>
      </c>
      <c r="AC6">
        <v>6</v>
      </c>
      <c r="AD6">
        <v>3</v>
      </c>
      <c r="AE6">
        <v>3</v>
      </c>
      <c r="AF6">
        <v>2</v>
      </c>
      <c r="AG6">
        <v>2</v>
      </c>
      <c r="AH6">
        <v>2</v>
      </c>
      <c r="AI6">
        <v>2</v>
      </c>
      <c r="AJ6">
        <f t="shared" si="0"/>
        <v>0</v>
      </c>
      <c r="AK6" t="str" cm="1">
        <f t="array" ref="AK6">_xlfn.IFS(A6&lt;=30,"18-30",A6&lt;=45,"31-45",A6&lt;=60,"46-60",TRUE, "60+")</f>
        <v>18-30</v>
      </c>
      <c r="AL6" t="str" cm="1">
        <f t="array" ref="AL6">_xlfn.IFS(F6&lt;=10,"0-10",F6&lt;=20,"11-20",TRUE,"20+")</f>
        <v>0-10</v>
      </c>
      <c r="AM6" t="str" cm="1">
        <f t="array" ref="AM6">_xlfn.IFS(S6&lt;=5000,"0-5k",S6&lt;=10000,"5k-10k",S6&lt;=15000,"10k-15k",TRUE,"15k+")</f>
        <v>0-5k</v>
      </c>
      <c r="AN6" t="str" cm="1">
        <f t="array" ref="AN6">_xlfn.IFS(AF6&lt;=10,"0-10",AF6&lt;=20,"10-20",AF6&lt;=30,"20-30",TRUE,"30+")</f>
        <v>0-10</v>
      </c>
      <c r="AO6" t="str" cm="1">
        <f t="array" ref="AO6">_xlfn.IFS(Y6=1,"Poor",Y6=2,"Average",Y6=3,"Good",TRUE,"Excellent")</f>
        <v>Good</v>
      </c>
      <c r="AP6" t="str" cm="1">
        <f t="array" ref="AP6">_xlfn.IFS(Q6=1,"Low",Q6=2,"Medium",Q6=3,"High",TRUE,"Very High")</f>
        <v>Medium</v>
      </c>
    </row>
    <row r="7" spans="1:42" x14ac:dyDescent="0.25">
      <c r="A7">
        <v>32</v>
      </c>
      <c r="B7" t="s">
        <v>42</v>
      </c>
      <c r="C7" t="s">
        <v>91</v>
      </c>
      <c r="D7">
        <v>1005</v>
      </c>
      <c r="E7" t="s">
        <v>43</v>
      </c>
      <c r="F7">
        <v>2</v>
      </c>
      <c r="G7">
        <v>2</v>
      </c>
      <c r="H7" t="s">
        <v>37</v>
      </c>
      <c r="I7">
        <v>1</v>
      </c>
      <c r="J7">
        <v>8</v>
      </c>
      <c r="K7">
        <v>4</v>
      </c>
      <c r="L7" t="s">
        <v>44</v>
      </c>
      <c r="M7">
        <v>79</v>
      </c>
      <c r="N7">
        <v>3</v>
      </c>
      <c r="O7">
        <v>1</v>
      </c>
      <c r="P7" t="s">
        <v>48</v>
      </c>
      <c r="Q7">
        <v>4</v>
      </c>
      <c r="R7" t="s">
        <v>40</v>
      </c>
      <c r="S7">
        <v>3068</v>
      </c>
      <c r="T7">
        <v>11864</v>
      </c>
      <c r="U7">
        <v>0</v>
      </c>
      <c r="V7" t="s">
        <v>41</v>
      </c>
      <c r="W7" t="s">
        <v>42</v>
      </c>
      <c r="X7">
        <v>13</v>
      </c>
      <c r="Y7">
        <v>3</v>
      </c>
      <c r="Z7">
        <v>3</v>
      </c>
      <c r="AA7">
        <v>80</v>
      </c>
      <c r="AB7">
        <v>0</v>
      </c>
      <c r="AC7">
        <v>8</v>
      </c>
      <c r="AD7">
        <v>2</v>
      </c>
      <c r="AE7">
        <v>2</v>
      </c>
      <c r="AF7">
        <v>7</v>
      </c>
      <c r="AG7">
        <v>7</v>
      </c>
      <c r="AH7">
        <v>3</v>
      </c>
      <c r="AI7">
        <v>6</v>
      </c>
      <c r="AJ7">
        <f t="shared" si="0"/>
        <v>0</v>
      </c>
      <c r="AK7" t="str" cm="1">
        <f t="array" ref="AK7">_xlfn.IFS(A7&lt;=30,"18-30",A7&lt;=45,"31-45",A7&lt;=60,"46-60",TRUE, "60+")</f>
        <v>31-45</v>
      </c>
      <c r="AL7" t="str" cm="1">
        <f t="array" ref="AL7">_xlfn.IFS(F7&lt;=10,"0-10",F7&lt;=20,"11-20",TRUE,"20+")</f>
        <v>0-10</v>
      </c>
      <c r="AM7" t="str" cm="1">
        <f t="array" ref="AM7">_xlfn.IFS(S7&lt;=5000,"0-5k",S7&lt;=10000,"5k-10k",S7&lt;=15000,"10k-15k",TRUE,"15k+")</f>
        <v>0-5k</v>
      </c>
      <c r="AN7" t="str" cm="1">
        <f t="array" ref="AN7">_xlfn.IFS(AF7&lt;=10,"0-10",AF7&lt;=20,"10-20",AF7&lt;=30,"20-30",TRUE,"30+")</f>
        <v>0-10</v>
      </c>
      <c r="AO7" t="str" cm="1">
        <f t="array" ref="AO7">_xlfn.IFS(Y7=1,"Poor",Y7=2,"Average",Y7=3,"Good",TRUE,"Excellent")</f>
        <v>Good</v>
      </c>
      <c r="AP7" t="str" cm="1">
        <f t="array" ref="AP7">_xlfn.IFS(Q7=1,"Low",Q7=2,"Medium",Q7=3,"High",TRUE,"Very High")</f>
        <v>Very High</v>
      </c>
    </row>
    <row r="8" spans="1:42" x14ac:dyDescent="0.25">
      <c r="A8">
        <v>59</v>
      </c>
      <c r="B8" t="s">
        <v>42</v>
      </c>
      <c r="C8" t="s">
        <v>90</v>
      </c>
      <c r="D8">
        <v>1324</v>
      </c>
      <c r="E8" t="s">
        <v>43</v>
      </c>
      <c r="F8">
        <v>3</v>
      </c>
      <c r="G8">
        <v>3</v>
      </c>
      <c r="H8" t="s">
        <v>49</v>
      </c>
      <c r="I8">
        <v>1</v>
      </c>
      <c r="J8">
        <v>10</v>
      </c>
      <c r="K8">
        <v>3</v>
      </c>
      <c r="L8" t="s">
        <v>38</v>
      </c>
      <c r="M8">
        <v>81</v>
      </c>
      <c r="N8">
        <v>4</v>
      </c>
      <c r="O8">
        <v>1</v>
      </c>
      <c r="P8" t="s">
        <v>48</v>
      </c>
      <c r="Q8">
        <v>1</v>
      </c>
      <c r="R8" t="s">
        <v>46</v>
      </c>
      <c r="S8">
        <v>2670</v>
      </c>
      <c r="T8">
        <v>9964</v>
      </c>
      <c r="U8">
        <v>4</v>
      </c>
      <c r="V8" t="s">
        <v>41</v>
      </c>
      <c r="W8" t="s">
        <v>35</v>
      </c>
      <c r="X8">
        <v>20</v>
      </c>
      <c r="Y8">
        <v>4</v>
      </c>
      <c r="Z8">
        <v>1</v>
      </c>
      <c r="AA8">
        <v>80</v>
      </c>
      <c r="AB8">
        <v>3</v>
      </c>
      <c r="AC8">
        <v>12</v>
      </c>
      <c r="AD8">
        <v>3</v>
      </c>
      <c r="AE8">
        <v>2</v>
      </c>
      <c r="AF8">
        <v>1</v>
      </c>
      <c r="AG8">
        <v>0</v>
      </c>
      <c r="AH8">
        <v>0</v>
      </c>
      <c r="AI8">
        <v>0</v>
      </c>
      <c r="AJ8">
        <f t="shared" si="0"/>
        <v>0</v>
      </c>
      <c r="AK8" t="str" cm="1">
        <f t="array" ref="AK8">_xlfn.IFS(A8&lt;=30,"18-30",A8&lt;=45,"31-45",A8&lt;=60,"46-60",TRUE, "60+")</f>
        <v>46-60</v>
      </c>
      <c r="AL8" t="str" cm="1">
        <f t="array" ref="AL8">_xlfn.IFS(F8&lt;=10,"0-10",F8&lt;=20,"11-20",TRUE,"20+")</f>
        <v>0-10</v>
      </c>
      <c r="AM8" t="str" cm="1">
        <f t="array" ref="AM8">_xlfn.IFS(S8&lt;=5000,"0-5k",S8&lt;=10000,"5k-10k",S8&lt;=15000,"10k-15k",TRUE,"15k+")</f>
        <v>0-5k</v>
      </c>
      <c r="AN8" t="str" cm="1">
        <f t="array" ref="AN8">_xlfn.IFS(AF8&lt;=10,"0-10",AF8&lt;=20,"10-20",AF8&lt;=30,"20-30",TRUE,"30+")</f>
        <v>0-10</v>
      </c>
      <c r="AO8" t="str" cm="1">
        <f t="array" ref="AO8">_xlfn.IFS(Y8=1,"Poor",Y8=2,"Average",Y8=3,"Good",TRUE,"Excellent")</f>
        <v>Excellent</v>
      </c>
      <c r="AP8" t="str" cm="1">
        <f t="array" ref="AP8">_xlfn.IFS(Q8=1,"Low",Q8=2,"Medium",Q8=3,"High",TRUE,"Very High")</f>
        <v>Low</v>
      </c>
    </row>
    <row r="9" spans="1:42" x14ac:dyDescent="0.25">
      <c r="A9">
        <v>30</v>
      </c>
      <c r="B9" t="s">
        <v>42</v>
      </c>
      <c r="C9" t="s">
        <v>90</v>
      </c>
      <c r="D9">
        <v>1358</v>
      </c>
      <c r="E9" t="s">
        <v>43</v>
      </c>
      <c r="F9">
        <v>24</v>
      </c>
      <c r="G9">
        <v>1</v>
      </c>
      <c r="H9" t="s">
        <v>37</v>
      </c>
      <c r="I9">
        <v>1</v>
      </c>
      <c r="J9">
        <v>11</v>
      </c>
      <c r="K9">
        <v>4</v>
      </c>
      <c r="L9" t="s">
        <v>44</v>
      </c>
      <c r="M9">
        <v>67</v>
      </c>
      <c r="N9">
        <v>3</v>
      </c>
      <c r="O9">
        <v>1</v>
      </c>
      <c r="P9" t="s">
        <v>48</v>
      </c>
      <c r="Q9">
        <v>3</v>
      </c>
      <c r="R9" t="s">
        <v>50</v>
      </c>
      <c r="S9">
        <v>2693</v>
      </c>
      <c r="T9">
        <v>13335</v>
      </c>
      <c r="U9">
        <v>1</v>
      </c>
      <c r="V9" t="s">
        <v>41</v>
      </c>
      <c r="W9" t="s">
        <v>42</v>
      </c>
      <c r="X9">
        <v>22</v>
      </c>
      <c r="Y9">
        <v>4</v>
      </c>
      <c r="Z9">
        <v>2</v>
      </c>
      <c r="AA9">
        <v>80</v>
      </c>
      <c r="AB9">
        <v>1</v>
      </c>
      <c r="AC9">
        <v>1</v>
      </c>
      <c r="AD9">
        <v>2</v>
      </c>
      <c r="AE9">
        <v>3</v>
      </c>
      <c r="AF9">
        <v>1</v>
      </c>
      <c r="AG9">
        <v>0</v>
      </c>
      <c r="AH9">
        <v>0</v>
      </c>
      <c r="AI9">
        <v>0</v>
      </c>
      <c r="AJ9">
        <f t="shared" si="0"/>
        <v>0</v>
      </c>
      <c r="AK9" t="str" cm="1">
        <f t="array" ref="AK9">_xlfn.IFS(A9&lt;=30,"18-30",A9&lt;=45,"31-45",A9&lt;=60,"46-60",TRUE, "60+")</f>
        <v>18-30</v>
      </c>
      <c r="AL9" t="str" cm="1">
        <f t="array" ref="AL9">_xlfn.IFS(F9&lt;=10,"0-10",F9&lt;=20,"11-20",TRUE,"20+")</f>
        <v>20+</v>
      </c>
      <c r="AM9" t="str" cm="1">
        <f t="array" ref="AM9">_xlfn.IFS(S9&lt;=5000,"0-5k",S9&lt;=10000,"5k-10k",S9&lt;=15000,"10k-15k",TRUE,"15k+")</f>
        <v>0-5k</v>
      </c>
      <c r="AN9" t="str" cm="1">
        <f t="array" ref="AN9">_xlfn.IFS(AF9&lt;=10,"0-10",AF9&lt;=20,"10-20",AF9&lt;=30,"20-30",TRUE,"30+")</f>
        <v>0-10</v>
      </c>
      <c r="AO9" t="str" cm="1">
        <f t="array" ref="AO9">_xlfn.IFS(Y9=1,"Poor",Y9=2,"Average",Y9=3,"Good",TRUE,"Excellent")</f>
        <v>Excellent</v>
      </c>
      <c r="AP9" t="str" cm="1">
        <f t="array" ref="AP9">_xlfn.IFS(Q9=1,"Low",Q9=2,"Medium",Q9=3,"High",TRUE,"Very High")</f>
        <v>High</v>
      </c>
    </row>
    <row r="10" spans="1:42" x14ac:dyDescent="0.25">
      <c r="A10">
        <v>38</v>
      </c>
      <c r="B10" t="s">
        <v>42</v>
      </c>
      <c r="C10" t="s">
        <v>91</v>
      </c>
      <c r="D10">
        <v>216</v>
      </c>
      <c r="E10" t="s">
        <v>43</v>
      </c>
      <c r="F10">
        <v>23</v>
      </c>
      <c r="G10">
        <v>3</v>
      </c>
      <c r="H10" t="s">
        <v>37</v>
      </c>
      <c r="I10">
        <v>1</v>
      </c>
      <c r="J10">
        <v>12</v>
      </c>
      <c r="K10">
        <v>4</v>
      </c>
      <c r="L10" t="s">
        <v>44</v>
      </c>
      <c r="M10">
        <v>44</v>
      </c>
      <c r="N10">
        <v>2</v>
      </c>
      <c r="O10">
        <v>3</v>
      </c>
      <c r="P10" t="s">
        <v>51</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c r="AJ10">
        <f t="shared" si="0"/>
        <v>0</v>
      </c>
      <c r="AK10" t="str" cm="1">
        <f t="array" ref="AK10">_xlfn.IFS(A10&lt;=30,"18-30",A10&lt;=45,"31-45",A10&lt;=60,"46-60",TRUE, "60+")</f>
        <v>31-45</v>
      </c>
      <c r="AL10" t="str" cm="1">
        <f t="array" ref="AL10">_xlfn.IFS(F10&lt;=10,"0-10",F10&lt;=20,"11-20",TRUE,"20+")</f>
        <v>20+</v>
      </c>
      <c r="AM10" t="str" cm="1">
        <f t="array" ref="AM10">_xlfn.IFS(S10&lt;=5000,"0-5k",S10&lt;=10000,"5k-10k",S10&lt;=15000,"10k-15k",TRUE,"15k+")</f>
        <v>5k-10k</v>
      </c>
      <c r="AN10" t="str" cm="1">
        <f t="array" ref="AN10">_xlfn.IFS(AF10&lt;=10,"0-10",AF10&lt;=20,"10-20",AF10&lt;=30,"20-30",TRUE,"30+")</f>
        <v>0-10</v>
      </c>
      <c r="AO10" t="str" cm="1">
        <f t="array" ref="AO10">_xlfn.IFS(Y10=1,"Poor",Y10=2,"Average",Y10=3,"Good",TRUE,"Excellent")</f>
        <v>Excellent</v>
      </c>
      <c r="AP10" t="str" cm="1">
        <f t="array" ref="AP10">_xlfn.IFS(Q10=1,"Low",Q10=2,"Medium",Q10=3,"High",TRUE,"Very High")</f>
        <v>High</v>
      </c>
    </row>
    <row r="11" spans="1:42" x14ac:dyDescent="0.25">
      <c r="A11">
        <v>36</v>
      </c>
      <c r="B11" t="s">
        <v>42</v>
      </c>
      <c r="C11" t="s">
        <v>90</v>
      </c>
      <c r="D11">
        <v>1299</v>
      </c>
      <c r="E11" t="s">
        <v>43</v>
      </c>
      <c r="F11">
        <v>27</v>
      </c>
      <c r="G11">
        <v>3</v>
      </c>
      <c r="H11" t="s">
        <v>49</v>
      </c>
      <c r="I11">
        <v>1</v>
      </c>
      <c r="J11">
        <v>13</v>
      </c>
      <c r="K11">
        <v>3</v>
      </c>
      <c r="L11" t="s">
        <v>44</v>
      </c>
      <c r="M11">
        <v>94</v>
      </c>
      <c r="N11">
        <v>3</v>
      </c>
      <c r="O11">
        <v>2</v>
      </c>
      <c r="P11" t="s">
        <v>52</v>
      </c>
      <c r="Q11">
        <v>3</v>
      </c>
      <c r="R11" t="s">
        <v>46</v>
      </c>
      <c r="S11">
        <v>5237</v>
      </c>
      <c r="T11">
        <v>16577</v>
      </c>
      <c r="U11">
        <v>6</v>
      </c>
      <c r="V11" t="s">
        <v>41</v>
      </c>
      <c r="W11" t="s">
        <v>42</v>
      </c>
      <c r="X11">
        <v>13</v>
      </c>
      <c r="Y11">
        <v>3</v>
      </c>
      <c r="Z11">
        <v>2</v>
      </c>
      <c r="AA11">
        <v>80</v>
      </c>
      <c r="AB11">
        <v>2</v>
      </c>
      <c r="AC11">
        <v>17</v>
      </c>
      <c r="AD11">
        <v>3</v>
      </c>
      <c r="AE11">
        <v>2</v>
      </c>
      <c r="AF11">
        <v>7</v>
      </c>
      <c r="AG11">
        <v>7</v>
      </c>
      <c r="AH11">
        <v>7</v>
      </c>
      <c r="AI11">
        <v>7</v>
      </c>
      <c r="AJ11">
        <f t="shared" si="0"/>
        <v>0</v>
      </c>
      <c r="AK11" t="str" cm="1">
        <f t="array" ref="AK11">_xlfn.IFS(A11&lt;=30,"18-30",A11&lt;=45,"31-45",A11&lt;=60,"46-60",TRUE, "60+")</f>
        <v>31-45</v>
      </c>
      <c r="AL11" t="str" cm="1">
        <f t="array" ref="AL11">_xlfn.IFS(F11&lt;=10,"0-10",F11&lt;=20,"11-20",TRUE,"20+")</f>
        <v>20+</v>
      </c>
      <c r="AM11" t="str" cm="1">
        <f t="array" ref="AM11">_xlfn.IFS(S11&lt;=5000,"0-5k",S11&lt;=10000,"5k-10k",S11&lt;=15000,"10k-15k",TRUE,"15k+")</f>
        <v>5k-10k</v>
      </c>
      <c r="AN11" t="str" cm="1">
        <f t="array" ref="AN11">_xlfn.IFS(AF11&lt;=10,"0-10",AF11&lt;=20,"10-20",AF11&lt;=30,"20-30",TRUE,"30+")</f>
        <v>0-10</v>
      </c>
      <c r="AO11" t="str" cm="1">
        <f t="array" ref="AO11">_xlfn.IFS(Y11=1,"Poor",Y11=2,"Average",Y11=3,"Good",TRUE,"Excellent")</f>
        <v>Good</v>
      </c>
      <c r="AP11" t="str" cm="1">
        <f t="array" ref="AP11">_xlfn.IFS(Q11=1,"Low",Q11=2,"Medium",Q11=3,"High",TRUE,"Very High")</f>
        <v>High</v>
      </c>
    </row>
    <row r="12" spans="1:42" x14ac:dyDescent="0.25">
      <c r="A12">
        <v>35</v>
      </c>
      <c r="B12" t="s">
        <v>42</v>
      </c>
      <c r="C12" t="s">
        <v>90</v>
      </c>
      <c r="D12">
        <v>809</v>
      </c>
      <c r="E12" t="s">
        <v>43</v>
      </c>
      <c r="F12">
        <v>16</v>
      </c>
      <c r="G12">
        <v>3</v>
      </c>
      <c r="H12" t="s">
        <v>49</v>
      </c>
      <c r="I12">
        <v>1</v>
      </c>
      <c r="J12">
        <v>14</v>
      </c>
      <c r="K12">
        <v>1</v>
      </c>
      <c r="L12" t="s">
        <v>44</v>
      </c>
      <c r="M12">
        <v>84</v>
      </c>
      <c r="N12">
        <v>4</v>
      </c>
      <c r="O12">
        <v>1</v>
      </c>
      <c r="P12" t="s">
        <v>48</v>
      </c>
      <c r="Q12">
        <v>2</v>
      </c>
      <c r="R12" t="s">
        <v>46</v>
      </c>
      <c r="S12">
        <v>2426</v>
      </c>
      <c r="T12">
        <v>16479</v>
      </c>
      <c r="U12">
        <v>0</v>
      </c>
      <c r="V12" t="s">
        <v>41</v>
      </c>
      <c r="W12" t="s">
        <v>42</v>
      </c>
      <c r="X12">
        <v>13</v>
      </c>
      <c r="Y12">
        <v>3</v>
      </c>
      <c r="Z12">
        <v>3</v>
      </c>
      <c r="AA12">
        <v>80</v>
      </c>
      <c r="AB12">
        <v>1</v>
      </c>
      <c r="AC12">
        <v>6</v>
      </c>
      <c r="AD12">
        <v>5</v>
      </c>
      <c r="AE12">
        <v>3</v>
      </c>
      <c r="AF12">
        <v>5</v>
      </c>
      <c r="AG12">
        <v>4</v>
      </c>
      <c r="AH12">
        <v>0</v>
      </c>
      <c r="AI12">
        <v>3</v>
      </c>
      <c r="AJ12">
        <f t="shared" si="0"/>
        <v>0</v>
      </c>
      <c r="AK12" t="str" cm="1">
        <f t="array" ref="AK12">_xlfn.IFS(A12&lt;=30,"18-30",A12&lt;=45,"31-45",A12&lt;=60,"46-60",TRUE, "60+")</f>
        <v>31-45</v>
      </c>
      <c r="AL12" t="str" cm="1">
        <f t="array" ref="AL12">_xlfn.IFS(F12&lt;=10,"0-10",F12&lt;=20,"11-20",TRUE,"20+")</f>
        <v>11-20</v>
      </c>
      <c r="AM12" t="str" cm="1">
        <f t="array" ref="AM12">_xlfn.IFS(S12&lt;=5000,"0-5k",S12&lt;=10000,"5k-10k",S12&lt;=15000,"10k-15k",TRUE,"15k+")</f>
        <v>0-5k</v>
      </c>
      <c r="AN12" t="str" cm="1">
        <f t="array" ref="AN12">_xlfn.IFS(AF12&lt;=10,"0-10",AF12&lt;=20,"10-20",AF12&lt;=30,"20-30",TRUE,"30+")</f>
        <v>0-10</v>
      </c>
      <c r="AO12" t="str" cm="1">
        <f t="array" ref="AO12">_xlfn.IFS(Y12=1,"Poor",Y12=2,"Average",Y12=3,"Good",TRUE,"Excellent")</f>
        <v>Good</v>
      </c>
      <c r="AP12" t="str" cm="1">
        <f t="array" ref="AP12">_xlfn.IFS(Q12=1,"Low",Q12=2,"Medium",Q12=3,"High",TRUE,"Very High")</f>
        <v>Medium</v>
      </c>
    </row>
    <row r="13" spans="1:42" x14ac:dyDescent="0.25">
      <c r="A13">
        <v>29</v>
      </c>
      <c r="B13" t="s">
        <v>42</v>
      </c>
      <c r="C13" t="s">
        <v>90</v>
      </c>
      <c r="D13">
        <v>153</v>
      </c>
      <c r="E13" t="s">
        <v>43</v>
      </c>
      <c r="F13">
        <v>15</v>
      </c>
      <c r="G13">
        <v>2</v>
      </c>
      <c r="H13" t="s">
        <v>37</v>
      </c>
      <c r="I13">
        <v>1</v>
      </c>
      <c r="J13">
        <v>15</v>
      </c>
      <c r="K13">
        <v>4</v>
      </c>
      <c r="L13" t="s">
        <v>38</v>
      </c>
      <c r="M13">
        <v>49</v>
      </c>
      <c r="N13">
        <v>2</v>
      </c>
      <c r="O13">
        <v>2</v>
      </c>
      <c r="P13" t="s">
        <v>48</v>
      </c>
      <c r="Q13">
        <v>3</v>
      </c>
      <c r="R13" t="s">
        <v>40</v>
      </c>
      <c r="S13">
        <v>4193</v>
      </c>
      <c r="T13">
        <v>12682</v>
      </c>
      <c r="U13">
        <v>0</v>
      </c>
      <c r="V13" t="s">
        <v>41</v>
      </c>
      <c r="W13" t="s">
        <v>35</v>
      </c>
      <c r="X13">
        <v>12</v>
      </c>
      <c r="Y13">
        <v>3</v>
      </c>
      <c r="Z13">
        <v>4</v>
      </c>
      <c r="AA13">
        <v>80</v>
      </c>
      <c r="AB13">
        <v>0</v>
      </c>
      <c r="AC13">
        <v>10</v>
      </c>
      <c r="AD13">
        <v>3</v>
      </c>
      <c r="AE13">
        <v>3</v>
      </c>
      <c r="AF13">
        <v>9</v>
      </c>
      <c r="AG13">
        <v>5</v>
      </c>
      <c r="AH13">
        <v>0</v>
      </c>
      <c r="AI13">
        <v>8</v>
      </c>
      <c r="AJ13">
        <f t="shared" si="0"/>
        <v>0</v>
      </c>
      <c r="AK13" t="str" cm="1">
        <f t="array" ref="AK13">_xlfn.IFS(A13&lt;=30,"18-30",A13&lt;=45,"31-45",A13&lt;=60,"46-60",TRUE, "60+")</f>
        <v>18-30</v>
      </c>
      <c r="AL13" t="str" cm="1">
        <f t="array" ref="AL13">_xlfn.IFS(F13&lt;=10,"0-10",F13&lt;=20,"11-20",TRUE,"20+")</f>
        <v>11-20</v>
      </c>
      <c r="AM13" t="str" cm="1">
        <f t="array" ref="AM13">_xlfn.IFS(S13&lt;=5000,"0-5k",S13&lt;=10000,"5k-10k",S13&lt;=15000,"10k-15k",TRUE,"15k+")</f>
        <v>0-5k</v>
      </c>
      <c r="AN13" t="str" cm="1">
        <f t="array" ref="AN13">_xlfn.IFS(AF13&lt;=10,"0-10",AF13&lt;=20,"10-20",AF13&lt;=30,"20-30",TRUE,"30+")</f>
        <v>0-10</v>
      </c>
      <c r="AO13" t="str" cm="1">
        <f t="array" ref="AO13">_xlfn.IFS(Y13=1,"Poor",Y13=2,"Average",Y13=3,"Good",TRUE,"Excellent")</f>
        <v>Good</v>
      </c>
      <c r="AP13" t="str" cm="1">
        <f t="array" ref="AP13">_xlfn.IFS(Q13=1,"Low",Q13=2,"Medium",Q13=3,"High",TRUE,"Very High")</f>
        <v>High</v>
      </c>
    </row>
    <row r="14" spans="1:42" x14ac:dyDescent="0.25">
      <c r="A14">
        <v>31</v>
      </c>
      <c r="B14" t="s">
        <v>42</v>
      </c>
      <c r="C14" t="s">
        <v>90</v>
      </c>
      <c r="D14">
        <v>670</v>
      </c>
      <c r="E14" t="s">
        <v>43</v>
      </c>
      <c r="F14">
        <v>26</v>
      </c>
      <c r="G14">
        <v>1</v>
      </c>
      <c r="H14" t="s">
        <v>37</v>
      </c>
      <c r="I14">
        <v>1</v>
      </c>
      <c r="J14">
        <v>16</v>
      </c>
      <c r="K14">
        <v>1</v>
      </c>
      <c r="L14" t="s">
        <v>44</v>
      </c>
      <c r="M14">
        <v>31</v>
      </c>
      <c r="N14">
        <v>3</v>
      </c>
      <c r="O14">
        <v>1</v>
      </c>
      <c r="P14" t="s">
        <v>45</v>
      </c>
      <c r="Q14">
        <v>3</v>
      </c>
      <c r="R14" t="s">
        <v>50</v>
      </c>
      <c r="S14">
        <v>2911</v>
      </c>
      <c r="T14">
        <v>15170</v>
      </c>
      <c r="U14">
        <v>1</v>
      </c>
      <c r="V14" t="s">
        <v>41</v>
      </c>
      <c r="W14" t="s">
        <v>42</v>
      </c>
      <c r="X14">
        <v>17</v>
      </c>
      <c r="Y14">
        <v>3</v>
      </c>
      <c r="Z14">
        <v>4</v>
      </c>
      <c r="AA14">
        <v>80</v>
      </c>
      <c r="AB14">
        <v>1</v>
      </c>
      <c r="AC14">
        <v>5</v>
      </c>
      <c r="AD14">
        <v>1</v>
      </c>
      <c r="AE14">
        <v>2</v>
      </c>
      <c r="AF14">
        <v>5</v>
      </c>
      <c r="AG14">
        <v>2</v>
      </c>
      <c r="AH14">
        <v>4</v>
      </c>
      <c r="AI14">
        <v>3</v>
      </c>
      <c r="AJ14">
        <f t="shared" si="0"/>
        <v>0</v>
      </c>
      <c r="AK14" t="str" cm="1">
        <f t="array" ref="AK14">_xlfn.IFS(A14&lt;=30,"18-30",A14&lt;=45,"31-45",A14&lt;=60,"46-60",TRUE, "60+")</f>
        <v>31-45</v>
      </c>
      <c r="AL14" t="str" cm="1">
        <f t="array" ref="AL14">_xlfn.IFS(F14&lt;=10,"0-10",F14&lt;=20,"11-20",TRUE,"20+")</f>
        <v>20+</v>
      </c>
      <c r="AM14" t="str" cm="1">
        <f t="array" ref="AM14">_xlfn.IFS(S14&lt;=5000,"0-5k",S14&lt;=10000,"5k-10k",S14&lt;=15000,"10k-15k",TRUE,"15k+")</f>
        <v>0-5k</v>
      </c>
      <c r="AN14" t="str" cm="1">
        <f t="array" ref="AN14">_xlfn.IFS(AF14&lt;=10,"0-10",AF14&lt;=20,"10-20",AF14&lt;=30,"20-30",TRUE,"30+")</f>
        <v>0-10</v>
      </c>
      <c r="AO14" t="str" cm="1">
        <f t="array" ref="AO14">_xlfn.IFS(Y14=1,"Poor",Y14=2,"Average",Y14=3,"Good",TRUE,"Excellent")</f>
        <v>Good</v>
      </c>
      <c r="AP14" t="str" cm="1">
        <f t="array" ref="AP14">_xlfn.IFS(Q14=1,"Low",Q14=2,"Medium",Q14=3,"High",TRUE,"Very High")</f>
        <v>High</v>
      </c>
    </row>
    <row r="15" spans="1:42" x14ac:dyDescent="0.25">
      <c r="A15">
        <v>34</v>
      </c>
      <c r="B15" t="s">
        <v>42</v>
      </c>
      <c r="C15" t="s">
        <v>90</v>
      </c>
      <c r="D15">
        <v>1346</v>
      </c>
      <c r="E15" t="s">
        <v>43</v>
      </c>
      <c r="F15">
        <v>19</v>
      </c>
      <c r="G15">
        <v>2</v>
      </c>
      <c r="H15" t="s">
        <v>49</v>
      </c>
      <c r="I15">
        <v>1</v>
      </c>
      <c r="J15">
        <v>18</v>
      </c>
      <c r="K15">
        <v>2</v>
      </c>
      <c r="L15" t="s">
        <v>44</v>
      </c>
      <c r="M15">
        <v>93</v>
      </c>
      <c r="N15">
        <v>3</v>
      </c>
      <c r="O15">
        <v>1</v>
      </c>
      <c r="P15" t="s">
        <v>48</v>
      </c>
      <c r="Q15">
        <v>4</v>
      </c>
      <c r="R15" t="s">
        <v>50</v>
      </c>
      <c r="S15">
        <v>2661</v>
      </c>
      <c r="T15">
        <v>8758</v>
      </c>
      <c r="U15">
        <v>0</v>
      </c>
      <c r="V15" t="s">
        <v>41</v>
      </c>
      <c r="W15" t="s">
        <v>42</v>
      </c>
      <c r="X15">
        <v>11</v>
      </c>
      <c r="Y15">
        <v>3</v>
      </c>
      <c r="Z15">
        <v>3</v>
      </c>
      <c r="AA15">
        <v>80</v>
      </c>
      <c r="AB15">
        <v>1</v>
      </c>
      <c r="AC15">
        <v>3</v>
      </c>
      <c r="AD15">
        <v>2</v>
      </c>
      <c r="AE15">
        <v>3</v>
      </c>
      <c r="AF15">
        <v>2</v>
      </c>
      <c r="AG15">
        <v>2</v>
      </c>
      <c r="AH15">
        <v>1</v>
      </c>
      <c r="AI15">
        <v>2</v>
      </c>
      <c r="AJ15">
        <f t="shared" si="0"/>
        <v>0</v>
      </c>
      <c r="AK15" t="str" cm="1">
        <f t="array" ref="AK15">_xlfn.IFS(A15&lt;=30,"18-30",A15&lt;=45,"31-45",A15&lt;=60,"46-60",TRUE, "60+")</f>
        <v>31-45</v>
      </c>
      <c r="AL15" t="str" cm="1">
        <f t="array" ref="AL15">_xlfn.IFS(F15&lt;=10,"0-10",F15&lt;=20,"11-20",TRUE,"20+")</f>
        <v>11-20</v>
      </c>
      <c r="AM15" t="str" cm="1">
        <f t="array" ref="AM15">_xlfn.IFS(S15&lt;=5000,"0-5k",S15&lt;=10000,"5k-10k",S15&lt;=15000,"10k-15k",TRUE,"15k+")</f>
        <v>0-5k</v>
      </c>
      <c r="AN15" t="str" cm="1">
        <f t="array" ref="AN15">_xlfn.IFS(AF15&lt;=10,"0-10",AF15&lt;=20,"10-20",AF15&lt;=30,"20-30",TRUE,"30+")</f>
        <v>0-10</v>
      </c>
      <c r="AO15" t="str" cm="1">
        <f t="array" ref="AO15">_xlfn.IFS(Y15=1,"Poor",Y15=2,"Average",Y15=3,"Good",TRUE,"Excellent")</f>
        <v>Good</v>
      </c>
      <c r="AP15" t="str" cm="1">
        <f t="array" ref="AP15">_xlfn.IFS(Q15=1,"Low",Q15=2,"Medium",Q15=3,"High",TRUE,"Very High")</f>
        <v>Very High</v>
      </c>
    </row>
    <row r="16" spans="1:42" x14ac:dyDescent="0.25">
      <c r="A16">
        <v>28</v>
      </c>
      <c r="B16" t="s">
        <v>35</v>
      </c>
      <c r="C16" t="s">
        <v>90</v>
      </c>
      <c r="D16">
        <v>103</v>
      </c>
      <c r="E16" t="s">
        <v>43</v>
      </c>
      <c r="F16">
        <v>24</v>
      </c>
      <c r="G16">
        <v>3</v>
      </c>
      <c r="H16" t="s">
        <v>37</v>
      </c>
      <c r="I16">
        <v>1</v>
      </c>
      <c r="J16">
        <v>19</v>
      </c>
      <c r="K16">
        <v>3</v>
      </c>
      <c r="L16" t="s">
        <v>44</v>
      </c>
      <c r="M16">
        <v>50</v>
      </c>
      <c r="N16">
        <v>2</v>
      </c>
      <c r="O16">
        <v>1</v>
      </c>
      <c r="P16" t="s">
        <v>48</v>
      </c>
      <c r="Q16">
        <v>3</v>
      </c>
      <c r="R16" t="s">
        <v>40</v>
      </c>
      <c r="S16">
        <v>2028</v>
      </c>
      <c r="T16">
        <v>12947</v>
      </c>
      <c r="U16">
        <v>5</v>
      </c>
      <c r="V16" t="s">
        <v>41</v>
      </c>
      <c r="W16" t="s">
        <v>35</v>
      </c>
      <c r="X16">
        <v>14</v>
      </c>
      <c r="Y16">
        <v>3</v>
      </c>
      <c r="Z16">
        <v>2</v>
      </c>
      <c r="AA16">
        <v>80</v>
      </c>
      <c r="AB16">
        <v>0</v>
      </c>
      <c r="AC16">
        <v>6</v>
      </c>
      <c r="AD16">
        <v>4</v>
      </c>
      <c r="AE16">
        <v>3</v>
      </c>
      <c r="AF16">
        <v>4</v>
      </c>
      <c r="AG16">
        <v>2</v>
      </c>
      <c r="AH16">
        <v>0</v>
      </c>
      <c r="AI16">
        <v>3</v>
      </c>
      <c r="AJ16">
        <f t="shared" si="0"/>
        <v>1</v>
      </c>
      <c r="AK16" t="str" cm="1">
        <f t="array" ref="AK16">_xlfn.IFS(A16&lt;=30,"18-30",A16&lt;=45,"31-45",A16&lt;=60,"46-60",TRUE, "60+")</f>
        <v>18-30</v>
      </c>
      <c r="AL16" t="str" cm="1">
        <f t="array" ref="AL16">_xlfn.IFS(F16&lt;=10,"0-10",F16&lt;=20,"11-20",TRUE,"20+")</f>
        <v>20+</v>
      </c>
      <c r="AM16" t="str" cm="1">
        <f t="array" ref="AM16">_xlfn.IFS(S16&lt;=5000,"0-5k",S16&lt;=10000,"5k-10k",S16&lt;=15000,"10k-15k",TRUE,"15k+")</f>
        <v>0-5k</v>
      </c>
      <c r="AN16" t="str" cm="1">
        <f t="array" ref="AN16">_xlfn.IFS(AF16&lt;=10,"0-10",AF16&lt;=20,"10-20",AF16&lt;=30,"20-30",TRUE,"30+")</f>
        <v>0-10</v>
      </c>
      <c r="AO16" t="str" cm="1">
        <f t="array" ref="AO16">_xlfn.IFS(Y16=1,"Poor",Y16=2,"Average",Y16=3,"Good",TRUE,"Excellent")</f>
        <v>Good</v>
      </c>
      <c r="AP16" t="str" cm="1">
        <f t="array" ref="AP16">_xlfn.IFS(Q16=1,"Low",Q16=2,"Medium",Q16=3,"High",TRUE,"Very High")</f>
        <v>High</v>
      </c>
    </row>
    <row r="17" spans="1:42" x14ac:dyDescent="0.25">
      <c r="A17">
        <v>29</v>
      </c>
      <c r="B17" t="s">
        <v>42</v>
      </c>
      <c r="C17" t="s">
        <v>90</v>
      </c>
      <c r="D17">
        <v>1389</v>
      </c>
      <c r="E17" t="s">
        <v>43</v>
      </c>
      <c r="F17">
        <v>21</v>
      </c>
      <c r="G17">
        <v>4</v>
      </c>
      <c r="H17" t="s">
        <v>37</v>
      </c>
      <c r="I17">
        <v>1</v>
      </c>
      <c r="J17">
        <v>20</v>
      </c>
      <c r="K17">
        <v>2</v>
      </c>
      <c r="L17" t="s">
        <v>38</v>
      </c>
      <c r="M17">
        <v>51</v>
      </c>
      <c r="N17">
        <v>4</v>
      </c>
      <c r="O17">
        <v>3</v>
      </c>
      <c r="P17" t="s">
        <v>51</v>
      </c>
      <c r="Q17">
        <v>1</v>
      </c>
      <c r="R17" t="s">
        <v>50</v>
      </c>
      <c r="S17">
        <v>9980</v>
      </c>
      <c r="T17">
        <v>10195</v>
      </c>
      <c r="U17">
        <v>1</v>
      </c>
      <c r="V17" t="s">
        <v>41</v>
      </c>
      <c r="W17" t="s">
        <v>42</v>
      </c>
      <c r="X17">
        <v>11</v>
      </c>
      <c r="Y17">
        <v>3</v>
      </c>
      <c r="Z17">
        <v>3</v>
      </c>
      <c r="AA17">
        <v>80</v>
      </c>
      <c r="AB17">
        <v>1</v>
      </c>
      <c r="AC17">
        <v>10</v>
      </c>
      <c r="AD17">
        <v>1</v>
      </c>
      <c r="AE17">
        <v>3</v>
      </c>
      <c r="AF17">
        <v>10</v>
      </c>
      <c r="AG17">
        <v>9</v>
      </c>
      <c r="AH17">
        <v>8</v>
      </c>
      <c r="AI17">
        <v>8</v>
      </c>
      <c r="AJ17">
        <f t="shared" si="0"/>
        <v>0</v>
      </c>
      <c r="AK17" t="str" cm="1">
        <f t="array" ref="AK17">_xlfn.IFS(A17&lt;=30,"18-30",A17&lt;=45,"31-45",A17&lt;=60,"46-60",TRUE, "60+")</f>
        <v>18-30</v>
      </c>
      <c r="AL17" t="str" cm="1">
        <f t="array" ref="AL17">_xlfn.IFS(F17&lt;=10,"0-10",F17&lt;=20,"11-20",TRUE,"20+")</f>
        <v>20+</v>
      </c>
      <c r="AM17" t="str" cm="1">
        <f t="array" ref="AM17">_xlfn.IFS(S17&lt;=5000,"0-5k",S17&lt;=10000,"5k-10k",S17&lt;=15000,"10k-15k",TRUE,"15k+")</f>
        <v>5k-10k</v>
      </c>
      <c r="AN17" t="str" cm="1">
        <f t="array" ref="AN17">_xlfn.IFS(AF17&lt;=10,"0-10",AF17&lt;=20,"10-20",AF17&lt;=30,"20-30",TRUE,"30+")</f>
        <v>0-10</v>
      </c>
      <c r="AO17" t="str" cm="1">
        <f t="array" ref="AO17">_xlfn.IFS(Y17=1,"Poor",Y17=2,"Average",Y17=3,"Good",TRUE,"Excellent")</f>
        <v>Good</v>
      </c>
      <c r="AP17" t="str" cm="1">
        <f t="array" ref="AP17">_xlfn.IFS(Q17=1,"Low",Q17=2,"Medium",Q17=3,"High",TRUE,"Very High")</f>
        <v>Low</v>
      </c>
    </row>
    <row r="18" spans="1:42" x14ac:dyDescent="0.25">
      <c r="A18">
        <v>32</v>
      </c>
      <c r="B18" t="s">
        <v>42</v>
      </c>
      <c r="C18" t="s">
        <v>90</v>
      </c>
      <c r="D18">
        <v>334</v>
      </c>
      <c r="E18" t="s">
        <v>43</v>
      </c>
      <c r="F18">
        <v>5</v>
      </c>
      <c r="G18">
        <v>2</v>
      </c>
      <c r="H18" t="s">
        <v>37</v>
      </c>
      <c r="I18">
        <v>1</v>
      </c>
      <c r="J18">
        <v>21</v>
      </c>
      <c r="K18">
        <v>1</v>
      </c>
      <c r="L18" t="s">
        <v>44</v>
      </c>
      <c r="M18">
        <v>80</v>
      </c>
      <c r="N18">
        <v>4</v>
      </c>
      <c r="O18">
        <v>1</v>
      </c>
      <c r="P18" t="s">
        <v>45</v>
      </c>
      <c r="Q18">
        <v>2</v>
      </c>
      <c r="R18" t="s">
        <v>50</v>
      </c>
      <c r="S18">
        <v>3298</v>
      </c>
      <c r="T18">
        <v>15053</v>
      </c>
      <c r="U18">
        <v>0</v>
      </c>
      <c r="V18" t="s">
        <v>41</v>
      </c>
      <c r="W18" t="s">
        <v>35</v>
      </c>
      <c r="X18">
        <v>12</v>
      </c>
      <c r="Y18">
        <v>3</v>
      </c>
      <c r="Z18">
        <v>4</v>
      </c>
      <c r="AA18">
        <v>80</v>
      </c>
      <c r="AB18">
        <v>2</v>
      </c>
      <c r="AC18">
        <v>7</v>
      </c>
      <c r="AD18">
        <v>5</v>
      </c>
      <c r="AE18">
        <v>2</v>
      </c>
      <c r="AF18">
        <v>6</v>
      </c>
      <c r="AG18">
        <v>2</v>
      </c>
      <c r="AH18">
        <v>0</v>
      </c>
      <c r="AI18">
        <v>5</v>
      </c>
      <c r="AJ18">
        <f t="shared" si="0"/>
        <v>0</v>
      </c>
      <c r="AK18" t="str" cm="1">
        <f t="array" ref="AK18">_xlfn.IFS(A18&lt;=30,"18-30",A18&lt;=45,"31-45",A18&lt;=60,"46-60",TRUE, "60+")</f>
        <v>31-45</v>
      </c>
      <c r="AL18" t="str" cm="1">
        <f t="array" ref="AL18">_xlfn.IFS(F18&lt;=10,"0-10",F18&lt;=20,"11-20",TRUE,"20+")</f>
        <v>0-10</v>
      </c>
      <c r="AM18" t="str" cm="1">
        <f t="array" ref="AM18">_xlfn.IFS(S18&lt;=5000,"0-5k",S18&lt;=10000,"5k-10k",S18&lt;=15000,"10k-15k",TRUE,"15k+")</f>
        <v>0-5k</v>
      </c>
      <c r="AN18" t="str" cm="1">
        <f t="array" ref="AN18">_xlfn.IFS(AF18&lt;=10,"0-10",AF18&lt;=20,"10-20",AF18&lt;=30,"20-30",TRUE,"30+")</f>
        <v>0-10</v>
      </c>
      <c r="AO18" t="str" cm="1">
        <f t="array" ref="AO18">_xlfn.IFS(Y18=1,"Poor",Y18=2,"Average",Y18=3,"Good",TRUE,"Excellent")</f>
        <v>Good</v>
      </c>
      <c r="AP18" t="str" cm="1">
        <f t="array" ref="AP18">_xlfn.IFS(Q18=1,"Low",Q18=2,"Medium",Q18=3,"High",TRUE,"Very High")</f>
        <v>Medium</v>
      </c>
    </row>
    <row r="19" spans="1:42" x14ac:dyDescent="0.25">
      <c r="A19">
        <v>22</v>
      </c>
      <c r="B19" t="s">
        <v>42</v>
      </c>
      <c r="C19" t="s">
        <v>53</v>
      </c>
      <c r="D19">
        <v>1123</v>
      </c>
      <c r="E19" t="s">
        <v>43</v>
      </c>
      <c r="F19">
        <v>16</v>
      </c>
      <c r="G19">
        <v>2</v>
      </c>
      <c r="H19" t="s">
        <v>49</v>
      </c>
      <c r="I19">
        <v>1</v>
      </c>
      <c r="J19">
        <v>22</v>
      </c>
      <c r="K19">
        <v>4</v>
      </c>
      <c r="L19" t="s">
        <v>44</v>
      </c>
      <c r="M19">
        <v>96</v>
      </c>
      <c r="N19">
        <v>4</v>
      </c>
      <c r="O19">
        <v>1</v>
      </c>
      <c r="P19" t="s">
        <v>48</v>
      </c>
      <c r="Q19">
        <v>4</v>
      </c>
      <c r="R19" t="s">
        <v>50</v>
      </c>
      <c r="S19">
        <v>2935</v>
      </c>
      <c r="T19">
        <v>7324</v>
      </c>
      <c r="U19">
        <v>1</v>
      </c>
      <c r="V19" t="s">
        <v>41</v>
      </c>
      <c r="W19" t="s">
        <v>35</v>
      </c>
      <c r="X19">
        <v>13</v>
      </c>
      <c r="Y19">
        <v>3</v>
      </c>
      <c r="Z19">
        <v>2</v>
      </c>
      <c r="AA19">
        <v>80</v>
      </c>
      <c r="AB19">
        <v>2</v>
      </c>
      <c r="AC19">
        <v>1</v>
      </c>
      <c r="AD19">
        <v>2</v>
      </c>
      <c r="AE19">
        <v>2</v>
      </c>
      <c r="AF19">
        <v>1</v>
      </c>
      <c r="AG19">
        <v>0</v>
      </c>
      <c r="AH19">
        <v>0</v>
      </c>
      <c r="AI19">
        <v>0</v>
      </c>
      <c r="AJ19">
        <f t="shared" si="0"/>
        <v>0</v>
      </c>
      <c r="AK19" t="str" cm="1">
        <f t="array" ref="AK19">_xlfn.IFS(A19&lt;=30,"18-30",A19&lt;=45,"31-45",A19&lt;=60,"46-60",TRUE, "60+")</f>
        <v>18-30</v>
      </c>
      <c r="AL19" t="str" cm="1">
        <f t="array" ref="AL19">_xlfn.IFS(F19&lt;=10,"0-10",F19&lt;=20,"11-20",TRUE,"20+")</f>
        <v>11-20</v>
      </c>
      <c r="AM19" t="str" cm="1">
        <f t="array" ref="AM19">_xlfn.IFS(S19&lt;=5000,"0-5k",S19&lt;=10000,"5k-10k",S19&lt;=15000,"10k-15k",TRUE,"15k+")</f>
        <v>0-5k</v>
      </c>
      <c r="AN19" t="str" cm="1">
        <f t="array" ref="AN19">_xlfn.IFS(AF19&lt;=10,"0-10",AF19&lt;=20,"10-20",AF19&lt;=30,"20-30",TRUE,"30+")</f>
        <v>0-10</v>
      </c>
      <c r="AO19" t="str" cm="1">
        <f t="array" ref="AO19">_xlfn.IFS(Y19=1,"Poor",Y19=2,"Average",Y19=3,"Good",TRUE,"Excellent")</f>
        <v>Good</v>
      </c>
      <c r="AP19" t="str" cm="1">
        <f t="array" ref="AP19">_xlfn.IFS(Q19=1,"Low",Q19=2,"Medium",Q19=3,"High",TRUE,"Very High")</f>
        <v>Very High</v>
      </c>
    </row>
    <row r="20" spans="1:42" x14ac:dyDescent="0.25">
      <c r="A20">
        <v>53</v>
      </c>
      <c r="B20" t="s">
        <v>42</v>
      </c>
      <c r="C20" t="s">
        <v>90</v>
      </c>
      <c r="D20">
        <v>1219</v>
      </c>
      <c r="E20" t="s">
        <v>36</v>
      </c>
      <c r="F20">
        <v>2</v>
      </c>
      <c r="G20">
        <v>4</v>
      </c>
      <c r="H20" t="s">
        <v>37</v>
      </c>
      <c r="I20">
        <v>1</v>
      </c>
      <c r="J20">
        <v>23</v>
      </c>
      <c r="K20">
        <v>1</v>
      </c>
      <c r="L20" t="s">
        <v>38</v>
      </c>
      <c r="M20">
        <v>78</v>
      </c>
      <c r="N20">
        <v>2</v>
      </c>
      <c r="O20">
        <v>4</v>
      </c>
      <c r="P20" t="s">
        <v>54</v>
      </c>
      <c r="Q20">
        <v>4</v>
      </c>
      <c r="R20" t="s">
        <v>46</v>
      </c>
      <c r="S20">
        <v>15427</v>
      </c>
      <c r="T20">
        <v>22021</v>
      </c>
      <c r="U20">
        <v>2</v>
      </c>
      <c r="V20" t="s">
        <v>41</v>
      </c>
      <c r="W20" t="s">
        <v>42</v>
      </c>
      <c r="X20">
        <v>16</v>
      </c>
      <c r="Y20">
        <v>3</v>
      </c>
      <c r="Z20">
        <v>3</v>
      </c>
      <c r="AA20">
        <v>80</v>
      </c>
      <c r="AB20">
        <v>0</v>
      </c>
      <c r="AC20">
        <v>31</v>
      </c>
      <c r="AD20">
        <v>3</v>
      </c>
      <c r="AE20">
        <v>3</v>
      </c>
      <c r="AF20">
        <v>25</v>
      </c>
      <c r="AG20">
        <v>8</v>
      </c>
      <c r="AH20">
        <v>3</v>
      </c>
      <c r="AI20">
        <v>7</v>
      </c>
      <c r="AJ20">
        <f t="shared" si="0"/>
        <v>0</v>
      </c>
      <c r="AK20" t="str" cm="1">
        <f t="array" ref="AK20">_xlfn.IFS(A20&lt;=30,"18-30",A20&lt;=45,"31-45",A20&lt;=60,"46-60",TRUE, "60+")</f>
        <v>46-60</v>
      </c>
      <c r="AL20" t="str" cm="1">
        <f t="array" ref="AL20">_xlfn.IFS(F20&lt;=10,"0-10",F20&lt;=20,"11-20",TRUE,"20+")</f>
        <v>0-10</v>
      </c>
      <c r="AM20" t="str" cm="1">
        <f t="array" ref="AM20">_xlfn.IFS(S20&lt;=5000,"0-5k",S20&lt;=10000,"5k-10k",S20&lt;=15000,"10k-15k",TRUE,"15k+")</f>
        <v>15k+</v>
      </c>
      <c r="AN20" t="str" cm="1">
        <f t="array" ref="AN20">_xlfn.IFS(AF20&lt;=10,"0-10",AF20&lt;=20,"10-20",AF20&lt;=30,"20-30",TRUE,"30+")</f>
        <v>20-30</v>
      </c>
      <c r="AO20" t="str" cm="1">
        <f t="array" ref="AO20">_xlfn.IFS(Y20=1,"Poor",Y20=2,"Average",Y20=3,"Good",TRUE,"Excellent")</f>
        <v>Good</v>
      </c>
      <c r="AP20" t="str" cm="1">
        <f t="array" ref="AP20">_xlfn.IFS(Q20=1,"Low",Q20=2,"Medium",Q20=3,"High",TRUE,"Very High")</f>
        <v>Very High</v>
      </c>
    </row>
    <row r="21" spans="1:42" x14ac:dyDescent="0.25">
      <c r="A21">
        <v>38</v>
      </c>
      <c r="B21" t="s">
        <v>42</v>
      </c>
      <c r="C21" t="s">
        <v>90</v>
      </c>
      <c r="D21">
        <v>371</v>
      </c>
      <c r="E21" t="s">
        <v>43</v>
      </c>
      <c r="F21">
        <v>2</v>
      </c>
      <c r="G21">
        <v>3</v>
      </c>
      <c r="H21" t="s">
        <v>37</v>
      </c>
      <c r="I21">
        <v>1</v>
      </c>
      <c r="J21">
        <v>24</v>
      </c>
      <c r="K21">
        <v>4</v>
      </c>
      <c r="L21" t="s">
        <v>44</v>
      </c>
      <c r="M21">
        <v>45</v>
      </c>
      <c r="N21">
        <v>3</v>
      </c>
      <c r="O21">
        <v>1</v>
      </c>
      <c r="P21" t="s">
        <v>45</v>
      </c>
      <c r="Q21">
        <v>4</v>
      </c>
      <c r="R21" t="s">
        <v>40</v>
      </c>
      <c r="S21">
        <v>3944</v>
      </c>
      <c r="T21">
        <v>4306</v>
      </c>
      <c r="U21">
        <v>5</v>
      </c>
      <c r="V21" t="s">
        <v>41</v>
      </c>
      <c r="W21" t="s">
        <v>35</v>
      </c>
      <c r="X21">
        <v>11</v>
      </c>
      <c r="Y21">
        <v>3</v>
      </c>
      <c r="Z21">
        <v>3</v>
      </c>
      <c r="AA21">
        <v>80</v>
      </c>
      <c r="AB21">
        <v>0</v>
      </c>
      <c r="AC21">
        <v>6</v>
      </c>
      <c r="AD21">
        <v>3</v>
      </c>
      <c r="AE21">
        <v>3</v>
      </c>
      <c r="AF21">
        <v>3</v>
      </c>
      <c r="AG21">
        <v>2</v>
      </c>
      <c r="AH21">
        <v>1</v>
      </c>
      <c r="AI21">
        <v>2</v>
      </c>
      <c r="AJ21">
        <f t="shared" si="0"/>
        <v>0</v>
      </c>
      <c r="AK21" t="str" cm="1">
        <f t="array" ref="AK21">_xlfn.IFS(A21&lt;=30,"18-30",A21&lt;=45,"31-45",A21&lt;=60,"46-60",TRUE, "60+")</f>
        <v>31-45</v>
      </c>
      <c r="AL21" t="str" cm="1">
        <f t="array" ref="AL21">_xlfn.IFS(F21&lt;=10,"0-10",F21&lt;=20,"11-20",TRUE,"20+")</f>
        <v>0-10</v>
      </c>
      <c r="AM21" t="str" cm="1">
        <f t="array" ref="AM21">_xlfn.IFS(S21&lt;=5000,"0-5k",S21&lt;=10000,"5k-10k",S21&lt;=15000,"10k-15k",TRUE,"15k+")</f>
        <v>0-5k</v>
      </c>
      <c r="AN21" t="str" cm="1">
        <f t="array" ref="AN21">_xlfn.IFS(AF21&lt;=10,"0-10",AF21&lt;=20,"10-20",AF21&lt;=30,"20-30",TRUE,"30+")</f>
        <v>0-10</v>
      </c>
      <c r="AO21" t="str" cm="1">
        <f t="array" ref="AO21">_xlfn.IFS(Y21=1,"Poor",Y21=2,"Average",Y21=3,"Good",TRUE,"Excellent")</f>
        <v>Good</v>
      </c>
      <c r="AP21" t="str" cm="1">
        <f t="array" ref="AP21">_xlfn.IFS(Q21=1,"Low",Q21=2,"Medium",Q21=3,"High",TRUE,"Very High")</f>
        <v>Very High</v>
      </c>
    </row>
    <row r="22" spans="1:42" x14ac:dyDescent="0.25">
      <c r="A22">
        <v>24</v>
      </c>
      <c r="B22" t="s">
        <v>42</v>
      </c>
      <c r="C22" t="s">
        <v>53</v>
      </c>
      <c r="D22">
        <v>673</v>
      </c>
      <c r="E22" t="s">
        <v>43</v>
      </c>
      <c r="F22">
        <v>11</v>
      </c>
      <c r="G22">
        <v>2</v>
      </c>
      <c r="H22" t="s">
        <v>47</v>
      </c>
      <c r="I22">
        <v>1</v>
      </c>
      <c r="J22">
        <v>26</v>
      </c>
      <c r="K22">
        <v>1</v>
      </c>
      <c r="L22" t="s">
        <v>38</v>
      </c>
      <c r="M22">
        <v>96</v>
      </c>
      <c r="N22">
        <v>4</v>
      </c>
      <c r="O22">
        <v>2</v>
      </c>
      <c r="P22" t="s">
        <v>51</v>
      </c>
      <c r="Q22">
        <v>3</v>
      </c>
      <c r="R22" t="s">
        <v>50</v>
      </c>
      <c r="S22">
        <v>4011</v>
      </c>
      <c r="T22">
        <v>8232</v>
      </c>
      <c r="U22">
        <v>0</v>
      </c>
      <c r="V22" t="s">
        <v>41</v>
      </c>
      <c r="W22" t="s">
        <v>42</v>
      </c>
      <c r="X22">
        <v>18</v>
      </c>
      <c r="Y22">
        <v>3</v>
      </c>
      <c r="Z22">
        <v>4</v>
      </c>
      <c r="AA22">
        <v>80</v>
      </c>
      <c r="AB22">
        <v>1</v>
      </c>
      <c r="AC22">
        <v>5</v>
      </c>
      <c r="AD22">
        <v>5</v>
      </c>
      <c r="AE22">
        <v>2</v>
      </c>
      <c r="AF22">
        <v>4</v>
      </c>
      <c r="AG22">
        <v>2</v>
      </c>
      <c r="AH22">
        <v>1</v>
      </c>
      <c r="AI22">
        <v>3</v>
      </c>
      <c r="AJ22">
        <f t="shared" si="0"/>
        <v>0</v>
      </c>
      <c r="AK22" t="str" cm="1">
        <f t="array" ref="AK22">_xlfn.IFS(A22&lt;=30,"18-30",A22&lt;=45,"31-45",A22&lt;=60,"46-60",TRUE, "60+")</f>
        <v>18-30</v>
      </c>
      <c r="AL22" t="str" cm="1">
        <f t="array" ref="AL22">_xlfn.IFS(F22&lt;=10,"0-10",F22&lt;=20,"11-20",TRUE,"20+")</f>
        <v>11-20</v>
      </c>
      <c r="AM22" t="str" cm="1">
        <f t="array" ref="AM22">_xlfn.IFS(S22&lt;=5000,"0-5k",S22&lt;=10000,"5k-10k",S22&lt;=15000,"10k-15k",TRUE,"15k+")</f>
        <v>0-5k</v>
      </c>
      <c r="AN22" t="str" cm="1">
        <f t="array" ref="AN22">_xlfn.IFS(AF22&lt;=10,"0-10",AF22&lt;=20,"10-20",AF22&lt;=30,"20-30",TRUE,"30+")</f>
        <v>0-10</v>
      </c>
      <c r="AO22" t="str" cm="1">
        <f t="array" ref="AO22">_xlfn.IFS(Y22=1,"Poor",Y22=2,"Average",Y22=3,"Good",TRUE,"Excellent")</f>
        <v>Good</v>
      </c>
      <c r="AP22" t="str" cm="1">
        <f t="array" ref="AP22">_xlfn.IFS(Q22=1,"Low",Q22=2,"Medium",Q22=3,"High",TRUE,"Very High")</f>
        <v>High</v>
      </c>
    </row>
    <row r="23" spans="1:42" x14ac:dyDescent="0.25">
      <c r="A23">
        <v>36</v>
      </c>
      <c r="B23" t="s">
        <v>35</v>
      </c>
      <c r="C23" t="s">
        <v>90</v>
      </c>
      <c r="D23">
        <v>1218</v>
      </c>
      <c r="E23" t="s">
        <v>36</v>
      </c>
      <c r="F23">
        <v>9</v>
      </c>
      <c r="G23">
        <v>4</v>
      </c>
      <c r="H23" t="s">
        <v>37</v>
      </c>
      <c r="I23">
        <v>1</v>
      </c>
      <c r="J23">
        <v>27</v>
      </c>
      <c r="K23">
        <v>3</v>
      </c>
      <c r="L23" t="s">
        <v>44</v>
      </c>
      <c r="M23">
        <v>82</v>
      </c>
      <c r="N23">
        <v>2</v>
      </c>
      <c r="O23">
        <v>1</v>
      </c>
      <c r="P23" t="s">
        <v>55</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c r="AJ23">
        <f t="shared" si="0"/>
        <v>1</v>
      </c>
      <c r="AK23" t="str" cm="1">
        <f t="array" ref="AK23">_xlfn.IFS(A23&lt;=30,"18-30",A23&lt;=45,"31-45",A23&lt;=60,"46-60",TRUE, "60+")</f>
        <v>31-45</v>
      </c>
      <c r="AL23" t="str" cm="1">
        <f t="array" ref="AL23">_xlfn.IFS(F23&lt;=10,"0-10",F23&lt;=20,"11-20",TRUE,"20+")</f>
        <v>0-10</v>
      </c>
      <c r="AM23" t="str" cm="1">
        <f t="array" ref="AM23">_xlfn.IFS(S23&lt;=5000,"0-5k",S23&lt;=10000,"5k-10k",S23&lt;=15000,"10k-15k",TRUE,"15k+")</f>
        <v>0-5k</v>
      </c>
      <c r="AN23" t="str" cm="1">
        <f t="array" ref="AN23">_xlfn.IFS(AF23&lt;=10,"0-10",AF23&lt;=20,"10-20",AF23&lt;=30,"20-30",TRUE,"30+")</f>
        <v>0-10</v>
      </c>
      <c r="AO23" t="str" cm="1">
        <f t="array" ref="AO23">_xlfn.IFS(Y23=1,"Poor",Y23=2,"Average",Y23=3,"Good",TRUE,"Excellent")</f>
        <v>Excellent</v>
      </c>
      <c r="AP23" t="str" cm="1">
        <f t="array" ref="AP23">_xlfn.IFS(Q23=1,"Low",Q23=2,"Medium",Q23=3,"High",TRUE,"Very High")</f>
        <v>Low</v>
      </c>
    </row>
    <row r="24" spans="1:42" x14ac:dyDescent="0.25">
      <c r="A24">
        <v>34</v>
      </c>
      <c r="B24" t="s">
        <v>42</v>
      </c>
      <c r="C24" t="s">
        <v>90</v>
      </c>
      <c r="D24">
        <v>419</v>
      </c>
      <c r="E24" t="s">
        <v>43</v>
      </c>
      <c r="F24">
        <v>7</v>
      </c>
      <c r="G24">
        <v>4</v>
      </c>
      <c r="H24" t="s">
        <v>37</v>
      </c>
      <c r="I24">
        <v>1</v>
      </c>
      <c r="J24">
        <v>28</v>
      </c>
      <c r="K24">
        <v>1</v>
      </c>
      <c r="L24" t="s">
        <v>38</v>
      </c>
      <c r="M24">
        <v>53</v>
      </c>
      <c r="N24">
        <v>3</v>
      </c>
      <c r="O24">
        <v>3</v>
      </c>
      <c r="P24" t="s">
        <v>56</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c r="AJ24">
        <f t="shared" si="0"/>
        <v>0</v>
      </c>
      <c r="AK24" t="str" cm="1">
        <f t="array" ref="AK24">_xlfn.IFS(A24&lt;=30,"18-30",A24&lt;=45,"31-45",A24&lt;=60,"46-60",TRUE, "60+")</f>
        <v>31-45</v>
      </c>
      <c r="AL24" t="str" cm="1">
        <f t="array" ref="AL24">_xlfn.IFS(F24&lt;=10,"0-10",F24&lt;=20,"11-20",TRUE,"20+")</f>
        <v>0-10</v>
      </c>
      <c r="AM24" t="str" cm="1">
        <f t="array" ref="AM24">_xlfn.IFS(S24&lt;=5000,"0-5k",S24&lt;=10000,"5k-10k",S24&lt;=15000,"10k-15k",TRUE,"15k+")</f>
        <v>10k-15k</v>
      </c>
      <c r="AN24" t="str" cm="1">
        <f t="array" ref="AN24">_xlfn.IFS(AF24&lt;=10,"0-10",AF24&lt;=20,"10-20",AF24&lt;=30,"20-30",TRUE,"30+")</f>
        <v>10-20</v>
      </c>
      <c r="AO24" t="str" cm="1">
        <f t="array" ref="AO24">_xlfn.IFS(Y24=1,"Poor",Y24=2,"Average",Y24=3,"Good",TRUE,"Excellent")</f>
        <v>Good</v>
      </c>
      <c r="AP24" t="str" cm="1">
        <f t="array" ref="AP24">_xlfn.IFS(Q24=1,"Low",Q24=2,"Medium",Q24=3,"High",TRUE,"Very High")</f>
        <v>Medium</v>
      </c>
    </row>
    <row r="25" spans="1:42" x14ac:dyDescent="0.25">
      <c r="A25">
        <v>21</v>
      </c>
      <c r="B25" t="s">
        <v>42</v>
      </c>
      <c r="C25" t="s">
        <v>90</v>
      </c>
      <c r="D25">
        <v>391</v>
      </c>
      <c r="E25" t="s">
        <v>43</v>
      </c>
      <c r="F25">
        <v>15</v>
      </c>
      <c r="G25">
        <v>2</v>
      </c>
      <c r="H25" t="s">
        <v>37</v>
      </c>
      <c r="I25">
        <v>1</v>
      </c>
      <c r="J25">
        <v>30</v>
      </c>
      <c r="K25">
        <v>3</v>
      </c>
      <c r="L25" t="s">
        <v>44</v>
      </c>
      <c r="M25">
        <v>96</v>
      </c>
      <c r="N25">
        <v>3</v>
      </c>
      <c r="O25">
        <v>1</v>
      </c>
      <c r="P25" t="s">
        <v>45</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c r="AJ25">
        <f t="shared" si="0"/>
        <v>0</v>
      </c>
      <c r="AK25" t="str" cm="1">
        <f t="array" ref="AK25">_xlfn.IFS(A25&lt;=30,"18-30",A25&lt;=45,"31-45",A25&lt;=60,"46-60",TRUE, "60+")</f>
        <v>18-30</v>
      </c>
      <c r="AL25" t="str" cm="1">
        <f t="array" ref="AL25">_xlfn.IFS(F25&lt;=10,"0-10",F25&lt;=20,"11-20",TRUE,"20+")</f>
        <v>11-20</v>
      </c>
      <c r="AM25" t="str" cm="1">
        <f t="array" ref="AM25">_xlfn.IFS(S25&lt;=5000,"0-5k",S25&lt;=10000,"5k-10k",S25&lt;=15000,"10k-15k",TRUE,"15k+")</f>
        <v>0-5k</v>
      </c>
      <c r="AN25" t="str" cm="1">
        <f t="array" ref="AN25">_xlfn.IFS(AF25&lt;=10,"0-10",AF25&lt;=20,"10-20",AF25&lt;=30,"20-30",TRUE,"30+")</f>
        <v>0-10</v>
      </c>
      <c r="AO25" t="str" cm="1">
        <f t="array" ref="AO25">_xlfn.IFS(Y25=1,"Poor",Y25=2,"Average",Y25=3,"Good",TRUE,"Excellent")</f>
        <v>Good</v>
      </c>
      <c r="AP25" t="str" cm="1">
        <f t="array" ref="AP25">_xlfn.IFS(Q25=1,"Low",Q25=2,"Medium",Q25=3,"High",TRUE,"Very High")</f>
        <v>Very High</v>
      </c>
    </row>
    <row r="26" spans="1:42" x14ac:dyDescent="0.25">
      <c r="A26">
        <v>34</v>
      </c>
      <c r="B26" t="s">
        <v>35</v>
      </c>
      <c r="C26" t="s">
        <v>90</v>
      </c>
      <c r="D26">
        <v>699</v>
      </c>
      <c r="E26" t="s">
        <v>43</v>
      </c>
      <c r="F26">
        <v>6</v>
      </c>
      <c r="G26">
        <v>1</v>
      </c>
      <c r="H26" t="s">
        <v>49</v>
      </c>
      <c r="I26">
        <v>1</v>
      </c>
      <c r="J26">
        <v>31</v>
      </c>
      <c r="K26">
        <v>2</v>
      </c>
      <c r="L26" t="s">
        <v>44</v>
      </c>
      <c r="M26">
        <v>83</v>
      </c>
      <c r="N26">
        <v>3</v>
      </c>
      <c r="O26">
        <v>1</v>
      </c>
      <c r="P26" t="s">
        <v>45</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c r="AJ26">
        <f t="shared" si="0"/>
        <v>1</v>
      </c>
      <c r="AK26" t="str" cm="1">
        <f t="array" ref="AK26">_xlfn.IFS(A26&lt;=30,"18-30",A26&lt;=45,"31-45",A26&lt;=60,"46-60",TRUE, "60+")</f>
        <v>31-45</v>
      </c>
      <c r="AL26" t="str" cm="1">
        <f t="array" ref="AL26">_xlfn.IFS(F26&lt;=10,"0-10",F26&lt;=20,"11-20",TRUE,"20+")</f>
        <v>0-10</v>
      </c>
      <c r="AM26" t="str" cm="1">
        <f t="array" ref="AM26">_xlfn.IFS(S26&lt;=5000,"0-5k",S26&lt;=10000,"5k-10k",S26&lt;=15000,"10k-15k",TRUE,"15k+")</f>
        <v>0-5k</v>
      </c>
      <c r="AN26" t="str" cm="1">
        <f t="array" ref="AN26">_xlfn.IFS(AF26&lt;=10,"0-10",AF26&lt;=20,"10-20",AF26&lt;=30,"20-30",TRUE,"30+")</f>
        <v>0-10</v>
      </c>
      <c r="AO26" t="str" cm="1">
        <f t="array" ref="AO26">_xlfn.IFS(Y26=1,"Poor",Y26=2,"Average",Y26=3,"Good",TRUE,"Excellent")</f>
        <v>Good</v>
      </c>
      <c r="AP26" t="str" cm="1">
        <f t="array" ref="AP26">_xlfn.IFS(Q26=1,"Low",Q26=2,"Medium",Q26=3,"High",TRUE,"Very High")</f>
        <v>Low</v>
      </c>
    </row>
    <row r="27" spans="1:42" x14ac:dyDescent="0.25">
      <c r="A27">
        <v>53</v>
      </c>
      <c r="B27" t="s">
        <v>42</v>
      </c>
      <c r="C27" t="s">
        <v>90</v>
      </c>
      <c r="D27">
        <v>1282</v>
      </c>
      <c r="E27" t="s">
        <v>43</v>
      </c>
      <c r="F27">
        <v>5</v>
      </c>
      <c r="G27">
        <v>3</v>
      </c>
      <c r="H27" t="s">
        <v>47</v>
      </c>
      <c r="I27">
        <v>1</v>
      </c>
      <c r="J27">
        <v>32</v>
      </c>
      <c r="K27">
        <v>3</v>
      </c>
      <c r="L27" t="s">
        <v>38</v>
      </c>
      <c r="M27">
        <v>58</v>
      </c>
      <c r="N27">
        <v>3</v>
      </c>
      <c r="O27">
        <v>5</v>
      </c>
      <c r="P27" t="s">
        <v>54</v>
      </c>
      <c r="Q27">
        <v>3</v>
      </c>
      <c r="R27" t="s">
        <v>50</v>
      </c>
      <c r="S27">
        <v>19094</v>
      </c>
      <c r="T27">
        <v>10735</v>
      </c>
      <c r="U27">
        <v>4</v>
      </c>
      <c r="V27" t="s">
        <v>41</v>
      </c>
      <c r="W27" t="s">
        <v>42</v>
      </c>
      <c r="X27">
        <v>11</v>
      </c>
      <c r="Y27">
        <v>3</v>
      </c>
      <c r="Z27">
        <v>4</v>
      </c>
      <c r="AA27">
        <v>80</v>
      </c>
      <c r="AB27">
        <v>1</v>
      </c>
      <c r="AC27">
        <v>26</v>
      </c>
      <c r="AD27">
        <v>3</v>
      </c>
      <c r="AE27">
        <v>2</v>
      </c>
      <c r="AF27">
        <v>14</v>
      </c>
      <c r="AG27">
        <v>13</v>
      </c>
      <c r="AH27">
        <v>4</v>
      </c>
      <c r="AI27">
        <v>8</v>
      </c>
      <c r="AJ27">
        <f t="shared" si="0"/>
        <v>0</v>
      </c>
      <c r="AK27" t="str" cm="1">
        <f t="array" ref="AK27">_xlfn.IFS(A27&lt;=30,"18-30",A27&lt;=45,"31-45",A27&lt;=60,"46-60",TRUE, "60+")</f>
        <v>46-60</v>
      </c>
      <c r="AL27" t="str" cm="1">
        <f t="array" ref="AL27">_xlfn.IFS(F27&lt;=10,"0-10",F27&lt;=20,"11-20",TRUE,"20+")</f>
        <v>0-10</v>
      </c>
      <c r="AM27" t="str" cm="1">
        <f t="array" ref="AM27">_xlfn.IFS(S27&lt;=5000,"0-5k",S27&lt;=10000,"5k-10k",S27&lt;=15000,"10k-15k",TRUE,"15k+")</f>
        <v>15k+</v>
      </c>
      <c r="AN27" t="str" cm="1">
        <f t="array" ref="AN27">_xlfn.IFS(AF27&lt;=10,"0-10",AF27&lt;=20,"10-20",AF27&lt;=30,"20-30",TRUE,"30+")</f>
        <v>10-20</v>
      </c>
      <c r="AO27" t="str" cm="1">
        <f t="array" ref="AO27">_xlfn.IFS(Y27=1,"Poor",Y27=2,"Average",Y27=3,"Good",TRUE,"Excellent")</f>
        <v>Good</v>
      </c>
      <c r="AP27" t="str" cm="1">
        <f t="array" ref="AP27">_xlfn.IFS(Q27=1,"Low",Q27=2,"Medium",Q27=3,"High",TRUE,"Very High")</f>
        <v>High</v>
      </c>
    </row>
    <row r="28" spans="1:42" x14ac:dyDescent="0.25">
      <c r="A28">
        <v>32</v>
      </c>
      <c r="B28" t="s">
        <v>35</v>
      </c>
      <c r="C28" t="s">
        <v>91</v>
      </c>
      <c r="D28">
        <v>1125</v>
      </c>
      <c r="E28" t="s">
        <v>43</v>
      </c>
      <c r="F28">
        <v>16</v>
      </c>
      <c r="G28">
        <v>1</v>
      </c>
      <c r="H28" t="s">
        <v>37</v>
      </c>
      <c r="I28">
        <v>1</v>
      </c>
      <c r="J28">
        <v>33</v>
      </c>
      <c r="K28">
        <v>2</v>
      </c>
      <c r="L28" t="s">
        <v>38</v>
      </c>
      <c r="M28">
        <v>72</v>
      </c>
      <c r="N28">
        <v>1</v>
      </c>
      <c r="O28">
        <v>1</v>
      </c>
      <c r="P28" t="s">
        <v>45</v>
      </c>
      <c r="Q28">
        <v>1</v>
      </c>
      <c r="R28" t="s">
        <v>40</v>
      </c>
      <c r="S28">
        <v>3919</v>
      </c>
      <c r="T28">
        <v>4681</v>
      </c>
      <c r="U28">
        <v>1</v>
      </c>
      <c r="V28" t="s">
        <v>41</v>
      </c>
      <c r="W28" t="s">
        <v>35</v>
      </c>
      <c r="X28">
        <v>22</v>
      </c>
      <c r="Y28">
        <v>4</v>
      </c>
      <c r="Z28">
        <v>2</v>
      </c>
      <c r="AA28">
        <v>80</v>
      </c>
      <c r="AB28">
        <v>0</v>
      </c>
      <c r="AC28">
        <v>10</v>
      </c>
      <c r="AD28">
        <v>5</v>
      </c>
      <c r="AE28">
        <v>3</v>
      </c>
      <c r="AF28">
        <v>10</v>
      </c>
      <c r="AG28">
        <v>2</v>
      </c>
      <c r="AH28">
        <v>6</v>
      </c>
      <c r="AI28">
        <v>7</v>
      </c>
      <c r="AJ28">
        <f t="shared" si="0"/>
        <v>1</v>
      </c>
      <c r="AK28" t="str" cm="1">
        <f t="array" ref="AK28">_xlfn.IFS(A28&lt;=30,"18-30",A28&lt;=45,"31-45",A28&lt;=60,"46-60",TRUE, "60+")</f>
        <v>31-45</v>
      </c>
      <c r="AL28" t="str" cm="1">
        <f t="array" ref="AL28">_xlfn.IFS(F28&lt;=10,"0-10",F28&lt;=20,"11-20",TRUE,"20+")</f>
        <v>11-20</v>
      </c>
      <c r="AM28" t="str" cm="1">
        <f t="array" ref="AM28">_xlfn.IFS(S28&lt;=5000,"0-5k",S28&lt;=10000,"5k-10k",S28&lt;=15000,"10k-15k",TRUE,"15k+")</f>
        <v>0-5k</v>
      </c>
      <c r="AN28" t="str" cm="1">
        <f t="array" ref="AN28">_xlfn.IFS(AF28&lt;=10,"0-10",AF28&lt;=20,"10-20",AF28&lt;=30,"20-30",TRUE,"30+")</f>
        <v>0-10</v>
      </c>
      <c r="AO28" t="str" cm="1">
        <f t="array" ref="AO28">_xlfn.IFS(Y28=1,"Poor",Y28=2,"Average",Y28=3,"Good",TRUE,"Excellent")</f>
        <v>Excellent</v>
      </c>
      <c r="AP28" t="str" cm="1">
        <f t="array" ref="AP28">_xlfn.IFS(Q28=1,"Low",Q28=2,"Medium",Q28=3,"High",TRUE,"Very High")</f>
        <v>Low</v>
      </c>
    </row>
    <row r="29" spans="1:42" x14ac:dyDescent="0.25">
      <c r="A29">
        <v>42</v>
      </c>
      <c r="B29" t="s">
        <v>42</v>
      </c>
      <c r="C29" t="s">
        <v>90</v>
      </c>
      <c r="D29">
        <v>691</v>
      </c>
      <c r="E29" t="s">
        <v>36</v>
      </c>
      <c r="F29">
        <v>8</v>
      </c>
      <c r="G29">
        <v>4</v>
      </c>
      <c r="H29" t="s">
        <v>57</v>
      </c>
      <c r="I29">
        <v>1</v>
      </c>
      <c r="J29">
        <v>35</v>
      </c>
      <c r="K29">
        <v>3</v>
      </c>
      <c r="L29" t="s">
        <v>44</v>
      </c>
      <c r="M29">
        <v>48</v>
      </c>
      <c r="N29">
        <v>3</v>
      </c>
      <c r="O29">
        <v>2</v>
      </c>
      <c r="P29" t="s">
        <v>39</v>
      </c>
      <c r="Q29">
        <v>2</v>
      </c>
      <c r="R29" t="s">
        <v>46</v>
      </c>
      <c r="S29">
        <v>6825</v>
      </c>
      <c r="T29">
        <v>21173</v>
      </c>
      <c r="U29">
        <v>0</v>
      </c>
      <c r="V29" t="s">
        <v>41</v>
      </c>
      <c r="W29" t="s">
        <v>42</v>
      </c>
      <c r="X29">
        <v>11</v>
      </c>
      <c r="Y29">
        <v>3</v>
      </c>
      <c r="Z29">
        <v>4</v>
      </c>
      <c r="AA29">
        <v>80</v>
      </c>
      <c r="AB29">
        <v>1</v>
      </c>
      <c r="AC29">
        <v>10</v>
      </c>
      <c r="AD29">
        <v>2</v>
      </c>
      <c r="AE29">
        <v>3</v>
      </c>
      <c r="AF29">
        <v>9</v>
      </c>
      <c r="AG29">
        <v>7</v>
      </c>
      <c r="AH29">
        <v>4</v>
      </c>
      <c r="AI29">
        <v>2</v>
      </c>
      <c r="AJ29">
        <f t="shared" si="0"/>
        <v>0</v>
      </c>
      <c r="AK29" t="str" cm="1">
        <f t="array" ref="AK29">_xlfn.IFS(A29&lt;=30,"18-30",A29&lt;=45,"31-45",A29&lt;=60,"46-60",TRUE, "60+")</f>
        <v>31-45</v>
      </c>
      <c r="AL29" t="str" cm="1">
        <f t="array" ref="AL29">_xlfn.IFS(F29&lt;=10,"0-10",F29&lt;=20,"11-20",TRUE,"20+")</f>
        <v>0-10</v>
      </c>
      <c r="AM29" t="str" cm="1">
        <f t="array" ref="AM29">_xlfn.IFS(S29&lt;=5000,"0-5k",S29&lt;=10000,"5k-10k",S29&lt;=15000,"10k-15k",TRUE,"15k+")</f>
        <v>5k-10k</v>
      </c>
      <c r="AN29" t="str" cm="1">
        <f t="array" ref="AN29">_xlfn.IFS(AF29&lt;=10,"0-10",AF29&lt;=20,"10-20",AF29&lt;=30,"20-30",TRUE,"30+")</f>
        <v>0-10</v>
      </c>
      <c r="AO29" t="str" cm="1">
        <f t="array" ref="AO29">_xlfn.IFS(Y29=1,"Poor",Y29=2,"Average",Y29=3,"Good",TRUE,"Excellent")</f>
        <v>Good</v>
      </c>
      <c r="AP29" t="str" cm="1">
        <f t="array" ref="AP29">_xlfn.IFS(Q29=1,"Low",Q29=2,"Medium",Q29=3,"High",TRUE,"Very High")</f>
        <v>Medium</v>
      </c>
    </row>
    <row r="30" spans="1:42" x14ac:dyDescent="0.25">
      <c r="A30">
        <v>44</v>
      </c>
      <c r="B30" t="s">
        <v>42</v>
      </c>
      <c r="C30" t="s">
        <v>90</v>
      </c>
      <c r="D30">
        <v>477</v>
      </c>
      <c r="E30" t="s">
        <v>43</v>
      </c>
      <c r="F30">
        <v>7</v>
      </c>
      <c r="G30">
        <v>4</v>
      </c>
      <c r="H30" t="s">
        <v>49</v>
      </c>
      <c r="I30">
        <v>1</v>
      </c>
      <c r="J30">
        <v>36</v>
      </c>
      <c r="K30">
        <v>1</v>
      </c>
      <c r="L30" t="s">
        <v>38</v>
      </c>
      <c r="M30">
        <v>42</v>
      </c>
      <c r="N30">
        <v>2</v>
      </c>
      <c r="O30">
        <v>3</v>
      </c>
      <c r="P30" t="s">
        <v>52</v>
      </c>
      <c r="Q30">
        <v>4</v>
      </c>
      <c r="R30" t="s">
        <v>46</v>
      </c>
      <c r="S30">
        <v>10248</v>
      </c>
      <c r="T30">
        <v>2094</v>
      </c>
      <c r="U30">
        <v>3</v>
      </c>
      <c r="V30" t="s">
        <v>41</v>
      </c>
      <c r="W30" t="s">
        <v>42</v>
      </c>
      <c r="X30">
        <v>14</v>
      </c>
      <c r="Y30">
        <v>3</v>
      </c>
      <c r="Z30">
        <v>4</v>
      </c>
      <c r="AA30">
        <v>80</v>
      </c>
      <c r="AB30">
        <v>1</v>
      </c>
      <c r="AC30">
        <v>24</v>
      </c>
      <c r="AD30">
        <v>4</v>
      </c>
      <c r="AE30">
        <v>3</v>
      </c>
      <c r="AF30">
        <v>22</v>
      </c>
      <c r="AG30">
        <v>6</v>
      </c>
      <c r="AH30">
        <v>5</v>
      </c>
      <c r="AI30">
        <v>17</v>
      </c>
      <c r="AJ30">
        <f t="shared" si="0"/>
        <v>0</v>
      </c>
      <c r="AK30" t="str" cm="1">
        <f t="array" ref="AK30">_xlfn.IFS(A30&lt;=30,"18-30",A30&lt;=45,"31-45",A30&lt;=60,"46-60",TRUE, "60+")</f>
        <v>31-45</v>
      </c>
      <c r="AL30" t="str" cm="1">
        <f t="array" ref="AL30">_xlfn.IFS(F30&lt;=10,"0-10",F30&lt;=20,"11-20",TRUE,"20+")</f>
        <v>0-10</v>
      </c>
      <c r="AM30" t="str" cm="1">
        <f t="array" ref="AM30">_xlfn.IFS(S30&lt;=5000,"0-5k",S30&lt;=10000,"5k-10k",S30&lt;=15000,"10k-15k",TRUE,"15k+")</f>
        <v>10k-15k</v>
      </c>
      <c r="AN30" t="str" cm="1">
        <f t="array" ref="AN30">_xlfn.IFS(AF30&lt;=10,"0-10",AF30&lt;=20,"10-20",AF30&lt;=30,"20-30",TRUE,"30+")</f>
        <v>20-30</v>
      </c>
      <c r="AO30" t="str" cm="1">
        <f t="array" ref="AO30">_xlfn.IFS(Y30=1,"Poor",Y30=2,"Average",Y30=3,"Good",TRUE,"Excellent")</f>
        <v>Good</v>
      </c>
      <c r="AP30" t="str" cm="1">
        <f t="array" ref="AP30">_xlfn.IFS(Q30=1,"Low",Q30=2,"Medium",Q30=3,"High",TRUE,"Very High")</f>
        <v>Very High</v>
      </c>
    </row>
    <row r="31" spans="1:42" x14ac:dyDescent="0.25">
      <c r="A31">
        <v>46</v>
      </c>
      <c r="B31" t="s">
        <v>42</v>
      </c>
      <c r="C31" t="s">
        <v>90</v>
      </c>
      <c r="D31">
        <v>705</v>
      </c>
      <c r="E31" t="s">
        <v>36</v>
      </c>
      <c r="F31">
        <v>2</v>
      </c>
      <c r="G31">
        <v>4</v>
      </c>
      <c r="H31" t="s">
        <v>57</v>
      </c>
      <c r="I31">
        <v>1</v>
      </c>
      <c r="J31">
        <v>38</v>
      </c>
      <c r="K31">
        <v>2</v>
      </c>
      <c r="L31" t="s">
        <v>38</v>
      </c>
      <c r="M31">
        <v>83</v>
      </c>
      <c r="N31">
        <v>3</v>
      </c>
      <c r="O31">
        <v>5</v>
      </c>
      <c r="P31" t="s">
        <v>54</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c r="AJ31">
        <f t="shared" si="0"/>
        <v>0</v>
      </c>
      <c r="AK31" t="str" cm="1">
        <f t="array" ref="AK31">_xlfn.IFS(A31&lt;=30,"18-30",A31&lt;=45,"31-45",A31&lt;=60,"46-60",TRUE, "60+")</f>
        <v>46-60</v>
      </c>
      <c r="AL31" t="str" cm="1">
        <f t="array" ref="AL31">_xlfn.IFS(F31&lt;=10,"0-10",F31&lt;=20,"11-20",TRUE,"20+")</f>
        <v>0-10</v>
      </c>
      <c r="AM31" t="str" cm="1">
        <f t="array" ref="AM31">_xlfn.IFS(S31&lt;=5000,"0-5k",S31&lt;=10000,"5k-10k",S31&lt;=15000,"10k-15k",TRUE,"15k+")</f>
        <v>15k+</v>
      </c>
      <c r="AN31" t="str" cm="1">
        <f t="array" ref="AN31">_xlfn.IFS(AF31&lt;=10,"0-10",AF31&lt;=20,"10-20",AF31&lt;=30,"20-30",TRUE,"30+")</f>
        <v>0-10</v>
      </c>
      <c r="AO31" t="str" cm="1">
        <f t="array" ref="AO31">_xlfn.IFS(Y31=1,"Poor",Y31=2,"Average",Y31=3,"Good",TRUE,"Excellent")</f>
        <v>Good</v>
      </c>
      <c r="AP31" t="str" cm="1">
        <f t="array" ref="AP31">_xlfn.IFS(Q31=1,"Low",Q31=2,"Medium",Q31=3,"High",TRUE,"Very High")</f>
        <v>Low</v>
      </c>
    </row>
    <row r="32" spans="1:42" x14ac:dyDescent="0.25">
      <c r="A32">
        <v>33</v>
      </c>
      <c r="B32" t="s">
        <v>42</v>
      </c>
      <c r="C32" t="s">
        <v>90</v>
      </c>
      <c r="D32">
        <v>924</v>
      </c>
      <c r="E32" t="s">
        <v>43</v>
      </c>
      <c r="F32">
        <v>2</v>
      </c>
      <c r="G32">
        <v>3</v>
      </c>
      <c r="H32" t="s">
        <v>49</v>
      </c>
      <c r="I32">
        <v>1</v>
      </c>
      <c r="J32">
        <v>39</v>
      </c>
      <c r="K32">
        <v>3</v>
      </c>
      <c r="L32" t="s">
        <v>44</v>
      </c>
      <c r="M32">
        <v>78</v>
      </c>
      <c r="N32">
        <v>3</v>
      </c>
      <c r="O32">
        <v>1</v>
      </c>
      <c r="P32" t="s">
        <v>48</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c r="AJ32">
        <f t="shared" si="0"/>
        <v>0</v>
      </c>
      <c r="AK32" t="str" cm="1">
        <f t="array" ref="AK32">_xlfn.IFS(A32&lt;=30,"18-30",A32&lt;=45,"31-45",A32&lt;=60,"46-60",TRUE, "60+")</f>
        <v>31-45</v>
      </c>
      <c r="AL32" t="str" cm="1">
        <f t="array" ref="AL32">_xlfn.IFS(F32&lt;=10,"0-10",F32&lt;=20,"11-20",TRUE,"20+")</f>
        <v>0-10</v>
      </c>
      <c r="AM32" t="str" cm="1">
        <f t="array" ref="AM32">_xlfn.IFS(S32&lt;=5000,"0-5k",S32&lt;=10000,"5k-10k",S32&lt;=15000,"10k-15k",TRUE,"15k+")</f>
        <v>0-5k</v>
      </c>
      <c r="AN32" t="str" cm="1">
        <f t="array" ref="AN32">_xlfn.IFS(AF32&lt;=10,"0-10",AF32&lt;=20,"10-20",AF32&lt;=30,"20-30",TRUE,"30+")</f>
        <v>0-10</v>
      </c>
      <c r="AO32" t="str" cm="1">
        <f t="array" ref="AO32">_xlfn.IFS(Y32=1,"Poor",Y32=2,"Average",Y32=3,"Good",TRUE,"Excellent")</f>
        <v>Good</v>
      </c>
      <c r="AP32" t="str" cm="1">
        <f t="array" ref="AP32">_xlfn.IFS(Q32=1,"Low",Q32=2,"Medium",Q32=3,"High",TRUE,"Very High")</f>
        <v>Very High</v>
      </c>
    </row>
    <row r="33" spans="1:42" x14ac:dyDescent="0.25">
      <c r="A33">
        <v>44</v>
      </c>
      <c r="B33" t="s">
        <v>42</v>
      </c>
      <c r="C33" t="s">
        <v>90</v>
      </c>
      <c r="D33">
        <v>1459</v>
      </c>
      <c r="E33" t="s">
        <v>43</v>
      </c>
      <c r="F33">
        <v>10</v>
      </c>
      <c r="G33">
        <v>4</v>
      </c>
      <c r="H33" t="s">
        <v>47</v>
      </c>
      <c r="I33">
        <v>1</v>
      </c>
      <c r="J33">
        <v>40</v>
      </c>
      <c r="K33">
        <v>4</v>
      </c>
      <c r="L33" t="s">
        <v>44</v>
      </c>
      <c r="M33">
        <v>41</v>
      </c>
      <c r="N33">
        <v>3</v>
      </c>
      <c r="O33">
        <v>2</v>
      </c>
      <c r="P33" t="s">
        <v>52</v>
      </c>
      <c r="Q33">
        <v>4</v>
      </c>
      <c r="R33" t="s">
        <v>46</v>
      </c>
      <c r="S33">
        <v>6465</v>
      </c>
      <c r="T33">
        <v>19121</v>
      </c>
      <c r="U33">
        <v>2</v>
      </c>
      <c r="V33" t="s">
        <v>41</v>
      </c>
      <c r="W33" t="s">
        <v>35</v>
      </c>
      <c r="X33">
        <v>13</v>
      </c>
      <c r="Y33">
        <v>3</v>
      </c>
      <c r="Z33">
        <v>4</v>
      </c>
      <c r="AA33">
        <v>80</v>
      </c>
      <c r="AB33">
        <v>0</v>
      </c>
      <c r="AC33">
        <v>9</v>
      </c>
      <c r="AD33">
        <v>5</v>
      </c>
      <c r="AE33">
        <v>4</v>
      </c>
      <c r="AF33">
        <v>4</v>
      </c>
      <c r="AG33">
        <v>2</v>
      </c>
      <c r="AH33">
        <v>1</v>
      </c>
      <c r="AI33">
        <v>3</v>
      </c>
      <c r="AJ33">
        <f t="shared" si="0"/>
        <v>0</v>
      </c>
      <c r="AK33" t="str" cm="1">
        <f t="array" ref="AK33">_xlfn.IFS(A33&lt;=30,"18-30",A33&lt;=45,"31-45",A33&lt;=60,"46-60",TRUE, "60+")</f>
        <v>31-45</v>
      </c>
      <c r="AL33" t="str" cm="1">
        <f t="array" ref="AL33">_xlfn.IFS(F33&lt;=10,"0-10",F33&lt;=20,"11-20",TRUE,"20+")</f>
        <v>0-10</v>
      </c>
      <c r="AM33" t="str" cm="1">
        <f t="array" ref="AM33">_xlfn.IFS(S33&lt;=5000,"0-5k",S33&lt;=10000,"5k-10k",S33&lt;=15000,"10k-15k",TRUE,"15k+")</f>
        <v>5k-10k</v>
      </c>
      <c r="AN33" t="str" cm="1">
        <f t="array" ref="AN33">_xlfn.IFS(AF33&lt;=10,"0-10",AF33&lt;=20,"10-20",AF33&lt;=30,"20-30",TRUE,"30+")</f>
        <v>0-10</v>
      </c>
      <c r="AO33" t="str" cm="1">
        <f t="array" ref="AO33">_xlfn.IFS(Y33=1,"Poor",Y33=2,"Average",Y33=3,"Good",TRUE,"Excellent")</f>
        <v>Good</v>
      </c>
      <c r="AP33" t="str" cm="1">
        <f t="array" ref="AP33">_xlfn.IFS(Q33=1,"Low",Q33=2,"Medium",Q33=3,"High",TRUE,"Very High")</f>
        <v>Very High</v>
      </c>
    </row>
    <row r="34" spans="1:42" x14ac:dyDescent="0.25">
      <c r="A34">
        <v>30</v>
      </c>
      <c r="B34" t="s">
        <v>42</v>
      </c>
      <c r="C34" t="s">
        <v>90</v>
      </c>
      <c r="D34">
        <v>125</v>
      </c>
      <c r="E34" t="s">
        <v>43</v>
      </c>
      <c r="F34">
        <v>9</v>
      </c>
      <c r="G34">
        <v>2</v>
      </c>
      <c r="H34" t="s">
        <v>49</v>
      </c>
      <c r="I34">
        <v>1</v>
      </c>
      <c r="J34">
        <v>41</v>
      </c>
      <c r="K34">
        <v>4</v>
      </c>
      <c r="L34" t="s">
        <v>44</v>
      </c>
      <c r="M34">
        <v>83</v>
      </c>
      <c r="N34">
        <v>2</v>
      </c>
      <c r="O34">
        <v>1</v>
      </c>
      <c r="P34" t="s">
        <v>48</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c r="AJ34">
        <f t="shared" si="0"/>
        <v>0</v>
      </c>
      <c r="AK34" t="str" cm="1">
        <f t="array" ref="AK34">_xlfn.IFS(A34&lt;=30,"18-30",A34&lt;=45,"31-45",A34&lt;=60,"46-60",TRUE, "60+")</f>
        <v>18-30</v>
      </c>
      <c r="AL34" t="str" cm="1">
        <f t="array" ref="AL34">_xlfn.IFS(F34&lt;=10,"0-10",F34&lt;=20,"11-20",TRUE,"20+")</f>
        <v>0-10</v>
      </c>
      <c r="AM34" t="str" cm="1">
        <f t="array" ref="AM34">_xlfn.IFS(S34&lt;=5000,"0-5k",S34&lt;=10000,"5k-10k",S34&lt;=15000,"10k-15k",TRUE,"15k+")</f>
        <v>0-5k</v>
      </c>
      <c r="AN34" t="str" cm="1">
        <f t="array" ref="AN34">_xlfn.IFS(AF34&lt;=10,"0-10",AF34&lt;=20,"10-20",AF34&lt;=30,"20-30",TRUE,"30+")</f>
        <v>0-10</v>
      </c>
      <c r="AO34" t="str" cm="1">
        <f t="array" ref="AO34">_xlfn.IFS(Y34=1,"Poor",Y34=2,"Average",Y34=3,"Good",TRUE,"Excellent")</f>
        <v>Good</v>
      </c>
      <c r="AP34" t="str" cm="1">
        <f t="array" ref="AP34">_xlfn.IFS(Q34=1,"Low",Q34=2,"Medium",Q34=3,"High",TRUE,"Very High")</f>
        <v>High</v>
      </c>
    </row>
    <row r="35" spans="1:42" x14ac:dyDescent="0.25">
      <c r="A35">
        <v>39</v>
      </c>
      <c r="B35" t="s">
        <v>35</v>
      </c>
      <c r="C35" t="s">
        <v>90</v>
      </c>
      <c r="D35">
        <v>895</v>
      </c>
      <c r="E35" t="s">
        <v>36</v>
      </c>
      <c r="F35">
        <v>5</v>
      </c>
      <c r="G35">
        <v>3</v>
      </c>
      <c r="H35" t="s">
        <v>58</v>
      </c>
      <c r="I35">
        <v>1</v>
      </c>
      <c r="J35">
        <v>42</v>
      </c>
      <c r="K35">
        <v>4</v>
      </c>
      <c r="L35" t="s">
        <v>44</v>
      </c>
      <c r="M35">
        <v>56</v>
      </c>
      <c r="N35">
        <v>3</v>
      </c>
      <c r="O35">
        <v>2</v>
      </c>
      <c r="P35" t="s">
        <v>55</v>
      </c>
      <c r="Q35">
        <v>4</v>
      </c>
      <c r="R35" t="s">
        <v>46</v>
      </c>
      <c r="S35">
        <v>2086</v>
      </c>
      <c r="T35">
        <v>3335</v>
      </c>
      <c r="U35">
        <v>3</v>
      </c>
      <c r="V35" t="s">
        <v>41</v>
      </c>
      <c r="W35" t="s">
        <v>42</v>
      </c>
      <c r="X35">
        <v>14</v>
      </c>
      <c r="Y35">
        <v>3</v>
      </c>
      <c r="Z35">
        <v>3</v>
      </c>
      <c r="AA35">
        <v>80</v>
      </c>
      <c r="AB35">
        <v>1</v>
      </c>
      <c r="AC35">
        <v>19</v>
      </c>
      <c r="AD35">
        <v>6</v>
      </c>
      <c r="AE35">
        <v>4</v>
      </c>
      <c r="AF35">
        <v>1</v>
      </c>
      <c r="AG35">
        <v>0</v>
      </c>
      <c r="AH35">
        <v>0</v>
      </c>
      <c r="AI35">
        <v>0</v>
      </c>
      <c r="AJ35">
        <f t="shared" si="0"/>
        <v>1</v>
      </c>
      <c r="AK35" t="str" cm="1">
        <f t="array" ref="AK35">_xlfn.IFS(A35&lt;=30,"18-30",A35&lt;=45,"31-45",A35&lt;=60,"46-60",TRUE, "60+")</f>
        <v>31-45</v>
      </c>
      <c r="AL35" t="str" cm="1">
        <f t="array" ref="AL35">_xlfn.IFS(F35&lt;=10,"0-10",F35&lt;=20,"11-20",TRUE,"20+")</f>
        <v>0-10</v>
      </c>
      <c r="AM35" t="str" cm="1">
        <f t="array" ref="AM35">_xlfn.IFS(S35&lt;=5000,"0-5k",S35&lt;=10000,"5k-10k",S35&lt;=15000,"10k-15k",TRUE,"15k+")</f>
        <v>0-5k</v>
      </c>
      <c r="AN35" t="str" cm="1">
        <f t="array" ref="AN35">_xlfn.IFS(AF35&lt;=10,"0-10",AF35&lt;=20,"10-20",AF35&lt;=30,"20-30",TRUE,"30+")</f>
        <v>0-10</v>
      </c>
      <c r="AO35" t="str" cm="1">
        <f t="array" ref="AO35">_xlfn.IFS(Y35=1,"Poor",Y35=2,"Average",Y35=3,"Good",TRUE,"Excellent")</f>
        <v>Good</v>
      </c>
      <c r="AP35" t="str" cm="1">
        <f t="array" ref="AP35">_xlfn.IFS(Q35=1,"Low",Q35=2,"Medium",Q35=3,"High",TRUE,"Very High")</f>
        <v>Very High</v>
      </c>
    </row>
    <row r="36" spans="1:42" x14ac:dyDescent="0.25">
      <c r="A36">
        <v>24</v>
      </c>
      <c r="B36" t="s">
        <v>35</v>
      </c>
      <c r="C36" t="s">
        <v>90</v>
      </c>
      <c r="D36">
        <v>813</v>
      </c>
      <c r="E36" t="s">
        <v>43</v>
      </c>
      <c r="F36">
        <v>1</v>
      </c>
      <c r="G36">
        <v>3</v>
      </c>
      <c r="H36" t="s">
        <v>49</v>
      </c>
      <c r="I36">
        <v>1</v>
      </c>
      <c r="J36">
        <v>45</v>
      </c>
      <c r="K36">
        <v>2</v>
      </c>
      <c r="L36" t="s">
        <v>44</v>
      </c>
      <c r="M36">
        <v>61</v>
      </c>
      <c r="N36">
        <v>3</v>
      </c>
      <c r="O36">
        <v>1</v>
      </c>
      <c r="P36" t="s">
        <v>45</v>
      </c>
      <c r="Q36">
        <v>4</v>
      </c>
      <c r="R36" t="s">
        <v>46</v>
      </c>
      <c r="S36">
        <v>2293</v>
      </c>
      <c r="T36">
        <v>3020</v>
      </c>
      <c r="U36">
        <v>2</v>
      </c>
      <c r="V36" t="s">
        <v>41</v>
      </c>
      <c r="W36" t="s">
        <v>35</v>
      </c>
      <c r="X36">
        <v>16</v>
      </c>
      <c r="Y36">
        <v>3</v>
      </c>
      <c r="Z36">
        <v>1</v>
      </c>
      <c r="AA36">
        <v>80</v>
      </c>
      <c r="AB36">
        <v>1</v>
      </c>
      <c r="AC36">
        <v>6</v>
      </c>
      <c r="AD36">
        <v>2</v>
      </c>
      <c r="AE36">
        <v>2</v>
      </c>
      <c r="AF36">
        <v>2</v>
      </c>
      <c r="AG36">
        <v>0</v>
      </c>
      <c r="AH36">
        <v>2</v>
      </c>
      <c r="AI36">
        <v>0</v>
      </c>
      <c r="AJ36">
        <f t="shared" si="0"/>
        <v>1</v>
      </c>
      <c r="AK36" t="str" cm="1">
        <f t="array" ref="AK36">_xlfn.IFS(A36&lt;=30,"18-30",A36&lt;=45,"31-45",A36&lt;=60,"46-60",TRUE, "60+")</f>
        <v>18-30</v>
      </c>
      <c r="AL36" t="str" cm="1">
        <f t="array" ref="AL36">_xlfn.IFS(F36&lt;=10,"0-10",F36&lt;=20,"11-20",TRUE,"20+")</f>
        <v>0-10</v>
      </c>
      <c r="AM36" t="str" cm="1">
        <f t="array" ref="AM36">_xlfn.IFS(S36&lt;=5000,"0-5k",S36&lt;=10000,"5k-10k",S36&lt;=15000,"10k-15k",TRUE,"15k+")</f>
        <v>0-5k</v>
      </c>
      <c r="AN36" t="str" cm="1">
        <f t="array" ref="AN36">_xlfn.IFS(AF36&lt;=10,"0-10",AF36&lt;=20,"10-20",AF36&lt;=30,"20-30",TRUE,"30+")</f>
        <v>0-10</v>
      </c>
      <c r="AO36" t="str" cm="1">
        <f t="array" ref="AO36">_xlfn.IFS(Y36=1,"Poor",Y36=2,"Average",Y36=3,"Good",TRUE,"Excellent")</f>
        <v>Good</v>
      </c>
      <c r="AP36" t="str" cm="1">
        <f t="array" ref="AP36">_xlfn.IFS(Q36=1,"Low",Q36=2,"Medium",Q36=3,"High",TRUE,"Very High")</f>
        <v>Very High</v>
      </c>
    </row>
    <row r="37" spans="1:42" x14ac:dyDescent="0.25">
      <c r="A37">
        <v>43</v>
      </c>
      <c r="B37" t="s">
        <v>42</v>
      </c>
      <c r="C37" t="s">
        <v>90</v>
      </c>
      <c r="D37">
        <v>1273</v>
      </c>
      <c r="E37" t="s">
        <v>43</v>
      </c>
      <c r="F37">
        <v>2</v>
      </c>
      <c r="G37">
        <v>2</v>
      </c>
      <c r="H37" t="s">
        <v>49</v>
      </c>
      <c r="I37">
        <v>1</v>
      </c>
      <c r="J37">
        <v>46</v>
      </c>
      <c r="K37">
        <v>4</v>
      </c>
      <c r="L37" t="s">
        <v>38</v>
      </c>
      <c r="M37">
        <v>72</v>
      </c>
      <c r="N37">
        <v>4</v>
      </c>
      <c r="O37">
        <v>1</v>
      </c>
      <c r="P37" t="s">
        <v>45</v>
      </c>
      <c r="Q37">
        <v>3</v>
      </c>
      <c r="R37" t="s">
        <v>50</v>
      </c>
      <c r="S37">
        <v>2645</v>
      </c>
      <c r="T37">
        <v>21923</v>
      </c>
      <c r="U37">
        <v>1</v>
      </c>
      <c r="V37" t="s">
        <v>41</v>
      </c>
      <c r="W37" t="s">
        <v>42</v>
      </c>
      <c r="X37">
        <v>12</v>
      </c>
      <c r="Y37">
        <v>3</v>
      </c>
      <c r="Z37">
        <v>4</v>
      </c>
      <c r="AA37">
        <v>80</v>
      </c>
      <c r="AB37">
        <v>2</v>
      </c>
      <c r="AC37">
        <v>6</v>
      </c>
      <c r="AD37">
        <v>3</v>
      </c>
      <c r="AE37">
        <v>2</v>
      </c>
      <c r="AF37">
        <v>5</v>
      </c>
      <c r="AG37">
        <v>3</v>
      </c>
      <c r="AH37">
        <v>1</v>
      </c>
      <c r="AI37">
        <v>4</v>
      </c>
      <c r="AJ37">
        <f t="shared" si="0"/>
        <v>0</v>
      </c>
      <c r="AK37" t="str" cm="1">
        <f t="array" ref="AK37">_xlfn.IFS(A37&lt;=30,"18-30",A37&lt;=45,"31-45",A37&lt;=60,"46-60",TRUE, "60+")</f>
        <v>31-45</v>
      </c>
      <c r="AL37" t="str" cm="1">
        <f t="array" ref="AL37">_xlfn.IFS(F37&lt;=10,"0-10",F37&lt;=20,"11-20",TRUE,"20+")</f>
        <v>0-10</v>
      </c>
      <c r="AM37" t="str" cm="1">
        <f t="array" ref="AM37">_xlfn.IFS(S37&lt;=5000,"0-5k",S37&lt;=10000,"5k-10k",S37&lt;=15000,"10k-15k",TRUE,"15k+")</f>
        <v>0-5k</v>
      </c>
      <c r="AN37" t="str" cm="1">
        <f t="array" ref="AN37">_xlfn.IFS(AF37&lt;=10,"0-10",AF37&lt;=20,"10-20",AF37&lt;=30,"20-30",TRUE,"30+")</f>
        <v>0-10</v>
      </c>
      <c r="AO37" t="str" cm="1">
        <f t="array" ref="AO37">_xlfn.IFS(Y37=1,"Poor",Y37=2,"Average",Y37=3,"Good",TRUE,"Excellent")</f>
        <v>Good</v>
      </c>
      <c r="AP37" t="str" cm="1">
        <f t="array" ref="AP37">_xlfn.IFS(Q37=1,"Low",Q37=2,"Medium",Q37=3,"High",TRUE,"Very High")</f>
        <v>High</v>
      </c>
    </row>
    <row r="38" spans="1:42" x14ac:dyDescent="0.25">
      <c r="A38">
        <v>50</v>
      </c>
      <c r="B38" t="s">
        <v>35</v>
      </c>
      <c r="C38" t="s">
        <v>90</v>
      </c>
      <c r="D38">
        <v>869</v>
      </c>
      <c r="E38" t="s">
        <v>36</v>
      </c>
      <c r="F38">
        <v>3</v>
      </c>
      <c r="G38">
        <v>2</v>
      </c>
      <c r="H38" t="s">
        <v>57</v>
      </c>
      <c r="I38">
        <v>1</v>
      </c>
      <c r="J38">
        <v>47</v>
      </c>
      <c r="K38">
        <v>1</v>
      </c>
      <c r="L38" t="s">
        <v>44</v>
      </c>
      <c r="M38">
        <v>86</v>
      </c>
      <c r="N38">
        <v>2</v>
      </c>
      <c r="O38">
        <v>1</v>
      </c>
      <c r="P38" t="s">
        <v>55</v>
      </c>
      <c r="Q38">
        <v>3</v>
      </c>
      <c r="R38" t="s">
        <v>46</v>
      </c>
      <c r="S38">
        <v>2683</v>
      </c>
      <c r="T38">
        <v>3810</v>
      </c>
      <c r="U38">
        <v>1</v>
      </c>
      <c r="V38" t="s">
        <v>41</v>
      </c>
      <c r="W38" t="s">
        <v>35</v>
      </c>
      <c r="X38">
        <v>14</v>
      </c>
      <c r="Y38">
        <v>3</v>
      </c>
      <c r="Z38">
        <v>3</v>
      </c>
      <c r="AA38">
        <v>80</v>
      </c>
      <c r="AB38">
        <v>0</v>
      </c>
      <c r="AC38">
        <v>3</v>
      </c>
      <c r="AD38">
        <v>2</v>
      </c>
      <c r="AE38">
        <v>3</v>
      </c>
      <c r="AF38">
        <v>3</v>
      </c>
      <c r="AG38">
        <v>2</v>
      </c>
      <c r="AH38">
        <v>0</v>
      </c>
      <c r="AI38">
        <v>2</v>
      </c>
      <c r="AJ38">
        <f t="shared" si="0"/>
        <v>1</v>
      </c>
      <c r="AK38" t="str" cm="1">
        <f t="array" ref="AK38">_xlfn.IFS(A38&lt;=30,"18-30",A38&lt;=45,"31-45",A38&lt;=60,"46-60",TRUE, "60+")</f>
        <v>46-60</v>
      </c>
      <c r="AL38" t="str" cm="1">
        <f t="array" ref="AL38">_xlfn.IFS(F38&lt;=10,"0-10",F38&lt;=20,"11-20",TRUE,"20+")</f>
        <v>0-10</v>
      </c>
      <c r="AM38" t="str" cm="1">
        <f t="array" ref="AM38">_xlfn.IFS(S38&lt;=5000,"0-5k",S38&lt;=10000,"5k-10k",S38&lt;=15000,"10k-15k",TRUE,"15k+")</f>
        <v>0-5k</v>
      </c>
      <c r="AN38" t="str" cm="1">
        <f t="array" ref="AN38">_xlfn.IFS(AF38&lt;=10,"0-10",AF38&lt;=20,"10-20",AF38&lt;=30,"20-30",TRUE,"30+")</f>
        <v>0-10</v>
      </c>
      <c r="AO38" t="str" cm="1">
        <f t="array" ref="AO38">_xlfn.IFS(Y38=1,"Poor",Y38=2,"Average",Y38=3,"Good",TRUE,"Excellent")</f>
        <v>Good</v>
      </c>
      <c r="AP38" t="str" cm="1">
        <f t="array" ref="AP38">_xlfn.IFS(Q38=1,"Low",Q38=2,"Medium",Q38=3,"High",TRUE,"Very High")</f>
        <v>High</v>
      </c>
    </row>
    <row r="39" spans="1:42" x14ac:dyDescent="0.25">
      <c r="A39">
        <v>35</v>
      </c>
      <c r="B39" t="s">
        <v>42</v>
      </c>
      <c r="C39" t="s">
        <v>90</v>
      </c>
      <c r="D39">
        <v>890</v>
      </c>
      <c r="E39" t="s">
        <v>36</v>
      </c>
      <c r="F39">
        <v>2</v>
      </c>
      <c r="G39">
        <v>3</v>
      </c>
      <c r="H39" t="s">
        <v>57</v>
      </c>
      <c r="I39">
        <v>1</v>
      </c>
      <c r="J39">
        <v>49</v>
      </c>
      <c r="K39">
        <v>4</v>
      </c>
      <c r="L39" t="s">
        <v>38</v>
      </c>
      <c r="M39">
        <v>97</v>
      </c>
      <c r="N39">
        <v>3</v>
      </c>
      <c r="O39">
        <v>1</v>
      </c>
      <c r="P39" t="s">
        <v>55</v>
      </c>
      <c r="Q39">
        <v>4</v>
      </c>
      <c r="R39" t="s">
        <v>46</v>
      </c>
      <c r="S39">
        <v>2014</v>
      </c>
      <c r="T39">
        <v>9687</v>
      </c>
      <c r="U39">
        <v>1</v>
      </c>
      <c r="V39" t="s">
        <v>41</v>
      </c>
      <c r="W39" t="s">
        <v>42</v>
      </c>
      <c r="X39">
        <v>13</v>
      </c>
      <c r="Y39">
        <v>3</v>
      </c>
      <c r="Z39">
        <v>1</v>
      </c>
      <c r="AA39">
        <v>80</v>
      </c>
      <c r="AB39">
        <v>0</v>
      </c>
      <c r="AC39">
        <v>2</v>
      </c>
      <c r="AD39">
        <v>3</v>
      </c>
      <c r="AE39">
        <v>3</v>
      </c>
      <c r="AF39">
        <v>2</v>
      </c>
      <c r="AG39">
        <v>2</v>
      </c>
      <c r="AH39">
        <v>2</v>
      </c>
      <c r="AI39">
        <v>2</v>
      </c>
      <c r="AJ39">
        <f t="shared" si="0"/>
        <v>0</v>
      </c>
      <c r="AK39" t="str" cm="1">
        <f t="array" ref="AK39">_xlfn.IFS(A39&lt;=30,"18-30",A39&lt;=45,"31-45",A39&lt;=60,"46-60",TRUE, "60+")</f>
        <v>31-45</v>
      </c>
      <c r="AL39" t="str" cm="1">
        <f t="array" ref="AL39">_xlfn.IFS(F39&lt;=10,"0-10",F39&lt;=20,"11-20",TRUE,"20+")</f>
        <v>0-10</v>
      </c>
      <c r="AM39" t="str" cm="1">
        <f t="array" ref="AM39">_xlfn.IFS(S39&lt;=5000,"0-5k",S39&lt;=10000,"5k-10k",S39&lt;=15000,"10k-15k",TRUE,"15k+")</f>
        <v>0-5k</v>
      </c>
      <c r="AN39" t="str" cm="1">
        <f t="array" ref="AN39">_xlfn.IFS(AF39&lt;=10,"0-10",AF39&lt;=20,"10-20",AF39&lt;=30,"20-30",TRUE,"30+")</f>
        <v>0-10</v>
      </c>
      <c r="AO39" t="str" cm="1">
        <f t="array" ref="AO39">_xlfn.IFS(Y39=1,"Poor",Y39=2,"Average",Y39=3,"Good",TRUE,"Excellent")</f>
        <v>Good</v>
      </c>
      <c r="AP39" t="str" cm="1">
        <f t="array" ref="AP39">_xlfn.IFS(Q39=1,"Low",Q39=2,"Medium",Q39=3,"High",TRUE,"Very High")</f>
        <v>Very High</v>
      </c>
    </row>
    <row r="40" spans="1:42" x14ac:dyDescent="0.25">
      <c r="A40">
        <v>36</v>
      </c>
      <c r="B40" t="s">
        <v>42</v>
      </c>
      <c r="C40" t="s">
        <v>90</v>
      </c>
      <c r="D40">
        <v>852</v>
      </c>
      <c r="E40" t="s">
        <v>43</v>
      </c>
      <c r="F40">
        <v>5</v>
      </c>
      <c r="G40">
        <v>4</v>
      </c>
      <c r="H40" t="s">
        <v>37</v>
      </c>
      <c r="I40">
        <v>1</v>
      </c>
      <c r="J40">
        <v>51</v>
      </c>
      <c r="K40">
        <v>2</v>
      </c>
      <c r="L40" t="s">
        <v>38</v>
      </c>
      <c r="M40">
        <v>82</v>
      </c>
      <c r="N40">
        <v>2</v>
      </c>
      <c r="O40">
        <v>1</v>
      </c>
      <c r="P40" t="s">
        <v>45</v>
      </c>
      <c r="Q40">
        <v>1</v>
      </c>
      <c r="R40" t="s">
        <v>46</v>
      </c>
      <c r="S40">
        <v>3419</v>
      </c>
      <c r="T40">
        <v>13072</v>
      </c>
      <c r="U40">
        <v>9</v>
      </c>
      <c r="V40" t="s">
        <v>41</v>
      </c>
      <c r="W40" t="s">
        <v>35</v>
      </c>
      <c r="X40">
        <v>14</v>
      </c>
      <c r="Y40">
        <v>3</v>
      </c>
      <c r="Z40">
        <v>4</v>
      </c>
      <c r="AA40">
        <v>80</v>
      </c>
      <c r="AB40">
        <v>1</v>
      </c>
      <c r="AC40">
        <v>6</v>
      </c>
      <c r="AD40">
        <v>3</v>
      </c>
      <c r="AE40">
        <v>4</v>
      </c>
      <c r="AF40">
        <v>1</v>
      </c>
      <c r="AG40">
        <v>1</v>
      </c>
      <c r="AH40">
        <v>0</v>
      </c>
      <c r="AI40">
        <v>0</v>
      </c>
      <c r="AJ40">
        <f t="shared" si="0"/>
        <v>0</v>
      </c>
      <c r="AK40" t="str" cm="1">
        <f t="array" ref="AK40">_xlfn.IFS(A40&lt;=30,"18-30",A40&lt;=45,"31-45",A40&lt;=60,"46-60",TRUE, "60+")</f>
        <v>31-45</v>
      </c>
      <c r="AL40" t="str" cm="1">
        <f t="array" ref="AL40">_xlfn.IFS(F40&lt;=10,"0-10",F40&lt;=20,"11-20",TRUE,"20+")</f>
        <v>0-10</v>
      </c>
      <c r="AM40" t="str" cm="1">
        <f t="array" ref="AM40">_xlfn.IFS(S40&lt;=5000,"0-5k",S40&lt;=10000,"5k-10k",S40&lt;=15000,"10k-15k",TRUE,"15k+")</f>
        <v>0-5k</v>
      </c>
      <c r="AN40" t="str" cm="1">
        <f t="array" ref="AN40">_xlfn.IFS(AF40&lt;=10,"0-10",AF40&lt;=20,"10-20",AF40&lt;=30,"20-30",TRUE,"30+")</f>
        <v>0-10</v>
      </c>
      <c r="AO40" t="str" cm="1">
        <f t="array" ref="AO40">_xlfn.IFS(Y40=1,"Poor",Y40=2,"Average",Y40=3,"Good",TRUE,"Excellent")</f>
        <v>Good</v>
      </c>
      <c r="AP40" t="str" cm="1">
        <f t="array" ref="AP40">_xlfn.IFS(Q40=1,"Low",Q40=2,"Medium",Q40=3,"High",TRUE,"Very High")</f>
        <v>Low</v>
      </c>
    </row>
    <row r="41" spans="1:42" x14ac:dyDescent="0.25">
      <c r="A41">
        <v>33</v>
      </c>
      <c r="B41" t="s">
        <v>42</v>
      </c>
      <c r="C41" t="s">
        <v>91</v>
      </c>
      <c r="D41">
        <v>1141</v>
      </c>
      <c r="E41" t="s">
        <v>36</v>
      </c>
      <c r="F41">
        <v>1</v>
      </c>
      <c r="G41">
        <v>3</v>
      </c>
      <c r="H41" t="s">
        <v>37</v>
      </c>
      <c r="I41">
        <v>1</v>
      </c>
      <c r="J41">
        <v>52</v>
      </c>
      <c r="K41">
        <v>3</v>
      </c>
      <c r="L41" t="s">
        <v>38</v>
      </c>
      <c r="M41">
        <v>42</v>
      </c>
      <c r="N41">
        <v>4</v>
      </c>
      <c r="O41">
        <v>2</v>
      </c>
      <c r="P41" t="s">
        <v>39</v>
      </c>
      <c r="Q41">
        <v>1</v>
      </c>
      <c r="R41" t="s">
        <v>46</v>
      </c>
      <c r="S41">
        <v>5376</v>
      </c>
      <c r="T41">
        <v>3193</v>
      </c>
      <c r="U41">
        <v>2</v>
      </c>
      <c r="V41" t="s">
        <v>41</v>
      </c>
      <c r="W41" t="s">
        <v>42</v>
      </c>
      <c r="X41">
        <v>19</v>
      </c>
      <c r="Y41">
        <v>3</v>
      </c>
      <c r="Z41">
        <v>1</v>
      </c>
      <c r="AA41">
        <v>80</v>
      </c>
      <c r="AB41">
        <v>2</v>
      </c>
      <c r="AC41">
        <v>10</v>
      </c>
      <c r="AD41">
        <v>3</v>
      </c>
      <c r="AE41">
        <v>3</v>
      </c>
      <c r="AF41">
        <v>5</v>
      </c>
      <c r="AG41">
        <v>3</v>
      </c>
      <c r="AH41">
        <v>1</v>
      </c>
      <c r="AI41">
        <v>3</v>
      </c>
      <c r="AJ41">
        <f t="shared" si="0"/>
        <v>0</v>
      </c>
      <c r="AK41" t="str" cm="1">
        <f t="array" ref="AK41">_xlfn.IFS(A41&lt;=30,"18-30",A41&lt;=45,"31-45",A41&lt;=60,"46-60",TRUE, "60+")</f>
        <v>31-45</v>
      </c>
      <c r="AL41" t="str" cm="1">
        <f t="array" ref="AL41">_xlfn.IFS(F41&lt;=10,"0-10",F41&lt;=20,"11-20",TRUE,"20+")</f>
        <v>0-10</v>
      </c>
      <c r="AM41" t="str" cm="1">
        <f t="array" ref="AM41">_xlfn.IFS(S41&lt;=5000,"0-5k",S41&lt;=10000,"5k-10k",S41&lt;=15000,"10k-15k",TRUE,"15k+")</f>
        <v>5k-10k</v>
      </c>
      <c r="AN41" t="str" cm="1">
        <f t="array" ref="AN41">_xlfn.IFS(AF41&lt;=10,"0-10",AF41&lt;=20,"10-20",AF41&lt;=30,"20-30",TRUE,"30+")</f>
        <v>0-10</v>
      </c>
      <c r="AO41" t="str" cm="1">
        <f t="array" ref="AO41">_xlfn.IFS(Y41=1,"Poor",Y41=2,"Average",Y41=3,"Good",TRUE,"Excellent")</f>
        <v>Good</v>
      </c>
      <c r="AP41" t="str" cm="1">
        <f t="array" ref="AP41">_xlfn.IFS(Q41=1,"Low",Q41=2,"Medium",Q41=3,"High",TRUE,"Very High")</f>
        <v>Low</v>
      </c>
    </row>
    <row r="42" spans="1:42" x14ac:dyDescent="0.25">
      <c r="A42">
        <v>35</v>
      </c>
      <c r="B42" t="s">
        <v>42</v>
      </c>
      <c r="C42" t="s">
        <v>90</v>
      </c>
      <c r="D42">
        <v>464</v>
      </c>
      <c r="E42" t="s">
        <v>43</v>
      </c>
      <c r="F42">
        <v>4</v>
      </c>
      <c r="G42">
        <v>2</v>
      </c>
      <c r="H42" t="s">
        <v>47</v>
      </c>
      <c r="I42">
        <v>1</v>
      </c>
      <c r="J42">
        <v>53</v>
      </c>
      <c r="K42">
        <v>3</v>
      </c>
      <c r="L42" t="s">
        <v>44</v>
      </c>
      <c r="M42">
        <v>75</v>
      </c>
      <c r="N42">
        <v>3</v>
      </c>
      <c r="O42">
        <v>1</v>
      </c>
      <c r="P42" t="s">
        <v>48</v>
      </c>
      <c r="Q42">
        <v>4</v>
      </c>
      <c r="R42" t="s">
        <v>50</v>
      </c>
      <c r="S42">
        <v>1951</v>
      </c>
      <c r="T42">
        <v>10910</v>
      </c>
      <c r="U42">
        <v>1</v>
      </c>
      <c r="V42" t="s">
        <v>41</v>
      </c>
      <c r="W42" t="s">
        <v>42</v>
      </c>
      <c r="X42">
        <v>12</v>
      </c>
      <c r="Y42">
        <v>3</v>
      </c>
      <c r="Z42">
        <v>3</v>
      </c>
      <c r="AA42">
        <v>80</v>
      </c>
      <c r="AB42">
        <v>1</v>
      </c>
      <c r="AC42">
        <v>1</v>
      </c>
      <c r="AD42">
        <v>3</v>
      </c>
      <c r="AE42">
        <v>3</v>
      </c>
      <c r="AF42">
        <v>1</v>
      </c>
      <c r="AG42">
        <v>0</v>
      </c>
      <c r="AH42">
        <v>0</v>
      </c>
      <c r="AI42">
        <v>0</v>
      </c>
      <c r="AJ42">
        <f t="shared" si="0"/>
        <v>0</v>
      </c>
      <c r="AK42" t="str" cm="1">
        <f t="array" ref="AK42">_xlfn.IFS(A42&lt;=30,"18-30",A42&lt;=45,"31-45",A42&lt;=60,"46-60",TRUE, "60+")</f>
        <v>31-45</v>
      </c>
      <c r="AL42" t="str" cm="1">
        <f t="array" ref="AL42">_xlfn.IFS(F42&lt;=10,"0-10",F42&lt;=20,"11-20",TRUE,"20+")</f>
        <v>0-10</v>
      </c>
      <c r="AM42" t="str" cm="1">
        <f t="array" ref="AM42">_xlfn.IFS(S42&lt;=5000,"0-5k",S42&lt;=10000,"5k-10k",S42&lt;=15000,"10k-15k",TRUE,"15k+")</f>
        <v>0-5k</v>
      </c>
      <c r="AN42" t="str" cm="1">
        <f t="array" ref="AN42">_xlfn.IFS(AF42&lt;=10,"0-10",AF42&lt;=20,"10-20",AF42&lt;=30,"20-30",TRUE,"30+")</f>
        <v>0-10</v>
      </c>
      <c r="AO42" t="str" cm="1">
        <f t="array" ref="AO42">_xlfn.IFS(Y42=1,"Poor",Y42=2,"Average",Y42=3,"Good",TRUE,"Excellent")</f>
        <v>Good</v>
      </c>
      <c r="AP42" t="str" cm="1">
        <f t="array" ref="AP42">_xlfn.IFS(Q42=1,"Low",Q42=2,"Medium",Q42=3,"High",TRUE,"Very High")</f>
        <v>Very High</v>
      </c>
    </row>
    <row r="43" spans="1:42" x14ac:dyDescent="0.25">
      <c r="A43">
        <v>27</v>
      </c>
      <c r="B43" t="s">
        <v>42</v>
      </c>
      <c r="C43" t="s">
        <v>90</v>
      </c>
      <c r="D43">
        <v>1240</v>
      </c>
      <c r="E43" t="s">
        <v>43</v>
      </c>
      <c r="F43">
        <v>2</v>
      </c>
      <c r="G43">
        <v>4</v>
      </c>
      <c r="H43" t="s">
        <v>37</v>
      </c>
      <c r="I43">
        <v>1</v>
      </c>
      <c r="J43">
        <v>54</v>
      </c>
      <c r="K43">
        <v>4</v>
      </c>
      <c r="L43" t="s">
        <v>38</v>
      </c>
      <c r="M43">
        <v>33</v>
      </c>
      <c r="N43">
        <v>3</v>
      </c>
      <c r="O43">
        <v>1</v>
      </c>
      <c r="P43" t="s">
        <v>48</v>
      </c>
      <c r="Q43">
        <v>1</v>
      </c>
      <c r="R43" t="s">
        <v>50</v>
      </c>
      <c r="S43">
        <v>2341</v>
      </c>
      <c r="T43">
        <v>19715</v>
      </c>
      <c r="U43">
        <v>1</v>
      </c>
      <c r="V43" t="s">
        <v>41</v>
      </c>
      <c r="W43" t="s">
        <v>42</v>
      </c>
      <c r="X43">
        <v>13</v>
      </c>
      <c r="Y43">
        <v>3</v>
      </c>
      <c r="Z43">
        <v>4</v>
      </c>
      <c r="AA43">
        <v>80</v>
      </c>
      <c r="AB43">
        <v>1</v>
      </c>
      <c r="AC43">
        <v>1</v>
      </c>
      <c r="AD43">
        <v>6</v>
      </c>
      <c r="AE43">
        <v>3</v>
      </c>
      <c r="AF43">
        <v>1</v>
      </c>
      <c r="AG43">
        <v>0</v>
      </c>
      <c r="AH43">
        <v>0</v>
      </c>
      <c r="AI43">
        <v>0</v>
      </c>
      <c r="AJ43">
        <f t="shared" si="0"/>
        <v>0</v>
      </c>
      <c r="AK43" t="str" cm="1">
        <f t="array" ref="AK43">_xlfn.IFS(A43&lt;=30,"18-30",A43&lt;=45,"31-45",A43&lt;=60,"46-60",TRUE, "60+")</f>
        <v>18-30</v>
      </c>
      <c r="AL43" t="str" cm="1">
        <f t="array" ref="AL43">_xlfn.IFS(F43&lt;=10,"0-10",F43&lt;=20,"11-20",TRUE,"20+")</f>
        <v>0-10</v>
      </c>
      <c r="AM43" t="str" cm="1">
        <f t="array" ref="AM43">_xlfn.IFS(S43&lt;=5000,"0-5k",S43&lt;=10000,"5k-10k",S43&lt;=15000,"10k-15k",TRUE,"15k+")</f>
        <v>0-5k</v>
      </c>
      <c r="AN43" t="str" cm="1">
        <f t="array" ref="AN43">_xlfn.IFS(AF43&lt;=10,"0-10",AF43&lt;=20,"10-20",AF43&lt;=30,"20-30",TRUE,"30+")</f>
        <v>0-10</v>
      </c>
      <c r="AO43" t="str" cm="1">
        <f t="array" ref="AO43">_xlfn.IFS(Y43=1,"Poor",Y43=2,"Average",Y43=3,"Good",TRUE,"Excellent")</f>
        <v>Good</v>
      </c>
      <c r="AP43" t="str" cm="1">
        <f t="array" ref="AP43">_xlfn.IFS(Q43=1,"Low",Q43=2,"Medium",Q43=3,"High",TRUE,"Very High")</f>
        <v>Low</v>
      </c>
    </row>
    <row r="44" spans="1:42" x14ac:dyDescent="0.25">
      <c r="A44">
        <v>26</v>
      </c>
      <c r="B44" t="s">
        <v>35</v>
      </c>
      <c r="C44" t="s">
        <v>90</v>
      </c>
      <c r="D44">
        <v>1357</v>
      </c>
      <c r="E44" t="s">
        <v>43</v>
      </c>
      <c r="F44">
        <v>25</v>
      </c>
      <c r="G44">
        <v>3</v>
      </c>
      <c r="H44" t="s">
        <v>37</v>
      </c>
      <c r="I44">
        <v>1</v>
      </c>
      <c r="J44">
        <v>55</v>
      </c>
      <c r="K44">
        <v>1</v>
      </c>
      <c r="L44" t="s">
        <v>44</v>
      </c>
      <c r="M44">
        <v>48</v>
      </c>
      <c r="N44">
        <v>1</v>
      </c>
      <c r="O44">
        <v>1</v>
      </c>
      <c r="P44" t="s">
        <v>48</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c r="AJ44">
        <f t="shared" si="0"/>
        <v>1</v>
      </c>
      <c r="AK44" t="str" cm="1">
        <f t="array" ref="AK44">_xlfn.IFS(A44&lt;=30,"18-30",A44&lt;=45,"31-45",A44&lt;=60,"46-60",TRUE, "60+")</f>
        <v>18-30</v>
      </c>
      <c r="AL44" t="str" cm="1">
        <f t="array" ref="AL44">_xlfn.IFS(F44&lt;=10,"0-10",F44&lt;=20,"11-20",TRUE,"20+")</f>
        <v>20+</v>
      </c>
      <c r="AM44" t="str" cm="1">
        <f t="array" ref="AM44">_xlfn.IFS(S44&lt;=5000,"0-5k",S44&lt;=10000,"5k-10k",S44&lt;=15000,"10k-15k",TRUE,"15k+")</f>
        <v>0-5k</v>
      </c>
      <c r="AN44" t="str" cm="1">
        <f t="array" ref="AN44">_xlfn.IFS(AF44&lt;=10,"0-10",AF44&lt;=20,"10-20",AF44&lt;=30,"20-30",TRUE,"30+")</f>
        <v>0-10</v>
      </c>
      <c r="AO44" t="str" cm="1">
        <f t="array" ref="AO44">_xlfn.IFS(Y44=1,"Poor",Y44=2,"Average",Y44=3,"Good",TRUE,"Excellent")</f>
        <v>Good</v>
      </c>
      <c r="AP44" t="str" cm="1">
        <f t="array" ref="AP44">_xlfn.IFS(Q44=1,"Low",Q44=2,"Medium",Q44=3,"High",TRUE,"Very High")</f>
        <v>High</v>
      </c>
    </row>
    <row r="45" spans="1:42" x14ac:dyDescent="0.25">
      <c r="A45">
        <v>27</v>
      </c>
      <c r="B45" t="s">
        <v>42</v>
      </c>
      <c r="C45" t="s">
        <v>91</v>
      </c>
      <c r="D45">
        <v>994</v>
      </c>
      <c r="E45" t="s">
        <v>36</v>
      </c>
      <c r="F45">
        <v>8</v>
      </c>
      <c r="G45">
        <v>3</v>
      </c>
      <c r="H45" t="s">
        <v>37</v>
      </c>
      <c r="I45">
        <v>1</v>
      </c>
      <c r="J45">
        <v>56</v>
      </c>
      <c r="K45">
        <v>4</v>
      </c>
      <c r="L45" t="s">
        <v>44</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c r="AJ45">
        <f t="shared" si="0"/>
        <v>0</v>
      </c>
      <c r="AK45" t="str" cm="1">
        <f t="array" ref="AK45">_xlfn.IFS(A45&lt;=30,"18-30",A45&lt;=45,"31-45",A45&lt;=60,"46-60",TRUE, "60+")</f>
        <v>18-30</v>
      </c>
      <c r="AL45" t="str" cm="1">
        <f t="array" ref="AL45">_xlfn.IFS(F45&lt;=10,"0-10",F45&lt;=20,"11-20",TRUE,"20+")</f>
        <v>0-10</v>
      </c>
      <c r="AM45" t="str" cm="1">
        <f t="array" ref="AM45">_xlfn.IFS(S45&lt;=5000,"0-5k",S45&lt;=10000,"5k-10k",S45&lt;=15000,"10k-15k",TRUE,"15k+")</f>
        <v>5k-10k</v>
      </c>
      <c r="AN45" t="str" cm="1">
        <f t="array" ref="AN45">_xlfn.IFS(AF45&lt;=10,"0-10",AF45&lt;=20,"10-20",AF45&lt;=30,"20-30",TRUE,"30+")</f>
        <v>0-10</v>
      </c>
      <c r="AO45" t="str" cm="1">
        <f t="array" ref="AO45">_xlfn.IFS(Y45=1,"Poor",Y45=2,"Average",Y45=3,"Good",TRUE,"Excellent")</f>
        <v>Good</v>
      </c>
      <c r="AP45" t="str" cm="1">
        <f t="array" ref="AP45">_xlfn.IFS(Q45=1,"Low",Q45=2,"Medium",Q45=3,"High",TRUE,"Very High")</f>
        <v>High</v>
      </c>
    </row>
    <row r="46" spans="1:42" x14ac:dyDescent="0.25">
      <c r="A46">
        <v>30</v>
      </c>
      <c r="B46" t="s">
        <v>42</v>
      </c>
      <c r="C46" t="s">
        <v>91</v>
      </c>
      <c r="D46">
        <v>721</v>
      </c>
      <c r="E46" t="s">
        <v>43</v>
      </c>
      <c r="F46">
        <v>1</v>
      </c>
      <c r="G46">
        <v>2</v>
      </c>
      <c r="H46" t="s">
        <v>49</v>
      </c>
      <c r="I46">
        <v>1</v>
      </c>
      <c r="J46">
        <v>57</v>
      </c>
      <c r="K46">
        <v>3</v>
      </c>
      <c r="L46" t="s">
        <v>38</v>
      </c>
      <c r="M46">
        <v>58</v>
      </c>
      <c r="N46">
        <v>3</v>
      </c>
      <c r="O46">
        <v>2</v>
      </c>
      <c r="P46" t="s">
        <v>48</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c r="AJ46">
        <f t="shared" si="0"/>
        <v>0</v>
      </c>
      <c r="AK46" t="str" cm="1">
        <f t="array" ref="AK46">_xlfn.IFS(A46&lt;=30,"18-30",A46&lt;=45,"31-45",A46&lt;=60,"46-60",TRUE, "60+")</f>
        <v>18-30</v>
      </c>
      <c r="AL46" t="str" cm="1">
        <f t="array" ref="AL46">_xlfn.IFS(F46&lt;=10,"0-10",F46&lt;=20,"11-20",TRUE,"20+")</f>
        <v>0-10</v>
      </c>
      <c r="AM46" t="str" cm="1">
        <f t="array" ref="AM46">_xlfn.IFS(S46&lt;=5000,"0-5k",S46&lt;=10000,"5k-10k",S46&lt;=15000,"10k-15k",TRUE,"15k+")</f>
        <v>0-5k</v>
      </c>
      <c r="AN46" t="str" cm="1">
        <f t="array" ref="AN46">_xlfn.IFS(AF46&lt;=10,"0-10",AF46&lt;=20,"10-20",AF46&lt;=30,"20-30",TRUE,"30+")</f>
        <v>10-20</v>
      </c>
      <c r="AO46" t="str" cm="1">
        <f t="array" ref="AO46">_xlfn.IFS(Y46=1,"Poor",Y46=2,"Average",Y46=3,"Good",TRUE,"Excellent")</f>
        <v>Excellent</v>
      </c>
      <c r="AP46" t="str" cm="1">
        <f t="array" ref="AP46">_xlfn.IFS(Q46=1,"Low",Q46=2,"Medium",Q46=3,"High",TRUE,"Very High")</f>
        <v>Very High</v>
      </c>
    </row>
    <row r="47" spans="1:42" x14ac:dyDescent="0.25">
      <c r="A47">
        <v>41</v>
      </c>
      <c r="B47" t="s">
        <v>35</v>
      </c>
      <c r="C47" t="s">
        <v>90</v>
      </c>
      <c r="D47">
        <v>1360</v>
      </c>
      <c r="E47" t="s">
        <v>43</v>
      </c>
      <c r="F47">
        <v>12</v>
      </c>
      <c r="G47">
        <v>3</v>
      </c>
      <c r="H47" t="s">
        <v>58</v>
      </c>
      <c r="I47">
        <v>1</v>
      </c>
      <c r="J47">
        <v>58</v>
      </c>
      <c r="K47">
        <v>2</v>
      </c>
      <c r="L47" t="s">
        <v>38</v>
      </c>
      <c r="M47">
        <v>49</v>
      </c>
      <c r="N47">
        <v>3</v>
      </c>
      <c r="O47">
        <v>5</v>
      </c>
      <c r="P47" t="s">
        <v>56</v>
      </c>
      <c r="Q47">
        <v>3</v>
      </c>
      <c r="R47" t="s">
        <v>46</v>
      </c>
      <c r="S47">
        <v>19545</v>
      </c>
      <c r="T47">
        <v>16280</v>
      </c>
      <c r="U47">
        <v>1</v>
      </c>
      <c r="V47" t="s">
        <v>41</v>
      </c>
      <c r="W47" t="s">
        <v>42</v>
      </c>
      <c r="X47">
        <v>12</v>
      </c>
      <c r="Y47">
        <v>3</v>
      </c>
      <c r="Z47">
        <v>4</v>
      </c>
      <c r="AA47">
        <v>80</v>
      </c>
      <c r="AB47">
        <v>0</v>
      </c>
      <c r="AC47">
        <v>23</v>
      </c>
      <c r="AD47">
        <v>0</v>
      </c>
      <c r="AE47">
        <v>3</v>
      </c>
      <c r="AF47">
        <v>22</v>
      </c>
      <c r="AG47">
        <v>15</v>
      </c>
      <c r="AH47">
        <v>15</v>
      </c>
      <c r="AI47">
        <v>8</v>
      </c>
      <c r="AJ47">
        <f t="shared" si="0"/>
        <v>1</v>
      </c>
      <c r="AK47" t="str" cm="1">
        <f t="array" ref="AK47">_xlfn.IFS(A47&lt;=30,"18-30",A47&lt;=45,"31-45",A47&lt;=60,"46-60",TRUE, "60+")</f>
        <v>31-45</v>
      </c>
      <c r="AL47" t="str" cm="1">
        <f t="array" ref="AL47">_xlfn.IFS(F47&lt;=10,"0-10",F47&lt;=20,"11-20",TRUE,"20+")</f>
        <v>11-20</v>
      </c>
      <c r="AM47" t="str" cm="1">
        <f t="array" ref="AM47">_xlfn.IFS(S47&lt;=5000,"0-5k",S47&lt;=10000,"5k-10k",S47&lt;=15000,"10k-15k",TRUE,"15k+")</f>
        <v>15k+</v>
      </c>
      <c r="AN47" t="str" cm="1">
        <f t="array" ref="AN47">_xlfn.IFS(AF47&lt;=10,"0-10",AF47&lt;=20,"10-20",AF47&lt;=30,"20-30",TRUE,"30+")</f>
        <v>20-30</v>
      </c>
      <c r="AO47" t="str" cm="1">
        <f t="array" ref="AO47">_xlfn.IFS(Y47=1,"Poor",Y47=2,"Average",Y47=3,"Good",TRUE,"Excellent")</f>
        <v>Good</v>
      </c>
      <c r="AP47" t="str" cm="1">
        <f t="array" ref="AP47">_xlfn.IFS(Q47=1,"Low",Q47=2,"Medium",Q47=3,"High",TRUE,"Very High")</f>
        <v>High</v>
      </c>
    </row>
    <row r="48" spans="1:42" x14ac:dyDescent="0.25">
      <c r="A48">
        <v>34</v>
      </c>
      <c r="B48" t="s">
        <v>42</v>
      </c>
      <c r="C48" t="s">
        <v>53</v>
      </c>
      <c r="D48">
        <v>1065</v>
      </c>
      <c r="E48" t="s">
        <v>36</v>
      </c>
      <c r="F48">
        <v>23</v>
      </c>
      <c r="G48">
        <v>4</v>
      </c>
      <c r="H48" t="s">
        <v>57</v>
      </c>
      <c r="I48">
        <v>1</v>
      </c>
      <c r="J48">
        <v>60</v>
      </c>
      <c r="K48">
        <v>2</v>
      </c>
      <c r="L48" t="s">
        <v>44</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c r="AJ48">
        <f t="shared" si="0"/>
        <v>0</v>
      </c>
      <c r="AK48" t="str" cm="1">
        <f t="array" ref="AK48">_xlfn.IFS(A48&lt;=30,"18-30",A48&lt;=45,"31-45",A48&lt;=60,"46-60",TRUE, "60+")</f>
        <v>31-45</v>
      </c>
      <c r="AL48" t="str" cm="1">
        <f t="array" ref="AL48">_xlfn.IFS(F48&lt;=10,"0-10",F48&lt;=20,"11-20",TRUE,"20+")</f>
        <v>20+</v>
      </c>
      <c r="AM48" t="str" cm="1">
        <f t="array" ref="AM48">_xlfn.IFS(S48&lt;=5000,"0-5k",S48&lt;=10000,"5k-10k",S48&lt;=15000,"10k-15k",TRUE,"15k+")</f>
        <v>0-5k</v>
      </c>
      <c r="AN48" t="str" cm="1">
        <f t="array" ref="AN48">_xlfn.IFS(AF48&lt;=10,"0-10",AF48&lt;=20,"10-20",AF48&lt;=30,"20-30",TRUE,"30+")</f>
        <v>0-10</v>
      </c>
      <c r="AO48" t="str" cm="1">
        <f t="array" ref="AO48">_xlfn.IFS(Y48=1,"Poor",Y48=2,"Average",Y48=3,"Good",TRUE,"Excellent")</f>
        <v>Excellent</v>
      </c>
      <c r="AP48" t="str" cm="1">
        <f t="array" ref="AP48">_xlfn.IFS(Q48=1,"Low",Q48=2,"Medium",Q48=3,"High",TRUE,"Very High")</f>
        <v>High</v>
      </c>
    </row>
    <row r="49" spans="1:42" x14ac:dyDescent="0.25">
      <c r="A49">
        <v>37</v>
      </c>
      <c r="B49" t="s">
        <v>42</v>
      </c>
      <c r="C49" t="s">
        <v>90</v>
      </c>
      <c r="D49">
        <v>408</v>
      </c>
      <c r="E49" t="s">
        <v>43</v>
      </c>
      <c r="F49">
        <v>19</v>
      </c>
      <c r="G49">
        <v>2</v>
      </c>
      <c r="H49" t="s">
        <v>37</v>
      </c>
      <c r="I49">
        <v>1</v>
      </c>
      <c r="J49">
        <v>61</v>
      </c>
      <c r="K49">
        <v>2</v>
      </c>
      <c r="L49" t="s">
        <v>44</v>
      </c>
      <c r="M49">
        <v>73</v>
      </c>
      <c r="N49">
        <v>3</v>
      </c>
      <c r="O49">
        <v>1</v>
      </c>
      <c r="P49" t="s">
        <v>45</v>
      </c>
      <c r="Q49">
        <v>2</v>
      </c>
      <c r="R49" t="s">
        <v>46</v>
      </c>
      <c r="S49">
        <v>3022</v>
      </c>
      <c r="T49">
        <v>10227</v>
      </c>
      <c r="U49">
        <v>4</v>
      </c>
      <c r="V49" t="s">
        <v>41</v>
      </c>
      <c r="W49" t="s">
        <v>42</v>
      </c>
      <c r="X49">
        <v>21</v>
      </c>
      <c r="Y49">
        <v>4</v>
      </c>
      <c r="Z49">
        <v>1</v>
      </c>
      <c r="AA49">
        <v>80</v>
      </c>
      <c r="AB49">
        <v>0</v>
      </c>
      <c r="AC49">
        <v>8</v>
      </c>
      <c r="AD49">
        <v>1</v>
      </c>
      <c r="AE49">
        <v>3</v>
      </c>
      <c r="AF49">
        <v>1</v>
      </c>
      <c r="AG49">
        <v>0</v>
      </c>
      <c r="AH49">
        <v>0</v>
      </c>
      <c r="AI49">
        <v>0</v>
      </c>
      <c r="AJ49">
        <f t="shared" si="0"/>
        <v>0</v>
      </c>
      <c r="AK49" t="str" cm="1">
        <f t="array" ref="AK49">_xlfn.IFS(A49&lt;=30,"18-30",A49&lt;=45,"31-45",A49&lt;=60,"46-60",TRUE, "60+")</f>
        <v>31-45</v>
      </c>
      <c r="AL49" t="str" cm="1">
        <f t="array" ref="AL49">_xlfn.IFS(F49&lt;=10,"0-10",F49&lt;=20,"11-20",TRUE,"20+")</f>
        <v>11-20</v>
      </c>
      <c r="AM49" t="str" cm="1">
        <f t="array" ref="AM49">_xlfn.IFS(S49&lt;=5000,"0-5k",S49&lt;=10000,"5k-10k",S49&lt;=15000,"10k-15k",TRUE,"15k+")</f>
        <v>0-5k</v>
      </c>
      <c r="AN49" t="str" cm="1">
        <f t="array" ref="AN49">_xlfn.IFS(AF49&lt;=10,"0-10",AF49&lt;=20,"10-20",AF49&lt;=30,"20-30",TRUE,"30+")</f>
        <v>0-10</v>
      </c>
      <c r="AO49" t="str" cm="1">
        <f t="array" ref="AO49">_xlfn.IFS(Y49=1,"Poor",Y49=2,"Average",Y49=3,"Good",TRUE,"Excellent")</f>
        <v>Excellent</v>
      </c>
      <c r="AP49" t="str" cm="1">
        <f t="array" ref="AP49">_xlfn.IFS(Q49=1,"Low",Q49=2,"Medium",Q49=3,"High",TRUE,"Very High")</f>
        <v>Medium</v>
      </c>
    </row>
    <row r="50" spans="1:42" x14ac:dyDescent="0.25">
      <c r="A50">
        <v>46</v>
      </c>
      <c r="B50" t="s">
        <v>42</v>
      </c>
      <c r="C50" t="s">
        <v>91</v>
      </c>
      <c r="D50">
        <v>1211</v>
      </c>
      <c r="E50" t="s">
        <v>36</v>
      </c>
      <c r="F50">
        <v>5</v>
      </c>
      <c r="G50">
        <v>4</v>
      </c>
      <c r="H50" t="s">
        <v>57</v>
      </c>
      <c r="I50">
        <v>1</v>
      </c>
      <c r="J50">
        <v>62</v>
      </c>
      <c r="K50">
        <v>1</v>
      </c>
      <c r="L50" t="s">
        <v>44</v>
      </c>
      <c r="M50">
        <v>98</v>
      </c>
      <c r="N50">
        <v>3</v>
      </c>
      <c r="O50">
        <v>2</v>
      </c>
      <c r="P50" t="s">
        <v>39</v>
      </c>
      <c r="Q50">
        <v>4</v>
      </c>
      <c r="R50" t="s">
        <v>40</v>
      </c>
      <c r="S50">
        <v>5772</v>
      </c>
      <c r="T50">
        <v>20445</v>
      </c>
      <c r="U50">
        <v>4</v>
      </c>
      <c r="V50" t="s">
        <v>41</v>
      </c>
      <c r="W50" t="s">
        <v>35</v>
      </c>
      <c r="X50">
        <v>21</v>
      </c>
      <c r="Y50">
        <v>4</v>
      </c>
      <c r="Z50">
        <v>3</v>
      </c>
      <c r="AA50">
        <v>80</v>
      </c>
      <c r="AB50">
        <v>0</v>
      </c>
      <c r="AC50">
        <v>14</v>
      </c>
      <c r="AD50">
        <v>4</v>
      </c>
      <c r="AE50">
        <v>3</v>
      </c>
      <c r="AF50">
        <v>9</v>
      </c>
      <c r="AG50">
        <v>6</v>
      </c>
      <c r="AH50">
        <v>0</v>
      </c>
      <c r="AI50">
        <v>8</v>
      </c>
      <c r="AJ50">
        <f t="shared" si="0"/>
        <v>0</v>
      </c>
      <c r="AK50" t="str" cm="1">
        <f t="array" ref="AK50">_xlfn.IFS(A50&lt;=30,"18-30",A50&lt;=45,"31-45",A50&lt;=60,"46-60",TRUE, "60+")</f>
        <v>46-60</v>
      </c>
      <c r="AL50" t="str" cm="1">
        <f t="array" ref="AL50">_xlfn.IFS(F50&lt;=10,"0-10",F50&lt;=20,"11-20",TRUE,"20+")</f>
        <v>0-10</v>
      </c>
      <c r="AM50" t="str" cm="1">
        <f t="array" ref="AM50">_xlfn.IFS(S50&lt;=5000,"0-5k",S50&lt;=10000,"5k-10k",S50&lt;=15000,"10k-15k",TRUE,"15k+")</f>
        <v>5k-10k</v>
      </c>
      <c r="AN50" t="str" cm="1">
        <f t="array" ref="AN50">_xlfn.IFS(AF50&lt;=10,"0-10",AF50&lt;=20,"10-20",AF50&lt;=30,"20-30",TRUE,"30+")</f>
        <v>0-10</v>
      </c>
      <c r="AO50" t="str" cm="1">
        <f t="array" ref="AO50">_xlfn.IFS(Y50=1,"Poor",Y50=2,"Average",Y50=3,"Good",TRUE,"Excellent")</f>
        <v>Excellent</v>
      </c>
      <c r="AP50" t="str" cm="1">
        <f t="array" ref="AP50">_xlfn.IFS(Q50=1,"Low",Q50=2,"Medium",Q50=3,"High",TRUE,"Very High")</f>
        <v>Very High</v>
      </c>
    </row>
    <row r="51" spans="1:42" x14ac:dyDescent="0.25">
      <c r="A51">
        <v>35</v>
      </c>
      <c r="B51" t="s">
        <v>42</v>
      </c>
      <c r="C51" t="s">
        <v>90</v>
      </c>
      <c r="D51">
        <v>1229</v>
      </c>
      <c r="E51" t="s">
        <v>43</v>
      </c>
      <c r="F51">
        <v>8</v>
      </c>
      <c r="G51">
        <v>1</v>
      </c>
      <c r="H51" t="s">
        <v>37</v>
      </c>
      <c r="I51">
        <v>1</v>
      </c>
      <c r="J51">
        <v>63</v>
      </c>
      <c r="K51">
        <v>4</v>
      </c>
      <c r="L51" t="s">
        <v>44</v>
      </c>
      <c r="M51">
        <v>36</v>
      </c>
      <c r="N51">
        <v>4</v>
      </c>
      <c r="O51">
        <v>1</v>
      </c>
      <c r="P51" t="s">
        <v>48</v>
      </c>
      <c r="Q51">
        <v>4</v>
      </c>
      <c r="R51" t="s">
        <v>46</v>
      </c>
      <c r="S51">
        <v>2269</v>
      </c>
      <c r="T51">
        <v>4892</v>
      </c>
      <c r="U51">
        <v>1</v>
      </c>
      <c r="V51" t="s">
        <v>41</v>
      </c>
      <c r="W51" t="s">
        <v>42</v>
      </c>
      <c r="X51">
        <v>19</v>
      </c>
      <c r="Y51">
        <v>3</v>
      </c>
      <c r="Z51">
        <v>4</v>
      </c>
      <c r="AA51">
        <v>80</v>
      </c>
      <c r="AB51">
        <v>0</v>
      </c>
      <c r="AC51">
        <v>1</v>
      </c>
      <c r="AD51">
        <v>2</v>
      </c>
      <c r="AE51">
        <v>3</v>
      </c>
      <c r="AF51">
        <v>1</v>
      </c>
      <c r="AG51">
        <v>0</v>
      </c>
      <c r="AH51">
        <v>0</v>
      </c>
      <c r="AI51">
        <v>1</v>
      </c>
      <c r="AJ51">
        <f t="shared" si="0"/>
        <v>0</v>
      </c>
      <c r="AK51" t="str" cm="1">
        <f t="array" ref="AK51">_xlfn.IFS(A51&lt;=30,"18-30",A51&lt;=45,"31-45",A51&lt;=60,"46-60",TRUE, "60+")</f>
        <v>31-45</v>
      </c>
      <c r="AL51" t="str" cm="1">
        <f t="array" ref="AL51">_xlfn.IFS(F51&lt;=10,"0-10",F51&lt;=20,"11-20",TRUE,"20+")</f>
        <v>0-10</v>
      </c>
      <c r="AM51" t="str" cm="1">
        <f t="array" ref="AM51">_xlfn.IFS(S51&lt;=5000,"0-5k",S51&lt;=10000,"5k-10k",S51&lt;=15000,"10k-15k",TRUE,"15k+")</f>
        <v>0-5k</v>
      </c>
      <c r="AN51" t="str" cm="1">
        <f t="array" ref="AN51">_xlfn.IFS(AF51&lt;=10,"0-10",AF51&lt;=20,"10-20",AF51&lt;=30,"20-30",TRUE,"30+")</f>
        <v>0-10</v>
      </c>
      <c r="AO51" t="str" cm="1">
        <f t="array" ref="AO51">_xlfn.IFS(Y51=1,"Poor",Y51=2,"Average",Y51=3,"Good",TRUE,"Excellent")</f>
        <v>Good</v>
      </c>
      <c r="AP51" t="str" cm="1">
        <f t="array" ref="AP51">_xlfn.IFS(Q51=1,"Low",Q51=2,"Medium",Q51=3,"High",TRUE,"Very High")</f>
        <v>Very High</v>
      </c>
    </row>
    <row r="52" spans="1:42" x14ac:dyDescent="0.25">
      <c r="A52">
        <v>48</v>
      </c>
      <c r="B52" t="s">
        <v>35</v>
      </c>
      <c r="C52" t="s">
        <v>90</v>
      </c>
      <c r="D52">
        <v>626</v>
      </c>
      <c r="E52" t="s">
        <v>43</v>
      </c>
      <c r="F52">
        <v>1</v>
      </c>
      <c r="G52">
        <v>2</v>
      </c>
      <c r="H52" t="s">
        <v>37</v>
      </c>
      <c r="I52">
        <v>1</v>
      </c>
      <c r="J52">
        <v>64</v>
      </c>
      <c r="K52">
        <v>1</v>
      </c>
      <c r="L52" t="s">
        <v>44</v>
      </c>
      <c r="M52">
        <v>98</v>
      </c>
      <c r="N52">
        <v>2</v>
      </c>
      <c r="O52">
        <v>3</v>
      </c>
      <c r="P52" t="s">
        <v>48</v>
      </c>
      <c r="Q52">
        <v>3</v>
      </c>
      <c r="R52" t="s">
        <v>40</v>
      </c>
      <c r="S52">
        <v>5381</v>
      </c>
      <c r="T52">
        <v>19294</v>
      </c>
      <c r="U52">
        <v>9</v>
      </c>
      <c r="V52" t="s">
        <v>41</v>
      </c>
      <c r="W52" t="s">
        <v>35</v>
      </c>
      <c r="X52">
        <v>13</v>
      </c>
      <c r="Y52">
        <v>3</v>
      </c>
      <c r="Z52">
        <v>4</v>
      </c>
      <c r="AA52">
        <v>80</v>
      </c>
      <c r="AB52">
        <v>0</v>
      </c>
      <c r="AC52">
        <v>23</v>
      </c>
      <c r="AD52">
        <v>2</v>
      </c>
      <c r="AE52">
        <v>3</v>
      </c>
      <c r="AF52">
        <v>1</v>
      </c>
      <c r="AG52">
        <v>0</v>
      </c>
      <c r="AH52">
        <v>0</v>
      </c>
      <c r="AI52">
        <v>0</v>
      </c>
      <c r="AJ52">
        <f t="shared" si="0"/>
        <v>1</v>
      </c>
      <c r="AK52" t="str" cm="1">
        <f t="array" ref="AK52">_xlfn.IFS(A52&lt;=30,"18-30",A52&lt;=45,"31-45",A52&lt;=60,"46-60",TRUE, "60+")</f>
        <v>46-60</v>
      </c>
      <c r="AL52" t="str" cm="1">
        <f t="array" ref="AL52">_xlfn.IFS(F52&lt;=10,"0-10",F52&lt;=20,"11-20",TRUE,"20+")</f>
        <v>0-10</v>
      </c>
      <c r="AM52" t="str" cm="1">
        <f t="array" ref="AM52">_xlfn.IFS(S52&lt;=5000,"0-5k",S52&lt;=10000,"5k-10k",S52&lt;=15000,"10k-15k",TRUE,"15k+")</f>
        <v>5k-10k</v>
      </c>
      <c r="AN52" t="str" cm="1">
        <f t="array" ref="AN52">_xlfn.IFS(AF52&lt;=10,"0-10",AF52&lt;=20,"10-20",AF52&lt;=30,"20-30",TRUE,"30+")</f>
        <v>0-10</v>
      </c>
      <c r="AO52" t="str" cm="1">
        <f t="array" ref="AO52">_xlfn.IFS(Y52=1,"Poor",Y52=2,"Average",Y52=3,"Good",TRUE,"Excellent")</f>
        <v>Good</v>
      </c>
      <c r="AP52" t="str" cm="1">
        <f t="array" ref="AP52">_xlfn.IFS(Q52=1,"Low",Q52=2,"Medium",Q52=3,"High",TRUE,"Very High")</f>
        <v>High</v>
      </c>
    </row>
    <row r="53" spans="1:42" x14ac:dyDescent="0.25">
      <c r="A53">
        <v>28</v>
      </c>
      <c r="B53" t="s">
        <v>35</v>
      </c>
      <c r="C53" t="s">
        <v>90</v>
      </c>
      <c r="D53">
        <v>1434</v>
      </c>
      <c r="E53" t="s">
        <v>43</v>
      </c>
      <c r="F53">
        <v>5</v>
      </c>
      <c r="G53">
        <v>4</v>
      </c>
      <c r="H53" t="s">
        <v>58</v>
      </c>
      <c r="I53">
        <v>1</v>
      </c>
      <c r="J53">
        <v>65</v>
      </c>
      <c r="K53">
        <v>3</v>
      </c>
      <c r="L53" t="s">
        <v>44</v>
      </c>
      <c r="M53">
        <v>50</v>
      </c>
      <c r="N53">
        <v>3</v>
      </c>
      <c r="O53">
        <v>1</v>
      </c>
      <c r="P53" t="s">
        <v>48</v>
      </c>
      <c r="Q53">
        <v>3</v>
      </c>
      <c r="R53" t="s">
        <v>40</v>
      </c>
      <c r="S53">
        <v>3441</v>
      </c>
      <c r="T53">
        <v>11179</v>
      </c>
      <c r="U53">
        <v>1</v>
      </c>
      <c r="V53" t="s">
        <v>41</v>
      </c>
      <c r="W53" t="s">
        <v>35</v>
      </c>
      <c r="X53">
        <v>13</v>
      </c>
      <c r="Y53">
        <v>3</v>
      </c>
      <c r="Z53">
        <v>3</v>
      </c>
      <c r="AA53">
        <v>80</v>
      </c>
      <c r="AB53">
        <v>0</v>
      </c>
      <c r="AC53">
        <v>2</v>
      </c>
      <c r="AD53">
        <v>3</v>
      </c>
      <c r="AE53">
        <v>2</v>
      </c>
      <c r="AF53">
        <v>2</v>
      </c>
      <c r="AG53">
        <v>2</v>
      </c>
      <c r="AH53">
        <v>2</v>
      </c>
      <c r="AI53">
        <v>2</v>
      </c>
      <c r="AJ53">
        <f t="shared" si="0"/>
        <v>1</v>
      </c>
      <c r="AK53" t="str" cm="1">
        <f t="array" ref="AK53">_xlfn.IFS(A53&lt;=30,"18-30",A53&lt;=45,"31-45",A53&lt;=60,"46-60",TRUE, "60+")</f>
        <v>18-30</v>
      </c>
      <c r="AL53" t="str" cm="1">
        <f t="array" ref="AL53">_xlfn.IFS(F53&lt;=10,"0-10",F53&lt;=20,"11-20",TRUE,"20+")</f>
        <v>0-10</v>
      </c>
      <c r="AM53" t="str" cm="1">
        <f t="array" ref="AM53">_xlfn.IFS(S53&lt;=5000,"0-5k",S53&lt;=10000,"5k-10k",S53&lt;=15000,"10k-15k",TRUE,"15k+")</f>
        <v>0-5k</v>
      </c>
      <c r="AN53" t="str" cm="1">
        <f t="array" ref="AN53">_xlfn.IFS(AF53&lt;=10,"0-10",AF53&lt;=20,"10-20",AF53&lt;=30,"20-30",TRUE,"30+")</f>
        <v>0-10</v>
      </c>
      <c r="AO53" t="str" cm="1">
        <f t="array" ref="AO53">_xlfn.IFS(Y53=1,"Poor",Y53=2,"Average",Y53=3,"Good",TRUE,"Excellent")</f>
        <v>Good</v>
      </c>
      <c r="AP53" t="str" cm="1">
        <f t="array" ref="AP53">_xlfn.IFS(Q53=1,"Low",Q53=2,"Medium",Q53=3,"High",TRUE,"Very High")</f>
        <v>High</v>
      </c>
    </row>
    <row r="54" spans="1:42" x14ac:dyDescent="0.25">
      <c r="A54">
        <v>44</v>
      </c>
      <c r="B54" t="s">
        <v>42</v>
      </c>
      <c r="C54" t="s">
        <v>90</v>
      </c>
      <c r="D54">
        <v>1488</v>
      </c>
      <c r="E54" t="s">
        <v>36</v>
      </c>
      <c r="F54">
        <v>1</v>
      </c>
      <c r="G54">
        <v>5</v>
      </c>
      <c r="H54" t="s">
        <v>57</v>
      </c>
      <c r="I54">
        <v>1</v>
      </c>
      <c r="J54">
        <v>68</v>
      </c>
      <c r="K54">
        <v>2</v>
      </c>
      <c r="L54" t="s">
        <v>38</v>
      </c>
      <c r="M54">
        <v>75</v>
      </c>
      <c r="N54">
        <v>3</v>
      </c>
      <c r="O54">
        <v>2</v>
      </c>
      <c r="P54" t="s">
        <v>39</v>
      </c>
      <c r="Q54">
        <v>1</v>
      </c>
      <c r="R54" t="s">
        <v>50</v>
      </c>
      <c r="S54">
        <v>5454</v>
      </c>
      <c r="T54">
        <v>4009</v>
      </c>
      <c r="U54">
        <v>5</v>
      </c>
      <c r="V54" t="s">
        <v>41</v>
      </c>
      <c r="W54" t="s">
        <v>35</v>
      </c>
      <c r="X54">
        <v>21</v>
      </c>
      <c r="Y54">
        <v>4</v>
      </c>
      <c r="Z54">
        <v>3</v>
      </c>
      <c r="AA54">
        <v>80</v>
      </c>
      <c r="AB54">
        <v>1</v>
      </c>
      <c r="AC54">
        <v>9</v>
      </c>
      <c r="AD54">
        <v>2</v>
      </c>
      <c r="AE54">
        <v>2</v>
      </c>
      <c r="AF54">
        <v>4</v>
      </c>
      <c r="AG54">
        <v>3</v>
      </c>
      <c r="AH54">
        <v>1</v>
      </c>
      <c r="AI54">
        <v>3</v>
      </c>
      <c r="AJ54">
        <f t="shared" si="0"/>
        <v>0</v>
      </c>
      <c r="AK54" t="str" cm="1">
        <f t="array" ref="AK54">_xlfn.IFS(A54&lt;=30,"18-30",A54&lt;=45,"31-45",A54&lt;=60,"46-60",TRUE, "60+")</f>
        <v>31-45</v>
      </c>
      <c r="AL54" t="str" cm="1">
        <f t="array" ref="AL54">_xlfn.IFS(F54&lt;=10,"0-10",F54&lt;=20,"11-20",TRUE,"20+")</f>
        <v>0-10</v>
      </c>
      <c r="AM54" t="str" cm="1">
        <f t="array" ref="AM54">_xlfn.IFS(S54&lt;=5000,"0-5k",S54&lt;=10000,"5k-10k",S54&lt;=15000,"10k-15k",TRUE,"15k+")</f>
        <v>5k-10k</v>
      </c>
      <c r="AN54" t="str" cm="1">
        <f t="array" ref="AN54">_xlfn.IFS(AF54&lt;=10,"0-10",AF54&lt;=20,"10-20",AF54&lt;=30,"20-30",TRUE,"30+")</f>
        <v>0-10</v>
      </c>
      <c r="AO54" t="str" cm="1">
        <f t="array" ref="AO54">_xlfn.IFS(Y54=1,"Poor",Y54=2,"Average",Y54=3,"Good",TRUE,"Excellent")</f>
        <v>Excellent</v>
      </c>
      <c r="AP54" t="str" cm="1">
        <f t="array" ref="AP54">_xlfn.IFS(Q54=1,"Low",Q54=2,"Medium",Q54=3,"High",TRUE,"Very High")</f>
        <v>Low</v>
      </c>
    </row>
    <row r="55" spans="1:42" x14ac:dyDescent="0.25">
      <c r="A55">
        <v>35</v>
      </c>
      <c r="B55" t="s">
        <v>42</v>
      </c>
      <c r="C55" t="s">
        <v>53</v>
      </c>
      <c r="D55">
        <v>1097</v>
      </c>
      <c r="E55" t="s">
        <v>43</v>
      </c>
      <c r="F55">
        <v>11</v>
      </c>
      <c r="G55">
        <v>2</v>
      </c>
      <c r="H55" t="s">
        <v>49</v>
      </c>
      <c r="I55">
        <v>1</v>
      </c>
      <c r="J55">
        <v>70</v>
      </c>
      <c r="K55">
        <v>3</v>
      </c>
      <c r="L55" t="s">
        <v>44</v>
      </c>
      <c r="M55">
        <v>79</v>
      </c>
      <c r="N55">
        <v>2</v>
      </c>
      <c r="O55">
        <v>3</v>
      </c>
      <c r="P55" t="s">
        <v>52</v>
      </c>
      <c r="Q55">
        <v>1</v>
      </c>
      <c r="R55" t="s">
        <v>46</v>
      </c>
      <c r="S55">
        <v>9884</v>
      </c>
      <c r="T55">
        <v>8302</v>
      </c>
      <c r="U55">
        <v>2</v>
      </c>
      <c r="V55" t="s">
        <v>41</v>
      </c>
      <c r="W55" t="s">
        <v>35</v>
      </c>
      <c r="X55">
        <v>13</v>
      </c>
      <c r="Y55">
        <v>3</v>
      </c>
      <c r="Z55">
        <v>3</v>
      </c>
      <c r="AA55">
        <v>80</v>
      </c>
      <c r="AB55">
        <v>1</v>
      </c>
      <c r="AC55">
        <v>10</v>
      </c>
      <c r="AD55">
        <v>3</v>
      </c>
      <c r="AE55">
        <v>3</v>
      </c>
      <c r="AF55">
        <v>4</v>
      </c>
      <c r="AG55">
        <v>0</v>
      </c>
      <c r="AH55">
        <v>2</v>
      </c>
      <c r="AI55">
        <v>3</v>
      </c>
      <c r="AJ55">
        <f t="shared" si="0"/>
        <v>0</v>
      </c>
      <c r="AK55" t="str" cm="1">
        <f t="array" ref="AK55">_xlfn.IFS(A55&lt;=30,"18-30",A55&lt;=45,"31-45",A55&lt;=60,"46-60",TRUE, "60+")</f>
        <v>31-45</v>
      </c>
      <c r="AL55" t="str" cm="1">
        <f t="array" ref="AL55">_xlfn.IFS(F55&lt;=10,"0-10",F55&lt;=20,"11-20",TRUE,"20+")</f>
        <v>11-20</v>
      </c>
      <c r="AM55" t="str" cm="1">
        <f t="array" ref="AM55">_xlfn.IFS(S55&lt;=5000,"0-5k",S55&lt;=10000,"5k-10k",S55&lt;=15000,"10k-15k",TRUE,"15k+")</f>
        <v>5k-10k</v>
      </c>
      <c r="AN55" t="str" cm="1">
        <f t="array" ref="AN55">_xlfn.IFS(AF55&lt;=10,"0-10",AF55&lt;=20,"10-20",AF55&lt;=30,"20-30",TRUE,"30+")</f>
        <v>0-10</v>
      </c>
      <c r="AO55" t="str" cm="1">
        <f t="array" ref="AO55">_xlfn.IFS(Y55=1,"Poor",Y55=2,"Average",Y55=3,"Good",TRUE,"Excellent")</f>
        <v>Good</v>
      </c>
      <c r="AP55" t="str" cm="1">
        <f t="array" ref="AP55">_xlfn.IFS(Q55=1,"Low",Q55=2,"Medium",Q55=3,"High",TRUE,"Very High")</f>
        <v>Low</v>
      </c>
    </row>
    <row r="56" spans="1:42" x14ac:dyDescent="0.25">
      <c r="A56">
        <v>26</v>
      </c>
      <c r="B56" t="s">
        <v>42</v>
      </c>
      <c r="C56" t="s">
        <v>90</v>
      </c>
      <c r="D56">
        <v>1443</v>
      </c>
      <c r="E56" t="s">
        <v>36</v>
      </c>
      <c r="F56">
        <v>23</v>
      </c>
      <c r="G56">
        <v>3</v>
      </c>
      <c r="H56" t="s">
        <v>57</v>
      </c>
      <c r="I56">
        <v>1</v>
      </c>
      <c r="J56">
        <v>72</v>
      </c>
      <c r="K56">
        <v>3</v>
      </c>
      <c r="L56" t="s">
        <v>38</v>
      </c>
      <c r="M56">
        <v>47</v>
      </c>
      <c r="N56">
        <v>2</v>
      </c>
      <c r="O56">
        <v>2</v>
      </c>
      <c r="P56" t="s">
        <v>39</v>
      </c>
      <c r="Q56">
        <v>4</v>
      </c>
      <c r="R56" t="s">
        <v>46</v>
      </c>
      <c r="S56">
        <v>4157</v>
      </c>
      <c r="T56">
        <v>21436</v>
      </c>
      <c r="U56">
        <v>7</v>
      </c>
      <c r="V56" t="s">
        <v>41</v>
      </c>
      <c r="W56" t="s">
        <v>35</v>
      </c>
      <c r="X56">
        <v>19</v>
      </c>
      <c r="Y56">
        <v>3</v>
      </c>
      <c r="Z56">
        <v>3</v>
      </c>
      <c r="AA56">
        <v>80</v>
      </c>
      <c r="AB56">
        <v>1</v>
      </c>
      <c r="AC56">
        <v>5</v>
      </c>
      <c r="AD56">
        <v>2</v>
      </c>
      <c r="AE56">
        <v>2</v>
      </c>
      <c r="AF56">
        <v>2</v>
      </c>
      <c r="AG56">
        <v>2</v>
      </c>
      <c r="AH56">
        <v>0</v>
      </c>
      <c r="AI56">
        <v>0</v>
      </c>
      <c r="AJ56">
        <f t="shared" si="0"/>
        <v>0</v>
      </c>
      <c r="AK56" t="str" cm="1">
        <f t="array" ref="AK56">_xlfn.IFS(A56&lt;=30,"18-30",A56&lt;=45,"31-45",A56&lt;=60,"46-60",TRUE, "60+")</f>
        <v>18-30</v>
      </c>
      <c r="AL56" t="str" cm="1">
        <f t="array" ref="AL56">_xlfn.IFS(F56&lt;=10,"0-10",F56&lt;=20,"11-20",TRUE,"20+")</f>
        <v>20+</v>
      </c>
      <c r="AM56" t="str" cm="1">
        <f t="array" ref="AM56">_xlfn.IFS(S56&lt;=5000,"0-5k",S56&lt;=10000,"5k-10k",S56&lt;=15000,"10k-15k",TRUE,"15k+")</f>
        <v>0-5k</v>
      </c>
      <c r="AN56" t="str" cm="1">
        <f t="array" ref="AN56">_xlfn.IFS(AF56&lt;=10,"0-10",AF56&lt;=20,"10-20",AF56&lt;=30,"20-30",TRUE,"30+")</f>
        <v>0-10</v>
      </c>
      <c r="AO56" t="str" cm="1">
        <f t="array" ref="AO56">_xlfn.IFS(Y56=1,"Poor",Y56=2,"Average",Y56=3,"Good",TRUE,"Excellent")</f>
        <v>Good</v>
      </c>
      <c r="AP56" t="str" cm="1">
        <f t="array" ref="AP56">_xlfn.IFS(Q56=1,"Low",Q56=2,"Medium",Q56=3,"High",TRUE,"Very High")</f>
        <v>Very High</v>
      </c>
    </row>
    <row r="57" spans="1:42" x14ac:dyDescent="0.25">
      <c r="A57">
        <v>33</v>
      </c>
      <c r="B57" t="s">
        <v>42</v>
      </c>
      <c r="C57" t="s">
        <v>91</v>
      </c>
      <c r="D57">
        <v>515</v>
      </c>
      <c r="E57" t="s">
        <v>43</v>
      </c>
      <c r="F57">
        <v>1</v>
      </c>
      <c r="G57">
        <v>2</v>
      </c>
      <c r="H57" t="s">
        <v>37</v>
      </c>
      <c r="I57">
        <v>1</v>
      </c>
      <c r="J57">
        <v>73</v>
      </c>
      <c r="K57">
        <v>1</v>
      </c>
      <c r="L57" t="s">
        <v>38</v>
      </c>
      <c r="M57">
        <v>98</v>
      </c>
      <c r="N57">
        <v>3</v>
      </c>
      <c r="O57">
        <v>3</v>
      </c>
      <c r="P57" t="s">
        <v>56</v>
      </c>
      <c r="Q57">
        <v>4</v>
      </c>
      <c r="R57" t="s">
        <v>40</v>
      </c>
      <c r="S57">
        <v>13458</v>
      </c>
      <c r="T57">
        <v>15146</v>
      </c>
      <c r="U57">
        <v>1</v>
      </c>
      <c r="V57" t="s">
        <v>41</v>
      </c>
      <c r="W57" t="s">
        <v>35</v>
      </c>
      <c r="X57">
        <v>12</v>
      </c>
      <c r="Y57">
        <v>3</v>
      </c>
      <c r="Z57">
        <v>3</v>
      </c>
      <c r="AA57">
        <v>80</v>
      </c>
      <c r="AB57">
        <v>0</v>
      </c>
      <c r="AC57">
        <v>15</v>
      </c>
      <c r="AD57">
        <v>1</v>
      </c>
      <c r="AE57">
        <v>3</v>
      </c>
      <c r="AF57">
        <v>15</v>
      </c>
      <c r="AG57">
        <v>14</v>
      </c>
      <c r="AH57">
        <v>8</v>
      </c>
      <c r="AI57">
        <v>12</v>
      </c>
      <c r="AJ57">
        <f t="shared" si="0"/>
        <v>0</v>
      </c>
      <c r="AK57" t="str" cm="1">
        <f t="array" ref="AK57">_xlfn.IFS(A57&lt;=30,"18-30",A57&lt;=45,"31-45",A57&lt;=60,"46-60",TRUE, "60+")</f>
        <v>31-45</v>
      </c>
      <c r="AL57" t="str" cm="1">
        <f t="array" ref="AL57">_xlfn.IFS(F57&lt;=10,"0-10",F57&lt;=20,"11-20",TRUE,"20+")</f>
        <v>0-10</v>
      </c>
      <c r="AM57" t="str" cm="1">
        <f t="array" ref="AM57">_xlfn.IFS(S57&lt;=5000,"0-5k",S57&lt;=10000,"5k-10k",S57&lt;=15000,"10k-15k",TRUE,"15k+")</f>
        <v>10k-15k</v>
      </c>
      <c r="AN57" t="str" cm="1">
        <f t="array" ref="AN57">_xlfn.IFS(AF57&lt;=10,"0-10",AF57&lt;=20,"10-20",AF57&lt;=30,"20-30",TRUE,"30+")</f>
        <v>10-20</v>
      </c>
      <c r="AO57" t="str" cm="1">
        <f t="array" ref="AO57">_xlfn.IFS(Y57=1,"Poor",Y57=2,"Average",Y57=3,"Good",TRUE,"Excellent")</f>
        <v>Good</v>
      </c>
      <c r="AP57" t="str" cm="1">
        <f t="array" ref="AP57">_xlfn.IFS(Q57=1,"Low",Q57=2,"Medium",Q57=3,"High",TRUE,"Very High")</f>
        <v>Very High</v>
      </c>
    </row>
    <row r="58" spans="1:42" x14ac:dyDescent="0.25">
      <c r="A58">
        <v>35</v>
      </c>
      <c r="B58" t="s">
        <v>42</v>
      </c>
      <c r="C58" t="s">
        <v>91</v>
      </c>
      <c r="D58">
        <v>853</v>
      </c>
      <c r="E58" t="s">
        <v>36</v>
      </c>
      <c r="F58">
        <v>18</v>
      </c>
      <c r="G58">
        <v>5</v>
      </c>
      <c r="H58" t="s">
        <v>37</v>
      </c>
      <c r="I58">
        <v>1</v>
      </c>
      <c r="J58">
        <v>74</v>
      </c>
      <c r="K58">
        <v>2</v>
      </c>
      <c r="L58" t="s">
        <v>44</v>
      </c>
      <c r="M58">
        <v>71</v>
      </c>
      <c r="N58">
        <v>3</v>
      </c>
      <c r="O58">
        <v>3</v>
      </c>
      <c r="P58" t="s">
        <v>39</v>
      </c>
      <c r="Q58">
        <v>1</v>
      </c>
      <c r="R58" t="s">
        <v>46</v>
      </c>
      <c r="S58">
        <v>9069</v>
      </c>
      <c r="T58">
        <v>11031</v>
      </c>
      <c r="U58">
        <v>1</v>
      </c>
      <c r="V58" t="s">
        <v>41</v>
      </c>
      <c r="W58" t="s">
        <v>42</v>
      </c>
      <c r="X58">
        <v>22</v>
      </c>
      <c r="Y58">
        <v>4</v>
      </c>
      <c r="Z58">
        <v>4</v>
      </c>
      <c r="AA58">
        <v>80</v>
      </c>
      <c r="AB58">
        <v>1</v>
      </c>
      <c r="AC58">
        <v>9</v>
      </c>
      <c r="AD58">
        <v>3</v>
      </c>
      <c r="AE58">
        <v>2</v>
      </c>
      <c r="AF58">
        <v>9</v>
      </c>
      <c r="AG58">
        <v>8</v>
      </c>
      <c r="AH58">
        <v>1</v>
      </c>
      <c r="AI58">
        <v>8</v>
      </c>
      <c r="AJ58">
        <f t="shared" si="0"/>
        <v>0</v>
      </c>
      <c r="AK58" t="str" cm="1">
        <f t="array" ref="AK58">_xlfn.IFS(A58&lt;=30,"18-30",A58&lt;=45,"31-45",A58&lt;=60,"46-60",TRUE, "60+")</f>
        <v>31-45</v>
      </c>
      <c r="AL58" t="str" cm="1">
        <f t="array" ref="AL58">_xlfn.IFS(F58&lt;=10,"0-10",F58&lt;=20,"11-20",TRUE,"20+")</f>
        <v>11-20</v>
      </c>
      <c r="AM58" t="str" cm="1">
        <f t="array" ref="AM58">_xlfn.IFS(S58&lt;=5000,"0-5k",S58&lt;=10000,"5k-10k",S58&lt;=15000,"10k-15k",TRUE,"15k+")</f>
        <v>5k-10k</v>
      </c>
      <c r="AN58" t="str" cm="1">
        <f t="array" ref="AN58">_xlfn.IFS(AF58&lt;=10,"0-10",AF58&lt;=20,"10-20",AF58&lt;=30,"20-30",TRUE,"30+")</f>
        <v>0-10</v>
      </c>
      <c r="AO58" t="str" cm="1">
        <f t="array" ref="AO58">_xlfn.IFS(Y58=1,"Poor",Y58=2,"Average",Y58=3,"Good",TRUE,"Excellent")</f>
        <v>Excellent</v>
      </c>
      <c r="AP58" t="str" cm="1">
        <f t="array" ref="AP58">_xlfn.IFS(Q58=1,"Low",Q58=2,"Medium",Q58=3,"High",TRUE,"Very High")</f>
        <v>Low</v>
      </c>
    </row>
    <row r="59" spans="1:42" x14ac:dyDescent="0.25">
      <c r="A59">
        <v>35</v>
      </c>
      <c r="B59" t="s">
        <v>42</v>
      </c>
      <c r="C59" t="s">
        <v>90</v>
      </c>
      <c r="D59">
        <v>1142</v>
      </c>
      <c r="E59" t="s">
        <v>43</v>
      </c>
      <c r="F59">
        <v>23</v>
      </c>
      <c r="G59">
        <v>4</v>
      </c>
      <c r="H59" t="s">
        <v>49</v>
      </c>
      <c r="I59">
        <v>1</v>
      </c>
      <c r="J59">
        <v>75</v>
      </c>
      <c r="K59">
        <v>3</v>
      </c>
      <c r="L59" t="s">
        <v>38</v>
      </c>
      <c r="M59">
        <v>30</v>
      </c>
      <c r="N59">
        <v>3</v>
      </c>
      <c r="O59">
        <v>1</v>
      </c>
      <c r="P59" t="s">
        <v>48</v>
      </c>
      <c r="Q59">
        <v>1</v>
      </c>
      <c r="R59" t="s">
        <v>46</v>
      </c>
      <c r="S59">
        <v>4014</v>
      </c>
      <c r="T59">
        <v>16002</v>
      </c>
      <c r="U59">
        <v>3</v>
      </c>
      <c r="V59" t="s">
        <v>41</v>
      </c>
      <c r="W59" t="s">
        <v>35</v>
      </c>
      <c r="X59">
        <v>15</v>
      </c>
      <c r="Y59">
        <v>3</v>
      </c>
      <c r="Z59">
        <v>3</v>
      </c>
      <c r="AA59">
        <v>80</v>
      </c>
      <c r="AB59">
        <v>1</v>
      </c>
      <c r="AC59">
        <v>4</v>
      </c>
      <c r="AD59">
        <v>3</v>
      </c>
      <c r="AE59">
        <v>3</v>
      </c>
      <c r="AF59">
        <v>2</v>
      </c>
      <c r="AG59">
        <v>2</v>
      </c>
      <c r="AH59">
        <v>2</v>
      </c>
      <c r="AI59">
        <v>2</v>
      </c>
      <c r="AJ59">
        <f t="shared" si="0"/>
        <v>0</v>
      </c>
      <c r="AK59" t="str" cm="1">
        <f t="array" ref="AK59">_xlfn.IFS(A59&lt;=30,"18-30",A59&lt;=45,"31-45",A59&lt;=60,"46-60",TRUE, "60+")</f>
        <v>31-45</v>
      </c>
      <c r="AL59" t="str" cm="1">
        <f t="array" ref="AL59">_xlfn.IFS(F59&lt;=10,"0-10",F59&lt;=20,"11-20",TRUE,"20+")</f>
        <v>20+</v>
      </c>
      <c r="AM59" t="str" cm="1">
        <f t="array" ref="AM59">_xlfn.IFS(S59&lt;=5000,"0-5k",S59&lt;=10000,"5k-10k",S59&lt;=15000,"10k-15k",TRUE,"15k+")</f>
        <v>0-5k</v>
      </c>
      <c r="AN59" t="str" cm="1">
        <f t="array" ref="AN59">_xlfn.IFS(AF59&lt;=10,"0-10",AF59&lt;=20,"10-20",AF59&lt;=30,"20-30",TRUE,"30+")</f>
        <v>0-10</v>
      </c>
      <c r="AO59" t="str" cm="1">
        <f t="array" ref="AO59">_xlfn.IFS(Y59=1,"Poor",Y59=2,"Average",Y59=3,"Good",TRUE,"Excellent")</f>
        <v>Good</v>
      </c>
      <c r="AP59" t="str" cm="1">
        <f t="array" ref="AP59">_xlfn.IFS(Q59=1,"Low",Q59=2,"Medium",Q59=3,"High",TRUE,"Very High")</f>
        <v>Low</v>
      </c>
    </row>
    <row r="60" spans="1:42" x14ac:dyDescent="0.25">
      <c r="A60">
        <v>31</v>
      </c>
      <c r="B60" t="s">
        <v>42</v>
      </c>
      <c r="C60" t="s">
        <v>90</v>
      </c>
      <c r="D60">
        <v>655</v>
      </c>
      <c r="E60" t="s">
        <v>43</v>
      </c>
      <c r="F60">
        <v>7</v>
      </c>
      <c r="G60">
        <v>4</v>
      </c>
      <c r="H60" t="s">
        <v>37</v>
      </c>
      <c r="I60">
        <v>1</v>
      </c>
      <c r="J60">
        <v>76</v>
      </c>
      <c r="K60">
        <v>4</v>
      </c>
      <c r="L60" t="s">
        <v>44</v>
      </c>
      <c r="M60">
        <v>48</v>
      </c>
      <c r="N60">
        <v>3</v>
      </c>
      <c r="O60">
        <v>2</v>
      </c>
      <c r="P60" t="s">
        <v>48</v>
      </c>
      <c r="Q60">
        <v>4</v>
      </c>
      <c r="R60" t="s">
        <v>50</v>
      </c>
      <c r="S60">
        <v>5915</v>
      </c>
      <c r="T60">
        <v>9528</v>
      </c>
      <c r="U60">
        <v>3</v>
      </c>
      <c r="V60" t="s">
        <v>41</v>
      </c>
      <c r="W60" t="s">
        <v>42</v>
      </c>
      <c r="X60">
        <v>22</v>
      </c>
      <c r="Y60">
        <v>4</v>
      </c>
      <c r="Z60">
        <v>4</v>
      </c>
      <c r="AA60">
        <v>80</v>
      </c>
      <c r="AB60">
        <v>1</v>
      </c>
      <c r="AC60">
        <v>10</v>
      </c>
      <c r="AD60">
        <v>3</v>
      </c>
      <c r="AE60">
        <v>2</v>
      </c>
      <c r="AF60">
        <v>7</v>
      </c>
      <c r="AG60">
        <v>7</v>
      </c>
      <c r="AH60">
        <v>1</v>
      </c>
      <c r="AI60">
        <v>7</v>
      </c>
      <c r="AJ60">
        <f t="shared" si="0"/>
        <v>0</v>
      </c>
      <c r="AK60" t="str" cm="1">
        <f t="array" ref="AK60">_xlfn.IFS(A60&lt;=30,"18-30",A60&lt;=45,"31-45",A60&lt;=60,"46-60",TRUE, "60+")</f>
        <v>31-45</v>
      </c>
      <c r="AL60" t="str" cm="1">
        <f t="array" ref="AL60">_xlfn.IFS(F60&lt;=10,"0-10",F60&lt;=20,"11-20",TRUE,"20+")</f>
        <v>0-10</v>
      </c>
      <c r="AM60" t="str" cm="1">
        <f t="array" ref="AM60">_xlfn.IFS(S60&lt;=5000,"0-5k",S60&lt;=10000,"5k-10k",S60&lt;=15000,"10k-15k",TRUE,"15k+")</f>
        <v>5k-10k</v>
      </c>
      <c r="AN60" t="str" cm="1">
        <f t="array" ref="AN60">_xlfn.IFS(AF60&lt;=10,"0-10",AF60&lt;=20,"10-20",AF60&lt;=30,"20-30",TRUE,"30+")</f>
        <v>0-10</v>
      </c>
      <c r="AO60" t="str" cm="1">
        <f t="array" ref="AO60">_xlfn.IFS(Y60=1,"Poor",Y60=2,"Average",Y60=3,"Good",TRUE,"Excellent")</f>
        <v>Excellent</v>
      </c>
      <c r="AP60" t="str" cm="1">
        <f t="array" ref="AP60">_xlfn.IFS(Q60=1,"Low",Q60=2,"Medium",Q60=3,"High",TRUE,"Very High")</f>
        <v>Very High</v>
      </c>
    </row>
    <row r="61" spans="1:42" x14ac:dyDescent="0.25">
      <c r="A61">
        <v>37</v>
      </c>
      <c r="B61" t="s">
        <v>42</v>
      </c>
      <c r="C61" t="s">
        <v>90</v>
      </c>
      <c r="D61">
        <v>1115</v>
      </c>
      <c r="E61" t="s">
        <v>43</v>
      </c>
      <c r="F61">
        <v>1</v>
      </c>
      <c r="G61">
        <v>4</v>
      </c>
      <c r="H61" t="s">
        <v>37</v>
      </c>
      <c r="I61">
        <v>1</v>
      </c>
      <c r="J61">
        <v>77</v>
      </c>
      <c r="K61">
        <v>1</v>
      </c>
      <c r="L61" t="s">
        <v>44</v>
      </c>
      <c r="M61">
        <v>51</v>
      </c>
      <c r="N61">
        <v>2</v>
      </c>
      <c r="O61">
        <v>2</v>
      </c>
      <c r="P61" t="s">
        <v>51</v>
      </c>
      <c r="Q61">
        <v>3</v>
      </c>
      <c r="R61" t="s">
        <v>50</v>
      </c>
      <c r="S61">
        <v>5993</v>
      </c>
      <c r="T61">
        <v>2689</v>
      </c>
      <c r="U61">
        <v>1</v>
      </c>
      <c r="V61" t="s">
        <v>41</v>
      </c>
      <c r="W61" t="s">
        <v>42</v>
      </c>
      <c r="X61">
        <v>18</v>
      </c>
      <c r="Y61">
        <v>3</v>
      </c>
      <c r="Z61">
        <v>3</v>
      </c>
      <c r="AA61">
        <v>80</v>
      </c>
      <c r="AB61">
        <v>1</v>
      </c>
      <c r="AC61">
        <v>7</v>
      </c>
      <c r="AD61">
        <v>2</v>
      </c>
      <c r="AE61">
        <v>4</v>
      </c>
      <c r="AF61">
        <v>7</v>
      </c>
      <c r="AG61">
        <v>5</v>
      </c>
      <c r="AH61">
        <v>0</v>
      </c>
      <c r="AI61">
        <v>7</v>
      </c>
      <c r="AJ61">
        <f t="shared" si="0"/>
        <v>0</v>
      </c>
      <c r="AK61" t="str" cm="1">
        <f t="array" ref="AK61">_xlfn.IFS(A61&lt;=30,"18-30",A61&lt;=45,"31-45",A61&lt;=60,"46-60",TRUE, "60+")</f>
        <v>31-45</v>
      </c>
      <c r="AL61" t="str" cm="1">
        <f t="array" ref="AL61">_xlfn.IFS(F61&lt;=10,"0-10",F61&lt;=20,"11-20",TRUE,"20+")</f>
        <v>0-10</v>
      </c>
      <c r="AM61" t="str" cm="1">
        <f t="array" ref="AM61">_xlfn.IFS(S61&lt;=5000,"0-5k",S61&lt;=10000,"5k-10k",S61&lt;=15000,"10k-15k",TRUE,"15k+")</f>
        <v>5k-10k</v>
      </c>
      <c r="AN61" t="str" cm="1">
        <f t="array" ref="AN61">_xlfn.IFS(AF61&lt;=10,"0-10",AF61&lt;=20,"10-20",AF61&lt;=30,"20-30",TRUE,"30+")</f>
        <v>0-10</v>
      </c>
      <c r="AO61" t="str" cm="1">
        <f t="array" ref="AO61">_xlfn.IFS(Y61=1,"Poor",Y61=2,"Average",Y61=3,"Good",TRUE,"Excellent")</f>
        <v>Good</v>
      </c>
      <c r="AP61" t="str" cm="1">
        <f t="array" ref="AP61">_xlfn.IFS(Q61=1,"Low",Q61=2,"Medium",Q61=3,"High",TRUE,"Very High")</f>
        <v>High</v>
      </c>
    </row>
    <row r="62" spans="1:42" x14ac:dyDescent="0.25">
      <c r="A62">
        <v>32</v>
      </c>
      <c r="B62" t="s">
        <v>42</v>
      </c>
      <c r="C62" t="s">
        <v>90</v>
      </c>
      <c r="D62">
        <v>427</v>
      </c>
      <c r="E62" t="s">
        <v>43</v>
      </c>
      <c r="F62">
        <v>1</v>
      </c>
      <c r="G62">
        <v>3</v>
      </c>
      <c r="H62" t="s">
        <v>49</v>
      </c>
      <c r="I62">
        <v>1</v>
      </c>
      <c r="J62">
        <v>78</v>
      </c>
      <c r="K62">
        <v>1</v>
      </c>
      <c r="L62" t="s">
        <v>44</v>
      </c>
      <c r="M62">
        <v>33</v>
      </c>
      <c r="N62">
        <v>3</v>
      </c>
      <c r="O62">
        <v>2</v>
      </c>
      <c r="P62" t="s">
        <v>51</v>
      </c>
      <c r="Q62">
        <v>4</v>
      </c>
      <c r="R62" t="s">
        <v>46</v>
      </c>
      <c r="S62">
        <v>6162</v>
      </c>
      <c r="T62">
        <v>10877</v>
      </c>
      <c r="U62">
        <v>1</v>
      </c>
      <c r="V62" t="s">
        <v>41</v>
      </c>
      <c r="W62" t="s">
        <v>35</v>
      </c>
      <c r="X62">
        <v>22</v>
      </c>
      <c r="Y62">
        <v>4</v>
      </c>
      <c r="Z62">
        <v>2</v>
      </c>
      <c r="AA62">
        <v>80</v>
      </c>
      <c r="AB62">
        <v>1</v>
      </c>
      <c r="AC62">
        <v>9</v>
      </c>
      <c r="AD62">
        <v>3</v>
      </c>
      <c r="AE62">
        <v>3</v>
      </c>
      <c r="AF62">
        <v>9</v>
      </c>
      <c r="AG62">
        <v>8</v>
      </c>
      <c r="AH62">
        <v>7</v>
      </c>
      <c r="AI62">
        <v>8</v>
      </c>
      <c r="AJ62">
        <f t="shared" si="0"/>
        <v>0</v>
      </c>
      <c r="AK62" t="str" cm="1">
        <f t="array" ref="AK62">_xlfn.IFS(A62&lt;=30,"18-30",A62&lt;=45,"31-45",A62&lt;=60,"46-60",TRUE, "60+")</f>
        <v>31-45</v>
      </c>
      <c r="AL62" t="str" cm="1">
        <f t="array" ref="AL62">_xlfn.IFS(F62&lt;=10,"0-10",F62&lt;=20,"11-20",TRUE,"20+")</f>
        <v>0-10</v>
      </c>
      <c r="AM62" t="str" cm="1">
        <f t="array" ref="AM62">_xlfn.IFS(S62&lt;=5000,"0-5k",S62&lt;=10000,"5k-10k",S62&lt;=15000,"10k-15k",TRUE,"15k+")</f>
        <v>5k-10k</v>
      </c>
      <c r="AN62" t="str" cm="1">
        <f t="array" ref="AN62">_xlfn.IFS(AF62&lt;=10,"0-10",AF62&lt;=20,"10-20",AF62&lt;=30,"20-30",TRUE,"30+")</f>
        <v>0-10</v>
      </c>
      <c r="AO62" t="str" cm="1">
        <f t="array" ref="AO62">_xlfn.IFS(Y62=1,"Poor",Y62=2,"Average",Y62=3,"Good",TRUE,"Excellent")</f>
        <v>Excellent</v>
      </c>
      <c r="AP62" t="str" cm="1">
        <f t="array" ref="AP62">_xlfn.IFS(Q62=1,"Low",Q62=2,"Medium",Q62=3,"High",TRUE,"Very High")</f>
        <v>Very High</v>
      </c>
    </row>
    <row r="63" spans="1:42" x14ac:dyDescent="0.25">
      <c r="A63">
        <v>38</v>
      </c>
      <c r="B63" t="s">
        <v>42</v>
      </c>
      <c r="C63" t="s">
        <v>91</v>
      </c>
      <c r="D63">
        <v>653</v>
      </c>
      <c r="E63" t="s">
        <v>43</v>
      </c>
      <c r="F63">
        <v>29</v>
      </c>
      <c r="G63">
        <v>5</v>
      </c>
      <c r="H63" t="s">
        <v>37</v>
      </c>
      <c r="I63">
        <v>1</v>
      </c>
      <c r="J63">
        <v>79</v>
      </c>
      <c r="K63">
        <v>4</v>
      </c>
      <c r="L63" t="s">
        <v>38</v>
      </c>
      <c r="M63">
        <v>50</v>
      </c>
      <c r="N63">
        <v>3</v>
      </c>
      <c r="O63">
        <v>2</v>
      </c>
      <c r="P63" t="s">
        <v>48</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c r="AJ63">
        <f t="shared" si="0"/>
        <v>0</v>
      </c>
      <c r="AK63" t="str" cm="1">
        <f t="array" ref="AK63">_xlfn.IFS(A63&lt;=30,"18-30",A63&lt;=45,"31-45",A63&lt;=60,"46-60",TRUE, "60+")</f>
        <v>31-45</v>
      </c>
      <c r="AL63" t="str" cm="1">
        <f t="array" ref="AL63">_xlfn.IFS(F63&lt;=10,"0-10",F63&lt;=20,"11-20",TRUE,"20+")</f>
        <v>20+</v>
      </c>
      <c r="AM63" t="str" cm="1">
        <f t="array" ref="AM63">_xlfn.IFS(S63&lt;=5000,"0-5k",S63&lt;=10000,"5k-10k",S63&lt;=15000,"10k-15k",TRUE,"15k+")</f>
        <v>0-5k</v>
      </c>
      <c r="AN63" t="str" cm="1">
        <f t="array" ref="AN63">_xlfn.IFS(AF63&lt;=10,"0-10",AF63&lt;=20,"10-20",AF63&lt;=30,"20-30",TRUE,"30+")</f>
        <v>0-10</v>
      </c>
      <c r="AO63" t="str" cm="1">
        <f t="array" ref="AO63">_xlfn.IFS(Y63=1,"Poor",Y63=2,"Average",Y63=3,"Good",TRUE,"Excellent")</f>
        <v>Good</v>
      </c>
      <c r="AP63" t="str" cm="1">
        <f t="array" ref="AP63">_xlfn.IFS(Q63=1,"Low",Q63=2,"Medium",Q63=3,"High",TRUE,"Very High")</f>
        <v>Very High</v>
      </c>
    </row>
    <row r="64" spans="1:42" x14ac:dyDescent="0.25">
      <c r="A64">
        <v>50</v>
      </c>
      <c r="B64" t="s">
        <v>42</v>
      </c>
      <c r="C64" t="s">
        <v>90</v>
      </c>
      <c r="D64">
        <v>989</v>
      </c>
      <c r="E64" t="s">
        <v>43</v>
      </c>
      <c r="F64">
        <v>7</v>
      </c>
      <c r="G64">
        <v>2</v>
      </c>
      <c r="H64" t="s">
        <v>49</v>
      </c>
      <c r="I64">
        <v>1</v>
      </c>
      <c r="J64">
        <v>80</v>
      </c>
      <c r="K64">
        <v>2</v>
      </c>
      <c r="L64" t="s">
        <v>38</v>
      </c>
      <c r="M64">
        <v>43</v>
      </c>
      <c r="N64">
        <v>2</v>
      </c>
      <c r="O64">
        <v>5</v>
      </c>
      <c r="P64" t="s">
        <v>56</v>
      </c>
      <c r="Q64">
        <v>3</v>
      </c>
      <c r="R64" t="s">
        <v>50</v>
      </c>
      <c r="S64">
        <v>18740</v>
      </c>
      <c r="T64">
        <v>16701</v>
      </c>
      <c r="U64">
        <v>5</v>
      </c>
      <c r="V64" t="s">
        <v>41</v>
      </c>
      <c r="W64" t="s">
        <v>35</v>
      </c>
      <c r="X64">
        <v>12</v>
      </c>
      <c r="Y64">
        <v>3</v>
      </c>
      <c r="Z64">
        <v>4</v>
      </c>
      <c r="AA64">
        <v>80</v>
      </c>
      <c r="AB64">
        <v>1</v>
      </c>
      <c r="AC64">
        <v>29</v>
      </c>
      <c r="AD64">
        <v>2</v>
      </c>
      <c r="AE64">
        <v>2</v>
      </c>
      <c r="AF64">
        <v>27</v>
      </c>
      <c r="AG64">
        <v>3</v>
      </c>
      <c r="AH64">
        <v>13</v>
      </c>
      <c r="AI64">
        <v>8</v>
      </c>
      <c r="AJ64">
        <f t="shared" si="0"/>
        <v>0</v>
      </c>
      <c r="AK64" t="str" cm="1">
        <f t="array" ref="AK64">_xlfn.IFS(A64&lt;=30,"18-30",A64&lt;=45,"31-45",A64&lt;=60,"46-60",TRUE, "60+")</f>
        <v>46-60</v>
      </c>
      <c r="AL64" t="str" cm="1">
        <f t="array" ref="AL64">_xlfn.IFS(F64&lt;=10,"0-10",F64&lt;=20,"11-20",TRUE,"20+")</f>
        <v>0-10</v>
      </c>
      <c r="AM64" t="str" cm="1">
        <f t="array" ref="AM64">_xlfn.IFS(S64&lt;=5000,"0-5k",S64&lt;=10000,"5k-10k",S64&lt;=15000,"10k-15k",TRUE,"15k+")</f>
        <v>15k+</v>
      </c>
      <c r="AN64" t="str" cm="1">
        <f t="array" ref="AN64">_xlfn.IFS(AF64&lt;=10,"0-10",AF64&lt;=20,"10-20",AF64&lt;=30,"20-30",TRUE,"30+")</f>
        <v>20-30</v>
      </c>
      <c r="AO64" t="str" cm="1">
        <f t="array" ref="AO64">_xlfn.IFS(Y64=1,"Poor",Y64=2,"Average",Y64=3,"Good",TRUE,"Excellent")</f>
        <v>Good</v>
      </c>
      <c r="AP64" t="str" cm="1">
        <f t="array" ref="AP64">_xlfn.IFS(Q64=1,"Low",Q64=2,"Medium",Q64=3,"High",TRUE,"Very High")</f>
        <v>High</v>
      </c>
    </row>
    <row r="65" spans="1:42" x14ac:dyDescent="0.25">
      <c r="A65">
        <v>59</v>
      </c>
      <c r="B65" t="s">
        <v>42</v>
      </c>
      <c r="C65" t="s">
        <v>90</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c r="AJ65">
        <f t="shared" si="0"/>
        <v>0</v>
      </c>
      <c r="AK65" t="str" cm="1">
        <f t="array" ref="AK65">_xlfn.IFS(A65&lt;=30,"18-30",A65&lt;=45,"31-45",A65&lt;=60,"46-60",TRUE, "60+")</f>
        <v>46-60</v>
      </c>
      <c r="AL65" t="str" cm="1">
        <f t="array" ref="AL65">_xlfn.IFS(F65&lt;=10,"0-10",F65&lt;=20,"11-20",TRUE,"20+")</f>
        <v>20+</v>
      </c>
      <c r="AM65" t="str" cm="1">
        <f t="array" ref="AM65">_xlfn.IFS(S65&lt;=5000,"0-5k",S65&lt;=10000,"5k-10k",S65&lt;=15000,"10k-15k",TRUE,"15k+")</f>
        <v>5k-10k</v>
      </c>
      <c r="AN65" t="str" cm="1">
        <f t="array" ref="AN65">_xlfn.IFS(AF65&lt;=10,"0-10",AF65&lt;=20,"10-20",AF65&lt;=30,"20-30",TRUE,"30+")</f>
        <v>20-30</v>
      </c>
      <c r="AO65" t="str" cm="1">
        <f t="array" ref="AO65">_xlfn.IFS(Y65=1,"Poor",Y65=2,"Average",Y65=3,"Good",TRUE,"Excellent")</f>
        <v>Good</v>
      </c>
      <c r="AP65" t="str" cm="1">
        <f t="array" ref="AP65">_xlfn.IFS(Q65=1,"Low",Q65=2,"Medium",Q65=3,"High",TRUE,"Very High")</f>
        <v>Low</v>
      </c>
    </row>
    <row r="66" spans="1:42" x14ac:dyDescent="0.25">
      <c r="A66">
        <v>36</v>
      </c>
      <c r="B66" t="s">
        <v>42</v>
      </c>
      <c r="C66" t="s">
        <v>90</v>
      </c>
      <c r="D66">
        <v>1223</v>
      </c>
      <c r="E66" t="s">
        <v>43</v>
      </c>
      <c r="F66">
        <v>8</v>
      </c>
      <c r="G66">
        <v>3</v>
      </c>
      <c r="H66" t="s">
        <v>58</v>
      </c>
      <c r="I66">
        <v>1</v>
      </c>
      <c r="J66">
        <v>83</v>
      </c>
      <c r="K66">
        <v>3</v>
      </c>
      <c r="L66" t="s">
        <v>38</v>
      </c>
      <c r="M66">
        <v>59</v>
      </c>
      <c r="N66">
        <v>3</v>
      </c>
      <c r="O66">
        <v>3</v>
      </c>
      <c r="P66" t="s">
        <v>52</v>
      </c>
      <c r="Q66">
        <v>3</v>
      </c>
      <c r="R66" t="s">
        <v>50</v>
      </c>
      <c r="S66">
        <v>10096</v>
      </c>
      <c r="T66">
        <v>8202</v>
      </c>
      <c r="U66">
        <v>1</v>
      </c>
      <c r="V66" t="s">
        <v>41</v>
      </c>
      <c r="W66" t="s">
        <v>42</v>
      </c>
      <c r="X66">
        <v>13</v>
      </c>
      <c r="Y66">
        <v>3</v>
      </c>
      <c r="Z66">
        <v>2</v>
      </c>
      <c r="AA66">
        <v>80</v>
      </c>
      <c r="AB66">
        <v>3</v>
      </c>
      <c r="AC66">
        <v>17</v>
      </c>
      <c r="AD66">
        <v>2</v>
      </c>
      <c r="AE66">
        <v>3</v>
      </c>
      <c r="AF66">
        <v>17</v>
      </c>
      <c r="AG66">
        <v>14</v>
      </c>
      <c r="AH66">
        <v>12</v>
      </c>
      <c r="AI66">
        <v>8</v>
      </c>
      <c r="AJ66">
        <f t="shared" ref="AJ66:AJ129" si="1">IF(B66="yes",1,0)</f>
        <v>0</v>
      </c>
      <c r="AK66" t="str" cm="1">
        <f t="array" ref="AK66">_xlfn.IFS(A66&lt;=30,"18-30",A66&lt;=45,"31-45",A66&lt;=60,"46-60",TRUE, "60+")</f>
        <v>31-45</v>
      </c>
      <c r="AL66" t="str" cm="1">
        <f t="array" ref="AL66">_xlfn.IFS(F66&lt;=10,"0-10",F66&lt;=20,"11-20",TRUE,"20+")</f>
        <v>0-10</v>
      </c>
      <c r="AM66" t="str" cm="1">
        <f t="array" ref="AM66">_xlfn.IFS(S66&lt;=5000,"0-5k",S66&lt;=10000,"5k-10k",S66&lt;=15000,"10k-15k",TRUE,"15k+")</f>
        <v>10k-15k</v>
      </c>
      <c r="AN66" t="str" cm="1">
        <f t="array" ref="AN66">_xlfn.IFS(AF66&lt;=10,"0-10",AF66&lt;=20,"10-20",AF66&lt;=30,"20-30",TRUE,"30+")</f>
        <v>10-20</v>
      </c>
      <c r="AO66" t="str" cm="1">
        <f t="array" ref="AO66">_xlfn.IFS(Y66=1,"Poor",Y66=2,"Average",Y66=3,"Good",TRUE,"Excellent")</f>
        <v>Good</v>
      </c>
      <c r="AP66" t="str" cm="1">
        <f t="array" ref="AP66">_xlfn.IFS(Q66=1,"Low",Q66=2,"Medium",Q66=3,"High",TRUE,"Very High")</f>
        <v>High</v>
      </c>
    </row>
    <row r="67" spans="1:42" x14ac:dyDescent="0.25">
      <c r="A67">
        <v>55</v>
      </c>
      <c r="B67" t="s">
        <v>42</v>
      </c>
      <c r="C67" t="s">
        <v>90</v>
      </c>
      <c r="D67">
        <v>836</v>
      </c>
      <c r="E67" t="s">
        <v>43</v>
      </c>
      <c r="F67">
        <v>8</v>
      </c>
      <c r="G67">
        <v>3</v>
      </c>
      <c r="H67" t="s">
        <v>49</v>
      </c>
      <c r="I67">
        <v>1</v>
      </c>
      <c r="J67">
        <v>84</v>
      </c>
      <c r="K67">
        <v>4</v>
      </c>
      <c r="L67" t="s">
        <v>38</v>
      </c>
      <c r="M67">
        <v>33</v>
      </c>
      <c r="N67">
        <v>3</v>
      </c>
      <c r="O67">
        <v>4</v>
      </c>
      <c r="P67" t="s">
        <v>54</v>
      </c>
      <c r="Q67">
        <v>3</v>
      </c>
      <c r="R67" t="s">
        <v>50</v>
      </c>
      <c r="S67">
        <v>14756</v>
      </c>
      <c r="T67">
        <v>19730</v>
      </c>
      <c r="U67">
        <v>2</v>
      </c>
      <c r="V67" t="s">
        <v>41</v>
      </c>
      <c r="W67" t="s">
        <v>35</v>
      </c>
      <c r="X67">
        <v>14</v>
      </c>
      <c r="Y67">
        <v>3</v>
      </c>
      <c r="Z67">
        <v>3</v>
      </c>
      <c r="AA67">
        <v>80</v>
      </c>
      <c r="AB67">
        <v>3</v>
      </c>
      <c r="AC67">
        <v>21</v>
      </c>
      <c r="AD67">
        <v>2</v>
      </c>
      <c r="AE67">
        <v>3</v>
      </c>
      <c r="AF67">
        <v>5</v>
      </c>
      <c r="AG67">
        <v>0</v>
      </c>
      <c r="AH67">
        <v>0</v>
      </c>
      <c r="AI67">
        <v>2</v>
      </c>
      <c r="AJ67">
        <f t="shared" si="1"/>
        <v>0</v>
      </c>
      <c r="AK67" t="str" cm="1">
        <f t="array" ref="AK67">_xlfn.IFS(A67&lt;=30,"18-30",A67&lt;=45,"31-45",A67&lt;=60,"46-60",TRUE, "60+")</f>
        <v>46-60</v>
      </c>
      <c r="AL67" t="str" cm="1">
        <f t="array" ref="AL67">_xlfn.IFS(F67&lt;=10,"0-10",F67&lt;=20,"11-20",TRUE,"20+")</f>
        <v>0-10</v>
      </c>
      <c r="AM67" t="str" cm="1">
        <f t="array" ref="AM67">_xlfn.IFS(S67&lt;=5000,"0-5k",S67&lt;=10000,"5k-10k",S67&lt;=15000,"10k-15k",TRUE,"15k+")</f>
        <v>10k-15k</v>
      </c>
      <c r="AN67" t="str" cm="1">
        <f t="array" ref="AN67">_xlfn.IFS(AF67&lt;=10,"0-10",AF67&lt;=20,"10-20",AF67&lt;=30,"20-30",TRUE,"30+")</f>
        <v>0-10</v>
      </c>
      <c r="AO67" t="str" cm="1">
        <f t="array" ref="AO67">_xlfn.IFS(Y67=1,"Poor",Y67=2,"Average",Y67=3,"Good",TRUE,"Excellent")</f>
        <v>Good</v>
      </c>
      <c r="AP67" t="str" cm="1">
        <f t="array" ref="AP67">_xlfn.IFS(Q67=1,"Low",Q67=2,"Medium",Q67=3,"High",TRUE,"Very High")</f>
        <v>High</v>
      </c>
    </row>
    <row r="68" spans="1:42" x14ac:dyDescent="0.25">
      <c r="A68">
        <v>36</v>
      </c>
      <c r="B68" t="s">
        <v>42</v>
      </c>
      <c r="C68" t="s">
        <v>91</v>
      </c>
      <c r="D68">
        <v>1195</v>
      </c>
      <c r="E68" t="s">
        <v>43</v>
      </c>
      <c r="F68">
        <v>11</v>
      </c>
      <c r="G68">
        <v>3</v>
      </c>
      <c r="H68" t="s">
        <v>37</v>
      </c>
      <c r="I68">
        <v>1</v>
      </c>
      <c r="J68">
        <v>85</v>
      </c>
      <c r="K68">
        <v>2</v>
      </c>
      <c r="L68" t="s">
        <v>44</v>
      </c>
      <c r="M68">
        <v>95</v>
      </c>
      <c r="N68">
        <v>2</v>
      </c>
      <c r="O68">
        <v>2</v>
      </c>
      <c r="P68" t="s">
        <v>51</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c r="AJ68">
        <f t="shared" si="1"/>
        <v>0</v>
      </c>
      <c r="AK68" t="str" cm="1">
        <f t="array" ref="AK68">_xlfn.IFS(A68&lt;=30,"18-30",A68&lt;=45,"31-45",A68&lt;=60,"46-60",TRUE, "60+")</f>
        <v>31-45</v>
      </c>
      <c r="AL68" t="str" cm="1">
        <f t="array" ref="AL68">_xlfn.IFS(F68&lt;=10,"0-10",F68&lt;=20,"11-20",TRUE,"20+")</f>
        <v>11-20</v>
      </c>
      <c r="AM68" t="str" cm="1">
        <f t="array" ref="AM68">_xlfn.IFS(S68&lt;=5000,"0-5k",S68&lt;=10000,"5k-10k",S68&lt;=15000,"10k-15k",TRUE,"15k+")</f>
        <v>5k-10k</v>
      </c>
      <c r="AN68" t="str" cm="1">
        <f t="array" ref="AN68">_xlfn.IFS(AF68&lt;=10,"0-10",AF68&lt;=20,"10-20",AF68&lt;=30,"20-30",TRUE,"30+")</f>
        <v>0-10</v>
      </c>
      <c r="AO68" t="str" cm="1">
        <f t="array" ref="AO68">_xlfn.IFS(Y68=1,"Poor",Y68=2,"Average",Y68=3,"Good",TRUE,"Excellent")</f>
        <v>Good</v>
      </c>
      <c r="AP68" t="str" cm="1">
        <f t="array" ref="AP68">_xlfn.IFS(Q68=1,"Low",Q68=2,"Medium",Q68=3,"High",TRUE,"Very High")</f>
        <v>Medium</v>
      </c>
    </row>
    <row r="69" spans="1:42" x14ac:dyDescent="0.25">
      <c r="A69">
        <v>45</v>
      </c>
      <c r="B69" t="s">
        <v>42</v>
      </c>
      <c r="C69" t="s">
        <v>90</v>
      </c>
      <c r="D69">
        <v>1339</v>
      </c>
      <c r="E69" t="s">
        <v>43</v>
      </c>
      <c r="F69">
        <v>7</v>
      </c>
      <c r="G69">
        <v>3</v>
      </c>
      <c r="H69" t="s">
        <v>37</v>
      </c>
      <c r="I69">
        <v>1</v>
      </c>
      <c r="J69">
        <v>86</v>
      </c>
      <c r="K69">
        <v>2</v>
      </c>
      <c r="L69" t="s">
        <v>44</v>
      </c>
      <c r="M69">
        <v>59</v>
      </c>
      <c r="N69">
        <v>3</v>
      </c>
      <c r="O69">
        <v>3</v>
      </c>
      <c r="P69" t="s">
        <v>45</v>
      </c>
      <c r="Q69">
        <v>1</v>
      </c>
      <c r="R69" t="s">
        <v>50</v>
      </c>
      <c r="S69">
        <v>9724</v>
      </c>
      <c r="T69">
        <v>18787</v>
      </c>
      <c r="U69">
        <v>2</v>
      </c>
      <c r="V69" t="s">
        <v>41</v>
      </c>
      <c r="W69" t="s">
        <v>42</v>
      </c>
      <c r="X69">
        <v>17</v>
      </c>
      <c r="Y69">
        <v>3</v>
      </c>
      <c r="Z69">
        <v>3</v>
      </c>
      <c r="AA69">
        <v>80</v>
      </c>
      <c r="AB69">
        <v>1</v>
      </c>
      <c r="AC69">
        <v>25</v>
      </c>
      <c r="AD69">
        <v>2</v>
      </c>
      <c r="AE69">
        <v>3</v>
      </c>
      <c r="AF69">
        <v>1</v>
      </c>
      <c r="AG69">
        <v>0</v>
      </c>
      <c r="AH69">
        <v>0</v>
      </c>
      <c r="AI69">
        <v>0</v>
      </c>
      <c r="AJ69">
        <f t="shared" si="1"/>
        <v>0</v>
      </c>
      <c r="AK69" t="str" cm="1">
        <f t="array" ref="AK69">_xlfn.IFS(A69&lt;=30,"18-30",A69&lt;=45,"31-45",A69&lt;=60,"46-60",TRUE, "60+")</f>
        <v>31-45</v>
      </c>
      <c r="AL69" t="str" cm="1">
        <f t="array" ref="AL69">_xlfn.IFS(F69&lt;=10,"0-10",F69&lt;=20,"11-20",TRUE,"20+")</f>
        <v>0-10</v>
      </c>
      <c r="AM69" t="str" cm="1">
        <f t="array" ref="AM69">_xlfn.IFS(S69&lt;=5000,"0-5k",S69&lt;=10000,"5k-10k",S69&lt;=15000,"10k-15k",TRUE,"15k+")</f>
        <v>5k-10k</v>
      </c>
      <c r="AN69" t="str" cm="1">
        <f t="array" ref="AN69">_xlfn.IFS(AF69&lt;=10,"0-10",AF69&lt;=20,"10-20",AF69&lt;=30,"20-30",TRUE,"30+")</f>
        <v>0-10</v>
      </c>
      <c r="AO69" t="str" cm="1">
        <f t="array" ref="AO69">_xlfn.IFS(Y69=1,"Poor",Y69=2,"Average",Y69=3,"Good",TRUE,"Excellent")</f>
        <v>Good</v>
      </c>
      <c r="AP69" t="str" cm="1">
        <f t="array" ref="AP69">_xlfn.IFS(Q69=1,"Low",Q69=2,"Medium",Q69=3,"High",TRUE,"Very High")</f>
        <v>Low</v>
      </c>
    </row>
    <row r="70" spans="1:42" x14ac:dyDescent="0.25">
      <c r="A70">
        <v>35</v>
      </c>
      <c r="B70" t="s">
        <v>42</v>
      </c>
      <c r="C70" t="s">
        <v>91</v>
      </c>
      <c r="D70">
        <v>664</v>
      </c>
      <c r="E70" t="s">
        <v>43</v>
      </c>
      <c r="F70">
        <v>1</v>
      </c>
      <c r="G70">
        <v>3</v>
      </c>
      <c r="H70" t="s">
        <v>49</v>
      </c>
      <c r="I70">
        <v>1</v>
      </c>
      <c r="J70">
        <v>88</v>
      </c>
      <c r="K70">
        <v>2</v>
      </c>
      <c r="L70" t="s">
        <v>44</v>
      </c>
      <c r="M70">
        <v>79</v>
      </c>
      <c r="N70">
        <v>3</v>
      </c>
      <c r="O70">
        <v>1</v>
      </c>
      <c r="P70" t="s">
        <v>45</v>
      </c>
      <c r="Q70">
        <v>1</v>
      </c>
      <c r="R70" t="s">
        <v>46</v>
      </c>
      <c r="S70">
        <v>2194</v>
      </c>
      <c r="T70">
        <v>5868</v>
      </c>
      <c r="U70">
        <v>4</v>
      </c>
      <c r="V70" t="s">
        <v>41</v>
      </c>
      <c r="W70" t="s">
        <v>42</v>
      </c>
      <c r="X70">
        <v>13</v>
      </c>
      <c r="Y70">
        <v>3</v>
      </c>
      <c r="Z70">
        <v>4</v>
      </c>
      <c r="AA70">
        <v>80</v>
      </c>
      <c r="AB70">
        <v>1</v>
      </c>
      <c r="AC70">
        <v>5</v>
      </c>
      <c r="AD70">
        <v>2</v>
      </c>
      <c r="AE70">
        <v>2</v>
      </c>
      <c r="AF70">
        <v>3</v>
      </c>
      <c r="AG70">
        <v>2</v>
      </c>
      <c r="AH70">
        <v>1</v>
      </c>
      <c r="AI70">
        <v>2</v>
      </c>
      <c r="AJ70">
        <f t="shared" si="1"/>
        <v>0</v>
      </c>
      <c r="AK70" t="str" cm="1">
        <f t="array" ref="AK70">_xlfn.IFS(A70&lt;=30,"18-30",A70&lt;=45,"31-45",A70&lt;=60,"46-60",TRUE, "60+")</f>
        <v>31-45</v>
      </c>
      <c r="AL70" t="str" cm="1">
        <f t="array" ref="AL70">_xlfn.IFS(F70&lt;=10,"0-10",F70&lt;=20,"11-20",TRUE,"20+")</f>
        <v>0-10</v>
      </c>
      <c r="AM70" t="str" cm="1">
        <f t="array" ref="AM70">_xlfn.IFS(S70&lt;=5000,"0-5k",S70&lt;=10000,"5k-10k",S70&lt;=15000,"10k-15k",TRUE,"15k+")</f>
        <v>0-5k</v>
      </c>
      <c r="AN70" t="str" cm="1">
        <f t="array" ref="AN70">_xlfn.IFS(AF70&lt;=10,"0-10",AF70&lt;=20,"10-20",AF70&lt;=30,"20-30",TRUE,"30+")</f>
        <v>0-10</v>
      </c>
      <c r="AO70" t="str" cm="1">
        <f t="array" ref="AO70">_xlfn.IFS(Y70=1,"Poor",Y70=2,"Average",Y70=3,"Good",TRUE,"Excellent")</f>
        <v>Good</v>
      </c>
      <c r="AP70" t="str" cm="1">
        <f t="array" ref="AP70">_xlfn.IFS(Q70=1,"Low",Q70=2,"Medium",Q70=3,"High",TRUE,"Very High")</f>
        <v>Low</v>
      </c>
    </row>
    <row r="71" spans="1:42" x14ac:dyDescent="0.25">
      <c r="A71">
        <v>36</v>
      </c>
      <c r="B71" t="s">
        <v>35</v>
      </c>
      <c r="C71" t="s">
        <v>90</v>
      </c>
      <c r="D71">
        <v>318</v>
      </c>
      <c r="E71" t="s">
        <v>43</v>
      </c>
      <c r="F71">
        <v>9</v>
      </c>
      <c r="G71">
        <v>3</v>
      </c>
      <c r="H71" t="s">
        <v>49</v>
      </c>
      <c r="I71">
        <v>1</v>
      </c>
      <c r="J71">
        <v>90</v>
      </c>
      <c r="K71">
        <v>4</v>
      </c>
      <c r="L71" t="s">
        <v>44</v>
      </c>
      <c r="M71">
        <v>79</v>
      </c>
      <c r="N71">
        <v>2</v>
      </c>
      <c r="O71">
        <v>1</v>
      </c>
      <c r="P71" t="s">
        <v>45</v>
      </c>
      <c r="Q71">
        <v>3</v>
      </c>
      <c r="R71" t="s">
        <v>46</v>
      </c>
      <c r="S71">
        <v>3388</v>
      </c>
      <c r="T71">
        <v>21777</v>
      </c>
      <c r="U71">
        <v>0</v>
      </c>
      <c r="V71" t="s">
        <v>41</v>
      </c>
      <c r="W71" t="s">
        <v>35</v>
      </c>
      <c r="X71">
        <v>17</v>
      </c>
      <c r="Y71">
        <v>3</v>
      </c>
      <c r="Z71">
        <v>1</v>
      </c>
      <c r="AA71">
        <v>80</v>
      </c>
      <c r="AB71">
        <v>1</v>
      </c>
      <c r="AC71">
        <v>2</v>
      </c>
      <c r="AD71">
        <v>0</v>
      </c>
      <c r="AE71">
        <v>2</v>
      </c>
      <c r="AF71">
        <v>1</v>
      </c>
      <c r="AG71">
        <v>0</v>
      </c>
      <c r="AH71">
        <v>0</v>
      </c>
      <c r="AI71">
        <v>0</v>
      </c>
      <c r="AJ71">
        <f t="shared" si="1"/>
        <v>1</v>
      </c>
      <c r="AK71" t="str" cm="1">
        <f t="array" ref="AK71">_xlfn.IFS(A71&lt;=30,"18-30",A71&lt;=45,"31-45",A71&lt;=60,"46-60",TRUE, "60+")</f>
        <v>31-45</v>
      </c>
      <c r="AL71" t="str" cm="1">
        <f t="array" ref="AL71">_xlfn.IFS(F71&lt;=10,"0-10",F71&lt;=20,"11-20",TRUE,"20+")</f>
        <v>0-10</v>
      </c>
      <c r="AM71" t="str" cm="1">
        <f t="array" ref="AM71">_xlfn.IFS(S71&lt;=5000,"0-5k",S71&lt;=10000,"5k-10k",S71&lt;=15000,"10k-15k",TRUE,"15k+")</f>
        <v>0-5k</v>
      </c>
      <c r="AN71" t="str" cm="1">
        <f t="array" ref="AN71">_xlfn.IFS(AF71&lt;=10,"0-10",AF71&lt;=20,"10-20",AF71&lt;=30,"20-30",TRUE,"30+")</f>
        <v>0-10</v>
      </c>
      <c r="AO71" t="str" cm="1">
        <f t="array" ref="AO71">_xlfn.IFS(Y71=1,"Poor",Y71=2,"Average",Y71=3,"Good",TRUE,"Excellent")</f>
        <v>Good</v>
      </c>
      <c r="AP71" t="str" cm="1">
        <f t="array" ref="AP71">_xlfn.IFS(Q71=1,"Low",Q71=2,"Medium",Q71=3,"High",TRUE,"Very High")</f>
        <v>High</v>
      </c>
    </row>
    <row r="72" spans="1:42" x14ac:dyDescent="0.25">
      <c r="A72">
        <v>59</v>
      </c>
      <c r="B72" t="s">
        <v>42</v>
      </c>
      <c r="C72" t="s">
        <v>91</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c r="AJ72">
        <f t="shared" si="1"/>
        <v>0</v>
      </c>
      <c r="AK72" t="str" cm="1">
        <f t="array" ref="AK72">_xlfn.IFS(A72&lt;=30,"18-30",A72&lt;=45,"31-45",A72&lt;=60,"46-60",TRUE, "60+")</f>
        <v>46-60</v>
      </c>
      <c r="AL72" t="str" cm="1">
        <f t="array" ref="AL72">_xlfn.IFS(F72&lt;=10,"0-10",F72&lt;=20,"11-20",TRUE,"20+")</f>
        <v>0-10</v>
      </c>
      <c r="AM72" t="str" cm="1">
        <f t="array" ref="AM72">_xlfn.IFS(S72&lt;=5000,"0-5k",S72&lt;=10000,"5k-10k",S72&lt;=15000,"10k-15k",TRUE,"15k+")</f>
        <v>5k-10k</v>
      </c>
      <c r="AN72" t="str" cm="1">
        <f t="array" ref="AN72">_xlfn.IFS(AF72&lt;=10,"0-10",AF72&lt;=20,"10-20",AF72&lt;=30,"20-30",TRUE,"30+")</f>
        <v>0-10</v>
      </c>
      <c r="AO72" t="str" cm="1">
        <f t="array" ref="AO72">_xlfn.IFS(Y72=1,"Poor",Y72=2,"Average",Y72=3,"Good",TRUE,"Excellent")</f>
        <v>Good</v>
      </c>
      <c r="AP72" t="str" cm="1">
        <f t="array" ref="AP72">_xlfn.IFS(Q72=1,"Low",Q72=2,"Medium",Q72=3,"High",TRUE,"Very High")</f>
        <v>High</v>
      </c>
    </row>
    <row r="73" spans="1:42" x14ac:dyDescent="0.25">
      <c r="A73">
        <v>29</v>
      </c>
      <c r="B73" t="s">
        <v>42</v>
      </c>
      <c r="C73" t="s">
        <v>90</v>
      </c>
      <c r="D73">
        <v>1328</v>
      </c>
      <c r="E73" t="s">
        <v>43</v>
      </c>
      <c r="F73">
        <v>2</v>
      </c>
      <c r="G73">
        <v>3</v>
      </c>
      <c r="H73" t="s">
        <v>37</v>
      </c>
      <c r="I73">
        <v>1</v>
      </c>
      <c r="J73">
        <v>94</v>
      </c>
      <c r="K73">
        <v>3</v>
      </c>
      <c r="L73" t="s">
        <v>44</v>
      </c>
      <c r="M73">
        <v>76</v>
      </c>
      <c r="N73">
        <v>3</v>
      </c>
      <c r="O73">
        <v>1</v>
      </c>
      <c r="P73" t="s">
        <v>45</v>
      </c>
      <c r="Q73">
        <v>2</v>
      </c>
      <c r="R73" t="s">
        <v>46</v>
      </c>
      <c r="S73">
        <v>2703</v>
      </c>
      <c r="T73">
        <v>4956</v>
      </c>
      <c r="U73">
        <v>0</v>
      </c>
      <c r="V73" t="s">
        <v>41</v>
      </c>
      <c r="W73" t="s">
        <v>42</v>
      </c>
      <c r="X73">
        <v>23</v>
      </c>
      <c r="Y73">
        <v>4</v>
      </c>
      <c r="Z73">
        <v>4</v>
      </c>
      <c r="AA73">
        <v>80</v>
      </c>
      <c r="AB73">
        <v>1</v>
      </c>
      <c r="AC73">
        <v>6</v>
      </c>
      <c r="AD73">
        <v>3</v>
      </c>
      <c r="AE73">
        <v>3</v>
      </c>
      <c r="AF73">
        <v>5</v>
      </c>
      <c r="AG73">
        <v>4</v>
      </c>
      <c r="AH73">
        <v>0</v>
      </c>
      <c r="AI73">
        <v>4</v>
      </c>
      <c r="AJ73">
        <f t="shared" si="1"/>
        <v>0</v>
      </c>
      <c r="AK73" t="str" cm="1">
        <f t="array" ref="AK73">_xlfn.IFS(A73&lt;=30,"18-30",A73&lt;=45,"31-45",A73&lt;=60,"46-60",TRUE, "60+")</f>
        <v>18-30</v>
      </c>
      <c r="AL73" t="str" cm="1">
        <f t="array" ref="AL73">_xlfn.IFS(F73&lt;=10,"0-10",F73&lt;=20,"11-20",TRUE,"20+")</f>
        <v>0-10</v>
      </c>
      <c r="AM73" t="str" cm="1">
        <f t="array" ref="AM73">_xlfn.IFS(S73&lt;=5000,"0-5k",S73&lt;=10000,"5k-10k",S73&lt;=15000,"10k-15k",TRUE,"15k+")</f>
        <v>0-5k</v>
      </c>
      <c r="AN73" t="str" cm="1">
        <f t="array" ref="AN73">_xlfn.IFS(AF73&lt;=10,"0-10",AF73&lt;=20,"10-20",AF73&lt;=30,"20-30",TRUE,"30+")</f>
        <v>0-10</v>
      </c>
      <c r="AO73" t="str" cm="1">
        <f t="array" ref="AO73">_xlfn.IFS(Y73=1,"Poor",Y73=2,"Average",Y73=3,"Good",TRUE,"Excellent")</f>
        <v>Excellent</v>
      </c>
      <c r="AP73" t="str" cm="1">
        <f t="array" ref="AP73">_xlfn.IFS(Q73=1,"Low",Q73=2,"Medium",Q73=3,"High",TRUE,"Very High")</f>
        <v>Medium</v>
      </c>
    </row>
    <row r="74" spans="1:42" x14ac:dyDescent="0.25">
      <c r="A74">
        <v>31</v>
      </c>
      <c r="B74" t="s">
        <v>42</v>
      </c>
      <c r="C74" t="s">
        <v>90</v>
      </c>
      <c r="D74">
        <v>1082</v>
      </c>
      <c r="E74" t="s">
        <v>43</v>
      </c>
      <c r="F74">
        <v>1</v>
      </c>
      <c r="G74">
        <v>4</v>
      </c>
      <c r="H74" t="s">
        <v>49</v>
      </c>
      <c r="I74">
        <v>1</v>
      </c>
      <c r="J74">
        <v>95</v>
      </c>
      <c r="K74">
        <v>3</v>
      </c>
      <c r="L74" t="s">
        <v>44</v>
      </c>
      <c r="M74">
        <v>87</v>
      </c>
      <c r="N74">
        <v>3</v>
      </c>
      <c r="O74">
        <v>1</v>
      </c>
      <c r="P74" t="s">
        <v>45</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c r="AJ74">
        <f t="shared" si="1"/>
        <v>0</v>
      </c>
      <c r="AK74" t="str" cm="1">
        <f t="array" ref="AK74">_xlfn.IFS(A74&lt;=30,"18-30",A74&lt;=45,"31-45",A74&lt;=60,"46-60",TRUE, "60+")</f>
        <v>31-45</v>
      </c>
      <c r="AL74" t="str" cm="1">
        <f t="array" ref="AL74">_xlfn.IFS(F74&lt;=10,"0-10",F74&lt;=20,"11-20",TRUE,"20+")</f>
        <v>0-10</v>
      </c>
      <c r="AM74" t="str" cm="1">
        <f t="array" ref="AM74">_xlfn.IFS(S74&lt;=5000,"0-5k",S74&lt;=10000,"5k-10k",S74&lt;=15000,"10k-15k",TRUE,"15k+")</f>
        <v>0-5k</v>
      </c>
      <c r="AN74" t="str" cm="1">
        <f t="array" ref="AN74">_xlfn.IFS(AF74&lt;=10,"0-10",AF74&lt;=20,"10-20",AF74&lt;=30,"20-30",TRUE,"30+")</f>
        <v>0-10</v>
      </c>
      <c r="AO74" t="str" cm="1">
        <f t="array" ref="AO74">_xlfn.IFS(Y74=1,"Poor",Y74=2,"Average",Y74=3,"Good",TRUE,"Excellent")</f>
        <v>Good</v>
      </c>
      <c r="AP74" t="str" cm="1">
        <f t="array" ref="AP74">_xlfn.IFS(Q74=1,"Low",Q74=2,"Medium",Q74=3,"High",TRUE,"Very High")</f>
        <v>Medium</v>
      </c>
    </row>
    <row r="75" spans="1:42" x14ac:dyDescent="0.25">
      <c r="A75">
        <v>32</v>
      </c>
      <c r="B75" t="s">
        <v>42</v>
      </c>
      <c r="C75" t="s">
        <v>90</v>
      </c>
      <c r="D75">
        <v>548</v>
      </c>
      <c r="E75" t="s">
        <v>43</v>
      </c>
      <c r="F75">
        <v>1</v>
      </c>
      <c r="G75">
        <v>3</v>
      </c>
      <c r="H75" t="s">
        <v>37</v>
      </c>
      <c r="I75">
        <v>1</v>
      </c>
      <c r="J75">
        <v>96</v>
      </c>
      <c r="K75">
        <v>2</v>
      </c>
      <c r="L75" t="s">
        <v>44</v>
      </c>
      <c r="M75">
        <v>66</v>
      </c>
      <c r="N75">
        <v>3</v>
      </c>
      <c r="O75">
        <v>2</v>
      </c>
      <c r="P75" t="s">
        <v>45</v>
      </c>
      <c r="Q75">
        <v>2</v>
      </c>
      <c r="R75" t="s">
        <v>46</v>
      </c>
      <c r="S75">
        <v>6220</v>
      </c>
      <c r="T75">
        <v>7346</v>
      </c>
      <c r="U75">
        <v>1</v>
      </c>
      <c r="V75" t="s">
        <v>41</v>
      </c>
      <c r="W75" t="s">
        <v>42</v>
      </c>
      <c r="X75">
        <v>17</v>
      </c>
      <c r="Y75">
        <v>3</v>
      </c>
      <c r="Z75">
        <v>2</v>
      </c>
      <c r="AA75">
        <v>80</v>
      </c>
      <c r="AB75">
        <v>2</v>
      </c>
      <c r="AC75">
        <v>10</v>
      </c>
      <c r="AD75">
        <v>3</v>
      </c>
      <c r="AE75">
        <v>3</v>
      </c>
      <c r="AF75">
        <v>10</v>
      </c>
      <c r="AG75">
        <v>4</v>
      </c>
      <c r="AH75">
        <v>0</v>
      </c>
      <c r="AI75">
        <v>9</v>
      </c>
      <c r="AJ75">
        <f t="shared" si="1"/>
        <v>0</v>
      </c>
      <c r="AK75" t="str" cm="1">
        <f t="array" ref="AK75">_xlfn.IFS(A75&lt;=30,"18-30",A75&lt;=45,"31-45",A75&lt;=60,"46-60",TRUE, "60+")</f>
        <v>31-45</v>
      </c>
      <c r="AL75" t="str" cm="1">
        <f t="array" ref="AL75">_xlfn.IFS(F75&lt;=10,"0-10",F75&lt;=20,"11-20",TRUE,"20+")</f>
        <v>0-10</v>
      </c>
      <c r="AM75" t="str" cm="1">
        <f t="array" ref="AM75">_xlfn.IFS(S75&lt;=5000,"0-5k",S75&lt;=10000,"5k-10k",S75&lt;=15000,"10k-15k",TRUE,"15k+")</f>
        <v>5k-10k</v>
      </c>
      <c r="AN75" t="str" cm="1">
        <f t="array" ref="AN75">_xlfn.IFS(AF75&lt;=10,"0-10",AF75&lt;=20,"10-20",AF75&lt;=30,"20-30",TRUE,"30+")</f>
        <v>0-10</v>
      </c>
      <c r="AO75" t="str" cm="1">
        <f t="array" ref="AO75">_xlfn.IFS(Y75=1,"Poor",Y75=2,"Average",Y75=3,"Good",TRUE,"Excellent")</f>
        <v>Good</v>
      </c>
      <c r="AP75" t="str" cm="1">
        <f t="array" ref="AP75">_xlfn.IFS(Q75=1,"Low",Q75=2,"Medium",Q75=3,"High",TRUE,"Very High")</f>
        <v>Medium</v>
      </c>
    </row>
    <row r="76" spans="1:42" x14ac:dyDescent="0.25">
      <c r="A76">
        <v>36</v>
      </c>
      <c r="B76" t="s">
        <v>42</v>
      </c>
      <c r="C76" t="s">
        <v>90</v>
      </c>
      <c r="D76">
        <v>132</v>
      </c>
      <c r="E76" t="s">
        <v>43</v>
      </c>
      <c r="F76">
        <v>6</v>
      </c>
      <c r="G76">
        <v>3</v>
      </c>
      <c r="H76" t="s">
        <v>37</v>
      </c>
      <c r="I76">
        <v>1</v>
      </c>
      <c r="J76">
        <v>97</v>
      </c>
      <c r="K76">
        <v>2</v>
      </c>
      <c r="L76" t="s">
        <v>38</v>
      </c>
      <c r="M76">
        <v>55</v>
      </c>
      <c r="N76">
        <v>4</v>
      </c>
      <c r="O76">
        <v>1</v>
      </c>
      <c r="P76" t="s">
        <v>48</v>
      </c>
      <c r="Q76">
        <v>4</v>
      </c>
      <c r="R76" t="s">
        <v>46</v>
      </c>
      <c r="S76">
        <v>3038</v>
      </c>
      <c r="T76">
        <v>22002</v>
      </c>
      <c r="U76">
        <v>3</v>
      </c>
      <c r="V76" t="s">
        <v>41</v>
      </c>
      <c r="W76" t="s">
        <v>42</v>
      </c>
      <c r="X76">
        <v>12</v>
      </c>
      <c r="Y76">
        <v>3</v>
      </c>
      <c r="Z76">
        <v>2</v>
      </c>
      <c r="AA76">
        <v>80</v>
      </c>
      <c r="AB76">
        <v>0</v>
      </c>
      <c r="AC76">
        <v>5</v>
      </c>
      <c r="AD76">
        <v>3</v>
      </c>
      <c r="AE76">
        <v>3</v>
      </c>
      <c r="AF76">
        <v>1</v>
      </c>
      <c r="AG76">
        <v>0</v>
      </c>
      <c r="AH76">
        <v>0</v>
      </c>
      <c r="AI76">
        <v>0</v>
      </c>
      <c r="AJ76">
        <f t="shared" si="1"/>
        <v>0</v>
      </c>
      <c r="AK76" t="str" cm="1">
        <f t="array" ref="AK76">_xlfn.IFS(A76&lt;=30,"18-30",A76&lt;=45,"31-45",A76&lt;=60,"46-60",TRUE, "60+")</f>
        <v>31-45</v>
      </c>
      <c r="AL76" t="str" cm="1">
        <f t="array" ref="AL76">_xlfn.IFS(F76&lt;=10,"0-10",F76&lt;=20,"11-20",TRUE,"20+")</f>
        <v>0-10</v>
      </c>
      <c r="AM76" t="str" cm="1">
        <f t="array" ref="AM76">_xlfn.IFS(S76&lt;=5000,"0-5k",S76&lt;=10000,"5k-10k",S76&lt;=15000,"10k-15k",TRUE,"15k+")</f>
        <v>0-5k</v>
      </c>
      <c r="AN76" t="str" cm="1">
        <f t="array" ref="AN76">_xlfn.IFS(AF76&lt;=10,"0-10",AF76&lt;=20,"10-20",AF76&lt;=30,"20-30",TRUE,"30+")</f>
        <v>0-10</v>
      </c>
      <c r="AO76" t="str" cm="1">
        <f t="array" ref="AO76">_xlfn.IFS(Y76=1,"Poor",Y76=2,"Average",Y76=3,"Good",TRUE,"Excellent")</f>
        <v>Good</v>
      </c>
      <c r="AP76" t="str" cm="1">
        <f t="array" ref="AP76">_xlfn.IFS(Q76=1,"Low",Q76=2,"Medium",Q76=3,"High",TRUE,"Very High")</f>
        <v>Very High</v>
      </c>
    </row>
    <row r="77" spans="1:42" x14ac:dyDescent="0.25">
      <c r="A77">
        <v>31</v>
      </c>
      <c r="B77" t="s">
        <v>42</v>
      </c>
      <c r="C77" t="s">
        <v>90</v>
      </c>
      <c r="D77">
        <v>746</v>
      </c>
      <c r="E77" t="s">
        <v>43</v>
      </c>
      <c r="F77">
        <v>8</v>
      </c>
      <c r="G77">
        <v>4</v>
      </c>
      <c r="H77" t="s">
        <v>37</v>
      </c>
      <c r="I77">
        <v>1</v>
      </c>
      <c r="J77">
        <v>98</v>
      </c>
      <c r="K77">
        <v>3</v>
      </c>
      <c r="L77" t="s">
        <v>38</v>
      </c>
      <c r="M77">
        <v>61</v>
      </c>
      <c r="N77">
        <v>3</v>
      </c>
      <c r="O77">
        <v>2</v>
      </c>
      <c r="P77" t="s">
        <v>51</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c r="AJ77">
        <f t="shared" si="1"/>
        <v>0</v>
      </c>
      <c r="AK77" t="str" cm="1">
        <f t="array" ref="AK77">_xlfn.IFS(A77&lt;=30,"18-30",A77&lt;=45,"31-45",A77&lt;=60,"46-60",TRUE, "60+")</f>
        <v>31-45</v>
      </c>
      <c r="AL77" t="str" cm="1">
        <f t="array" ref="AL77">_xlfn.IFS(F77&lt;=10,"0-10",F77&lt;=20,"11-20",TRUE,"20+")</f>
        <v>0-10</v>
      </c>
      <c r="AM77" t="str" cm="1">
        <f t="array" ref="AM77">_xlfn.IFS(S77&lt;=5000,"0-5k",S77&lt;=10000,"5k-10k",S77&lt;=15000,"10k-15k",TRUE,"15k+")</f>
        <v>0-5k</v>
      </c>
      <c r="AN77" t="str" cm="1">
        <f t="array" ref="AN77">_xlfn.IFS(AF77&lt;=10,"0-10",AF77&lt;=20,"10-20",AF77&lt;=30,"20-30",TRUE,"30+")</f>
        <v>10-20</v>
      </c>
      <c r="AO77" t="str" cm="1">
        <f t="array" ref="AO77">_xlfn.IFS(Y77=1,"Poor",Y77=2,"Average",Y77=3,"Good",TRUE,"Excellent")</f>
        <v>Excellent</v>
      </c>
      <c r="AP77" t="str" cm="1">
        <f t="array" ref="AP77">_xlfn.IFS(Q77=1,"Low",Q77=2,"Medium",Q77=3,"High",TRUE,"Very High")</f>
        <v>Very High</v>
      </c>
    </row>
    <row r="78" spans="1:42" x14ac:dyDescent="0.25">
      <c r="A78">
        <v>35</v>
      </c>
      <c r="B78" t="s">
        <v>42</v>
      </c>
      <c r="C78" t="s">
        <v>90</v>
      </c>
      <c r="D78">
        <v>776</v>
      </c>
      <c r="E78" t="s">
        <v>36</v>
      </c>
      <c r="F78">
        <v>1</v>
      </c>
      <c r="G78">
        <v>4</v>
      </c>
      <c r="H78" t="s">
        <v>57</v>
      </c>
      <c r="I78">
        <v>1</v>
      </c>
      <c r="J78">
        <v>100</v>
      </c>
      <c r="K78">
        <v>3</v>
      </c>
      <c r="L78" t="s">
        <v>44</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c r="AJ78">
        <f t="shared" si="1"/>
        <v>0</v>
      </c>
      <c r="AK78" t="str" cm="1">
        <f t="array" ref="AK78">_xlfn.IFS(A78&lt;=30,"18-30",A78&lt;=45,"31-45",A78&lt;=60,"46-60",TRUE, "60+")</f>
        <v>31-45</v>
      </c>
      <c r="AL78" t="str" cm="1">
        <f t="array" ref="AL78">_xlfn.IFS(F78&lt;=10,"0-10",F78&lt;=20,"11-20",TRUE,"20+")</f>
        <v>0-10</v>
      </c>
      <c r="AM78" t="str" cm="1">
        <f t="array" ref="AM78">_xlfn.IFS(S78&lt;=5000,"0-5k",S78&lt;=10000,"5k-10k",S78&lt;=15000,"10k-15k",TRUE,"15k+")</f>
        <v>0-5k</v>
      </c>
      <c r="AN78" t="str" cm="1">
        <f t="array" ref="AN78">_xlfn.IFS(AF78&lt;=10,"0-10",AF78&lt;=20,"10-20",AF78&lt;=30,"20-30",TRUE,"30+")</f>
        <v>10-20</v>
      </c>
      <c r="AO78" t="str" cm="1">
        <f t="array" ref="AO78">_xlfn.IFS(Y78=1,"Poor",Y78=2,"Average",Y78=3,"Good",TRUE,"Excellent")</f>
        <v>Good</v>
      </c>
      <c r="AP78" t="str" cm="1">
        <f t="array" ref="AP78">_xlfn.IFS(Q78=1,"Low",Q78=2,"Medium",Q78=3,"High",TRUE,"Very High")</f>
        <v>Low</v>
      </c>
    </row>
    <row r="79" spans="1:42" x14ac:dyDescent="0.25">
      <c r="A79">
        <v>45</v>
      </c>
      <c r="B79" t="s">
        <v>42</v>
      </c>
      <c r="C79" t="s">
        <v>90</v>
      </c>
      <c r="D79">
        <v>193</v>
      </c>
      <c r="E79" t="s">
        <v>43</v>
      </c>
      <c r="F79">
        <v>6</v>
      </c>
      <c r="G79">
        <v>4</v>
      </c>
      <c r="H79" t="s">
        <v>47</v>
      </c>
      <c r="I79">
        <v>1</v>
      </c>
      <c r="J79">
        <v>101</v>
      </c>
      <c r="K79">
        <v>4</v>
      </c>
      <c r="L79" t="s">
        <v>44</v>
      </c>
      <c r="M79">
        <v>52</v>
      </c>
      <c r="N79">
        <v>3</v>
      </c>
      <c r="O79">
        <v>3</v>
      </c>
      <c r="P79" t="s">
        <v>56</v>
      </c>
      <c r="Q79">
        <v>1</v>
      </c>
      <c r="R79" t="s">
        <v>46</v>
      </c>
      <c r="S79">
        <v>13245</v>
      </c>
      <c r="T79">
        <v>15067</v>
      </c>
      <c r="U79">
        <v>4</v>
      </c>
      <c r="V79" t="s">
        <v>41</v>
      </c>
      <c r="W79" t="s">
        <v>35</v>
      </c>
      <c r="X79">
        <v>14</v>
      </c>
      <c r="Y79">
        <v>3</v>
      </c>
      <c r="Z79">
        <v>2</v>
      </c>
      <c r="AA79">
        <v>80</v>
      </c>
      <c r="AB79">
        <v>0</v>
      </c>
      <c r="AC79">
        <v>17</v>
      </c>
      <c r="AD79">
        <v>3</v>
      </c>
      <c r="AE79">
        <v>4</v>
      </c>
      <c r="AF79">
        <v>0</v>
      </c>
      <c r="AG79">
        <v>0</v>
      </c>
      <c r="AH79">
        <v>0</v>
      </c>
      <c r="AI79">
        <v>0</v>
      </c>
      <c r="AJ79">
        <f t="shared" si="1"/>
        <v>0</v>
      </c>
      <c r="AK79" t="str" cm="1">
        <f t="array" ref="AK79">_xlfn.IFS(A79&lt;=30,"18-30",A79&lt;=45,"31-45",A79&lt;=60,"46-60",TRUE, "60+")</f>
        <v>31-45</v>
      </c>
      <c r="AL79" t="str" cm="1">
        <f t="array" ref="AL79">_xlfn.IFS(F79&lt;=10,"0-10",F79&lt;=20,"11-20",TRUE,"20+")</f>
        <v>0-10</v>
      </c>
      <c r="AM79" t="str" cm="1">
        <f t="array" ref="AM79">_xlfn.IFS(S79&lt;=5000,"0-5k",S79&lt;=10000,"5k-10k",S79&lt;=15000,"10k-15k",TRUE,"15k+")</f>
        <v>10k-15k</v>
      </c>
      <c r="AN79" t="str" cm="1">
        <f t="array" ref="AN79">_xlfn.IFS(AF79&lt;=10,"0-10",AF79&lt;=20,"10-20",AF79&lt;=30,"20-30",TRUE,"30+")</f>
        <v>0-10</v>
      </c>
      <c r="AO79" t="str" cm="1">
        <f t="array" ref="AO79">_xlfn.IFS(Y79=1,"Poor",Y79=2,"Average",Y79=3,"Good",TRUE,"Excellent")</f>
        <v>Good</v>
      </c>
      <c r="AP79" t="str" cm="1">
        <f t="array" ref="AP79">_xlfn.IFS(Q79=1,"Low",Q79=2,"Medium",Q79=3,"High",TRUE,"Very High")</f>
        <v>Low</v>
      </c>
    </row>
    <row r="80" spans="1:42" x14ac:dyDescent="0.25">
      <c r="A80">
        <v>37</v>
      </c>
      <c r="B80" t="s">
        <v>42</v>
      </c>
      <c r="C80" t="s">
        <v>90</v>
      </c>
      <c r="D80">
        <v>397</v>
      </c>
      <c r="E80" t="s">
        <v>43</v>
      </c>
      <c r="F80">
        <v>7</v>
      </c>
      <c r="G80">
        <v>4</v>
      </c>
      <c r="H80" t="s">
        <v>49</v>
      </c>
      <c r="I80">
        <v>1</v>
      </c>
      <c r="J80">
        <v>102</v>
      </c>
      <c r="K80">
        <v>1</v>
      </c>
      <c r="L80" t="s">
        <v>44</v>
      </c>
      <c r="M80">
        <v>30</v>
      </c>
      <c r="N80">
        <v>3</v>
      </c>
      <c r="O80">
        <v>3</v>
      </c>
      <c r="P80" t="s">
        <v>56</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c r="AJ80">
        <f t="shared" si="1"/>
        <v>0</v>
      </c>
      <c r="AK80" t="str" cm="1">
        <f t="array" ref="AK80">_xlfn.IFS(A80&lt;=30,"18-30",A80&lt;=45,"31-45",A80&lt;=60,"46-60",TRUE, "60+")</f>
        <v>31-45</v>
      </c>
      <c r="AL80" t="str" cm="1">
        <f t="array" ref="AL80">_xlfn.IFS(F80&lt;=10,"0-10",F80&lt;=20,"11-20",TRUE,"20+")</f>
        <v>0-10</v>
      </c>
      <c r="AM80" t="str" cm="1">
        <f t="array" ref="AM80">_xlfn.IFS(S80&lt;=5000,"0-5k",S80&lt;=10000,"5k-10k",S80&lt;=15000,"10k-15k",TRUE,"15k+")</f>
        <v>10k-15k</v>
      </c>
      <c r="AN80" t="str" cm="1">
        <f t="array" ref="AN80">_xlfn.IFS(AF80&lt;=10,"0-10",AF80&lt;=20,"10-20",AF80&lt;=30,"20-30",TRUE,"30+")</f>
        <v>0-10</v>
      </c>
      <c r="AO80" t="str" cm="1">
        <f t="array" ref="AO80">_xlfn.IFS(Y80=1,"Poor",Y80=2,"Average",Y80=3,"Good",TRUE,"Excellent")</f>
        <v>Good</v>
      </c>
      <c r="AP80" t="str" cm="1">
        <f t="array" ref="AP80">_xlfn.IFS(Q80=1,"Low",Q80=2,"Medium",Q80=3,"High",TRUE,"Very High")</f>
        <v>High</v>
      </c>
    </row>
    <row r="81" spans="1:42" x14ac:dyDescent="0.25">
      <c r="A81">
        <v>46</v>
      </c>
      <c r="B81" t="s">
        <v>42</v>
      </c>
      <c r="C81" t="s">
        <v>90</v>
      </c>
      <c r="D81">
        <v>945</v>
      </c>
      <c r="E81" t="s">
        <v>59</v>
      </c>
      <c r="F81">
        <v>5</v>
      </c>
      <c r="G81">
        <v>2</v>
      </c>
      <c r="H81" t="s">
        <v>49</v>
      </c>
      <c r="I81">
        <v>1</v>
      </c>
      <c r="J81">
        <v>103</v>
      </c>
      <c r="K81">
        <v>2</v>
      </c>
      <c r="L81" t="s">
        <v>44</v>
      </c>
      <c r="M81">
        <v>80</v>
      </c>
      <c r="N81">
        <v>3</v>
      </c>
      <c r="O81">
        <v>2</v>
      </c>
      <c r="P81" t="s">
        <v>59</v>
      </c>
      <c r="Q81">
        <v>2</v>
      </c>
      <c r="R81" t="s">
        <v>50</v>
      </c>
      <c r="S81">
        <v>5021</v>
      </c>
      <c r="T81">
        <v>10425</v>
      </c>
      <c r="U81">
        <v>8</v>
      </c>
      <c r="V81" t="s">
        <v>41</v>
      </c>
      <c r="W81" t="s">
        <v>35</v>
      </c>
      <c r="X81">
        <v>22</v>
      </c>
      <c r="Y81">
        <v>4</v>
      </c>
      <c r="Z81">
        <v>4</v>
      </c>
      <c r="AA81">
        <v>80</v>
      </c>
      <c r="AB81">
        <v>1</v>
      </c>
      <c r="AC81">
        <v>16</v>
      </c>
      <c r="AD81">
        <v>2</v>
      </c>
      <c r="AE81">
        <v>3</v>
      </c>
      <c r="AF81">
        <v>4</v>
      </c>
      <c r="AG81">
        <v>2</v>
      </c>
      <c r="AH81">
        <v>0</v>
      </c>
      <c r="AI81">
        <v>2</v>
      </c>
      <c r="AJ81">
        <f t="shared" si="1"/>
        <v>0</v>
      </c>
      <c r="AK81" t="str" cm="1">
        <f t="array" ref="AK81">_xlfn.IFS(A81&lt;=30,"18-30",A81&lt;=45,"31-45",A81&lt;=60,"46-60",TRUE, "60+")</f>
        <v>46-60</v>
      </c>
      <c r="AL81" t="str" cm="1">
        <f t="array" ref="AL81">_xlfn.IFS(F81&lt;=10,"0-10",F81&lt;=20,"11-20",TRUE,"20+")</f>
        <v>0-10</v>
      </c>
      <c r="AM81" t="str" cm="1">
        <f t="array" ref="AM81">_xlfn.IFS(S81&lt;=5000,"0-5k",S81&lt;=10000,"5k-10k",S81&lt;=15000,"10k-15k",TRUE,"15k+")</f>
        <v>5k-10k</v>
      </c>
      <c r="AN81" t="str" cm="1">
        <f t="array" ref="AN81">_xlfn.IFS(AF81&lt;=10,"0-10",AF81&lt;=20,"10-20",AF81&lt;=30,"20-30",TRUE,"30+")</f>
        <v>0-10</v>
      </c>
      <c r="AO81" t="str" cm="1">
        <f t="array" ref="AO81">_xlfn.IFS(Y81=1,"Poor",Y81=2,"Average",Y81=3,"Good",TRUE,"Excellent")</f>
        <v>Excellent</v>
      </c>
      <c r="AP81" t="str" cm="1">
        <f t="array" ref="AP81">_xlfn.IFS(Q81=1,"Low",Q81=2,"Medium",Q81=3,"High",TRUE,"Very High")</f>
        <v>Medium</v>
      </c>
    </row>
    <row r="82" spans="1:42" x14ac:dyDescent="0.25">
      <c r="A82">
        <v>30</v>
      </c>
      <c r="B82" t="s">
        <v>42</v>
      </c>
      <c r="C82" t="s">
        <v>90</v>
      </c>
      <c r="D82">
        <v>852</v>
      </c>
      <c r="E82" t="s">
        <v>43</v>
      </c>
      <c r="F82">
        <v>1</v>
      </c>
      <c r="G82">
        <v>1</v>
      </c>
      <c r="H82" t="s">
        <v>37</v>
      </c>
      <c r="I82">
        <v>1</v>
      </c>
      <c r="J82">
        <v>104</v>
      </c>
      <c r="K82">
        <v>4</v>
      </c>
      <c r="L82" t="s">
        <v>44</v>
      </c>
      <c r="M82">
        <v>55</v>
      </c>
      <c r="N82">
        <v>2</v>
      </c>
      <c r="O82">
        <v>2</v>
      </c>
      <c r="P82" t="s">
        <v>48</v>
      </c>
      <c r="Q82">
        <v>4</v>
      </c>
      <c r="R82" t="s">
        <v>46</v>
      </c>
      <c r="S82">
        <v>5126</v>
      </c>
      <c r="T82">
        <v>15998</v>
      </c>
      <c r="U82">
        <v>1</v>
      </c>
      <c r="V82" t="s">
        <v>41</v>
      </c>
      <c r="W82" t="s">
        <v>35</v>
      </c>
      <c r="X82">
        <v>12</v>
      </c>
      <c r="Y82">
        <v>3</v>
      </c>
      <c r="Z82">
        <v>3</v>
      </c>
      <c r="AA82">
        <v>80</v>
      </c>
      <c r="AB82">
        <v>2</v>
      </c>
      <c r="AC82">
        <v>10</v>
      </c>
      <c r="AD82">
        <v>1</v>
      </c>
      <c r="AE82">
        <v>2</v>
      </c>
      <c r="AF82">
        <v>10</v>
      </c>
      <c r="AG82">
        <v>8</v>
      </c>
      <c r="AH82">
        <v>3</v>
      </c>
      <c r="AI82">
        <v>0</v>
      </c>
      <c r="AJ82">
        <f t="shared" si="1"/>
        <v>0</v>
      </c>
      <c r="AK82" t="str" cm="1">
        <f t="array" ref="AK82">_xlfn.IFS(A82&lt;=30,"18-30",A82&lt;=45,"31-45",A82&lt;=60,"46-60",TRUE, "60+")</f>
        <v>18-30</v>
      </c>
      <c r="AL82" t="str" cm="1">
        <f t="array" ref="AL82">_xlfn.IFS(F82&lt;=10,"0-10",F82&lt;=20,"11-20",TRUE,"20+")</f>
        <v>0-10</v>
      </c>
      <c r="AM82" t="str" cm="1">
        <f t="array" ref="AM82">_xlfn.IFS(S82&lt;=5000,"0-5k",S82&lt;=10000,"5k-10k",S82&lt;=15000,"10k-15k",TRUE,"15k+")</f>
        <v>5k-10k</v>
      </c>
      <c r="AN82" t="str" cm="1">
        <f t="array" ref="AN82">_xlfn.IFS(AF82&lt;=10,"0-10",AF82&lt;=20,"10-20",AF82&lt;=30,"20-30",TRUE,"30+")</f>
        <v>0-10</v>
      </c>
      <c r="AO82" t="str" cm="1">
        <f t="array" ref="AO82">_xlfn.IFS(Y82=1,"Poor",Y82=2,"Average",Y82=3,"Good",TRUE,"Excellent")</f>
        <v>Good</v>
      </c>
      <c r="AP82" t="str" cm="1">
        <f t="array" ref="AP82">_xlfn.IFS(Q82=1,"Low",Q82=2,"Medium",Q82=3,"High",TRUE,"Very High")</f>
        <v>Very High</v>
      </c>
    </row>
    <row r="83" spans="1:42" x14ac:dyDescent="0.25">
      <c r="A83">
        <v>35</v>
      </c>
      <c r="B83" t="s">
        <v>42</v>
      </c>
      <c r="C83" t="s">
        <v>90</v>
      </c>
      <c r="D83">
        <v>1214</v>
      </c>
      <c r="E83" t="s">
        <v>43</v>
      </c>
      <c r="F83">
        <v>1</v>
      </c>
      <c r="G83">
        <v>3</v>
      </c>
      <c r="H83" t="s">
        <v>49</v>
      </c>
      <c r="I83">
        <v>1</v>
      </c>
      <c r="J83">
        <v>105</v>
      </c>
      <c r="K83">
        <v>2</v>
      </c>
      <c r="L83" t="s">
        <v>44</v>
      </c>
      <c r="M83">
        <v>30</v>
      </c>
      <c r="N83">
        <v>2</v>
      </c>
      <c r="O83">
        <v>1</v>
      </c>
      <c r="P83" t="s">
        <v>45</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c r="AJ83">
        <f t="shared" si="1"/>
        <v>0</v>
      </c>
      <c r="AK83" t="str" cm="1">
        <f t="array" ref="AK83">_xlfn.IFS(A83&lt;=30,"18-30",A83&lt;=45,"31-45",A83&lt;=60,"46-60",TRUE, "60+")</f>
        <v>31-45</v>
      </c>
      <c r="AL83" t="str" cm="1">
        <f t="array" ref="AL83">_xlfn.IFS(F83&lt;=10,"0-10",F83&lt;=20,"11-20",TRUE,"20+")</f>
        <v>0-10</v>
      </c>
      <c r="AM83" t="str" cm="1">
        <f t="array" ref="AM83">_xlfn.IFS(S83&lt;=5000,"0-5k",S83&lt;=10000,"5k-10k",S83&lt;=15000,"10k-15k",TRUE,"15k+")</f>
        <v>0-5k</v>
      </c>
      <c r="AN83" t="str" cm="1">
        <f t="array" ref="AN83">_xlfn.IFS(AF83&lt;=10,"0-10",AF83&lt;=20,"10-20",AF83&lt;=30,"20-30",TRUE,"30+")</f>
        <v>0-10</v>
      </c>
      <c r="AO83" t="str" cm="1">
        <f t="array" ref="AO83">_xlfn.IFS(Y83=1,"Poor",Y83=2,"Average",Y83=3,"Good",TRUE,"Excellent")</f>
        <v>Good</v>
      </c>
      <c r="AP83" t="str" cm="1">
        <f t="array" ref="AP83">_xlfn.IFS(Q83=1,"Low",Q83=2,"Medium",Q83=3,"High",TRUE,"Very High")</f>
        <v>High</v>
      </c>
    </row>
    <row r="84" spans="1:42" x14ac:dyDescent="0.25">
      <c r="A84">
        <v>55</v>
      </c>
      <c r="B84" t="s">
        <v>42</v>
      </c>
      <c r="C84" t="s">
        <v>90</v>
      </c>
      <c r="D84">
        <v>111</v>
      </c>
      <c r="E84" t="s">
        <v>36</v>
      </c>
      <c r="F84">
        <v>1</v>
      </c>
      <c r="G84">
        <v>2</v>
      </c>
      <c r="H84" t="s">
        <v>37</v>
      </c>
      <c r="I84">
        <v>1</v>
      </c>
      <c r="J84">
        <v>106</v>
      </c>
      <c r="K84">
        <v>1</v>
      </c>
      <c r="L84" t="s">
        <v>44</v>
      </c>
      <c r="M84">
        <v>70</v>
      </c>
      <c r="N84">
        <v>3</v>
      </c>
      <c r="O84">
        <v>3</v>
      </c>
      <c r="P84" t="s">
        <v>39</v>
      </c>
      <c r="Q84">
        <v>4</v>
      </c>
      <c r="R84" t="s">
        <v>46</v>
      </c>
      <c r="S84">
        <v>10239</v>
      </c>
      <c r="T84">
        <v>18092</v>
      </c>
      <c r="U84">
        <v>3</v>
      </c>
      <c r="V84" t="s">
        <v>41</v>
      </c>
      <c r="W84" t="s">
        <v>42</v>
      </c>
      <c r="X84">
        <v>14</v>
      </c>
      <c r="Y84">
        <v>3</v>
      </c>
      <c r="Z84">
        <v>4</v>
      </c>
      <c r="AA84">
        <v>80</v>
      </c>
      <c r="AB84">
        <v>1</v>
      </c>
      <c r="AC84">
        <v>24</v>
      </c>
      <c r="AD84">
        <v>4</v>
      </c>
      <c r="AE84">
        <v>3</v>
      </c>
      <c r="AF84">
        <v>1</v>
      </c>
      <c r="AG84">
        <v>0</v>
      </c>
      <c r="AH84">
        <v>1</v>
      </c>
      <c r="AI84">
        <v>0</v>
      </c>
      <c r="AJ84">
        <f t="shared" si="1"/>
        <v>0</v>
      </c>
      <c r="AK84" t="str" cm="1">
        <f t="array" ref="AK84">_xlfn.IFS(A84&lt;=30,"18-30",A84&lt;=45,"31-45",A84&lt;=60,"46-60",TRUE, "60+")</f>
        <v>46-60</v>
      </c>
      <c r="AL84" t="str" cm="1">
        <f t="array" ref="AL84">_xlfn.IFS(F84&lt;=10,"0-10",F84&lt;=20,"11-20",TRUE,"20+")</f>
        <v>0-10</v>
      </c>
      <c r="AM84" t="str" cm="1">
        <f t="array" ref="AM84">_xlfn.IFS(S84&lt;=5000,"0-5k",S84&lt;=10000,"5k-10k",S84&lt;=15000,"10k-15k",TRUE,"15k+")</f>
        <v>10k-15k</v>
      </c>
      <c r="AN84" t="str" cm="1">
        <f t="array" ref="AN84">_xlfn.IFS(AF84&lt;=10,"0-10",AF84&lt;=20,"10-20",AF84&lt;=30,"20-30",TRUE,"30+")</f>
        <v>0-10</v>
      </c>
      <c r="AO84" t="str" cm="1">
        <f t="array" ref="AO84">_xlfn.IFS(Y84=1,"Poor",Y84=2,"Average",Y84=3,"Good",TRUE,"Excellent")</f>
        <v>Good</v>
      </c>
      <c r="AP84" t="str" cm="1">
        <f t="array" ref="AP84">_xlfn.IFS(Q84=1,"Low",Q84=2,"Medium",Q84=3,"High",TRUE,"Very High")</f>
        <v>Very High</v>
      </c>
    </row>
    <row r="85" spans="1:42" x14ac:dyDescent="0.25">
      <c r="A85">
        <v>38</v>
      </c>
      <c r="B85" t="s">
        <v>42</v>
      </c>
      <c r="C85" t="s">
        <v>53</v>
      </c>
      <c r="D85">
        <v>573</v>
      </c>
      <c r="E85" t="s">
        <v>43</v>
      </c>
      <c r="F85">
        <v>6</v>
      </c>
      <c r="G85">
        <v>3</v>
      </c>
      <c r="H85" t="s">
        <v>49</v>
      </c>
      <c r="I85">
        <v>1</v>
      </c>
      <c r="J85">
        <v>107</v>
      </c>
      <c r="K85">
        <v>2</v>
      </c>
      <c r="L85" t="s">
        <v>38</v>
      </c>
      <c r="M85">
        <v>79</v>
      </c>
      <c r="N85">
        <v>1</v>
      </c>
      <c r="O85">
        <v>2</v>
      </c>
      <c r="P85" t="s">
        <v>45</v>
      </c>
      <c r="Q85">
        <v>4</v>
      </c>
      <c r="R85" t="s">
        <v>50</v>
      </c>
      <c r="S85">
        <v>5329</v>
      </c>
      <c r="T85">
        <v>15717</v>
      </c>
      <c r="U85">
        <v>7</v>
      </c>
      <c r="V85" t="s">
        <v>41</v>
      </c>
      <c r="W85" t="s">
        <v>35</v>
      </c>
      <c r="X85">
        <v>12</v>
      </c>
      <c r="Y85">
        <v>3</v>
      </c>
      <c r="Z85">
        <v>4</v>
      </c>
      <c r="AA85">
        <v>80</v>
      </c>
      <c r="AB85">
        <v>3</v>
      </c>
      <c r="AC85">
        <v>17</v>
      </c>
      <c r="AD85">
        <v>3</v>
      </c>
      <c r="AE85">
        <v>3</v>
      </c>
      <c r="AF85">
        <v>13</v>
      </c>
      <c r="AG85">
        <v>11</v>
      </c>
      <c r="AH85">
        <v>1</v>
      </c>
      <c r="AI85">
        <v>9</v>
      </c>
      <c r="AJ85">
        <f t="shared" si="1"/>
        <v>0</v>
      </c>
      <c r="AK85" t="str" cm="1">
        <f t="array" ref="AK85">_xlfn.IFS(A85&lt;=30,"18-30",A85&lt;=45,"31-45",A85&lt;=60,"46-60",TRUE, "60+")</f>
        <v>31-45</v>
      </c>
      <c r="AL85" t="str" cm="1">
        <f t="array" ref="AL85">_xlfn.IFS(F85&lt;=10,"0-10",F85&lt;=20,"11-20",TRUE,"20+")</f>
        <v>0-10</v>
      </c>
      <c r="AM85" t="str" cm="1">
        <f t="array" ref="AM85">_xlfn.IFS(S85&lt;=5000,"0-5k",S85&lt;=10000,"5k-10k",S85&lt;=15000,"10k-15k",TRUE,"15k+")</f>
        <v>5k-10k</v>
      </c>
      <c r="AN85" t="str" cm="1">
        <f t="array" ref="AN85">_xlfn.IFS(AF85&lt;=10,"0-10",AF85&lt;=20,"10-20",AF85&lt;=30,"20-30",TRUE,"30+")</f>
        <v>10-20</v>
      </c>
      <c r="AO85" t="str" cm="1">
        <f t="array" ref="AO85">_xlfn.IFS(Y85=1,"Poor",Y85=2,"Average",Y85=3,"Good",TRUE,"Excellent")</f>
        <v>Good</v>
      </c>
      <c r="AP85" t="str" cm="1">
        <f t="array" ref="AP85">_xlfn.IFS(Q85=1,"Low",Q85=2,"Medium",Q85=3,"High",TRUE,"Very High")</f>
        <v>Very High</v>
      </c>
    </row>
    <row r="86" spans="1:42" x14ac:dyDescent="0.25">
      <c r="A86">
        <v>34</v>
      </c>
      <c r="B86" t="s">
        <v>42</v>
      </c>
      <c r="C86" t="s">
        <v>90</v>
      </c>
      <c r="D86">
        <v>1153</v>
      </c>
      <c r="E86" t="s">
        <v>43</v>
      </c>
      <c r="F86">
        <v>1</v>
      </c>
      <c r="G86">
        <v>2</v>
      </c>
      <c r="H86" t="s">
        <v>49</v>
      </c>
      <c r="I86">
        <v>1</v>
      </c>
      <c r="J86">
        <v>110</v>
      </c>
      <c r="K86">
        <v>1</v>
      </c>
      <c r="L86" t="s">
        <v>44</v>
      </c>
      <c r="M86">
        <v>94</v>
      </c>
      <c r="N86">
        <v>3</v>
      </c>
      <c r="O86">
        <v>2</v>
      </c>
      <c r="P86" t="s">
        <v>51</v>
      </c>
      <c r="Q86">
        <v>2</v>
      </c>
      <c r="R86" t="s">
        <v>46</v>
      </c>
      <c r="S86">
        <v>4325</v>
      </c>
      <c r="T86">
        <v>17736</v>
      </c>
      <c r="U86">
        <v>1</v>
      </c>
      <c r="V86" t="s">
        <v>41</v>
      </c>
      <c r="W86" t="s">
        <v>42</v>
      </c>
      <c r="X86">
        <v>15</v>
      </c>
      <c r="Y86">
        <v>3</v>
      </c>
      <c r="Z86">
        <v>3</v>
      </c>
      <c r="AA86">
        <v>80</v>
      </c>
      <c r="AB86">
        <v>0</v>
      </c>
      <c r="AC86">
        <v>5</v>
      </c>
      <c r="AD86">
        <v>2</v>
      </c>
      <c r="AE86">
        <v>3</v>
      </c>
      <c r="AF86">
        <v>5</v>
      </c>
      <c r="AG86">
        <v>2</v>
      </c>
      <c r="AH86">
        <v>1</v>
      </c>
      <c r="AI86">
        <v>3</v>
      </c>
      <c r="AJ86">
        <f t="shared" si="1"/>
        <v>0</v>
      </c>
      <c r="AK86" t="str" cm="1">
        <f t="array" ref="AK86">_xlfn.IFS(A86&lt;=30,"18-30",A86&lt;=45,"31-45",A86&lt;=60,"46-60",TRUE, "60+")</f>
        <v>31-45</v>
      </c>
      <c r="AL86" t="str" cm="1">
        <f t="array" ref="AL86">_xlfn.IFS(F86&lt;=10,"0-10",F86&lt;=20,"11-20",TRUE,"20+")</f>
        <v>0-10</v>
      </c>
      <c r="AM86" t="str" cm="1">
        <f t="array" ref="AM86">_xlfn.IFS(S86&lt;=5000,"0-5k",S86&lt;=10000,"5k-10k",S86&lt;=15000,"10k-15k",TRUE,"15k+")</f>
        <v>0-5k</v>
      </c>
      <c r="AN86" t="str" cm="1">
        <f t="array" ref="AN86">_xlfn.IFS(AF86&lt;=10,"0-10",AF86&lt;=20,"10-20",AF86&lt;=30,"20-30",TRUE,"30+")</f>
        <v>0-10</v>
      </c>
      <c r="AO86" t="str" cm="1">
        <f t="array" ref="AO86">_xlfn.IFS(Y86=1,"Poor",Y86=2,"Average",Y86=3,"Good",TRUE,"Excellent")</f>
        <v>Good</v>
      </c>
      <c r="AP86" t="str" cm="1">
        <f t="array" ref="AP86">_xlfn.IFS(Q86=1,"Low",Q86=2,"Medium",Q86=3,"High",TRUE,"Very High")</f>
        <v>Medium</v>
      </c>
    </row>
    <row r="87" spans="1:42" x14ac:dyDescent="0.25">
      <c r="A87">
        <v>56</v>
      </c>
      <c r="B87" t="s">
        <v>42</v>
      </c>
      <c r="C87" t="s">
        <v>90</v>
      </c>
      <c r="D87">
        <v>1400</v>
      </c>
      <c r="E87" t="s">
        <v>43</v>
      </c>
      <c r="F87">
        <v>7</v>
      </c>
      <c r="G87">
        <v>3</v>
      </c>
      <c r="H87" t="s">
        <v>37</v>
      </c>
      <c r="I87">
        <v>1</v>
      </c>
      <c r="J87">
        <v>112</v>
      </c>
      <c r="K87">
        <v>4</v>
      </c>
      <c r="L87" t="s">
        <v>44</v>
      </c>
      <c r="M87">
        <v>49</v>
      </c>
      <c r="N87">
        <v>1</v>
      </c>
      <c r="O87">
        <v>3</v>
      </c>
      <c r="P87" t="s">
        <v>51</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c r="AJ87">
        <f t="shared" si="1"/>
        <v>0</v>
      </c>
      <c r="AK87" t="str" cm="1">
        <f t="array" ref="AK87">_xlfn.IFS(A87&lt;=30,"18-30",A87&lt;=45,"31-45",A87&lt;=60,"46-60",TRUE, "60+")</f>
        <v>46-60</v>
      </c>
      <c r="AL87" t="str" cm="1">
        <f t="array" ref="AL87">_xlfn.IFS(F87&lt;=10,"0-10",F87&lt;=20,"11-20",TRUE,"20+")</f>
        <v>0-10</v>
      </c>
      <c r="AM87" t="str" cm="1">
        <f t="array" ref="AM87">_xlfn.IFS(S87&lt;=5000,"0-5k",S87&lt;=10000,"5k-10k",S87&lt;=15000,"10k-15k",TRUE,"15k+")</f>
        <v>5k-10k</v>
      </c>
      <c r="AN87" t="str" cm="1">
        <f t="array" ref="AN87">_xlfn.IFS(AF87&lt;=10,"0-10",AF87&lt;=20,"10-20",AF87&lt;=30,"20-30",TRUE,"30+")</f>
        <v>0-10</v>
      </c>
      <c r="AO87" t="str" cm="1">
        <f t="array" ref="AO87">_xlfn.IFS(Y87=1,"Poor",Y87=2,"Average",Y87=3,"Good",TRUE,"Excellent")</f>
        <v>Good</v>
      </c>
      <c r="AP87" t="str" cm="1">
        <f t="array" ref="AP87">_xlfn.IFS(Q87=1,"Low",Q87=2,"Medium",Q87=3,"High",TRUE,"Very High")</f>
        <v>Very High</v>
      </c>
    </row>
    <row r="88" spans="1:42" x14ac:dyDescent="0.25">
      <c r="A88">
        <v>23</v>
      </c>
      <c r="B88" t="s">
        <v>42</v>
      </c>
      <c r="C88" t="s">
        <v>90</v>
      </c>
      <c r="D88">
        <v>541</v>
      </c>
      <c r="E88" t="s">
        <v>36</v>
      </c>
      <c r="F88">
        <v>2</v>
      </c>
      <c r="G88">
        <v>1</v>
      </c>
      <c r="H88" t="s">
        <v>58</v>
      </c>
      <c r="I88">
        <v>1</v>
      </c>
      <c r="J88">
        <v>113</v>
      </c>
      <c r="K88">
        <v>3</v>
      </c>
      <c r="L88" t="s">
        <v>44</v>
      </c>
      <c r="M88">
        <v>62</v>
      </c>
      <c r="N88">
        <v>3</v>
      </c>
      <c r="O88">
        <v>1</v>
      </c>
      <c r="P88" t="s">
        <v>55</v>
      </c>
      <c r="Q88">
        <v>1</v>
      </c>
      <c r="R88" t="s">
        <v>50</v>
      </c>
      <c r="S88">
        <v>2322</v>
      </c>
      <c r="T88">
        <v>9518</v>
      </c>
      <c r="U88">
        <v>3</v>
      </c>
      <c r="V88" t="s">
        <v>41</v>
      </c>
      <c r="W88" t="s">
        <v>42</v>
      </c>
      <c r="X88">
        <v>13</v>
      </c>
      <c r="Y88">
        <v>3</v>
      </c>
      <c r="Z88">
        <v>3</v>
      </c>
      <c r="AA88">
        <v>80</v>
      </c>
      <c r="AB88">
        <v>1</v>
      </c>
      <c r="AC88">
        <v>3</v>
      </c>
      <c r="AD88">
        <v>3</v>
      </c>
      <c r="AE88">
        <v>3</v>
      </c>
      <c r="AF88">
        <v>0</v>
      </c>
      <c r="AG88">
        <v>0</v>
      </c>
      <c r="AH88">
        <v>0</v>
      </c>
      <c r="AI88">
        <v>0</v>
      </c>
      <c r="AJ88">
        <f t="shared" si="1"/>
        <v>0</v>
      </c>
      <c r="AK88" t="str" cm="1">
        <f t="array" ref="AK88">_xlfn.IFS(A88&lt;=30,"18-30",A88&lt;=45,"31-45",A88&lt;=60,"46-60",TRUE, "60+")</f>
        <v>18-30</v>
      </c>
      <c r="AL88" t="str" cm="1">
        <f t="array" ref="AL88">_xlfn.IFS(F88&lt;=10,"0-10",F88&lt;=20,"11-20",TRUE,"20+")</f>
        <v>0-10</v>
      </c>
      <c r="AM88" t="str" cm="1">
        <f t="array" ref="AM88">_xlfn.IFS(S88&lt;=5000,"0-5k",S88&lt;=10000,"5k-10k",S88&lt;=15000,"10k-15k",TRUE,"15k+")</f>
        <v>0-5k</v>
      </c>
      <c r="AN88" t="str" cm="1">
        <f t="array" ref="AN88">_xlfn.IFS(AF88&lt;=10,"0-10",AF88&lt;=20,"10-20",AF88&lt;=30,"20-30",TRUE,"30+")</f>
        <v>0-10</v>
      </c>
      <c r="AO88" t="str" cm="1">
        <f t="array" ref="AO88">_xlfn.IFS(Y88=1,"Poor",Y88=2,"Average",Y88=3,"Good",TRUE,"Excellent")</f>
        <v>Good</v>
      </c>
      <c r="AP88" t="str" cm="1">
        <f t="array" ref="AP88">_xlfn.IFS(Q88=1,"Low",Q88=2,"Medium",Q88=3,"High",TRUE,"Very High")</f>
        <v>Low</v>
      </c>
    </row>
    <row r="89" spans="1:42" x14ac:dyDescent="0.25">
      <c r="A89">
        <v>51</v>
      </c>
      <c r="B89" t="s">
        <v>42</v>
      </c>
      <c r="C89" t="s">
        <v>90</v>
      </c>
      <c r="D89">
        <v>432</v>
      </c>
      <c r="E89" t="s">
        <v>43</v>
      </c>
      <c r="F89">
        <v>9</v>
      </c>
      <c r="G89">
        <v>4</v>
      </c>
      <c r="H89" t="s">
        <v>37</v>
      </c>
      <c r="I89">
        <v>1</v>
      </c>
      <c r="J89">
        <v>116</v>
      </c>
      <c r="K89">
        <v>4</v>
      </c>
      <c r="L89" t="s">
        <v>44</v>
      </c>
      <c r="M89">
        <v>96</v>
      </c>
      <c r="N89">
        <v>3</v>
      </c>
      <c r="O89">
        <v>1</v>
      </c>
      <c r="P89" t="s">
        <v>48</v>
      </c>
      <c r="Q89">
        <v>4</v>
      </c>
      <c r="R89" t="s">
        <v>46</v>
      </c>
      <c r="S89">
        <v>2075</v>
      </c>
      <c r="T89">
        <v>18725</v>
      </c>
      <c r="U89">
        <v>3</v>
      </c>
      <c r="V89" t="s">
        <v>41</v>
      </c>
      <c r="W89" t="s">
        <v>42</v>
      </c>
      <c r="X89">
        <v>23</v>
      </c>
      <c r="Y89">
        <v>4</v>
      </c>
      <c r="Z89">
        <v>2</v>
      </c>
      <c r="AA89">
        <v>80</v>
      </c>
      <c r="AB89">
        <v>2</v>
      </c>
      <c r="AC89">
        <v>10</v>
      </c>
      <c r="AD89">
        <v>4</v>
      </c>
      <c r="AE89">
        <v>3</v>
      </c>
      <c r="AF89">
        <v>4</v>
      </c>
      <c r="AG89">
        <v>2</v>
      </c>
      <c r="AH89">
        <v>0</v>
      </c>
      <c r="AI89">
        <v>3</v>
      </c>
      <c r="AJ89">
        <f t="shared" si="1"/>
        <v>0</v>
      </c>
      <c r="AK89" t="str" cm="1">
        <f t="array" ref="AK89">_xlfn.IFS(A89&lt;=30,"18-30",A89&lt;=45,"31-45",A89&lt;=60,"46-60",TRUE, "60+")</f>
        <v>46-60</v>
      </c>
      <c r="AL89" t="str" cm="1">
        <f t="array" ref="AL89">_xlfn.IFS(F89&lt;=10,"0-10",F89&lt;=20,"11-20",TRUE,"20+")</f>
        <v>0-10</v>
      </c>
      <c r="AM89" t="str" cm="1">
        <f t="array" ref="AM89">_xlfn.IFS(S89&lt;=5000,"0-5k",S89&lt;=10000,"5k-10k",S89&lt;=15000,"10k-15k",TRUE,"15k+")</f>
        <v>0-5k</v>
      </c>
      <c r="AN89" t="str" cm="1">
        <f t="array" ref="AN89">_xlfn.IFS(AF89&lt;=10,"0-10",AF89&lt;=20,"10-20",AF89&lt;=30,"20-30",TRUE,"30+")</f>
        <v>0-10</v>
      </c>
      <c r="AO89" t="str" cm="1">
        <f t="array" ref="AO89">_xlfn.IFS(Y89=1,"Poor",Y89=2,"Average",Y89=3,"Good",TRUE,"Excellent")</f>
        <v>Excellent</v>
      </c>
      <c r="AP89" t="str" cm="1">
        <f t="array" ref="AP89">_xlfn.IFS(Q89=1,"Low",Q89=2,"Medium",Q89=3,"High",TRUE,"Very High")</f>
        <v>Very High</v>
      </c>
    </row>
    <row r="90" spans="1:42" x14ac:dyDescent="0.25">
      <c r="A90">
        <v>30</v>
      </c>
      <c r="B90" t="s">
        <v>42</v>
      </c>
      <c r="C90" t="s">
        <v>90</v>
      </c>
      <c r="D90">
        <v>288</v>
      </c>
      <c r="E90" t="s">
        <v>43</v>
      </c>
      <c r="F90">
        <v>2</v>
      </c>
      <c r="G90">
        <v>3</v>
      </c>
      <c r="H90" t="s">
        <v>37</v>
      </c>
      <c r="I90">
        <v>1</v>
      </c>
      <c r="J90">
        <v>117</v>
      </c>
      <c r="K90">
        <v>3</v>
      </c>
      <c r="L90" t="s">
        <v>44</v>
      </c>
      <c r="M90">
        <v>99</v>
      </c>
      <c r="N90">
        <v>2</v>
      </c>
      <c r="O90">
        <v>2</v>
      </c>
      <c r="P90" t="s">
        <v>52</v>
      </c>
      <c r="Q90">
        <v>4</v>
      </c>
      <c r="R90" t="s">
        <v>46</v>
      </c>
      <c r="S90">
        <v>4152</v>
      </c>
      <c r="T90">
        <v>15830</v>
      </c>
      <c r="U90">
        <v>1</v>
      </c>
      <c r="V90" t="s">
        <v>41</v>
      </c>
      <c r="W90" t="s">
        <v>42</v>
      </c>
      <c r="X90">
        <v>19</v>
      </c>
      <c r="Y90">
        <v>3</v>
      </c>
      <c r="Z90">
        <v>1</v>
      </c>
      <c r="AA90">
        <v>80</v>
      </c>
      <c r="AB90">
        <v>3</v>
      </c>
      <c r="AC90">
        <v>11</v>
      </c>
      <c r="AD90">
        <v>3</v>
      </c>
      <c r="AE90">
        <v>3</v>
      </c>
      <c r="AF90">
        <v>11</v>
      </c>
      <c r="AG90">
        <v>10</v>
      </c>
      <c r="AH90">
        <v>10</v>
      </c>
      <c r="AI90">
        <v>8</v>
      </c>
      <c r="AJ90">
        <f t="shared" si="1"/>
        <v>0</v>
      </c>
      <c r="AK90" t="str" cm="1">
        <f t="array" ref="AK90">_xlfn.IFS(A90&lt;=30,"18-30",A90&lt;=45,"31-45",A90&lt;=60,"46-60",TRUE, "60+")</f>
        <v>18-30</v>
      </c>
      <c r="AL90" t="str" cm="1">
        <f t="array" ref="AL90">_xlfn.IFS(F90&lt;=10,"0-10",F90&lt;=20,"11-20",TRUE,"20+")</f>
        <v>0-10</v>
      </c>
      <c r="AM90" t="str" cm="1">
        <f t="array" ref="AM90">_xlfn.IFS(S90&lt;=5000,"0-5k",S90&lt;=10000,"5k-10k",S90&lt;=15000,"10k-15k",TRUE,"15k+")</f>
        <v>0-5k</v>
      </c>
      <c r="AN90" t="str" cm="1">
        <f t="array" ref="AN90">_xlfn.IFS(AF90&lt;=10,"0-10",AF90&lt;=20,"10-20",AF90&lt;=30,"20-30",TRUE,"30+")</f>
        <v>10-20</v>
      </c>
      <c r="AO90" t="str" cm="1">
        <f t="array" ref="AO90">_xlfn.IFS(Y90=1,"Poor",Y90=2,"Average",Y90=3,"Good",TRUE,"Excellent")</f>
        <v>Good</v>
      </c>
      <c r="AP90" t="str" cm="1">
        <f t="array" ref="AP90">_xlfn.IFS(Q90=1,"Low",Q90=2,"Medium",Q90=3,"High",TRUE,"Very High")</f>
        <v>Very High</v>
      </c>
    </row>
    <row r="91" spans="1:42" x14ac:dyDescent="0.25">
      <c r="A91">
        <v>46</v>
      </c>
      <c r="B91" t="s">
        <v>35</v>
      </c>
      <c r="C91" t="s">
        <v>90</v>
      </c>
      <c r="D91">
        <v>669</v>
      </c>
      <c r="E91" t="s">
        <v>36</v>
      </c>
      <c r="F91">
        <v>9</v>
      </c>
      <c r="G91">
        <v>2</v>
      </c>
      <c r="H91" t="s">
        <v>49</v>
      </c>
      <c r="I91">
        <v>1</v>
      </c>
      <c r="J91">
        <v>118</v>
      </c>
      <c r="K91">
        <v>3</v>
      </c>
      <c r="L91" t="s">
        <v>44</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c r="AJ91">
        <f t="shared" si="1"/>
        <v>1</v>
      </c>
      <c r="AK91" t="str" cm="1">
        <f t="array" ref="AK91">_xlfn.IFS(A91&lt;=30,"18-30",A91&lt;=45,"31-45",A91&lt;=60,"46-60",TRUE, "60+")</f>
        <v>46-60</v>
      </c>
      <c r="AL91" t="str" cm="1">
        <f t="array" ref="AL91">_xlfn.IFS(F91&lt;=10,"0-10",F91&lt;=20,"11-20",TRUE,"20+")</f>
        <v>0-10</v>
      </c>
      <c r="AM91" t="str" cm="1">
        <f t="array" ref="AM91">_xlfn.IFS(S91&lt;=5000,"0-5k",S91&lt;=10000,"5k-10k",S91&lt;=15000,"10k-15k",TRUE,"15k+")</f>
        <v>5k-10k</v>
      </c>
      <c r="AN91" t="str" cm="1">
        <f t="array" ref="AN91">_xlfn.IFS(AF91&lt;=10,"0-10",AF91&lt;=20,"10-20",AF91&lt;=30,"20-30",TRUE,"30+")</f>
        <v>0-10</v>
      </c>
      <c r="AO91" t="str" cm="1">
        <f t="array" ref="AO91">_xlfn.IFS(Y91=1,"Poor",Y91=2,"Average",Y91=3,"Good",TRUE,"Excellent")</f>
        <v>Good</v>
      </c>
      <c r="AP91" t="str" cm="1">
        <f t="array" ref="AP91">_xlfn.IFS(Q91=1,"Low",Q91=2,"Medium",Q91=3,"High",TRUE,"Very High")</f>
        <v>Very High</v>
      </c>
    </row>
    <row r="92" spans="1:42" x14ac:dyDescent="0.25">
      <c r="A92">
        <v>40</v>
      </c>
      <c r="B92" t="s">
        <v>42</v>
      </c>
      <c r="C92" t="s">
        <v>91</v>
      </c>
      <c r="D92">
        <v>530</v>
      </c>
      <c r="E92" t="s">
        <v>43</v>
      </c>
      <c r="F92">
        <v>1</v>
      </c>
      <c r="G92">
        <v>4</v>
      </c>
      <c r="H92" t="s">
        <v>37</v>
      </c>
      <c r="I92">
        <v>1</v>
      </c>
      <c r="J92">
        <v>119</v>
      </c>
      <c r="K92">
        <v>3</v>
      </c>
      <c r="L92" t="s">
        <v>44</v>
      </c>
      <c r="M92">
        <v>78</v>
      </c>
      <c r="N92">
        <v>2</v>
      </c>
      <c r="O92">
        <v>4</v>
      </c>
      <c r="P92" t="s">
        <v>52</v>
      </c>
      <c r="Q92">
        <v>2</v>
      </c>
      <c r="R92" t="s">
        <v>46</v>
      </c>
      <c r="S92">
        <v>13503</v>
      </c>
      <c r="T92">
        <v>14115</v>
      </c>
      <c r="U92">
        <v>1</v>
      </c>
      <c r="V92" t="s">
        <v>41</v>
      </c>
      <c r="W92" t="s">
        <v>42</v>
      </c>
      <c r="X92">
        <v>22</v>
      </c>
      <c r="Y92">
        <v>4</v>
      </c>
      <c r="Z92">
        <v>4</v>
      </c>
      <c r="AA92">
        <v>80</v>
      </c>
      <c r="AB92">
        <v>1</v>
      </c>
      <c r="AC92">
        <v>22</v>
      </c>
      <c r="AD92">
        <v>3</v>
      </c>
      <c r="AE92">
        <v>2</v>
      </c>
      <c r="AF92">
        <v>22</v>
      </c>
      <c r="AG92">
        <v>3</v>
      </c>
      <c r="AH92">
        <v>11</v>
      </c>
      <c r="AI92">
        <v>11</v>
      </c>
      <c r="AJ92">
        <f t="shared" si="1"/>
        <v>0</v>
      </c>
      <c r="AK92" t="str" cm="1">
        <f t="array" ref="AK92">_xlfn.IFS(A92&lt;=30,"18-30",A92&lt;=45,"31-45",A92&lt;=60,"46-60",TRUE, "60+")</f>
        <v>31-45</v>
      </c>
      <c r="AL92" t="str" cm="1">
        <f t="array" ref="AL92">_xlfn.IFS(F92&lt;=10,"0-10",F92&lt;=20,"11-20",TRUE,"20+")</f>
        <v>0-10</v>
      </c>
      <c r="AM92" t="str" cm="1">
        <f t="array" ref="AM92">_xlfn.IFS(S92&lt;=5000,"0-5k",S92&lt;=10000,"5k-10k",S92&lt;=15000,"10k-15k",TRUE,"15k+")</f>
        <v>10k-15k</v>
      </c>
      <c r="AN92" t="str" cm="1">
        <f t="array" ref="AN92">_xlfn.IFS(AF92&lt;=10,"0-10",AF92&lt;=20,"10-20",AF92&lt;=30,"20-30",TRUE,"30+")</f>
        <v>20-30</v>
      </c>
      <c r="AO92" t="str" cm="1">
        <f t="array" ref="AO92">_xlfn.IFS(Y92=1,"Poor",Y92=2,"Average",Y92=3,"Good",TRUE,"Excellent")</f>
        <v>Excellent</v>
      </c>
      <c r="AP92" t="str" cm="1">
        <f t="array" ref="AP92">_xlfn.IFS(Q92=1,"Low",Q92=2,"Medium",Q92=3,"High",TRUE,"Very High")</f>
        <v>Medium</v>
      </c>
    </row>
    <row r="93" spans="1:42" x14ac:dyDescent="0.25">
      <c r="A93">
        <v>51</v>
      </c>
      <c r="B93" t="s">
        <v>42</v>
      </c>
      <c r="C93" t="s">
        <v>90</v>
      </c>
      <c r="D93">
        <v>632</v>
      </c>
      <c r="E93" t="s">
        <v>36</v>
      </c>
      <c r="F93">
        <v>21</v>
      </c>
      <c r="G93">
        <v>4</v>
      </c>
      <c r="H93" t="s">
        <v>57</v>
      </c>
      <c r="I93">
        <v>1</v>
      </c>
      <c r="J93">
        <v>120</v>
      </c>
      <c r="K93">
        <v>3</v>
      </c>
      <c r="L93" t="s">
        <v>44</v>
      </c>
      <c r="M93">
        <v>71</v>
      </c>
      <c r="N93">
        <v>3</v>
      </c>
      <c r="O93">
        <v>2</v>
      </c>
      <c r="P93" t="s">
        <v>39</v>
      </c>
      <c r="Q93">
        <v>4</v>
      </c>
      <c r="R93" t="s">
        <v>40</v>
      </c>
      <c r="S93">
        <v>5441</v>
      </c>
      <c r="T93">
        <v>8423</v>
      </c>
      <c r="U93">
        <v>0</v>
      </c>
      <c r="V93" t="s">
        <v>41</v>
      </c>
      <c r="W93" t="s">
        <v>35</v>
      </c>
      <c r="X93">
        <v>22</v>
      </c>
      <c r="Y93">
        <v>4</v>
      </c>
      <c r="Z93">
        <v>4</v>
      </c>
      <c r="AA93">
        <v>80</v>
      </c>
      <c r="AB93">
        <v>0</v>
      </c>
      <c r="AC93">
        <v>11</v>
      </c>
      <c r="AD93">
        <v>2</v>
      </c>
      <c r="AE93">
        <v>1</v>
      </c>
      <c r="AF93">
        <v>10</v>
      </c>
      <c r="AG93">
        <v>7</v>
      </c>
      <c r="AH93">
        <v>1</v>
      </c>
      <c r="AI93">
        <v>0</v>
      </c>
      <c r="AJ93">
        <f t="shared" si="1"/>
        <v>0</v>
      </c>
      <c r="AK93" t="str" cm="1">
        <f t="array" ref="AK93">_xlfn.IFS(A93&lt;=30,"18-30",A93&lt;=45,"31-45",A93&lt;=60,"46-60",TRUE, "60+")</f>
        <v>46-60</v>
      </c>
      <c r="AL93" t="str" cm="1">
        <f t="array" ref="AL93">_xlfn.IFS(F93&lt;=10,"0-10",F93&lt;=20,"11-20",TRUE,"20+")</f>
        <v>20+</v>
      </c>
      <c r="AM93" t="str" cm="1">
        <f t="array" ref="AM93">_xlfn.IFS(S93&lt;=5000,"0-5k",S93&lt;=10000,"5k-10k",S93&lt;=15000,"10k-15k",TRUE,"15k+")</f>
        <v>5k-10k</v>
      </c>
      <c r="AN93" t="str" cm="1">
        <f t="array" ref="AN93">_xlfn.IFS(AF93&lt;=10,"0-10",AF93&lt;=20,"10-20",AF93&lt;=30,"20-30",TRUE,"30+")</f>
        <v>0-10</v>
      </c>
      <c r="AO93" t="str" cm="1">
        <f t="array" ref="AO93">_xlfn.IFS(Y93=1,"Poor",Y93=2,"Average",Y93=3,"Good",TRUE,"Excellent")</f>
        <v>Excellent</v>
      </c>
      <c r="AP93" t="str" cm="1">
        <f t="array" ref="AP93">_xlfn.IFS(Q93=1,"Low",Q93=2,"Medium",Q93=3,"High",TRUE,"Very High")</f>
        <v>Very High</v>
      </c>
    </row>
    <row r="94" spans="1:42" x14ac:dyDescent="0.25">
      <c r="A94">
        <v>30</v>
      </c>
      <c r="B94" t="s">
        <v>42</v>
      </c>
      <c r="C94" t="s">
        <v>90</v>
      </c>
      <c r="D94">
        <v>1334</v>
      </c>
      <c r="E94" t="s">
        <v>36</v>
      </c>
      <c r="F94">
        <v>4</v>
      </c>
      <c r="G94">
        <v>2</v>
      </c>
      <c r="H94" t="s">
        <v>49</v>
      </c>
      <c r="I94">
        <v>1</v>
      </c>
      <c r="J94">
        <v>121</v>
      </c>
      <c r="K94">
        <v>3</v>
      </c>
      <c r="L94" t="s">
        <v>38</v>
      </c>
      <c r="M94">
        <v>63</v>
      </c>
      <c r="N94">
        <v>2</v>
      </c>
      <c r="O94">
        <v>2</v>
      </c>
      <c r="P94" t="s">
        <v>39</v>
      </c>
      <c r="Q94">
        <v>2</v>
      </c>
      <c r="R94" t="s">
        <v>50</v>
      </c>
      <c r="S94">
        <v>5209</v>
      </c>
      <c r="T94">
        <v>19760</v>
      </c>
      <c r="U94">
        <v>1</v>
      </c>
      <c r="V94" t="s">
        <v>41</v>
      </c>
      <c r="W94" t="s">
        <v>35</v>
      </c>
      <c r="X94">
        <v>12</v>
      </c>
      <c r="Y94">
        <v>3</v>
      </c>
      <c r="Z94">
        <v>2</v>
      </c>
      <c r="AA94">
        <v>80</v>
      </c>
      <c r="AB94">
        <v>3</v>
      </c>
      <c r="AC94">
        <v>11</v>
      </c>
      <c r="AD94">
        <v>4</v>
      </c>
      <c r="AE94">
        <v>2</v>
      </c>
      <c r="AF94">
        <v>11</v>
      </c>
      <c r="AG94">
        <v>8</v>
      </c>
      <c r="AH94">
        <v>2</v>
      </c>
      <c r="AI94">
        <v>7</v>
      </c>
      <c r="AJ94">
        <f t="shared" si="1"/>
        <v>0</v>
      </c>
      <c r="AK94" t="str" cm="1">
        <f t="array" ref="AK94">_xlfn.IFS(A94&lt;=30,"18-30",A94&lt;=45,"31-45",A94&lt;=60,"46-60",TRUE, "60+")</f>
        <v>18-30</v>
      </c>
      <c r="AL94" t="str" cm="1">
        <f t="array" ref="AL94">_xlfn.IFS(F94&lt;=10,"0-10",F94&lt;=20,"11-20",TRUE,"20+")</f>
        <v>0-10</v>
      </c>
      <c r="AM94" t="str" cm="1">
        <f t="array" ref="AM94">_xlfn.IFS(S94&lt;=5000,"0-5k",S94&lt;=10000,"5k-10k",S94&lt;=15000,"10k-15k",TRUE,"15k+")</f>
        <v>5k-10k</v>
      </c>
      <c r="AN94" t="str" cm="1">
        <f t="array" ref="AN94">_xlfn.IFS(AF94&lt;=10,"0-10",AF94&lt;=20,"10-20",AF94&lt;=30,"20-30",TRUE,"30+")</f>
        <v>10-20</v>
      </c>
      <c r="AO94" t="str" cm="1">
        <f t="array" ref="AO94">_xlfn.IFS(Y94=1,"Poor",Y94=2,"Average",Y94=3,"Good",TRUE,"Excellent")</f>
        <v>Good</v>
      </c>
      <c r="AP94" t="str" cm="1">
        <f t="array" ref="AP94">_xlfn.IFS(Q94=1,"Low",Q94=2,"Medium",Q94=3,"High",TRUE,"Very High")</f>
        <v>Medium</v>
      </c>
    </row>
    <row r="95" spans="1:42" x14ac:dyDescent="0.25">
      <c r="A95">
        <v>46</v>
      </c>
      <c r="B95" t="s">
        <v>42</v>
      </c>
      <c r="C95" t="s">
        <v>91</v>
      </c>
      <c r="D95">
        <v>638</v>
      </c>
      <c r="E95" t="s">
        <v>43</v>
      </c>
      <c r="F95">
        <v>1</v>
      </c>
      <c r="G95">
        <v>3</v>
      </c>
      <c r="H95" t="s">
        <v>49</v>
      </c>
      <c r="I95">
        <v>1</v>
      </c>
      <c r="J95">
        <v>124</v>
      </c>
      <c r="K95">
        <v>3</v>
      </c>
      <c r="L95" t="s">
        <v>44</v>
      </c>
      <c r="M95">
        <v>40</v>
      </c>
      <c r="N95">
        <v>2</v>
      </c>
      <c r="O95">
        <v>3</v>
      </c>
      <c r="P95" t="s">
        <v>52</v>
      </c>
      <c r="Q95">
        <v>1</v>
      </c>
      <c r="R95" t="s">
        <v>46</v>
      </c>
      <c r="S95">
        <v>10673</v>
      </c>
      <c r="T95">
        <v>3142</v>
      </c>
      <c r="U95">
        <v>2</v>
      </c>
      <c r="V95" t="s">
        <v>41</v>
      </c>
      <c r="W95" t="s">
        <v>35</v>
      </c>
      <c r="X95">
        <v>13</v>
      </c>
      <c r="Y95">
        <v>3</v>
      </c>
      <c r="Z95">
        <v>3</v>
      </c>
      <c r="AA95">
        <v>80</v>
      </c>
      <c r="AB95">
        <v>1</v>
      </c>
      <c r="AC95">
        <v>21</v>
      </c>
      <c r="AD95">
        <v>5</v>
      </c>
      <c r="AE95">
        <v>2</v>
      </c>
      <c r="AF95">
        <v>10</v>
      </c>
      <c r="AG95">
        <v>9</v>
      </c>
      <c r="AH95">
        <v>9</v>
      </c>
      <c r="AI95">
        <v>5</v>
      </c>
      <c r="AJ95">
        <f t="shared" si="1"/>
        <v>0</v>
      </c>
      <c r="AK95" t="str" cm="1">
        <f t="array" ref="AK95">_xlfn.IFS(A95&lt;=30,"18-30",A95&lt;=45,"31-45",A95&lt;=60,"46-60",TRUE, "60+")</f>
        <v>46-60</v>
      </c>
      <c r="AL95" t="str" cm="1">
        <f t="array" ref="AL95">_xlfn.IFS(F95&lt;=10,"0-10",F95&lt;=20,"11-20",TRUE,"20+")</f>
        <v>0-10</v>
      </c>
      <c r="AM95" t="str" cm="1">
        <f t="array" ref="AM95">_xlfn.IFS(S95&lt;=5000,"0-5k",S95&lt;=10000,"5k-10k",S95&lt;=15000,"10k-15k",TRUE,"15k+")</f>
        <v>10k-15k</v>
      </c>
      <c r="AN95" t="str" cm="1">
        <f t="array" ref="AN95">_xlfn.IFS(AF95&lt;=10,"0-10",AF95&lt;=20,"10-20",AF95&lt;=30,"20-30",TRUE,"30+")</f>
        <v>0-10</v>
      </c>
      <c r="AO95" t="str" cm="1">
        <f t="array" ref="AO95">_xlfn.IFS(Y95=1,"Poor",Y95=2,"Average",Y95=3,"Good",TRUE,"Excellent")</f>
        <v>Good</v>
      </c>
      <c r="AP95" t="str" cm="1">
        <f t="array" ref="AP95">_xlfn.IFS(Q95=1,"Low",Q95=2,"Medium",Q95=3,"High",TRUE,"Very High")</f>
        <v>Low</v>
      </c>
    </row>
    <row r="96" spans="1:42" x14ac:dyDescent="0.25">
      <c r="A96">
        <v>32</v>
      </c>
      <c r="B96" t="s">
        <v>42</v>
      </c>
      <c r="C96" t="s">
        <v>90</v>
      </c>
      <c r="D96">
        <v>1093</v>
      </c>
      <c r="E96" t="s">
        <v>36</v>
      </c>
      <c r="F96">
        <v>6</v>
      </c>
      <c r="G96">
        <v>4</v>
      </c>
      <c r="H96" t="s">
        <v>49</v>
      </c>
      <c r="I96">
        <v>1</v>
      </c>
      <c r="J96">
        <v>125</v>
      </c>
      <c r="K96">
        <v>2</v>
      </c>
      <c r="L96" t="s">
        <v>44</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c r="AJ96">
        <f t="shared" si="1"/>
        <v>0</v>
      </c>
      <c r="AK96" t="str" cm="1">
        <f t="array" ref="AK96">_xlfn.IFS(A96&lt;=30,"18-30",A96&lt;=45,"31-45",A96&lt;=60,"46-60",TRUE, "60+")</f>
        <v>31-45</v>
      </c>
      <c r="AL96" t="str" cm="1">
        <f t="array" ref="AL96">_xlfn.IFS(F96&lt;=10,"0-10",F96&lt;=20,"11-20",TRUE,"20+")</f>
        <v>0-10</v>
      </c>
      <c r="AM96" t="str" cm="1">
        <f t="array" ref="AM96">_xlfn.IFS(S96&lt;=5000,"0-5k",S96&lt;=10000,"5k-10k",S96&lt;=15000,"10k-15k",TRUE,"15k+")</f>
        <v>5k-10k</v>
      </c>
      <c r="AN96" t="str" cm="1">
        <f t="array" ref="AN96">_xlfn.IFS(AF96&lt;=10,"0-10",AF96&lt;=20,"10-20",AF96&lt;=30,"20-30",TRUE,"30+")</f>
        <v>10-20</v>
      </c>
      <c r="AO96" t="str" cm="1">
        <f t="array" ref="AO96">_xlfn.IFS(Y96=1,"Poor",Y96=2,"Average",Y96=3,"Good",TRUE,"Excellent")</f>
        <v>Good</v>
      </c>
      <c r="AP96" t="str" cm="1">
        <f t="array" ref="AP96">_xlfn.IFS(Q96=1,"Low",Q96=2,"Medium",Q96=3,"High",TRUE,"Very High")</f>
        <v>High</v>
      </c>
    </row>
    <row r="97" spans="1:42" x14ac:dyDescent="0.25">
      <c r="A97">
        <v>54</v>
      </c>
      <c r="B97" t="s">
        <v>42</v>
      </c>
      <c r="C97" t="s">
        <v>90</v>
      </c>
      <c r="D97">
        <v>1217</v>
      </c>
      <c r="E97" t="s">
        <v>43</v>
      </c>
      <c r="F97">
        <v>2</v>
      </c>
      <c r="G97">
        <v>4</v>
      </c>
      <c r="H97" t="s">
        <v>58</v>
      </c>
      <c r="I97">
        <v>1</v>
      </c>
      <c r="J97">
        <v>126</v>
      </c>
      <c r="K97">
        <v>1</v>
      </c>
      <c r="L97" t="s">
        <v>38</v>
      </c>
      <c r="M97">
        <v>60</v>
      </c>
      <c r="N97">
        <v>3</v>
      </c>
      <c r="O97">
        <v>3</v>
      </c>
      <c r="P97" t="s">
        <v>56</v>
      </c>
      <c r="Q97">
        <v>3</v>
      </c>
      <c r="R97" t="s">
        <v>46</v>
      </c>
      <c r="S97">
        <v>13549</v>
      </c>
      <c r="T97">
        <v>24001</v>
      </c>
      <c r="U97">
        <v>9</v>
      </c>
      <c r="V97" t="s">
        <v>41</v>
      </c>
      <c r="W97" t="s">
        <v>42</v>
      </c>
      <c r="X97">
        <v>12</v>
      </c>
      <c r="Y97">
        <v>3</v>
      </c>
      <c r="Z97">
        <v>1</v>
      </c>
      <c r="AA97">
        <v>80</v>
      </c>
      <c r="AB97">
        <v>1</v>
      </c>
      <c r="AC97">
        <v>16</v>
      </c>
      <c r="AD97">
        <v>5</v>
      </c>
      <c r="AE97">
        <v>1</v>
      </c>
      <c r="AF97">
        <v>4</v>
      </c>
      <c r="AG97">
        <v>3</v>
      </c>
      <c r="AH97">
        <v>0</v>
      </c>
      <c r="AI97">
        <v>3</v>
      </c>
      <c r="AJ97">
        <f t="shared" si="1"/>
        <v>0</v>
      </c>
      <c r="AK97" t="str" cm="1">
        <f t="array" ref="AK97">_xlfn.IFS(A97&lt;=30,"18-30",A97&lt;=45,"31-45",A97&lt;=60,"46-60",TRUE, "60+")</f>
        <v>46-60</v>
      </c>
      <c r="AL97" t="str" cm="1">
        <f t="array" ref="AL97">_xlfn.IFS(F97&lt;=10,"0-10",F97&lt;=20,"11-20",TRUE,"20+")</f>
        <v>0-10</v>
      </c>
      <c r="AM97" t="str" cm="1">
        <f t="array" ref="AM97">_xlfn.IFS(S97&lt;=5000,"0-5k",S97&lt;=10000,"5k-10k",S97&lt;=15000,"10k-15k",TRUE,"15k+")</f>
        <v>10k-15k</v>
      </c>
      <c r="AN97" t="str" cm="1">
        <f t="array" ref="AN97">_xlfn.IFS(AF97&lt;=10,"0-10",AF97&lt;=20,"10-20",AF97&lt;=30,"20-30",TRUE,"30+")</f>
        <v>0-10</v>
      </c>
      <c r="AO97" t="str" cm="1">
        <f t="array" ref="AO97">_xlfn.IFS(Y97=1,"Poor",Y97=2,"Average",Y97=3,"Good",TRUE,"Excellent")</f>
        <v>Good</v>
      </c>
      <c r="AP97" t="str" cm="1">
        <f t="array" ref="AP97">_xlfn.IFS(Q97=1,"Low",Q97=2,"Medium",Q97=3,"High",TRUE,"Very High")</f>
        <v>High</v>
      </c>
    </row>
    <row r="98" spans="1:42" x14ac:dyDescent="0.25">
      <c r="A98">
        <v>24</v>
      </c>
      <c r="B98" t="s">
        <v>42</v>
      </c>
      <c r="C98" t="s">
        <v>90</v>
      </c>
      <c r="D98">
        <v>1353</v>
      </c>
      <c r="E98" t="s">
        <v>36</v>
      </c>
      <c r="F98">
        <v>3</v>
      </c>
      <c r="G98">
        <v>2</v>
      </c>
      <c r="H98" t="s">
        <v>47</v>
      </c>
      <c r="I98">
        <v>1</v>
      </c>
      <c r="J98">
        <v>128</v>
      </c>
      <c r="K98">
        <v>1</v>
      </c>
      <c r="L98" t="s">
        <v>38</v>
      </c>
      <c r="M98">
        <v>33</v>
      </c>
      <c r="N98">
        <v>3</v>
      </c>
      <c r="O98">
        <v>2</v>
      </c>
      <c r="P98" t="s">
        <v>39</v>
      </c>
      <c r="Q98">
        <v>3</v>
      </c>
      <c r="R98" t="s">
        <v>46</v>
      </c>
      <c r="S98">
        <v>4999</v>
      </c>
      <c r="T98">
        <v>17519</v>
      </c>
      <c r="U98">
        <v>0</v>
      </c>
      <c r="V98" t="s">
        <v>41</v>
      </c>
      <c r="W98" t="s">
        <v>42</v>
      </c>
      <c r="X98">
        <v>21</v>
      </c>
      <c r="Y98">
        <v>4</v>
      </c>
      <c r="Z98">
        <v>1</v>
      </c>
      <c r="AA98">
        <v>80</v>
      </c>
      <c r="AB98">
        <v>1</v>
      </c>
      <c r="AC98">
        <v>4</v>
      </c>
      <c r="AD98">
        <v>2</v>
      </c>
      <c r="AE98">
        <v>2</v>
      </c>
      <c r="AF98">
        <v>3</v>
      </c>
      <c r="AG98">
        <v>2</v>
      </c>
      <c r="AH98">
        <v>0</v>
      </c>
      <c r="AI98">
        <v>2</v>
      </c>
      <c r="AJ98">
        <f t="shared" si="1"/>
        <v>0</v>
      </c>
      <c r="AK98" t="str" cm="1">
        <f t="array" ref="AK98">_xlfn.IFS(A98&lt;=30,"18-30",A98&lt;=45,"31-45",A98&lt;=60,"46-60",TRUE, "60+")</f>
        <v>18-30</v>
      </c>
      <c r="AL98" t="str" cm="1">
        <f t="array" ref="AL98">_xlfn.IFS(F98&lt;=10,"0-10",F98&lt;=20,"11-20",TRUE,"20+")</f>
        <v>0-10</v>
      </c>
      <c r="AM98" t="str" cm="1">
        <f t="array" ref="AM98">_xlfn.IFS(S98&lt;=5000,"0-5k",S98&lt;=10000,"5k-10k",S98&lt;=15000,"10k-15k",TRUE,"15k+")</f>
        <v>0-5k</v>
      </c>
      <c r="AN98" t="str" cm="1">
        <f t="array" ref="AN98">_xlfn.IFS(AF98&lt;=10,"0-10",AF98&lt;=20,"10-20",AF98&lt;=30,"20-30",TRUE,"30+")</f>
        <v>0-10</v>
      </c>
      <c r="AO98" t="str" cm="1">
        <f t="array" ref="AO98">_xlfn.IFS(Y98=1,"Poor",Y98=2,"Average",Y98=3,"Good",TRUE,"Excellent")</f>
        <v>Excellent</v>
      </c>
      <c r="AP98" t="str" cm="1">
        <f t="array" ref="AP98">_xlfn.IFS(Q98=1,"Low",Q98=2,"Medium",Q98=3,"High",TRUE,"Very High")</f>
        <v>High</v>
      </c>
    </row>
    <row r="99" spans="1:42" x14ac:dyDescent="0.25">
      <c r="A99">
        <v>28</v>
      </c>
      <c r="B99" t="s">
        <v>42</v>
      </c>
      <c r="C99" t="s">
        <v>53</v>
      </c>
      <c r="D99">
        <v>120</v>
      </c>
      <c r="E99" t="s">
        <v>36</v>
      </c>
      <c r="F99">
        <v>4</v>
      </c>
      <c r="G99">
        <v>3</v>
      </c>
      <c r="H99" t="s">
        <v>49</v>
      </c>
      <c r="I99">
        <v>1</v>
      </c>
      <c r="J99">
        <v>129</v>
      </c>
      <c r="K99">
        <v>2</v>
      </c>
      <c r="L99" t="s">
        <v>44</v>
      </c>
      <c r="M99">
        <v>43</v>
      </c>
      <c r="N99">
        <v>3</v>
      </c>
      <c r="O99">
        <v>2</v>
      </c>
      <c r="P99" t="s">
        <v>39</v>
      </c>
      <c r="Q99">
        <v>3</v>
      </c>
      <c r="R99" t="s">
        <v>46</v>
      </c>
      <c r="S99">
        <v>4221</v>
      </c>
      <c r="T99">
        <v>8863</v>
      </c>
      <c r="U99">
        <v>1</v>
      </c>
      <c r="V99" t="s">
        <v>41</v>
      </c>
      <c r="W99" t="s">
        <v>42</v>
      </c>
      <c r="X99">
        <v>15</v>
      </c>
      <c r="Y99">
        <v>3</v>
      </c>
      <c r="Z99">
        <v>2</v>
      </c>
      <c r="AA99">
        <v>80</v>
      </c>
      <c r="AB99">
        <v>0</v>
      </c>
      <c r="AC99">
        <v>5</v>
      </c>
      <c r="AD99">
        <v>3</v>
      </c>
      <c r="AE99">
        <v>4</v>
      </c>
      <c r="AF99">
        <v>5</v>
      </c>
      <c r="AG99">
        <v>4</v>
      </c>
      <c r="AH99">
        <v>0</v>
      </c>
      <c r="AI99">
        <v>4</v>
      </c>
      <c r="AJ99">
        <f t="shared" si="1"/>
        <v>0</v>
      </c>
      <c r="AK99" t="str" cm="1">
        <f t="array" ref="AK99">_xlfn.IFS(A99&lt;=30,"18-30",A99&lt;=45,"31-45",A99&lt;=60,"46-60",TRUE, "60+")</f>
        <v>18-30</v>
      </c>
      <c r="AL99" t="str" cm="1">
        <f t="array" ref="AL99">_xlfn.IFS(F99&lt;=10,"0-10",F99&lt;=20,"11-20",TRUE,"20+")</f>
        <v>0-10</v>
      </c>
      <c r="AM99" t="str" cm="1">
        <f t="array" ref="AM99">_xlfn.IFS(S99&lt;=5000,"0-5k",S99&lt;=10000,"5k-10k",S99&lt;=15000,"10k-15k",TRUE,"15k+")</f>
        <v>0-5k</v>
      </c>
      <c r="AN99" t="str" cm="1">
        <f t="array" ref="AN99">_xlfn.IFS(AF99&lt;=10,"0-10",AF99&lt;=20,"10-20",AF99&lt;=30,"20-30",TRUE,"30+")</f>
        <v>0-10</v>
      </c>
      <c r="AO99" t="str" cm="1">
        <f t="array" ref="AO99">_xlfn.IFS(Y99=1,"Poor",Y99=2,"Average",Y99=3,"Good",TRUE,"Excellent")</f>
        <v>Good</v>
      </c>
      <c r="AP99" t="str" cm="1">
        <f t="array" ref="AP99">_xlfn.IFS(Q99=1,"Low",Q99=2,"Medium",Q99=3,"High",TRUE,"Very High")</f>
        <v>High</v>
      </c>
    </row>
    <row r="100" spans="1:42" x14ac:dyDescent="0.25">
      <c r="A100">
        <v>58</v>
      </c>
      <c r="B100" t="s">
        <v>42</v>
      </c>
      <c r="C100" t="s">
        <v>90</v>
      </c>
      <c r="D100">
        <v>682</v>
      </c>
      <c r="E100" t="s">
        <v>36</v>
      </c>
      <c r="F100">
        <v>10</v>
      </c>
      <c r="G100">
        <v>4</v>
      </c>
      <c r="H100" t="s">
        <v>49</v>
      </c>
      <c r="I100">
        <v>1</v>
      </c>
      <c r="J100">
        <v>131</v>
      </c>
      <c r="K100">
        <v>4</v>
      </c>
      <c r="L100" t="s">
        <v>44</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c r="AJ100">
        <f t="shared" si="1"/>
        <v>0</v>
      </c>
      <c r="AK100" t="str" cm="1">
        <f t="array" ref="AK100">_xlfn.IFS(A100&lt;=30,"18-30",A100&lt;=45,"31-45",A100&lt;=60,"46-60",TRUE, "60+")</f>
        <v>46-60</v>
      </c>
      <c r="AL100" t="str" cm="1">
        <f t="array" ref="AL100">_xlfn.IFS(F100&lt;=10,"0-10",F100&lt;=20,"11-20",TRUE,"20+")</f>
        <v>0-10</v>
      </c>
      <c r="AM100" t="str" cm="1">
        <f t="array" ref="AM100">_xlfn.IFS(S100&lt;=5000,"0-5k",S100&lt;=10000,"5k-10k",S100&lt;=15000,"10k-15k",TRUE,"15k+")</f>
        <v>10k-15k</v>
      </c>
      <c r="AN100" t="str" cm="1">
        <f t="array" ref="AN100">_xlfn.IFS(AF100&lt;=10,"0-10",AF100&lt;=20,"10-20",AF100&lt;=30,"20-30",TRUE,"30+")</f>
        <v>30+</v>
      </c>
      <c r="AO100" t="str" cm="1">
        <f t="array" ref="AO100">_xlfn.IFS(Y100=1,"Poor",Y100=2,"Average",Y100=3,"Good",TRUE,"Excellent")</f>
        <v>Good</v>
      </c>
      <c r="AP100" t="str" cm="1">
        <f t="array" ref="AP100">_xlfn.IFS(Q100=1,"Low",Q100=2,"Medium",Q100=3,"High",TRUE,"Very High")</f>
        <v>High</v>
      </c>
    </row>
    <row r="101" spans="1:42" x14ac:dyDescent="0.25">
      <c r="A101">
        <v>44</v>
      </c>
      <c r="B101" t="s">
        <v>42</v>
      </c>
      <c r="C101" t="s">
        <v>53</v>
      </c>
      <c r="D101">
        <v>489</v>
      </c>
      <c r="E101" t="s">
        <v>43</v>
      </c>
      <c r="F101">
        <v>23</v>
      </c>
      <c r="G101">
        <v>3</v>
      </c>
      <c r="H101" t="s">
        <v>49</v>
      </c>
      <c r="I101">
        <v>1</v>
      </c>
      <c r="J101">
        <v>132</v>
      </c>
      <c r="K101">
        <v>2</v>
      </c>
      <c r="L101" t="s">
        <v>44</v>
      </c>
      <c r="M101">
        <v>67</v>
      </c>
      <c r="N101">
        <v>3</v>
      </c>
      <c r="O101">
        <v>2</v>
      </c>
      <c r="P101" t="s">
        <v>48</v>
      </c>
      <c r="Q101">
        <v>2</v>
      </c>
      <c r="R101" t="s">
        <v>46</v>
      </c>
      <c r="S101">
        <v>2042</v>
      </c>
      <c r="T101">
        <v>25043</v>
      </c>
      <c r="U101">
        <v>4</v>
      </c>
      <c r="V101" t="s">
        <v>41</v>
      </c>
      <c r="W101" t="s">
        <v>42</v>
      </c>
      <c r="X101">
        <v>12</v>
      </c>
      <c r="Y101">
        <v>3</v>
      </c>
      <c r="Z101">
        <v>3</v>
      </c>
      <c r="AA101">
        <v>80</v>
      </c>
      <c r="AB101">
        <v>1</v>
      </c>
      <c r="AC101">
        <v>17</v>
      </c>
      <c r="AD101">
        <v>3</v>
      </c>
      <c r="AE101">
        <v>4</v>
      </c>
      <c r="AF101">
        <v>3</v>
      </c>
      <c r="AG101">
        <v>2</v>
      </c>
      <c r="AH101">
        <v>1</v>
      </c>
      <c r="AI101">
        <v>2</v>
      </c>
      <c r="AJ101">
        <f t="shared" si="1"/>
        <v>0</v>
      </c>
      <c r="AK101" t="str" cm="1">
        <f t="array" ref="AK101">_xlfn.IFS(A101&lt;=30,"18-30",A101&lt;=45,"31-45",A101&lt;=60,"46-60",TRUE, "60+")</f>
        <v>31-45</v>
      </c>
      <c r="AL101" t="str" cm="1">
        <f t="array" ref="AL101">_xlfn.IFS(F101&lt;=10,"0-10",F101&lt;=20,"11-20",TRUE,"20+")</f>
        <v>20+</v>
      </c>
      <c r="AM101" t="str" cm="1">
        <f t="array" ref="AM101">_xlfn.IFS(S101&lt;=5000,"0-5k",S101&lt;=10000,"5k-10k",S101&lt;=15000,"10k-15k",TRUE,"15k+")</f>
        <v>0-5k</v>
      </c>
      <c r="AN101" t="str" cm="1">
        <f t="array" ref="AN101">_xlfn.IFS(AF101&lt;=10,"0-10",AF101&lt;=20,"10-20",AF101&lt;=30,"20-30",TRUE,"30+")</f>
        <v>0-10</v>
      </c>
      <c r="AO101" t="str" cm="1">
        <f t="array" ref="AO101">_xlfn.IFS(Y101=1,"Poor",Y101=2,"Average",Y101=3,"Good",TRUE,"Excellent")</f>
        <v>Good</v>
      </c>
      <c r="AP101" t="str" cm="1">
        <f t="array" ref="AP101">_xlfn.IFS(Q101=1,"Low",Q101=2,"Medium",Q101=3,"High",TRUE,"Very High")</f>
        <v>Medium</v>
      </c>
    </row>
    <row r="102" spans="1:42" x14ac:dyDescent="0.25">
      <c r="A102">
        <v>37</v>
      </c>
      <c r="B102" t="s">
        <v>35</v>
      </c>
      <c r="C102" t="s">
        <v>90</v>
      </c>
      <c r="D102">
        <v>807</v>
      </c>
      <c r="E102" t="s">
        <v>59</v>
      </c>
      <c r="F102">
        <v>6</v>
      </c>
      <c r="G102">
        <v>4</v>
      </c>
      <c r="H102" t="s">
        <v>59</v>
      </c>
      <c r="I102">
        <v>1</v>
      </c>
      <c r="J102">
        <v>133</v>
      </c>
      <c r="K102">
        <v>3</v>
      </c>
      <c r="L102" t="s">
        <v>44</v>
      </c>
      <c r="M102">
        <v>63</v>
      </c>
      <c r="N102">
        <v>3</v>
      </c>
      <c r="O102">
        <v>1</v>
      </c>
      <c r="P102" t="s">
        <v>59</v>
      </c>
      <c r="Q102">
        <v>1</v>
      </c>
      <c r="R102" t="s">
        <v>50</v>
      </c>
      <c r="S102">
        <v>2073</v>
      </c>
      <c r="T102">
        <v>23648</v>
      </c>
      <c r="U102">
        <v>4</v>
      </c>
      <c r="V102" t="s">
        <v>41</v>
      </c>
      <c r="W102" t="s">
        <v>35</v>
      </c>
      <c r="X102">
        <v>22</v>
      </c>
      <c r="Y102">
        <v>4</v>
      </c>
      <c r="Z102">
        <v>4</v>
      </c>
      <c r="AA102">
        <v>80</v>
      </c>
      <c r="AB102">
        <v>0</v>
      </c>
      <c r="AC102">
        <v>7</v>
      </c>
      <c r="AD102">
        <v>3</v>
      </c>
      <c r="AE102">
        <v>3</v>
      </c>
      <c r="AF102">
        <v>3</v>
      </c>
      <c r="AG102">
        <v>2</v>
      </c>
      <c r="AH102">
        <v>0</v>
      </c>
      <c r="AI102">
        <v>2</v>
      </c>
      <c r="AJ102">
        <f t="shared" si="1"/>
        <v>1</v>
      </c>
      <c r="AK102" t="str" cm="1">
        <f t="array" ref="AK102">_xlfn.IFS(A102&lt;=30,"18-30",A102&lt;=45,"31-45",A102&lt;=60,"46-60",TRUE, "60+")</f>
        <v>31-45</v>
      </c>
      <c r="AL102" t="str" cm="1">
        <f t="array" ref="AL102">_xlfn.IFS(F102&lt;=10,"0-10",F102&lt;=20,"11-20",TRUE,"20+")</f>
        <v>0-10</v>
      </c>
      <c r="AM102" t="str" cm="1">
        <f t="array" ref="AM102">_xlfn.IFS(S102&lt;=5000,"0-5k",S102&lt;=10000,"5k-10k",S102&lt;=15000,"10k-15k",TRUE,"15k+")</f>
        <v>0-5k</v>
      </c>
      <c r="AN102" t="str" cm="1">
        <f t="array" ref="AN102">_xlfn.IFS(AF102&lt;=10,"0-10",AF102&lt;=20,"10-20",AF102&lt;=30,"20-30",TRUE,"30+")</f>
        <v>0-10</v>
      </c>
      <c r="AO102" t="str" cm="1">
        <f t="array" ref="AO102">_xlfn.IFS(Y102=1,"Poor",Y102=2,"Average",Y102=3,"Good",TRUE,"Excellent")</f>
        <v>Excellent</v>
      </c>
      <c r="AP102" t="str" cm="1">
        <f t="array" ref="AP102">_xlfn.IFS(Q102=1,"Low",Q102=2,"Medium",Q102=3,"High",TRUE,"Very High")</f>
        <v>Low</v>
      </c>
    </row>
    <row r="103" spans="1:42" x14ac:dyDescent="0.25">
      <c r="A103">
        <v>32</v>
      </c>
      <c r="B103" t="s">
        <v>42</v>
      </c>
      <c r="C103" t="s">
        <v>90</v>
      </c>
      <c r="D103">
        <v>827</v>
      </c>
      <c r="E103" t="s">
        <v>43</v>
      </c>
      <c r="F103">
        <v>1</v>
      </c>
      <c r="G103">
        <v>1</v>
      </c>
      <c r="H103" t="s">
        <v>37</v>
      </c>
      <c r="I103">
        <v>1</v>
      </c>
      <c r="J103">
        <v>134</v>
      </c>
      <c r="K103">
        <v>4</v>
      </c>
      <c r="L103" t="s">
        <v>44</v>
      </c>
      <c r="M103">
        <v>71</v>
      </c>
      <c r="N103">
        <v>3</v>
      </c>
      <c r="O103">
        <v>1</v>
      </c>
      <c r="P103" t="s">
        <v>45</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c r="AJ103">
        <f t="shared" si="1"/>
        <v>0</v>
      </c>
      <c r="AK103" t="str" cm="1">
        <f t="array" ref="AK103">_xlfn.IFS(A103&lt;=30,"18-30",A103&lt;=45,"31-45",A103&lt;=60,"46-60",TRUE, "60+")</f>
        <v>31-45</v>
      </c>
      <c r="AL103" t="str" cm="1">
        <f t="array" ref="AL103">_xlfn.IFS(F103&lt;=10,"0-10",F103&lt;=20,"11-20",TRUE,"20+")</f>
        <v>0-10</v>
      </c>
      <c r="AM103" t="str" cm="1">
        <f t="array" ref="AM103">_xlfn.IFS(S103&lt;=5000,"0-5k",S103&lt;=10000,"5k-10k",S103&lt;=15000,"10k-15k",TRUE,"15k+")</f>
        <v>0-5k</v>
      </c>
      <c r="AN103" t="str" cm="1">
        <f t="array" ref="AN103">_xlfn.IFS(AF103&lt;=10,"0-10",AF103&lt;=20,"10-20",AF103&lt;=30,"20-30",TRUE,"30+")</f>
        <v>0-10</v>
      </c>
      <c r="AO103" t="str" cm="1">
        <f t="array" ref="AO103">_xlfn.IFS(Y103=1,"Poor",Y103=2,"Average",Y103=3,"Good",TRUE,"Excellent")</f>
        <v>Good</v>
      </c>
      <c r="AP103" t="str" cm="1">
        <f t="array" ref="AP103">_xlfn.IFS(Q103=1,"Low",Q103=2,"Medium",Q103=3,"High",TRUE,"Very High")</f>
        <v>Low</v>
      </c>
    </row>
    <row r="104" spans="1:42" x14ac:dyDescent="0.25">
      <c r="A104">
        <v>20</v>
      </c>
      <c r="B104" t="s">
        <v>35</v>
      </c>
      <c r="C104" t="s">
        <v>91</v>
      </c>
      <c r="D104">
        <v>871</v>
      </c>
      <c r="E104" t="s">
        <v>43</v>
      </c>
      <c r="F104">
        <v>6</v>
      </c>
      <c r="G104">
        <v>3</v>
      </c>
      <c r="H104" t="s">
        <v>37</v>
      </c>
      <c r="I104">
        <v>1</v>
      </c>
      <c r="J104">
        <v>137</v>
      </c>
      <c r="K104">
        <v>4</v>
      </c>
      <c r="L104" t="s">
        <v>38</v>
      </c>
      <c r="M104">
        <v>66</v>
      </c>
      <c r="N104">
        <v>2</v>
      </c>
      <c r="O104">
        <v>1</v>
      </c>
      <c r="P104" t="s">
        <v>48</v>
      </c>
      <c r="Q104">
        <v>4</v>
      </c>
      <c r="R104" t="s">
        <v>40</v>
      </c>
      <c r="S104">
        <v>2926</v>
      </c>
      <c r="T104">
        <v>19783</v>
      </c>
      <c r="U104">
        <v>1</v>
      </c>
      <c r="V104" t="s">
        <v>41</v>
      </c>
      <c r="W104" t="s">
        <v>35</v>
      </c>
      <c r="X104">
        <v>18</v>
      </c>
      <c r="Y104">
        <v>3</v>
      </c>
      <c r="Z104">
        <v>2</v>
      </c>
      <c r="AA104">
        <v>80</v>
      </c>
      <c r="AB104">
        <v>0</v>
      </c>
      <c r="AC104">
        <v>1</v>
      </c>
      <c r="AD104">
        <v>5</v>
      </c>
      <c r="AE104">
        <v>3</v>
      </c>
      <c r="AF104">
        <v>1</v>
      </c>
      <c r="AG104">
        <v>0</v>
      </c>
      <c r="AH104">
        <v>1</v>
      </c>
      <c r="AI104">
        <v>0</v>
      </c>
      <c r="AJ104">
        <f t="shared" si="1"/>
        <v>1</v>
      </c>
      <c r="AK104" t="str" cm="1">
        <f t="array" ref="AK104">_xlfn.IFS(A104&lt;=30,"18-30",A104&lt;=45,"31-45",A104&lt;=60,"46-60",TRUE, "60+")</f>
        <v>18-30</v>
      </c>
      <c r="AL104" t="str" cm="1">
        <f t="array" ref="AL104">_xlfn.IFS(F104&lt;=10,"0-10",F104&lt;=20,"11-20",TRUE,"20+")</f>
        <v>0-10</v>
      </c>
      <c r="AM104" t="str" cm="1">
        <f t="array" ref="AM104">_xlfn.IFS(S104&lt;=5000,"0-5k",S104&lt;=10000,"5k-10k",S104&lt;=15000,"10k-15k",TRUE,"15k+")</f>
        <v>0-5k</v>
      </c>
      <c r="AN104" t="str" cm="1">
        <f t="array" ref="AN104">_xlfn.IFS(AF104&lt;=10,"0-10",AF104&lt;=20,"10-20",AF104&lt;=30,"20-30",TRUE,"30+")</f>
        <v>0-10</v>
      </c>
      <c r="AO104" t="str" cm="1">
        <f t="array" ref="AO104">_xlfn.IFS(Y104=1,"Poor",Y104=2,"Average",Y104=3,"Good",TRUE,"Excellent")</f>
        <v>Good</v>
      </c>
      <c r="AP104" t="str" cm="1">
        <f t="array" ref="AP104">_xlfn.IFS(Q104=1,"Low",Q104=2,"Medium",Q104=3,"High",TRUE,"Very High")</f>
        <v>Very High</v>
      </c>
    </row>
    <row r="105" spans="1:42" x14ac:dyDescent="0.25">
      <c r="A105">
        <v>34</v>
      </c>
      <c r="B105" t="s">
        <v>42</v>
      </c>
      <c r="C105" t="s">
        <v>90</v>
      </c>
      <c r="D105">
        <v>665</v>
      </c>
      <c r="E105" t="s">
        <v>43</v>
      </c>
      <c r="F105">
        <v>6</v>
      </c>
      <c r="G105">
        <v>4</v>
      </c>
      <c r="H105" t="s">
        <v>47</v>
      </c>
      <c r="I105">
        <v>1</v>
      </c>
      <c r="J105">
        <v>138</v>
      </c>
      <c r="K105">
        <v>1</v>
      </c>
      <c r="L105" t="s">
        <v>38</v>
      </c>
      <c r="M105">
        <v>41</v>
      </c>
      <c r="N105">
        <v>3</v>
      </c>
      <c r="O105">
        <v>2</v>
      </c>
      <c r="P105" t="s">
        <v>45</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c r="AJ105">
        <f t="shared" si="1"/>
        <v>0</v>
      </c>
      <c r="AK105" t="str" cm="1">
        <f t="array" ref="AK105">_xlfn.IFS(A105&lt;=30,"18-30",A105&lt;=45,"31-45",A105&lt;=60,"46-60",TRUE, "60+")</f>
        <v>31-45</v>
      </c>
      <c r="AL105" t="str" cm="1">
        <f t="array" ref="AL105">_xlfn.IFS(F105&lt;=10,"0-10",F105&lt;=20,"11-20",TRUE,"20+")</f>
        <v>0-10</v>
      </c>
      <c r="AM105" t="str" cm="1">
        <f t="array" ref="AM105">_xlfn.IFS(S105&lt;=5000,"0-5k",S105&lt;=10000,"5k-10k",S105&lt;=15000,"10k-15k",TRUE,"15k+")</f>
        <v>0-5k</v>
      </c>
      <c r="AN105" t="str" cm="1">
        <f t="array" ref="AN105">_xlfn.IFS(AF105&lt;=10,"0-10",AF105&lt;=20,"10-20",AF105&lt;=30,"20-30",TRUE,"30+")</f>
        <v>10-20</v>
      </c>
      <c r="AO105" t="str" cm="1">
        <f t="array" ref="AO105">_xlfn.IFS(Y105=1,"Poor",Y105=2,"Average",Y105=3,"Good",TRUE,"Excellent")</f>
        <v>Good</v>
      </c>
      <c r="AP105" t="str" cm="1">
        <f t="array" ref="AP105">_xlfn.IFS(Q105=1,"Low",Q105=2,"Medium",Q105=3,"High",TRUE,"Very High")</f>
        <v>High</v>
      </c>
    </row>
    <row r="106" spans="1:42" x14ac:dyDescent="0.25">
      <c r="A106">
        <v>37</v>
      </c>
      <c r="B106" t="s">
        <v>42</v>
      </c>
      <c r="C106" t="s">
        <v>53</v>
      </c>
      <c r="D106">
        <v>1040</v>
      </c>
      <c r="E106" t="s">
        <v>43</v>
      </c>
      <c r="F106">
        <v>2</v>
      </c>
      <c r="G106">
        <v>2</v>
      </c>
      <c r="H106" t="s">
        <v>37</v>
      </c>
      <c r="I106">
        <v>1</v>
      </c>
      <c r="J106">
        <v>139</v>
      </c>
      <c r="K106">
        <v>3</v>
      </c>
      <c r="L106" t="s">
        <v>44</v>
      </c>
      <c r="M106">
        <v>100</v>
      </c>
      <c r="N106">
        <v>2</v>
      </c>
      <c r="O106">
        <v>2</v>
      </c>
      <c r="P106" t="s">
        <v>52</v>
      </c>
      <c r="Q106">
        <v>4</v>
      </c>
      <c r="R106" t="s">
        <v>50</v>
      </c>
      <c r="S106">
        <v>5163</v>
      </c>
      <c r="T106">
        <v>15850</v>
      </c>
      <c r="U106">
        <v>5</v>
      </c>
      <c r="V106" t="s">
        <v>41</v>
      </c>
      <c r="W106" t="s">
        <v>42</v>
      </c>
      <c r="X106">
        <v>14</v>
      </c>
      <c r="Y106">
        <v>3</v>
      </c>
      <c r="Z106">
        <v>4</v>
      </c>
      <c r="AA106">
        <v>80</v>
      </c>
      <c r="AB106">
        <v>1</v>
      </c>
      <c r="AC106">
        <v>17</v>
      </c>
      <c r="AD106">
        <v>2</v>
      </c>
      <c r="AE106">
        <v>4</v>
      </c>
      <c r="AF106">
        <v>1</v>
      </c>
      <c r="AG106">
        <v>0</v>
      </c>
      <c r="AH106">
        <v>0</v>
      </c>
      <c r="AI106">
        <v>0</v>
      </c>
      <c r="AJ106">
        <f t="shared" si="1"/>
        <v>0</v>
      </c>
      <c r="AK106" t="str" cm="1">
        <f t="array" ref="AK106">_xlfn.IFS(A106&lt;=30,"18-30",A106&lt;=45,"31-45",A106&lt;=60,"46-60",TRUE, "60+")</f>
        <v>31-45</v>
      </c>
      <c r="AL106" t="str" cm="1">
        <f t="array" ref="AL106">_xlfn.IFS(F106&lt;=10,"0-10",F106&lt;=20,"11-20",TRUE,"20+")</f>
        <v>0-10</v>
      </c>
      <c r="AM106" t="str" cm="1">
        <f t="array" ref="AM106">_xlfn.IFS(S106&lt;=5000,"0-5k",S106&lt;=10000,"5k-10k",S106&lt;=15000,"10k-15k",TRUE,"15k+")</f>
        <v>5k-10k</v>
      </c>
      <c r="AN106" t="str" cm="1">
        <f t="array" ref="AN106">_xlfn.IFS(AF106&lt;=10,"0-10",AF106&lt;=20,"10-20",AF106&lt;=30,"20-30",TRUE,"30+")</f>
        <v>0-10</v>
      </c>
      <c r="AO106" t="str" cm="1">
        <f t="array" ref="AO106">_xlfn.IFS(Y106=1,"Poor",Y106=2,"Average",Y106=3,"Good",TRUE,"Excellent")</f>
        <v>Good</v>
      </c>
      <c r="AP106" t="str" cm="1">
        <f t="array" ref="AP106">_xlfn.IFS(Q106=1,"Low",Q106=2,"Medium",Q106=3,"High",TRUE,"Very High")</f>
        <v>Very High</v>
      </c>
    </row>
    <row r="107" spans="1:42" x14ac:dyDescent="0.25">
      <c r="A107">
        <v>59</v>
      </c>
      <c r="B107" t="s">
        <v>42</v>
      </c>
      <c r="C107" t="s">
        <v>53</v>
      </c>
      <c r="D107">
        <v>1420</v>
      </c>
      <c r="E107" t="s">
        <v>59</v>
      </c>
      <c r="F107">
        <v>2</v>
      </c>
      <c r="G107">
        <v>4</v>
      </c>
      <c r="H107" t="s">
        <v>59</v>
      </c>
      <c r="I107">
        <v>1</v>
      </c>
      <c r="J107">
        <v>140</v>
      </c>
      <c r="K107">
        <v>3</v>
      </c>
      <c r="L107" t="s">
        <v>38</v>
      </c>
      <c r="M107">
        <v>32</v>
      </c>
      <c r="N107">
        <v>2</v>
      </c>
      <c r="O107">
        <v>5</v>
      </c>
      <c r="P107" t="s">
        <v>54</v>
      </c>
      <c r="Q107">
        <v>4</v>
      </c>
      <c r="R107" t="s">
        <v>46</v>
      </c>
      <c r="S107">
        <v>18844</v>
      </c>
      <c r="T107">
        <v>21922</v>
      </c>
      <c r="U107">
        <v>9</v>
      </c>
      <c r="V107" t="s">
        <v>41</v>
      </c>
      <c r="W107" t="s">
        <v>42</v>
      </c>
      <c r="X107">
        <v>21</v>
      </c>
      <c r="Y107">
        <v>4</v>
      </c>
      <c r="Z107">
        <v>4</v>
      </c>
      <c r="AA107">
        <v>80</v>
      </c>
      <c r="AB107">
        <v>1</v>
      </c>
      <c r="AC107">
        <v>30</v>
      </c>
      <c r="AD107">
        <v>3</v>
      </c>
      <c r="AE107">
        <v>3</v>
      </c>
      <c r="AF107">
        <v>3</v>
      </c>
      <c r="AG107">
        <v>2</v>
      </c>
      <c r="AH107">
        <v>2</v>
      </c>
      <c r="AI107">
        <v>2</v>
      </c>
      <c r="AJ107">
        <f t="shared" si="1"/>
        <v>0</v>
      </c>
      <c r="AK107" t="str" cm="1">
        <f t="array" ref="AK107">_xlfn.IFS(A107&lt;=30,"18-30",A107&lt;=45,"31-45",A107&lt;=60,"46-60",TRUE, "60+")</f>
        <v>46-60</v>
      </c>
      <c r="AL107" t="str" cm="1">
        <f t="array" ref="AL107">_xlfn.IFS(F107&lt;=10,"0-10",F107&lt;=20,"11-20",TRUE,"20+")</f>
        <v>0-10</v>
      </c>
      <c r="AM107" t="str" cm="1">
        <f t="array" ref="AM107">_xlfn.IFS(S107&lt;=5000,"0-5k",S107&lt;=10000,"5k-10k",S107&lt;=15000,"10k-15k",TRUE,"15k+")</f>
        <v>15k+</v>
      </c>
      <c r="AN107" t="str" cm="1">
        <f t="array" ref="AN107">_xlfn.IFS(AF107&lt;=10,"0-10",AF107&lt;=20,"10-20",AF107&lt;=30,"20-30",TRUE,"30+")</f>
        <v>0-10</v>
      </c>
      <c r="AO107" t="str" cm="1">
        <f t="array" ref="AO107">_xlfn.IFS(Y107=1,"Poor",Y107=2,"Average",Y107=3,"Good",TRUE,"Excellent")</f>
        <v>Excellent</v>
      </c>
      <c r="AP107" t="str" cm="1">
        <f t="array" ref="AP107">_xlfn.IFS(Q107=1,"Low",Q107=2,"Medium",Q107=3,"High",TRUE,"Very High")</f>
        <v>Very High</v>
      </c>
    </row>
    <row r="108" spans="1:42" x14ac:dyDescent="0.25">
      <c r="A108">
        <v>50</v>
      </c>
      <c r="B108" t="s">
        <v>42</v>
      </c>
      <c r="C108" t="s">
        <v>91</v>
      </c>
      <c r="D108">
        <v>1115</v>
      </c>
      <c r="E108" t="s">
        <v>43</v>
      </c>
      <c r="F108">
        <v>1</v>
      </c>
      <c r="G108">
        <v>3</v>
      </c>
      <c r="H108" t="s">
        <v>37</v>
      </c>
      <c r="I108">
        <v>1</v>
      </c>
      <c r="J108">
        <v>141</v>
      </c>
      <c r="K108">
        <v>1</v>
      </c>
      <c r="L108" t="s">
        <v>38</v>
      </c>
      <c r="M108">
        <v>73</v>
      </c>
      <c r="N108">
        <v>3</v>
      </c>
      <c r="O108">
        <v>5</v>
      </c>
      <c r="P108" t="s">
        <v>56</v>
      </c>
      <c r="Q108">
        <v>2</v>
      </c>
      <c r="R108" t="s">
        <v>46</v>
      </c>
      <c r="S108">
        <v>18172</v>
      </c>
      <c r="T108">
        <v>9755</v>
      </c>
      <c r="U108">
        <v>3</v>
      </c>
      <c r="V108" t="s">
        <v>41</v>
      </c>
      <c r="W108" t="s">
        <v>35</v>
      </c>
      <c r="X108">
        <v>19</v>
      </c>
      <c r="Y108">
        <v>3</v>
      </c>
      <c r="Z108">
        <v>1</v>
      </c>
      <c r="AA108">
        <v>80</v>
      </c>
      <c r="AB108">
        <v>0</v>
      </c>
      <c r="AC108">
        <v>28</v>
      </c>
      <c r="AD108">
        <v>1</v>
      </c>
      <c r="AE108">
        <v>2</v>
      </c>
      <c r="AF108">
        <v>8</v>
      </c>
      <c r="AG108">
        <v>3</v>
      </c>
      <c r="AH108">
        <v>0</v>
      </c>
      <c r="AI108">
        <v>7</v>
      </c>
      <c r="AJ108">
        <f t="shared" si="1"/>
        <v>0</v>
      </c>
      <c r="AK108" t="str" cm="1">
        <f t="array" ref="AK108">_xlfn.IFS(A108&lt;=30,"18-30",A108&lt;=45,"31-45",A108&lt;=60,"46-60",TRUE, "60+")</f>
        <v>46-60</v>
      </c>
      <c r="AL108" t="str" cm="1">
        <f t="array" ref="AL108">_xlfn.IFS(F108&lt;=10,"0-10",F108&lt;=20,"11-20",TRUE,"20+")</f>
        <v>0-10</v>
      </c>
      <c r="AM108" t="str" cm="1">
        <f t="array" ref="AM108">_xlfn.IFS(S108&lt;=5000,"0-5k",S108&lt;=10000,"5k-10k",S108&lt;=15000,"10k-15k",TRUE,"15k+")</f>
        <v>15k+</v>
      </c>
      <c r="AN108" t="str" cm="1">
        <f t="array" ref="AN108">_xlfn.IFS(AF108&lt;=10,"0-10",AF108&lt;=20,"10-20",AF108&lt;=30,"20-30",TRUE,"30+")</f>
        <v>0-10</v>
      </c>
      <c r="AO108" t="str" cm="1">
        <f t="array" ref="AO108">_xlfn.IFS(Y108=1,"Poor",Y108=2,"Average",Y108=3,"Good",TRUE,"Excellent")</f>
        <v>Good</v>
      </c>
      <c r="AP108" t="str" cm="1">
        <f t="array" ref="AP108">_xlfn.IFS(Q108=1,"Low",Q108=2,"Medium",Q108=3,"High",TRUE,"Very High")</f>
        <v>Medium</v>
      </c>
    </row>
    <row r="109" spans="1:42" x14ac:dyDescent="0.25">
      <c r="A109">
        <v>25</v>
      </c>
      <c r="B109" t="s">
        <v>35</v>
      </c>
      <c r="C109" t="s">
        <v>90</v>
      </c>
      <c r="D109">
        <v>240</v>
      </c>
      <c r="E109" t="s">
        <v>36</v>
      </c>
      <c r="F109">
        <v>5</v>
      </c>
      <c r="G109">
        <v>3</v>
      </c>
      <c r="H109" t="s">
        <v>57</v>
      </c>
      <c r="I109">
        <v>1</v>
      </c>
      <c r="J109">
        <v>142</v>
      </c>
      <c r="K109">
        <v>3</v>
      </c>
      <c r="L109" t="s">
        <v>44</v>
      </c>
      <c r="M109">
        <v>46</v>
      </c>
      <c r="N109">
        <v>2</v>
      </c>
      <c r="O109">
        <v>2</v>
      </c>
      <c r="P109" t="s">
        <v>39</v>
      </c>
      <c r="Q109">
        <v>3</v>
      </c>
      <c r="R109" t="s">
        <v>40</v>
      </c>
      <c r="S109">
        <v>5744</v>
      </c>
      <c r="T109">
        <v>26959</v>
      </c>
      <c r="U109">
        <v>1</v>
      </c>
      <c r="V109" t="s">
        <v>41</v>
      </c>
      <c r="W109" t="s">
        <v>35</v>
      </c>
      <c r="X109">
        <v>11</v>
      </c>
      <c r="Y109">
        <v>3</v>
      </c>
      <c r="Z109">
        <v>4</v>
      </c>
      <c r="AA109">
        <v>80</v>
      </c>
      <c r="AB109">
        <v>0</v>
      </c>
      <c r="AC109">
        <v>6</v>
      </c>
      <c r="AD109">
        <v>1</v>
      </c>
      <c r="AE109">
        <v>3</v>
      </c>
      <c r="AF109">
        <v>6</v>
      </c>
      <c r="AG109">
        <v>4</v>
      </c>
      <c r="AH109">
        <v>0</v>
      </c>
      <c r="AI109">
        <v>3</v>
      </c>
      <c r="AJ109">
        <f t="shared" si="1"/>
        <v>1</v>
      </c>
      <c r="AK109" t="str" cm="1">
        <f t="array" ref="AK109">_xlfn.IFS(A109&lt;=30,"18-30",A109&lt;=45,"31-45",A109&lt;=60,"46-60",TRUE, "60+")</f>
        <v>18-30</v>
      </c>
      <c r="AL109" t="str" cm="1">
        <f t="array" ref="AL109">_xlfn.IFS(F109&lt;=10,"0-10",F109&lt;=20,"11-20",TRUE,"20+")</f>
        <v>0-10</v>
      </c>
      <c r="AM109" t="str" cm="1">
        <f t="array" ref="AM109">_xlfn.IFS(S109&lt;=5000,"0-5k",S109&lt;=10000,"5k-10k",S109&lt;=15000,"10k-15k",TRUE,"15k+")</f>
        <v>5k-10k</v>
      </c>
      <c r="AN109" t="str" cm="1">
        <f t="array" ref="AN109">_xlfn.IFS(AF109&lt;=10,"0-10",AF109&lt;=20,"10-20",AF109&lt;=30,"20-30",TRUE,"30+")</f>
        <v>0-10</v>
      </c>
      <c r="AO109" t="str" cm="1">
        <f t="array" ref="AO109">_xlfn.IFS(Y109=1,"Poor",Y109=2,"Average",Y109=3,"Good",TRUE,"Excellent")</f>
        <v>Good</v>
      </c>
      <c r="AP109" t="str" cm="1">
        <f t="array" ref="AP109">_xlfn.IFS(Q109=1,"Low",Q109=2,"Medium",Q109=3,"High",TRUE,"Very High")</f>
        <v>High</v>
      </c>
    </row>
    <row r="110" spans="1:42" x14ac:dyDescent="0.25">
      <c r="A110">
        <v>25</v>
      </c>
      <c r="B110" t="s">
        <v>42</v>
      </c>
      <c r="C110" t="s">
        <v>90</v>
      </c>
      <c r="D110">
        <v>1280</v>
      </c>
      <c r="E110" t="s">
        <v>43</v>
      </c>
      <c r="F110">
        <v>7</v>
      </c>
      <c r="G110">
        <v>1</v>
      </c>
      <c r="H110" t="s">
        <v>49</v>
      </c>
      <c r="I110">
        <v>1</v>
      </c>
      <c r="J110">
        <v>143</v>
      </c>
      <c r="K110">
        <v>4</v>
      </c>
      <c r="L110" t="s">
        <v>44</v>
      </c>
      <c r="M110">
        <v>64</v>
      </c>
      <c r="N110">
        <v>2</v>
      </c>
      <c r="O110">
        <v>1</v>
      </c>
      <c r="P110" t="s">
        <v>45</v>
      </c>
      <c r="Q110">
        <v>4</v>
      </c>
      <c r="R110" t="s">
        <v>46</v>
      </c>
      <c r="S110">
        <v>2889</v>
      </c>
      <c r="T110">
        <v>26897</v>
      </c>
      <c r="U110">
        <v>1</v>
      </c>
      <c r="V110" t="s">
        <v>41</v>
      </c>
      <c r="W110" t="s">
        <v>42</v>
      </c>
      <c r="X110">
        <v>11</v>
      </c>
      <c r="Y110">
        <v>3</v>
      </c>
      <c r="Z110">
        <v>3</v>
      </c>
      <c r="AA110">
        <v>80</v>
      </c>
      <c r="AB110">
        <v>2</v>
      </c>
      <c r="AC110">
        <v>2</v>
      </c>
      <c r="AD110">
        <v>2</v>
      </c>
      <c r="AE110">
        <v>3</v>
      </c>
      <c r="AF110">
        <v>2</v>
      </c>
      <c r="AG110">
        <v>2</v>
      </c>
      <c r="AH110">
        <v>2</v>
      </c>
      <c r="AI110">
        <v>1</v>
      </c>
      <c r="AJ110">
        <f t="shared" si="1"/>
        <v>0</v>
      </c>
      <c r="AK110" t="str" cm="1">
        <f t="array" ref="AK110">_xlfn.IFS(A110&lt;=30,"18-30",A110&lt;=45,"31-45",A110&lt;=60,"46-60",TRUE, "60+")</f>
        <v>18-30</v>
      </c>
      <c r="AL110" t="str" cm="1">
        <f t="array" ref="AL110">_xlfn.IFS(F110&lt;=10,"0-10",F110&lt;=20,"11-20",TRUE,"20+")</f>
        <v>0-10</v>
      </c>
      <c r="AM110" t="str" cm="1">
        <f t="array" ref="AM110">_xlfn.IFS(S110&lt;=5000,"0-5k",S110&lt;=10000,"5k-10k",S110&lt;=15000,"10k-15k",TRUE,"15k+")</f>
        <v>0-5k</v>
      </c>
      <c r="AN110" t="str" cm="1">
        <f t="array" ref="AN110">_xlfn.IFS(AF110&lt;=10,"0-10",AF110&lt;=20,"10-20",AF110&lt;=30,"20-30",TRUE,"30+")</f>
        <v>0-10</v>
      </c>
      <c r="AO110" t="str" cm="1">
        <f t="array" ref="AO110">_xlfn.IFS(Y110=1,"Poor",Y110=2,"Average",Y110=3,"Good",TRUE,"Excellent")</f>
        <v>Good</v>
      </c>
      <c r="AP110" t="str" cm="1">
        <f t="array" ref="AP110">_xlfn.IFS(Q110=1,"Low",Q110=2,"Medium",Q110=3,"High",TRUE,"Very High")</f>
        <v>Very High</v>
      </c>
    </row>
    <row r="111" spans="1:42" x14ac:dyDescent="0.25">
      <c r="A111">
        <v>22</v>
      </c>
      <c r="B111" t="s">
        <v>42</v>
      </c>
      <c r="C111" t="s">
        <v>90</v>
      </c>
      <c r="D111">
        <v>534</v>
      </c>
      <c r="E111" t="s">
        <v>43</v>
      </c>
      <c r="F111">
        <v>15</v>
      </c>
      <c r="G111">
        <v>3</v>
      </c>
      <c r="H111" t="s">
        <v>49</v>
      </c>
      <c r="I111">
        <v>1</v>
      </c>
      <c r="J111">
        <v>144</v>
      </c>
      <c r="K111">
        <v>2</v>
      </c>
      <c r="L111" t="s">
        <v>38</v>
      </c>
      <c r="M111">
        <v>59</v>
      </c>
      <c r="N111">
        <v>3</v>
      </c>
      <c r="O111">
        <v>1</v>
      </c>
      <c r="P111" t="s">
        <v>48</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c r="AJ111">
        <f t="shared" si="1"/>
        <v>0</v>
      </c>
      <c r="AK111" t="str" cm="1">
        <f t="array" ref="AK111">_xlfn.IFS(A111&lt;=30,"18-30",A111&lt;=45,"31-45",A111&lt;=60,"46-60",TRUE, "60+")</f>
        <v>18-30</v>
      </c>
      <c r="AL111" t="str" cm="1">
        <f t="array" ref="AL111">_xlfn.IFS(F111&lt;=10,"0-10",F111&lt;=20,"11-20",TRUE,"20+")</f>
        <v>11-20</v>
      </c>
      <c r="AM111" t="str" cm="1">
        <f t="array" ref="AM111">_xlfn.IFS(S111&lt;=5000,"0-5k",S111&lt;=10000,"5k-10k",S111&lt;=15000,"10k-15k",TRUE,"15k+")</f>
        <v>0-5k</v>
      </c>
      <c r="AN111" t="str" cm="1">
        <f t="array" ref="AN111">_xlfn.IFS(AF111&lt;=10,"0-10",AF111&lt;=20,"10-20",AF111&lt;=30,"20-30",TRUE,"30+")</f>
        <v>0-10</v>
      </c>
      <c r="AO111" t="str" cm="1">
        <f t="array" ref="AO111">_xlfn.IFS(Y111=1,"Poor",Y111=2,"Average",Y111=3,"Good",TRUE,"Excellent")</f>
        <v>Good</v>
      </c>
      <c r="AP111" t="str" cm="1">
        <f t="array" ref="AP111">_xlfn.IFS(Q111=1,"Low",Q111=2,"Medium",Q111=3,"High",TRUE,"Very High")</f>
        <v>Very High</v>
      </c>
    </row>
    <row r="112" spans="1:42" x14ac:dyDescent="0.25">
      <c r="A112">
        <v>51</v>
      </c>
      <c r="B112" t="s">
        <v>42</v>
      </c>
      <c r="C112" t="s">
        <v>91</v>
      </c>
      <c r="D112">
        <v>1456</v>
      </c>
      <c r="E112" t="s">
        <v>43</v>
      </c>
      <c r="F112">
        <v>1</v>
      </c>
      <c r="G112">
        <v>4</v>
      </c>
      <c r="H112" t="s">
        <v>49</v>
      </c>
      <c r="I112">
        <v>1</v>
      </c>
      <c r="J112">
        <v>145</v>
      </c>
      <c r="K112">
        <v>1</v>
      </c>
      <c r="L112" t="s">
        <v>38</v>
      </c>
      <c r="M112">
        <v>30</v>
      </c>
      <c r="N112">
        <v>2</v>
      </c>
      <c r="O112">
        <v>3</v>
      </c>
      <c r="P112" t="s">
        <v>52</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c r="AJ112">
        <f t="shared" si="1"/>
        <v>0</v>
      </c>
      <c r="AK112" t="str" cm="1">
        <f t="array" ref="AK112">_xlfn.IFS(A112&lt;=30,"18-30",A112&lt;=45,"31-45",A112&lt;=60,"46-60",TRUE, "60+")</f>
        <v>46-60</v>
      </c>
      <c r="AL112" t="str" cm="1">
        <f t="array" ref="AL112">_xlfn.IFS(F112&lt;=10,"0-10",F112&lt;=20,"11-20",TRUE,"20+")</f>
        <v>0-10</v>
      </c>
      <c r="AM112" t="str" cm="1">
        <f t="array" ref="AM112">_xlfn.IFS(S112&lt;=5000,"0-5k",S112&lt;=10000,"5k-10k",S112&lt;=15000,"10k-15k",TRUE,"15k+")</f>
        <v>5k-10k</v>
      </c>
      <c r="AN112" t="str" cm="1">
        <f t="array" ref="AN112">_xlfn.IFS(AF112&lt;=10,"0-10",AF112&lt;=20,"10-20",AF112&lt;=30,"20-30",TRUE,"30+")</f>
        <v>10-20</v>
      </c>
      <c r="AO112" t="str" cm="1">
        <f t="array" ref="AO112">_xlfn.IFS(Y112=1,"Poor",Y112=2,"Average",Y112=3,"Good",TRUE,"Excellent")</f>
        <v>Excellent</v>
      </c>
      <c r="AP112" t="str" cm="1">
        <f t="array" ref="AP112">_xlfn.IFS(Q112=1,"Low",Q112=2,"Medium",Q112=3,"High",TRUE,"Very High")</f>
        <v>Low</v>
      </c>
    </row>
    <row r="113" spans="1:42" x14ac:dyDescent="0.25">
      <c r="A113">
        <v>34</v>
      </c>
      <c r="B113" t="s">
        <v>35</v>
      </c>
      <c r="C113" t="s">
        <v>91</v>
      </c>
      <c r="D113">
        <v>658</v>
      </c>
      <c r="E113" t="s">
        <v>43</v>
      </c>
      <c r="F113">
        <v>7</v>
      </c>
      <c r="G113">
        <v>3</v>
      </c>
      <c r="H113" t="s">
        <v>37</v>
      </c>
      <c r="I113">
        <v>1</v>
      </c>
      <c r="J113">
        <v>147</v>
      </c>
      <c r="K113">
        <v>1</v>
      </c>
      <c r="L113" t="s">
        <v>44</v>
      </c>
      <c r="M113">
        <v>66</v>
      </c>
      <c r="N113">
        <v>1</v>
      </c>
      <c r="O113">
        <v>2</v>
      </c>
      <c r="P113" t="s">
        <v>48</v>
      </c>
      <c r="Q113">
        <v>3</v>
      </c>
      <c r="R113" t="s">
        <v>40</v>
      </c>
      <c r="S113">
        <v>6074</v>
      </c>
      <c r="T113">
        <v>22887</v>
      </c>
      <c r="U113">
        <v>1</v>
      </c>
      <c r="V113" t="s">
        <v>41</v>
      </c>
      <c r="W113" t="s">
        <v>35</v>
      </c>
      <c r="X113">
        <v>24</v>
      </c>
      <c r="Y113">
        <v>4</v>
      </c>
      <c r="Z113">
        <v>4</v>
      </c>
      <c r="AA113">
        <v>80</v>
      </c>
      <c r="AB113">
        <v>0</v>
      </c>
      <c r="AC113">
        <v>9</v>
      </c>
      <c r="AD113">
        <v>3</v>
      </c>
      <c r="AE113">
        <v>3</v>
      </c>
      <c r="AF113">
        <v>9</v>
      </c>
      <c r="AG113">
        <v>7</v>
      </c>
      <c r="AH113">
        <v>0</v>
      </c>
      <c r="AI113">
        <v>6</v>
      </c>
      <c r="AJ113">
        <f t="shared" si="1"/>
        <v>1</v>
      </c>
      <c r="AK113" t="str" cm="1">
        <f t="array" ref="AK113">_xlfn.IFS(A113&lt;=30,"18-30",A113&lt;=45,"31-45",A113&lt;=60,"46-60",TRUE, "60+")</f>
        <v>31-45</v>
      </c>
      <c r="AL113" t="str" cm="1">
        <f t="array" ref="AL113">_xlfn.IFS(F113&lt;=10,"0-10",F113&lt;=20,"11-20",TRUE,"20+")</f>
        <v>0-10</v>
      </c>
      <c r="AM113" t="str" cm="1">
        <f t="array" ref="AM113">_xlfn.IFS(S113&lt;=5000,"0-5k",S113&lt;=10000,"5k-10k",S113&lt;=15000,"10k-15k",TRUE,"15k+")</f>
        <v>5k-10k</v>
      </c>
      <c r="AN113" t="str" cm="1">
        <f t="array" ref="AN113">_xlfn.IFS(AF113&lt;=10,"0-10",AF113&lt;=20,"10-20",AF113&lt;=30,"20-30",TRUE,"30+")</f>
        <v>0-10</v>
      </c>
      <c r="AO113" t="str" cm="1">
        <f t="array" ref="AO113">_xlfn.IFS(Y113=1,"Poor",Y113=2,"Average",Y113=3,"Good",TRUE,"Excellent")</f>
        <v>Excellent</v>
      </c>
      <c r="AP113" t="str" cm="1">
        <f t="array" ref="AP113">_xlfn.IFS(Q113=1,"Low",Q113=2,"Medium",Q113=3,"High",TRUE,"Very High")</f>
        <v>High</v>
      </c>
    </row>
    <row r="114" spans="1:42" x14ac:dyDescent="0.25">
      <c r="A114">
        <v>54</v>
      </c>
      <c r="B114" t="s">
        <v>42</v>
      </c>
      <c r="C114" t="s">
        <v>53</v>
      </c>
      <c r="D114">
        <v>142</v>
      </c>
      <c r="E114" t="s">
        <v>59</v>
      </c>
      <c r="F114">
        <v>26</v>
      </c>
      <c r="G114">
        <v>3</v>
      </c>
      <c r="H114" t="s">
        <v>59</v>
      </c>
      <c r="I114">
        <v>1</v>
      </c>
      <c r="J114">
        <v>148</v>
      </c>
      <c r="K114">
        <v>4</v>
      </c>
      <c r="L114" t="s">
        <v>38</v>
      </c>
      <c r="M114">
        <v>30</v>
      </c>
      <c r="N114">
        <v>4</v>
      </c>
      <c r="O114">
        <v>4</v>
      </c>
      <c r="P114" t="s">
        <v>54</v>
      </c>
      <c r="Q114">
        <v>4</v>
      </c>
      <c r="R114" t="s">
        <v>40</v>
      </c>
      <c r="S114">
        <v>17328</v>
      </c>
      <c r="T114">
        <v>13871</v>
      </c>
      <c r="U114">
        <v>2</v>
      </c>
      <c r="V114" t="s">
        <v>41</v>
      </c>
      <c r="W114" t="s">
        <v>35</v>
      </c>
      <c r="X114">
        <v>12</v>
      </c>
      <c r="Y114">
        <v>3</v>
      </c>
      <c r="Z114">
        <v>3</v>
      </c>
      <c r="AA114">
        <v>80</v>
      </c>
      <c r="AB114">
        <v>0</v>
      </c>
      <c r="AC114">
        <v>23</v>
      </c>
      <c r="AD114">
        <v>3</v>
      </c>
      <c r="AE114">
        <v>3</v>
      </c>
      <c r="AF114">
        <v>5</v>
      </c>
      <c r="AG114">
        <v>3</v>
      </c>
      <c r="AH114">
        <v>4</v>
      </c>
      <c r="AI114">
        <v>4</v>
      </c>
      <c r="AJ114">
        <f t="shared" si="1"/>
        <v>0</v>
      </c>
      <c r="AK114" t="str" cm="1">
        <f t="array" ref="AK114">_xlfn.IFS(A114&lt;=30,"18-30",A114&lt;=45,"31-45",A114&lt;=60,"46-60",TRUE, "60+")</f>
        <v>46-60</v>
      </c>
      <c r="AL114" t="str" cm="1">
        <f t="array" ref="AL114">_xlfn.IFS(F114&lt;=10,"0-10",F114&lt;=20,"11-20",TRUE,"20+")</f>
        <v>20+</v>
      </c>
      <c r="AM114" t="str" cm="1">
        <f t="array" ref="AM114">_xlfn.IFS(S114&lt;=5000,"0-5k",S114&lt;=10000,"5k-10k",S114&lt;=15000,"10k-15k",TRUE,"15k+")</f>
        <v>15k+</v>
      </c>
      <c r="AN114" t="str" cm="1">
        <f t="array" ref="AN114">_xlfn.IFS(AF114&lt;=10,"0-10",AF114&lt;=20,"10-20",AF114&lt;=30,"20-30",TRUE,"30+")</f>
        <v>0-10</v>
      </c>
      <c r="AO114" t="str" cm="1">
        <f t="array" ref="AO114">_xlfn.IFS(Y114=1,"Poor",Y114=2,"Average",Y114=3,"Good",TRUE,"Excellent")</f>
        <v>Good</v>
      </c>
      <c r="AP114" t="str" cm="1">
        <f t="array" ref="AP114">_xlfn.IFS(Q114=1,"Low",Q114=2,"Medium",Q114=3,"High",TRUE,"Very High")</f>
        <v>Very High</v>
      </c>
    </row>
    <row r="115" spans="1:42" x14ac:dyDescent="0.25">
      <c r="A115">
        <v>24</v>
      </c>
      <c r="B115" t="s">
        <v>42</v>
      </c>
      <c r="C115" t="s">
        <v>90</v>
      </c>
      <c r="D115">
        <v>1127</v>
      </c>
      <c r="E115" t="s">
        <v>43</v>
      </c>
      <c r="F115">
        <v>18</v>
      </c>
      <c r="G115">
        <v>1</v>
      </c>
      <c r="H115" t="s">
        <v>37</v>
      </c>
      <c r="I115">
        <v>1</v>
      </c>
      <c r="J115">
        <v>150</v>
      </c>
      <c r="K115">
        <v>2</v>
      </c>
      <c r="L115" t="s">
        <v>44</v>
      </c>
      <c r="M115">
        <v>52</v>
      </c>
      <c r="N115">
        <v>3</v>
      </c>
      <c r="O115">
        <v>1</v>
      </c>
      <c r="P115" t="s">
        <v>48</v>
      </c>
      <c r="Q115">
        <v>3</v>
      </c>
      <c r="R115" t="s">
        <v>46</v>
      </c>
      <c r="S115">
        <v>2774</v>
      </c>
      <c r="T115">
        <v>13257</v>
      </c>
      <c r="U115">
        <v>0</v>
      </c>
      <c r="V115" t="s">
        <v>41</v>
      </c>
      <c r="W115" t="s">
        <v>42</v>
      </c>
      <c r="X115">
        <v>12</v>
      </c>
      <c r="Y115">
        <v>3</v>
      </c>
      <c r="Z115">
        <v>3</v>
      </c>
      <c r="AA115">
        <v>80</v>
      </c>
      <c r="AB115">
        <v>1</v>
      </c>
      <c r="AC115">
        <v>6</v>
      </c>
      <c r="AD115">
        <v>2</v>
      </c>
      <c r="AE115">
        <v>3</v>
      </c>
      <c r="AF115">
        <v>5</v>
      </c>
      <c r="AG115">
        <v>3</v>
      </c>
      <c r="AH115">
        <v>1</v>
      </c>
      <c r="AI115">
        <v>2</v>
      </c>
      <c r="AJ115">
        <f t="shared" si="1"/>
        <v>0</v>
      </c>
      <c r="AK115" t="str" cm="1">
        <f t="array" ref="AK115">_xlfn.IFS(A115&lt;=30,"18-30",A115&lt;=45,"31-45",A115&lt;=60,"46-60",TRUE, "60+")</f>
        <v>18-30</v>
      </c>
      <c r="AL115" t="str" cm="1">
        <f t="array" ref="AL115">_xlfn.IFS(F115&lt;=10,"0-10",F115&lt;=20,"11-20",TRUE,"20+")</f>
        <v>11-20</v>
      </c>
      <c r="AM115" t="str" cm="1">
        <f t="array" ref="AM115">_xlfn.IFS(S115&lt;=5000,"0-5k",S115&lt;=10000,"5k-10k",S115&lt;=15000,"10k-15k",TRUE,"15k+")</f>
        <v>0-5k</v>
      </c>
      <c r="AN115" t="str" cm="1">
        <f t="array" ref="AN115">_xlfn.IFS(AF115&lt;=10,"0-10",AF115&lt;=20,"10-20",AF115&lt;=30,"20-30",TRUE,"30+")</f>
        <v>0-10</v>
      </c>
      <c r="AO115" t="str" cm="1">
        <f t="array" ref="AO115">_xlfn.IFS(Y115=1,"Poor",Y115=2,"Average",Y115=3,"Good",TRUE,"Excellent")</f>
        <v>Good</v>
      </c>
      <c r="AP115" t="str" cm="1">
        <f t="array" ref="AP115">_xlfn.IFS(Q115=1,"Low",Q115=2,"Medium",Q115=3,"High",TRUE,"Very High")</f>
        <v>High</v>
      </c>
    </row>
    <row r="116" spans="1:42" x14ac:dyDescent="0.25">
      <c r="A116">
        <v>34</v>
      </c>
      <c r="B116" t="s">
        <v>42</v>
      </c>
      <c r="C116" t="s">
        <v>90</v>
      </c>
      <c r="D116">
        <v>1031</v>
      </c>
      <c r="E116" t="s">
        <v>43</v>
      </c>
      <c r="F116">
        <v>6</v>
      </c>
      <c r="G116">
        <v>4</v>
      </c>
      <c r="H116" t="s">
        <v>37</v>
      </c>
      <c r="I116">
        <v>1</v>
      </c>
      <c r="J116">
        <v>151</v>
      </c>
      <c r="K116">
        <v>3</v>
      </c>
      <c r="L116" t="s">
        <v>38</v>
      </c>
      <c r="M116">
        <v>45</v>
      </c>
      <c r="N116">
        <v>2</v>
      </c>
      <c r="O116">
        <v>2</v>
      </c>
      <c r="P116" t="s">
        <v>45</v>
      </c>
      <c r="Q116">
        <v>2</v>
      </c>
      <c r="R116" t="s">
        <v>50</v>
      </c>
      <c r="S116">
        <v>4505</v>
      </c>
      <c r="T116">
        <v>15000</v>
      </c>
      <c r="U116">
        <v>6</v>
      </c>
      <c r="V116" t="s">
        <v>41</v>
      </c>
      <c r="W116" t="s">
        <v>42</v>
      </c>
      <c r="X116">
        <v>15</v>
      </c>
      <c r="Y116">
        <v>3</v>
      </c>
      <c r="Z116">
        <v>3</v>
      </c>
      <c r="AA116">
        <v>80</v>
      </c>
      <c r="AB116">
        <v>1</v>
      </c>
      <c r="AC116">
        <v>12</v>
      </c>
      <c r="AD116">
        <v>3</v>
      </c>
      <c r="AE116">
        <v>3</v>
      </c>
      <c r="AF116">
        <v>1</v>
      </c>
      <c r="AG116">
        <v>0</v>
      </c>
      <c r="AH116">
        <v>0</v>
      </c>
      <c r="AI116">
        <v>0</v>
      </c>
      <c r="AJ116">
        <f t="shared" si="1"/>
        <v>0</v>
      </c>
      <c r="AK116" t="str" cm="1">
        <f t="array" ref="AK116">_xlfn.IFS(A116&lt;=30,"18-30",A116&lt;=45,"31-45",A116&lt;=60,"46-60",TRUE, "60+")</f>
        <v>31-45</v>
      </c>
      <c r="AL116" t="str" cm="1">
        <f t="array" ref="AL116">_xlfn.IFS(F116&lt;=10,"0-10",F116&lt;=20,"11-20",TRUE,"20+")</f>
        <v>0-10</v>
      </c>
      <c r="AM116" t="str" cm="1">
        <f t="array" ref="AM116">_xlfn.IFS(S116&lt;=5000,"0-5k",S116&lt;=10000,"5k-10k",S116&lt;=15000,"10k-15k",TRUE,"15k+")</f>
        <v>0-5k</v>
      </c>
      <c r="AN116" t="str" cm="1">
        <f t="array" ref="AN116">_xlfn.IFS(AF116&lt;=10,"0-10",AF116&lt;=20,"10-20",AF116&lt;=30,"20-30",TRUE,"30+")</f>
        <v>0-10</v>
      </c>
      <c r="AO116" t="str" cm="1">
        <f t="array" ref="AO116">_xlfn.IFS(Y116=1,"Poor",Y116=2,"Average",Y116=3,"Good",TRUE,"Excellent")</f>
        <v>Good</v>
      </c>
      <c r="AP116" t="str" cm="1">
        <f t="array" ref="AP116">_xlfn.IFS(Q116=1,"Low",Q116=2,"Medium",Q116=3,"High",TRUE,"Very High")</f>
        <v>Medium</v>
      </c>
    </row>
    <row r="117" spans="1:42" x14ac:dyDescent="0.25">
      <c r="A117">
        <v>37</v>
      </c>
      <c r="B117" t="s">
        <v>42</v>
      </c>
      <c r="C117" t="s">
        <v>90</v>
      </c>
      <c r="D117">
        <v>1189</v>
      </c>
      <c r="E117" t="s">
        <v>36</v>
      </c>
      <c r="F117">
        <v>3</v>
      </c>
      <c r="G117">
        <v>3</v>
      </c>
      <c r="H117" t="s">
        <v>37</v>
      </c>
      <c r="I117">
        <v>1</v>
      </c>
      <c r="J117">
        <v>152</v>
      </c>
      <c r="K117">
        <v>3</v>
      </c>
      <c r="L117" t="s">
        <v>44</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c r="AJ117">
        <f t="shared" si="1"/>
        <v>0</v>
      </c>
      <c r="AK117" t="str" cm="1">
        <f t="array" ref="AK117">_xlfn.IFS(A117&lt;=30,"18-30",A117&lt;=45,"31-45",A117&lt;=60,"46-60",TRUE, "60+")</f>
        <v>31-45</v>
      </c>
      <c r="AL117" t="str" cm="1">
        <f t="array" ref="AL117">_xlfn.IFS(F117&lt;=10,"0-10",F117&lt;=20,"11-20",TRUE,"20+")</f>
        <v>0-10</v>
      </c>
      <c r="AM117" t="str" cm="1">
        <f t="array" ref="AM117">_xlfn.IFS(S117&lt;=5000,"0-5k",S117&lt;=10000,"5k-10k",S117&lt;=15000,"10k-15k",TRUE,"15k+")</f>
        <v>5k-10k</v>
      </c>
      <c r="AN117" t="str" cm="1">
        <f t="array" ref="AN117">_xlfn.IFS(AF117&lt;=10,"0-10",AF117&lt;=20,"10-20",AF117&lt;=30,"20-30",TRUE,"30+")</f>
        <v>0-10</v>
      </c>
      <c r="AO117" t="str" cm="1">
        <f t="array" ref="AO117">_xlfn.IFS(Y117=1,"Poor",Y117=2,"Average",Y117=3,"Good",TRUE,"Excellent")</f>
        <v>Good</v>
      </c>
      <c r="AP117" t="str" cm="1">
        <f t="array" ref="AP117">_xlfn.IFS(Q117=1,"Low",Q117=2,"Medium",Q117=3,"High",TRUE,"Very High")</f>
        <v>Very High</v>
      </c>
    </row>
    <row r="118" spans="1:42" x14ac:dyDescent="0.25">
      <c r="A118">
        <v>34</v>
      </c>
      <c r="B118" t="s">
        <v>42</v>
      </c>
      <c r="C118" t="s">
        <v>90</v>
      </c>
      <c r="D118">
        <v>1354</v>
      </c>
      <c r="E118" t="s">
        <v>43</v>
      </c>
      <c r="F118">
        <v>5</v>
      </c>
      <c r="G118">
        <v>3</v>
      </c>
      <c r="H118" t="s">
        <v>49</v>
      </c>
      <c r="I118">
        <v>1</v>
      </c>
      <c r="J118">
        <v>153</v>
      </c>
      <c r="K118">
        <v>3</v>
      </c>
      <c r="L118" t="s">
        <v>38</v>
      </c>
      <c r="M118">
        <v>45</v>
      </c>
      <c r="N118">
        <v>2</v>
      </c>
      <c r="O118">
        <v>3</v>
      </c>
      <c r="P118" t="s">
        <v>54</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c r="AJ118">
        <f t="shared" si="1"/>
        <v>0</v>
      </c>
      <c r="AK118" t="str" cm="1">
        <f t="array" ref="AK118">_xlfn.IFS(A118&lt;=30,"18-30",A118&lt;=45,"31-45",A118&lt;=60,"46-60",TRUE, "60+")</f>
        <v>31-45</v>
      </c>
      <c r="AL118" t="str" cm="1">
        <f t="array" ref="AL118">_xlfn.IFS(F118&lt;=10,"0-10",F118&lt;=20,"11-20",TRUE,"20+")</f>
        <v>0-10</v>
      </c>
      <c r="AM118" t="str" cm="1">
        <f t="array" ref="AM118">_xlfn.IFS(S118&lt;=5000,"0-5k",S118&lt;=10000,"5k-10k",S118&lt;=15000,"10k-15k",TRUE,"15k+")</f>
        <v>10k-15k</v>
      </c>
      <c r="AN118" t="str" cm="1">
        <f t="array" ref="AN118">_xlfn.IFS(AF118&lt;=10,"0-10",AF118&lt;=20,"10-20",AF118&lt;=30,"20-30",TRUE,"30+")</f>
        <v>10-20</v>
      </c>
      <c r="AO118" t="str" cm="1">
        <f t="array" ref="AO118">_xlfn.IFS(Y118=1,"Poor",Y118=2,"Average",Y118=3,"Good",TRUE,"Excellent")</f>
        <v>Good</v>
      </c>
      <c r="AP118" t="str" cm="1">
        <f t="array" ref="AP118">_xlfn.IFS(Q118=1,"Low",Q118=2,"Medium",Q118=3,"High",TRUE,"Very High")</f>
        <v>Low</v>
      </c>
    </row>
    <row r="119" spans="1:42" x14ac:dyDescent="0.25">
      <c r="A119">
        <v>36</v>
      </c>
      <c r="B119" t="s">
        <v>42</v>
      </c>
      <c r="C119" t="s">
        <v>91</v>
      </c>
      <c r="D119">
        <v>1467</v>
      </c>
      <c r="E119" t="s">
        <v>36</v>
      </c>
      <c r="F119">
        <v>11</v>
      </c>
      <c r="G119">
        <v>2</v>
      </c>
      <c r="H119" t="s">
        <v>58</v>
      </c>
      <c r="I119">
        <v>1</v>
      </c>
      <c r="J119">
        <v>154</v>
      </c>
      <c r="K119">
        <v>2</v>
      </c>
      <c r="L119" t="s">
        <v>38</v>
      </c>
      <c r="M119">
        <v>92</v>
      </c>
      <c r="N119">
        <v>3</v>
      </c>
      <c r="O119">
        <v>3</v>
      </c>
      <c r="P119" t="s">
        <v>39</v>
      </c>
      <c r="Q119">
        <v>4</v>
      </c>
      <c r="R119" t="s">
        <v>46</v>
      </c>
      <c r="S119">
        <v>9738</v>
      </c>
      <c r="T119">
        <v>22952</v>
      </c>
      <c r="U119">
        <v>0</v>
      </c>
      <c r="V119" t="s">
        <v>41</v>
      </c>
      <c r="W119" t="s">
        <v>42</v>
      </c>
      <c r="X119">
        <v>14</v>
      </c>
      <c r="Y119">
        <v>3</v>
      </c>
      <c r="Z119">
        <v>3</v>
      </c>
      <c r="AA119">
        <v>80</v>
      </c>
      <c r="AB119">
        <v>1</v>
      </c>
      <c r="AC119">
        <v>10</v>
      </c>
      <c r="AD119">
        <v>6</v>
      </c>
      <c r="AE119">
        <v>3</v>
      </c>
      <c r="AF119">
        <v>9</v>
      </c>
      <c r="AG119">
        <v>7</v>
      </c>
      <c r="AH119">
        <v>2</v>
      </c>
      <c r="AI119">
        <v>8</v>
      </c>
      <c r="AJ119">
        <f t="shared" si="1"/>
        <v>0</v>
      </c>
      <c r="AK119" t="str" cm="1">
        <f t="array" ref="AK119">_xlfn.IFS(A119&lt;=30,"18-30",A119&lt;=45,"31-45",A119&lt;=60,"46-60",TRUE, "60+")</f>
        <v>31-45</v>
      </c>
      <c r="AL119" t="str" cm="1">
        <f t="array" ref="AL119">_xlfn.IFS(F119&lt;=10,"0-10",F119&lt;=20,"11-20",TRUE,"20+")</f>
        <v>11-20</v>
      </c>
      <c r="AM119" t="str" cm="1">
        <f t="array" ref="AM119">_xlfn.IFS(S119&lt;=5000,"0-5k",S119&lt;=10000,"5k-10k",S119&lt;=15000,"10k-15k",TRUE,"15k+")</f>
        <v>5k-10k</v>
      </c>
      <c r="AN119" t="str" cm="1">
        <f t="array" ref="AN119">_xlfn.IFS(AF119&lt;=10,"0-10",AF119&lt;=20,"10-20",AF119&lt;=30,"20-30",TRUE,"30+")</f>
        <v>0-10</v>
      </c>
      <c r="AO119" t="str" cm="1">
        <f t="array" ref="AO119">_xlfn.IFS(Y119=1,"Poor",Y119=2,"Average",Y119=3,"Good",TRUE,"Excellent")</f>
        <v>Good</v>
      </c>
      <c r="AP119" t="str" cm="1">
        <f t="array" ref="AP119">_xlfn.IFS(Q119=1,"Low",Q119=2,"Medium",Q119=3,"High",TRUE,"Very High")</f>
        <v>Very High</v>
      </c>
    </row>
    <row r="120" spans="1:42" x14ac:dyDescent="0.25">
      <c r="A120">
        <v>36</v>
      </c>
      <c r="B120" t="s">
        <v>42</v>
      </c>
      <c r="C120" t="s">
        <v>90</v>
      </c>
      <c r="D120">
        <v>922</v>
      </c>
      <c r="E120" t="s">
        <v>43</v>
      </c>
      <c r="F120">
        <v>3</v>
      </c>
      <c r="G120">
        <v>2</v>
      </c>
      <c r="H120" t="s">
        <v>37</v>
      </c>
      <c r="I120">
        <v>1</v>
      </c>
      <c r="J120">
        <v>155</v>
      </c>
      <c r="K120">
        <v>1</v>
      </c>
      <c r="L120" t="s">
        <v>38</v>
      </c>
      <c r="M120">
        <v>39</v>
      </c>
      <c r="N120">
        <v>3</v>
      </c>
      <c r="O120">
        <v>1</v>
      </c>
      <c r="P120" t="s">
        <v>48</v>
      </c>
      <c r="Q120">
        <v>4</v>
      </c>
      <c r="R120" t="s">
        <v>50</v>
      </c>
      <c r="S120">
        <v>2835</v>
      </c>
      <c r="T120">
        <v>2561</v>
      </c>
      <c r="U120">
        <v>5</v>
      </c>
      <c r="V120" t="s">
        <v>41</v>
      </c>
      <c r="W120" t="s">
        <v>42</v>
      </c>
      <c r="X120">
        <v>22</v>
      </c>
      <c r="Y120">
        <v>4</v>
      </c>
      <c r="Z120">
        <v>1</v>
      </c>
      <c r="AA120">
        <v>80</v>
      </c>
      <c r="AB120">
        <v>1</v>
      </c>
      <c r="AC120">
        <v>7</v>
      </c>
      <c r="AD120">
        <v>2</v>
      </c>
      <c r="AE120">
        <v>3</v>
      </c>
      <c r="AF120">
        <v>1</v>
      </c>
      <c r="AG120">
        <v>0</v>
      </c>
      <c r="AH120">
        <v>0</v>
      </c>
      <c r="AI120">
        <v>0</v>
      </c>
      <c r="AJ120">
        <f t="shared" si="1"/>
        <v>0</v>
      </c>
      <c r="AK120" t="str" cm="1">
        <f t="array" ref="AK120">_xlfn.IFS(A120&lt;=30,"18-30",A120&lt;=45,"31-45",A120&lt;=60,"46-60",TRUE, "60+")</f>
        <v>31-45</v>
      </c>
      <c r="AL120" t="str" cm="1">
        <f t="array" ref="AL120">_xlfn.IFS(F120&lt;=10,"0-10",F120&lt;=20,"11-20",TRUE,"20+")</f>
        <v>0-10</v>
      </c>
      <c r="AM120" t="str" cm="1">
        <f t="array" ref="AM120">_xlfn.IFS(S120&lt;=5000,"0-5k",S120&lt;=10000,"5k-10k",S120&lt;=15000,"10k-15k",TRUE,"15k+")</f>
        <v>0-5k</v>
      </c>
      <c r="AN120" t="str" cm="1">
        <f t="array" ref="AN120">_xlfn.IFS(AF120&lt;=10,"0-10",AF120&lt;=20,"10-20",AF120&lt;=30,"20-30",TRUE,"30+")</f>
        <v>0-10</v>
      </c>
      <c r="AO120" t="str" cm="1">
        <f t="array" ref="AO120">_xlfn.IFS(Y120=1,"Poor",Y120=2,"Average",Y120=3,"Good",TRUE,"Excellent")</f>
        <v>Excellent</v>
      </c>
      <c r="AP120" t="str" cm="1">
        <f t="array" ref="AP120">_xlfn.IFS(Q120=1,"Low",Q120=2,"Medium",Q120=3,"High",TRUE,"Very High")</f>
        <v>Very High</v>
      </c>
    </row>
    <row r="121" spans="1:42" x14ac:dyDescent="0.25">
      <c r="A121">
        <v>43</v>
      </c>
      <c r="B121" t="s">
        <v>42</v>
      </c>
      <c r="C121" t="s">
        <v>91</v>
      </c>
      <c r="D121">
        <v>394</v>
      </c>
      <c r="E121" t="s">
        <v>36</v>
      </c>
      <c r="F121">
        <v>26</v>
      </c>
      <c r="G121">
        <v>2</v>
      </c>
      <c r="H121" t="s">
        <v>37</v>
      </c>
      <c r="I121">
        <v>1</v>
      </c>
      <c r="J121">
        <v>158</v>
      </c>
      <c r="K121">
        <v>3</v>
      </c>
      <c r="L121" t="s">
        <v>44</v>
      </c>
      <c r="M121">
        <v>92</v>
      </c>
      <c r="N121">
        <v>3</v>
      </c>
      <c r="O121">
        <v>4</v>
      </c>
      <c r="P121" t="s">
        <v>54</v>
      </c>
      <c r="Q121">
        <v>4</v>
      </c>
      <c r="R121" t="s">
        <v>46</v>
      </c>
      <c r="S121">
        <v>16959</v>
      </c>
      <c r="T121">
        <v>19494</v>
      </c>
      <c r="U121">
        <v>1</v>
      </c>
      <c r="V121" t="s">
        <v>41</v>
      </c>
      <c r="W121" t="s">
        <v>35</v>
      </c>
      <c r="X121">
        <v>12</v>
      </c>
      <c r="Y121">
        <v>3</v>
      </c>
      <c r="Z121">
        <v>4</v>
      </c>
      <c r="AA121">
        <v>80</v>
      </c>
      <c r="AB121">
        <v>2</v>
      </c>
      <c r="AC121">
        <v>25</v>
      </c>
      <c r="AD121">
        <v>3</v>
      </c>
      <c r="AE121">
        <v>4</v>
      </c>
      <c r="AF121">
        <v>25</v>
      </c>
      <c r="AG121">
        <v>12</v>
      </c>
      <c r="AH121">
        <v>4</v>
      </c>
      <c r="AI121">
        <v>12</v>
      </c>
      <c r="AJ121">
        <f t="shared" si="1"/>
        <v>0</v>
      </c>
      <c r="AK121" t="str" cm="1">
        <f t="array" ref="AK121">_xlfn.IFS(A121&lt;=30,"18-30",A121&lt;=45,"31-45",A121&lt;=60,"46-60",TRUE, "60+")</f>
        <v>31-45</v>
      </c>
      <c r="AL121" t="str" cm="1">
        <f t="array" ref="AL121">_xlfn.IFS(F121&lt;=10,"0-10",F121&lt;=20,"11-20",TRUE,"20+")</f>
        <v>20+</v>
      </c>
      <c r="AM121" t="str" cm="1">
        <f t="array" ref="AM121">_xlfn.IFS(S121&lt;=5000,"0-5k",S121&lt;=10000,"5k-10k",S121&lt;=15000,"10k-15k",TRUE,"15k+")</f>
        <v>15k+</v>
      </c>
      <c r="AN121" t="str" cm="1">
        <f t="array" ref="AN121">_xlfn.IFS(AF121&lt;=10,"0-10",AF121&lt;=20,"10-20",AF121&lt;=30,"20-30",TRUE,"30+")</f>
        <v>20-30</v>
      </c>
      <c r="AO121" t="str" cm="1">
        <f t="array" ref="AO121">_xlfn.IFS(Y121=1,"Poor",Y121=2,"Average",Y121=3,"Good",TRUE,"Excellent")</f>
        <v>Good</v>
      </c>
      <c r="AP121" t="str" cm="1">
        <f t="array" ref="AP121">_xlfn.IFS(Q121=1,"Low",Q121=2,"Medium",Q121=3,"High",TRUE,"Very High")</f>
        <v>Very High</v>
      </c>
    </row>
    <row r="122" spans="1:42" x14ac:dyDescent="0.25">
      <c r="A122">
        <v>30</v>
      </c>
      <c r="B122" t="s">
        <v>42</v>
      </c>
      <c r="C122" t="s">
        <v>91</v>
      </c>
      <c r="D122">
        <v>1312</v>
      </c>
      <c r="E122" t="s">
        <v>43</v>
      </c>
      <c r="F122">
        <v>23</v>
      </c>
      <c r="G122">
        <v>3</v>
      </c>
      <c r="H122" t="s">
        <v>37</v>
      </c>
      <c r="I122">
        <v>1</v>
      </c>
      <c r="J122">
        <v>159</v>
      </c>
      <c r="K122">
        <v>1</v>
      </c>
      <c r="L122" t="s">
        <v>44</v>
      </c>
      <c r="M122">
        <v>96</v>
      </c>
      <c r="N122">
        <v>1</v>
      </c>
      <c r="O122">
        <v>1</v>
      </c>
      <c r="P122" t="s">
        <v>45</v>
      </c>
      <c r="Q122">
        <v>3</v>
      </c>
      <c r="R122" t="s">
        <v>50</v>
      </c>
      <c r="S122">
        <v>2613</v>
      </c>
      <c r="T122">
        <v>22310</v>
      </c>
      <c r="U122">
        <v>1</v>
      </c>
      <c r="V122" t="s">
        <v>41</v>
      </c>
      <c r="W122" t="s">
        <v>42</v>
      </c>
      <c r="X122">
        <v>25</v>
      </c>
      <c r="Y122">
        <v>4</v>
      </c>
      <c r="Z122">
        <v>3</v>
      </c>
      <c r="AA122">
        <v>80</v>
      </c>
      <c r="AB122">
        <v>3</v>
      </c>
      <c r="AC122">
        <v>10</v>
      </c>
      <c r="AD122">
        <v>2</v>
      </c>
      <c r="AE122">
        <v>2</v>
      </c>
      <c r="AF122">
        <v>10</v>
      </c>
      <c r="AG122">
        <v>7</v>
      </c>
      <c r="AH122">
        <v>0</v>
      </c>
      <c r="AI122">
        <v>9</v>
      </c>
      <c r="AJ122">
        <f t="shared" si="1"/>
        <v>0</v>
      </c>
      <c r="AK122" t="str" cm="1">
        <f t="array" ref="AK122">_xlfn.IFS(A122&lt;=30,"18-30",A122&lt;=45,"31-45",A122&lt;=60,"46-60",TRUE, "60+")</f>
        <v>18-30</v>
      </c>
      <c r="AL122" t="str" cm="1">
        <f t="array" ref="AL122">_xlfn.IFS(F122&lt;=10,"0-10",F122&lt;=20,"11-20",TRUE,"20+")</f>
        <v>20+</v>
      </c>
      <c r="AM122" t="str" cm="1">
        <f t="array" ref="AM122">_xlfn.IFS(S122&lt;=5000,"0-5k",S122&lt;=10000,"5k-10k",S122&lt;=15000,"10k-15k",TRUE,"15k+")</f>
        <v>0-5k</v>
      </c>
      <c r="AN122" t="str" cm="1">
        <f t="array" ref="AN122">_xlfn.IFS(AF122&lt;=10,"0-10",AF122&lt;=20,"10-20",AF122&lt;=30,"20-30",TRUE,"30+")</f>
        <v>0-10</v>
      </c>
      <c r="AO122" t="str" cm="1">
        <f t="array" ref="AO122">_xlfn.IFS(Y122=1,"Poor",Y122=2,"Average",Y122=3,"Good",TRUE,"Excellent")</f>
        <v>Excellent</v>
      </c>
      <c r="AP122" t="str" cm="1">
        <f t="array" ref="AP122">_xlfn.IFS(Q122=1,"Low",Q122=2,"Medium",Q122=3,"High",TRUE,"Very High")</f>
        <v>High</v>
      </c>
    </row>
    <row r="123" spans="1:42" x14ac:dyDescent="0.25">
      <c r="A123">
        <v>33</v>
      </c>
      <c r="B123" t="s">
        <v>42</v>
      </c>
      <c r="C123" t="s">
        <v>53</v>
      </c>
      <c r="D123">
        <v>750</v>
      </c>
      <c r="E123" t="s">
        <v>36</v>
      </c>
      <c r="F123">
        <v>22</v>
      </c>
      <c r="G123">
        <v>2</v>
      </c>
      <c r="H123" t="s">
        <v>57</v>
      </c>
      <c r="I123">
        <v>1</v>
      </c>
      <c r="J123">
        <v>160</v>
      </c>
      <c r="K123">
        <v>3</v>
      </c>
      <c r="L123" t="s">
        <v>44</v>
      </c>
      <c r="M123">
        <v>95</v>
      </c>
      <c r="N123">
        <v>3</v>
      </c>
      <c r="O123">
        <v>2</v>
      </c>
      <c r="P123" t="s">
        <v>39</v>
      </c>
      <c r="Q123">
        <v>2</v>
      </c>
      <c r="R123" t="s">
        <v>46</v>
      </c>
      <c r="S123">
        <v>6146</v>
      </c>
      <c r="T123">
        <v>15480</v>
      </c>
      <c r="U123">
        <v>0</v>
      </c>
      <c r="V123" t="s">
        <v>41</v>
      </c>
      <c r="W123" t="s">
        <v>42</v>
      </c>
      <c r="X123">
        <v>13</v>
      </c>
      <c r="Y123">
        <v>3</v>
      </c>
      <c r="Z123">
        <v>1</v>
      </c>
      <c r="AA123">
        <v>80</v>
      </c>
      <c r="AB123">
        <v>1</v>
      </c>
      <c r="AC123">
        <v>8</v>
      </c>
      <c r="AD123">
        <v>2</v>
      </c>
      <c r="AE123">
        <v>4</v>
      </c>
      <c r="AF123">
        <v>7</v>
      </c>
      <c r="AG123">
        <v>7</v>
      </c>
      <c r="AH123">
        <v>0</v>
      </c>
      <c r="AI123">
        <v>7</v>
      </c>
      <c r="AJ123">
        <f t="shared" si="1"/>
        <v>0</v>
      </c>
      <c r="AK123" t="str" cm="1">
        <f t="array" ref="AK123">_xlfn.IFS(A123&lt;=30,"18-30",A123&lt;=45,"31-45",A123&lt;=60,"46-60",TRUE, "60+")</f>
        <v>31-45</v>
      </c>
      <c r="AL123" t="str" cm="1">
        <f t="array" ref="AL123">_xlfn.IFS(F123&lt;=10,"0-10",F123&lt;=20,"11-20",TRUE,"20+")</f>
        <v>20+</v>
      </c>
      <c r="AM123" t="str" cm="1">
        <f t="array" ref="AM123">_xlfn.IFS(S123&lt;=5000,"0-5k",S123&lt;=10000,"5k-10k",S123&lt;=15000,"10k-15k",TRUE,"15k+")</f>
        <v>5k-10k</v>
      </c>
      <c r="AN123" t="str" cm="1">
        <f t="array" ref="AN123">_xlfn.IFS(AF123&lt;=10,"0-10",AF123&lt;=20,"10-20",AF123&lt;=30,"20-30",TRUE,"30+")</f>
        <v>0-10</v>
      </c>
      <c r="AO123" t="str" cm="1">
        <f t="array" ref="AO123">_xlfn.IFS(Y123=1,"Poor",Y123=2,"Average",Y123=3,"Good",TRUE,"Excellent")</f>
        <v>Good</v>
      </c>
      <c r="AP123" t="str" cm="1">
        <f t="array" ref="AP123">_xlfn.IFS(Q123=1,"Low",Q123=2,"Medium",Q123=3,"High",TRUE,"Very High")</f>
        <v>Medium</v>
      </c>
    </row>
    <row r="124" spans="1:42" x14ac:dyDescent="0.25">
      <c r="A124">
        <v>56</v>
      </c>
      <c r="B124" t="s">
        <v>35</v>
      </c>
      <c r="C124" t="s">
        <v>90</v>
      </c>
      <c r="D124">
        <v>441</v>
      </c>
      <c r="E124" t="s">
        <v>43</v>
      </c>
      <c r="F124">
        <v>14</v>
      </c>
      <c r="G124">
        <v>4</v>
      </c>
      <c r="H124" t="s">
        <v>37</v>
      </c>
      <c r="I124">
        <v>1</v>
      </c>
      <c r="J124">
        <v>161</v>
      </c>
      <c r="K124">
        <v>2</v>
      </c>
      <c r="L124" t="s">
        <v>38</v>
      </c>
      <c r="M124">
        <v>72</v>
      </c>
      <c r="N124">
        <v>3</v>
      </c>
      <c r="O124">
        <v>1</v>
      </c>
      <c r="P124" t="s">
        <v>45</v>
      </c>
      <c r="Q124">
        <v>2</v>
      </c>
      <c r="R124" t="s">
        <v>46</v>
      </c>
      <c r="S124">
        <v>4963</v>
      </c>
      <c r="T124">
        <v>4510</v>
      </c>
      <c r="U124">
        <v>9</v>
      </c>
      <c r="V124" t="s">
        <v>41</v>
      </c>
      <c r="W124" t="s">
        <v>35</v>
      </c>
      <c r="X124">
        <v>18</v>
      </c>
      <c r="Y124">
        <v>3</v>
      </c>
      <c r="Z124">
        <v>1</v>
      </c>
      <c r="AA124">
        <v>80</v>
      </c>
      <c r="AB124">
        <v>3</v>
      </c>
      <c r="AC124">
        <v>7</v>
      </c>
      <c r="AD124">
        <v>2</v>
      </c>
      <c r="AE124">
        <v>3</v>
      </c>
      <c r="AF124">
        <v>5</v>
      </c>
      <c r="AG124">
        <v>4</v>
      </c>
      <c r="AH124">
        <v>4</v>
      </c>
      <c r="AI124">
        <v>3</v>
      </c>
      <c r="AJ124">
        <f t="shared" si="1"/>
        <v>1</v>
      </c>
      <c r="AK124" t="str" cm="1">
        <f t="array" ref="AK124">_xlfn.IFS(A124&lt;=30,"18-30",A124&lt;=45,"31-45",A124&lt;=60,"46-60",TRUE, "60+")</f>
        <v>46-60</v>
      </c>
      <c r="AL124" t="str" cm="1">
        <f t="array" ref="AL124">_xlfn.IFS(F124&lt;=10,"0-10",F124&lt;=20,"11-20",TRUE,"20+")</f>
        <v>11-20</v>
      </c>
      <c r="AM124" t="str" cm="1">
        <f t="array" ref="AM124">_xlfn.IFS(S124&lt;=5000,"0-5k",S124&lt;=10000,"5k-10k",S124&lt;=15000,"10k-15k",TRUE,"15k+")</f>
        <v>0-5k</v>
      </c>
      <c r="AN124" t="str" cm="1">
        <f t="array" ref="AN124">_xlfn.IFS(AF124&lt;=10,"0-10",AF124&lt;=20,"10-20",AF124&lt;=30,"20-30",TRUE,"30+")</f>
        <v>0-10</v>
      </c>
      <c r="AO124" t="str" cm="1">
        <f t="array" ref="AO124">_xlfn.IFS(Y124=1,"Poor",Y124=2,"Average",Y124=3,"Good",TRUE,"Excellent")</f>
        <v>Good</v>
      </c>
      <c r="AP124" t="str" cm="1">
        <f t="array" ref="AP124">_xlfn.IFS(Q124=1,"Low",Q124=2,"Medium",Q124=3,"High",TRUE,"Very High")</f>
        <v>Medium</v>
      </c>
    </row>
    <row r="125" spans="1:42" x14ac:dyDescent="0.25">
      <c r="A125">
        <v>51</v>
      </c>
      <c r="B125" t="s">
        <v>42</v>
      </c>
      <c r="C125" t="s">
        <v>90</v>
      </c>
      <c r="D125">
        <v>684</v>
      </c>
      <c r="E125" t="s">
        <v>43</v>
      </c>
      <c r="F125">
        <v>6</v>
      </c>
      <c r="G125">
        <v>3</v>
      </c>
      <c r="H125" t="s">
        <v>37</v>
      </c>
      <c r="I125">
        <v>1</v>
      </c>
      <c r="J125">
        <v>162</v>
      </c>
      <c r="K125">
        <v>1</v>
      </c>
      <c r="L125" t="s">
        <v>44</v>
      </c>
      <c r="M125">
        <v>51</v>
      </c>
      <c r="N125">
        <v>3</v>
      </c>
      <c r="O125">
        <v>5</v>
      </c>
      <c r="P125" t="s">
        <v>56</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c r="AJ125">
        <f t="shared" si="1"/>
        <v>0</v>
      </c>
      <c r="AK125" t="str" cm="1">
        <f t="array" ref="AK125">_xlfn.IFS(A125&lt;=30,"18-30",A125&lt;=45,"31-45",A125&lt;=60,"46-60",TRUE, "60+")</f>
        <v>46-60</v>
      </c>
      <c r="AL125" t="str" cm="1">
        <f t="array" ref="AL125">_xlfn.IFS(F125&lt;=10,"0-10",F125&lt;=20,"11-20",TRUE,"20+")</f>
        <v>0-10</v>
      </c>
      <c r="AM125" t="str" cm="1">
        <f t="array" ref="AM125">_xlfn.IFS(S125&lt;=5000,"0-5k",S125&lt;=10000,"5k-10k",S125&lt;=15000,"10k-15k",TRUE,"15k+")</f>
        <v>15k+</v>
      </c>
      <c r="AN125" t="str" cm="1">
        <f t="array" ref="AN125">_xlfn.IFS(AF125&lt;=10,"0-10",AF125&lt;=20,"10-20",AF125&lt;=30,"20-30",TRUE,"30+")</f>
        <v>10-20</v>
      </c>
      <c r="AO125" t="str" cm="1">
        <f t="array" ref="AO125">_xlfn.IFS(Y125=1,"Poor",Y125=2,"Average",Y125=3,"Good",TRUE,"Excellent")</f>
        <v>Good</v>
      </c>
      <c r="AP125" t="str" cm="1">
        <f t="array" ref="AP125">_xlfn.IFS(Q125=1,"Low",Q125=2,"Medium",Q125=3,"High",TRUE,"Very High")</f>
        <v>High</v>
      </c>
    </row>
    <row r="126" spans="1:42" x14ac:dyDescent="0.25">
      <c r="A126">
        <v>31</v>
      </c>
      <c r="B126" t="s">
        <v>35</v>
      </c>
      <c r="C126" t="s">
        <v>90</v>
      </c>
      <c r="D126">
        <v>249</v>
      </c>
      <c r="E126" t="s">
        <v>36</v>
      </c>
      <c r="F126">
        <v>6</v>
      </c>
      <c r="G126">
        <v>4</v>
      </c>
      <c r="H126" t="s">
        <v>37</v>
      </c>
      <c r="I126">
        <v>1</v>
      </c>
      <c r="J126">
        <v>163</v>
      </c>
      <c r="K126">
        <v>2</v>
      </c>
      <c r="L126" t="s">
        <v>44</v>
      </c>
      <c r="M126">
        <v>76</v>
      </c>
      <c r="N126">
        <v>1</v>
      </c>
      <c r="O126">
        <v>2</v>
      </c>
      <c r="P126" t="s">
        <v>39</v>
      </c>
      <c r="Q126">
        <v>3</v>
      </c>
      <c r="R126" t="s">
        <v>46</v>
      </c>
      <c r="S126">
        <v>6172</v>
      </c>
      <c r="T126">
        <v>20739</v>
      </c>
      <c r="U126">
        <v>4</v>
      </c>
      <c r="V126" t="s">
        <v>41</v>
      </c>
      <c r="W126" t="s">
        <v>35</v>
      </c>
      <c r="X126">
        <v>18</v>
      </c>
      <c r="Y126">
        <v>3</v>
      </c>
      <c r="Z126">
        <v>2</v>
      </c>
      <c r="AA126">
        <v>80</v>
      </c>
      <c r="AB126">
        <v>0</v>
      </c>
      <c r="AC126">
        <v>12</v>
      </c>
      <c r="AD126">
        <v>3</v>
      </c>
      <c r="AE126">
        <v>2</v>
      </c>
      <c r="AF126">
        <v>7</v>
      </c>
      <c r="AG126">
        <v>7</v>
      </c>
      <c r="AH126">
        <v>7</v>
      </c>
      <c r="AI126">
        <v>7</v>
      </c>
      <c r="AJ126">
        <f t="shared" si="1"/>
        <v>1</v>
      </c>
      <c r="AK126" t="str" cm="1">
        <f t="array" ref="AK126">_xlfn.IFS(A126&lt;=30,"18-30",A126&lt;=45,"31-45",A126&lt;=60,"46-60",TRUE, "60+")</f>
        <v>31-45</v>
      </c>
      <c r="AL126" t="str" cm="1">
        <f t="array" ref="AL126">_xlfn.IFS(F126&lt;=10,"0-10",F126&lt;=20,"11-20",TRUE,"20+")</f>
        <v>0-10</v>
      </c>
      <c r="AM126" t="str" cm="1">
        <f t="array" ref="AM126">_xlfn.IFS(S126&lt;=5000,"0-5k",S126&lt;=10000,"5k-10k",S126&lt;=15000,"10k-15k",TRUE,"15k+")</f>
        <v>5k-10k</v>
      </c>
      <c r="AN126" t="str" cm="1">
        <f t="array" ref="AN126">_xlfn.IFS(AF126&lt;=10,"0-10",AF126&lt;=20,"10-20",AF126&lt;=30,"20-30",TRUE,"30+")</f>
        <v>0-10</v>
      </c>
      <c r="AO126" t="str" cm="1">
        <f t="array" ref="AO126">_xlfn.IFS(Y126=1,"Poor",Y126=2,"Average",Y126=3,"Good",TRUE,"Excellent")</f>
        <v>Good</v>
      </c>
      <c r="AP126" t="str" cm="1">
        <f t="array" ref="AP126">_xlfn.IFS(Q126=1,"Low",Q126=2,"Medium",Q126=3,"High",TRUE,"Very High")</f>
        <v>High</v>
      </c>
    </row>
    <row r="127" spans="1:42" x14ac:dyDescent="0.25">
      <c r="A127">
        <v>26</v>
      </c>
      <c r="B127" t="s">
        <v>42</v>
      </c>
      <c r="C127" t="s">
        <v>90</v>
      </c>
      <c r="D127">
        <v>841</v>
      </c>
      <c r="E127" t="s">
        <v>43</v>
      </c>
      <c r="F127">
        <v>6</v>
      </c>
      <c r="G127">
        <v>3</v>
      </c>
      <c r="H127" t="s">
        <v>47</v>
      </c>
      <c r="I127">
        <v>1</v>
      </c>
      <c r="J127">
        <v>164</v>
      </c>
      <c r="K127">
        <v>3</v>
      </c>
      <c r="L127" t="s">
        <v>38</v>
      </c>
      <c r="M127">
        <v>46</v>
      </c>
      <c r="N127">
        <v>2</v>
      </c>
      <c r="O127">
        <v>1</v>
      </c>
      <c r="P127" t="s">
        <v>45</v>
      </c>
      <c r="Q127">
        <v>2</v>
      </c>
      <c r="R127" t="s">
        <v>46</v>
      </c>
      <c r="S127">
        <v>2368</v>
      </c>
      <c r="T127">
        <v>23300</v>
      </c>
      <c r="U127">
        <v>1</v>
      </c>
      <c r="V127" t="s">
        <v>41</v>
      </c>
      <c r="W127" t="s">
        <v>42</v>
      </c>
      <c r="X127">
        <v>19</v>
      </c>
      <c r="Y127">
        <v>3</v>
      </c>
      <c r="Z127">
        <v>3</v>
      </c>
      <c r="AA127">
        <v>80</v>
      </c>
      <c r="AB127">
        <v>0</v>
      </c>
      <c r="AC127">
        <v>5</v>
      </c>
      <c r="AD127">
        <v>3</v>
      </c>
      <c r="AE127">
        <v>2</v>
      </c>
      <c r="AF127">
        <v>5</v>
      </c>
      <c r="AG127">
        <v>4</v>
      </c>
      <c r="AH127">
        <v>4</v>
      </c>
      <c r="AI127">
        <v>3</v>
      </c>
      <c r="AJ127">
        <f t="shared" si="1"/>
        <v>0</v>
      </c>
      <c r="AK127" t="str" cm="1">
        <f t="array" ref="AK127">_xlfn.IFS(A127&lt;=30,"18-30",A127&lt;=45,"31-45",A127&lt;=60,"46-60",TRUE, "60+")</f>
        <v>18-30</v>
      </c>
      <c r="AL127" t="str" cm="1">
        <f t="array" ref="AL127">_xlfn.IFS(F127&lt;=10,"0-10",F127&lt;=20,"11-20",TRUE,"20+")</f>
        <v>0-10</v>
      </c>
      <c r="AM127" t="str" cm="1">
        <f t="array" ref="AM127">_xlfn.IFS(S127&lt;=5000,"0-5k",S127&lt;=10000,"5k-10k",S127&lt;=15000,"10k-15k",TRUE,"15k+")</f>
        <v>0-5k</v>
      </c>
      <c r="AN127" t="str" cm="1">
        <f t="array" ref="AN127">_xlfn.IFS(AF127&lt;=10,"0-10",AF127&lt;=20,"10-20",AF127&lt;=30,"20-30",TRUE,"30+")</f>
        <v>0-10</v>
      </c>
      <c r="AO127" t="str" cm="1">
        <f t="array" ref="AO127">_xlfn.IFS(Y127=1,"Poor",Y127=2,"Average",Y127=3,"Good",TRUE,"Excellent")</f>
        <v>Good</v>
      </c>
      <c r="AP127" t="str" cm="1">
        <f t="array" ref="AP127">_xlfn.IFS(Q127=1,"Low",Q127=2,"Medium",Q127=3,"High",TRUE,"Very High")</f>
        <v>Medium</v>
      </c>
    </row>
    <row r="128" spans="1:42" x14ac:dyDescent="0.25">
      <c r="A128">
        <v>58</v>
      </c>
      <c r="B128" t="s">
        <v>35</v>
      </c>
      <c r="C128" t="s">
        <v>90</v>
      </c>
      <c r="D128">
        <v>147</v>
      </c>
      <c r="E128" t="s">
        <v>43</v>
      </c>
      <c r="F128">
        <v>23</v>
      </c>
      <c r="G128">
        <v>4</v>
      </c>
      <c r="H128" t="s">
        <v>49</v>
      </c>
      <c r="I128">
        <v>1</v>
      </c>
      <c r="J128">
        <v>165</v>
      </c>
      <c r="K128">
        <v>4</v>
      </c>
      <c r="L128" t="s">
        <v>38</v>
      </c>
      <c r="M128">
        <v>94</v>
      </c>
      <c r="N128">
        <v>3</v>
      </c>
      <c r="O128">
        <v>3</v>
      </c>
      <c r="P128" t="s">
        <v>52</v>
      </c>
      <c r="Q128">
        <v>4</v>
      </c>
      <c r="R128" t="s">
        <v>46</v>
      </c>
      <c r="S128">
        <v>10312</v>
      </c>
      <c r="T128">
        <v>3465</v>
      </c>
      <c r="U128">
        <v>1</v>
      </c>
      <c r="V128" t="s">
        <v>41</v>
      </c>
      <c r="W128" t="s">
        <v>42</v>
      </c>
      <c r="X128">
        <v>12</v>
      </c>
      <c r="Y128">
        <v>3</v>
      </c>
      <c r="Z128">
        <v>4</v>
      </c>
      <c r="AA128">
        <v>80</v>
      </c>
      <c r="AB128">
        <v>1</v>
      </c>
      <c r="AC128">
        <v>40</v>
      </c>
      <c r="AD128">
        <v>3</v>
      </c>
      <c r="AE128">
        <v>2</v>
      </c>
      <c r="AF128">
        <v>40</v>
      </c>
      <c r="AG128">
        <v>10</v>
      </c>
      <c r="AH128">
        <v>15</v>
      </c>
      <c r="AI128">
        <v>6</v>
      </c>
      <c r="AJ128">
        <f t="shared" si="1"/>
        <v>1</v>
      </c>
      <c r="AK128" t="str" cm="1">
        <f t="array" ref="AK128">_xlfn.IFS(A128&lt;=30,"18-30",A128&lt;=45,"31-45",A128&lt;=60,"46-60",TRUE, "60+")</f>
        <v>46-60</v>
      </c>
      <c r="AL128" t="str" cm="1">
        <f t="array" ref="AL128">_xlfn.IFS(F128&lt;=10,"0-10",F128&lt;=20,"11-20",TRUE,"20+")</f>
        <v>20+</v>
      </c>
      <c r="AM128" t="str" cm="1">
        <f t="array" ref="AM128">_xlfn.IFS(S128&lt;=5000,"0-5k",S128&lt;=10000,"5k-10k",S128&lt;=15000,"10k-15k",TRUE,"15k+")</f>
        <v>10k-15k</v>
      </c>
      <c r="AN128" t="str" cm="1">
        <f t="array" ref="AN128">_xlfn.IFS(AF128&lt;=10,"0-10",AF128&lt;=20,"10-20",AF128&lt;=30,"20-30",TRUE,"30+")</f>
        <v>30+</v>
      </c>
      <c r="AO128" t="str" cm="1">
        <f t="array" ref="AO128">_xlfn.IFS(Y128=1,"Poor",Y128=2,"Average",Y128=3,"Good",TRUE,"Excellent")</f>
        <v>Good</v>
      </c>
      <c r="AP128" t="str" cm="1">
        <f t="array" ref="AP128">_xlfn.IFS(Q128=1,"Low",Q128=2,"Medium",Q128=3,"High",TRUE,"Very High")</f>
        <v>Very High</v>
      </c>
    </row>
    <row r="129" spans="1:42" x14ac:dyDescent="0.25">
      <c r="A129">
        <v>19</v>
      </c>
      <c r="B129" t="s">
        <v>35</v>
      </c>
      <c r="C129" t="s">
        <v>90</v>
      </c>
      <c r="D129">
        <v>528</v>
      </c>
      <c r="E129" t="s">
        <v>36</v>
      </c>
      <c r="F129">
        <v>22</v>
      </c>
      <c r="G129">
        <v>1</v>
      </c>
      <c r="H129" t="s">
        <v>57</v>
      </c>
      <c r="I129">
        <v>1</v>
      </c>
      <c r="J129">
        <v>167</v>
      </c>
      <c r="K129">
        <v>4</v>
      </c>
      <c r="L129" t="s">
        <v>44</v>
      </c>
      <c r="M129">
        <v>50</v>
      </c>
      <c r="N129">
        <v>3</v>
      </c>
      <c r="O129">
        <v>1</v>
      </c>
      <c r="P129" t="s">
        <v>55</v>
      </c>
      <c r="Q129">
        <v>3</v>
      </c>
      <c r="R129" t="s">
        <v>40</v>
      </c>
      <c r="S129">
        <v>1675</v>
      </c>
      <c r="T129">
        <v>26820</v>
      </c>
      <c r="U129">
        <v>1</v>
      </c>
      <c r="V129" t="s">
        <v>41</v>
      </c>
      <c r="W129" t="s">
        <v>35</v>
      </c>
      <c r="X129">
        <v>19</v>
      </c>
      <c r="Y129">
        <v>3</v>
      </c>
      <c r="Z129">
        <v>4</v>
      </c>
      <c r="AA129">
        <v>80</v>
      </c>
      <c r="AB129">
        <v>0</v>
      </c>
      <c r="AC129">
        <v>0</v>
      </c>
      <c r="AD129">
        <v>2</v>
      </c>
      <c r="AE129">
        <v>2</v>
      </c>
      <c r="AF129">
        <v>0</v>
      </c>
      <c r="AG129">
        <v>0</v>
      </c>
      <c r="AH129">
        <v>0</v>
      </c>
      <c r="AI129">
        <v>0</v>
      </c>
      <c r="AJ129">
        <f t="shared" si="1"/>
        <v>1</v>
      </c>
      <c r="AK129" t="str" cm="1">
        <f t="array" ref="AK129">_xlfn.IFS(A129&lt;=30,"18-30",A129&lt;=45,"31-45",A129&lt;=60,"46-60",TRUE, "60+")</f>
        <v>18-30</v>
      </c>
      <c r="AL129" t="str" cm="1">
        <f t="array" ref="AL129">_xlfn.IFS(F129&lt;=10,"0-10",F129&lt;=20,"11-20",TRUE,"20+")</f>
        <v>20+</v>
      </c>
      <c r="AM129" t="str" cm="1">
        <f t="array" ref="AM129">_xlfn.IFS(S129&lt;=5000,"0-5k",S129&lt;=10000,"5k-10k",S129&lt;=15000,"10k-15k",TRUE,"15k+")</f>
        <v>0-5k</v>
      </c>
      <c r="AN129" t="str" cm="1">
        <f t="array" ref="AN129">_xlfn.IFS(AF129&lt;=10,"0-10",AF129&lt;=20,"10-20",AF129&lt;=30,"20-30",TRUE,"30+")</f>
        <v>0-10</v>
      </c>
      <c r="AO129" t="str" cm="1">
        <f t="array" ref="AO129">_xlfn.IFS(Y129=1,"Poor",Y129=2,"Average",Y129=3,"Good",TRUE,"Excellent")</f>
        <v>Good</v>
      </c>
      <c r="AP129" t="str" cm="1">
        <f t="array" ref="AP129">_xlfn.IFS(Q129=1,"Low",Q129=2,"Medium",Q129=3,"High",TRUE,"Very High")</f>
        <v>High</v>
      </c>
    </row>
    <row r="130" spans="1:42" x14ac:dyDescent="0.25">
      <c r="A130">
        <v>22</v>
      </c>
      <c r="B130" t="s">
        <v>42</v>
      </c>
      <c r="C130" t="s">
        <v>90</v>
      </c>
      <c r="D130">
        <v>594</v>
      </c>
      <c r="E130" t="s">
        <v>43</v>
      </c>
      <c r="F130">
        <v>2</v>
      </c>
      <c r="G130">
        <v>1</v>
      </c>
      <c r="H130" t="s">
        <v>58</v>
      </c>
      <c r="I130">
        <v>1</v>
      </c>
      <c r="J130">
        <v>169</v>
      </c>
      <c r="K130">
        <v>3</v>
      </c>
      <c r="L130" t="s">
        <v>44</v>
      </c>
      <c r="M130">
        <v>100</v>
      </c>
      <c r="N130">
        <v>3</v>
      </c>
      <c r="O130">
        <v>1</v>
      </c>
      <c r="P130" t="s">
        <v>48</v>
      </c>
      <c r="Q130">
        <v>4</v>
      </c>
      <c r="R130" t="s">
        <v>46</v>
      </c>
      <c r="S130">
        <v>2523</v>
      </c>
      <c r="T130">
        <v>19299</v>
      </c>
      <c r="U130">
        <v>0</v>
      </c>
      <c r="V130" t="s">
        <v>41</v>
      </c>
      <c r="W130" t="s">
        <v>42</v>
      </c>
      <c r="X130">
        <v>14</v>
      </c>
      <c r="Y130">
        <v>3</v>
      </c>
      <c r="Z130">
        <v>3</v>
      </c>
      <c r="AA130">
        <v>80</v>
      </c>
      <c r="AB130">
        <v>1</v>
      </c>
      <c r="AC130">
        <v>3</v>
      </c>
      <c r="AD130">
        <v>2</v>
      </c>
      <c r="AE130">
        <v>3</v>
      </c>
      <c r="AF130">
        <v>2</v>
      </c>
      <c r="AG130">
        <v>1</v>
      </c>
      <c r="AH130">
        <v>2</v>
      </c>
      <c r="AI130">
        <v>1</v>
      </c>
      <c r="AJ130">
        <f t="shared" ref="AJ130:AJ193" si="2">IF(B130="yes",1,0)</f>
        <v>0</v>
      </c>
      <c r="AK130" t="str" cm="1">
        <f t="array" ref="AK130">_xlfn.IFS(A130&lt;=30,"18-30",A130&lt;=45,"31-45",A130&lt;=60,"46-60",TRUE, "60+")</f>
        <v>18-30</v>
      </c>
      <c r="AL130" t="str" cm="1">
        <f t="array" ref="AL130">_xlfn.IFS(F130&lt;=10,"0-10",F130&lt;=20,"11-20",TRUE,"20+")</f>
        <v>0-10</v>
      </c>
      <c r="AM130" t="str" cm="1">
        <f t="array" ref="AM130">_xlfn.IFS(S130&lt;=5000,"0-5k",S130&lt;=10000,"5k-10k",S130&lt;=15000,"10k-15k",TRUE,"15k+")</f>
        <v>0-5k</v>
      </c>
      <c r="AN130" t="str" cm="1">
        <f t="array" ref="AN130">_xlfn.IFS(AF130&lt;=10,"0-10",AF130&lt;=20,"10-20",AF130&lt;=30,"20-30",TRUE,"30+")</f>
        <v>0-10</v>
      </c>
      <c r="AO130" t="str" cm="1">
        <f t="array" ref="AO130">_xlfn.IFS(Y130=1,"Poor",Y130=2,"Average",Y130=3,"Good",TRUE,"Excellent")</f>
        <v>Good</v>
      </c>
      <c r="AP130" t="str" cm="1">
        <f t="array" ref="AP130">_xlfn.IFS(Q130=1,"Low",Q130=2,"Medium",Q130=3,"High",TRUE,"Very High")</f>
        <v>Very High</v>
      </c>
    </row>
    <row r="131" spans="1:42" x14ac:dyDescent="0.25">
      <c r="A131">
        <v>49</v>
      </c>
      <c r="B131" t="s">
        <v>42</v>
      </c>
      <c r="C131" t="s">
        <v>90</v>
      </c>
      <c r="D131">
        <v>470</v>
      </c>
      <c r="E131" t="s">
        <v>43</v>
      </c>
      <c r="F131">
        <v>20</v>
      </c>
      <c r="G131">
        <v>4</v>
      </c>
      <c r="H131" t="s">
        <v>49</v>
      </c>
      <c r="I131">
        <v>1</v>
      </c>
      <c r="J131">
        <v>170</v>
      </c>
      <c r="K131">
        <v>3</v>
      </c>
      <c r="L131" t="s">
        <v>38</v>
      </c>
      <c r="M131">
        <v>96</v>
      </c>
      <c r="N131">
        <v>3</v>
      </c>
      <c r="O131">
        <v>2</v>
      </c>
      <c r="P131" t="s">
        <v>51</v>
      </c>
      <c r="Q131">
        <v>1</v>
      </c>
      <c r="R131" t="s">
        <v>46</v>
      </c>
      <c r="S131">
        <v>6567</v>
      </c>
      <c r="T131">
        <v>5549</v>
      </c>
      <c r="U131">
        <v>1</v>
      </c>
      <c r="V131" t="s">
        <v>41</v>
      </c>
      <c r="W131" t="s">
        <v>42</v>
      </c>
      <c r="X131">
        <v>14</v>
      </c>
      <c r="Y131">
        <v>3</v>
      </c>
      <c r="Z131">
        <v>3</v>
      </c>
      <c r="AA131">
        <v>80</v>
      </c>
      <c r="AB131">
        <v>0</v>
      </c>
      <c r="AC131">
        <v>16</v>
      </c>
      <c r="AD131">
        <v>2</v>
      </c>
      <c r="AE131">
        <v>2</v>
      </c>
      <c r="AF131">
        <v>15</v>
      </c>
      <c r="AG131">
        <v>11</v>
      </c>
      <c r="AH131">
        <v>5</v>
      </c>
      <c r="AI131">
        <v>11</v>
      </c>
      <c r="AJ131">
        <f t="shared" si="2"/>
        <v>0</v>
      </c>
      <c r="AK131" t="str" cm="1">
        <f t="array" ref="AK131">_xlfn.IFS(A131&lt;=30,"18-30",A131&lt;=45,"31-45",A131&lt;=60,"46-60",TRUE, "60+")</f>
        <v>46-60</v>
      </c>
      <c r="AL131" t="str" cm="1">
        <f t="array" ref="AL131">_xlfn.IFS(F131&lt;=10,"0-10",F131&lt;=20,"11-20",TRUE,"20+")</f>
        <v>11-20</v>
      </c>
      <c r="AM131" t="str" cm="1">
        <f t="array" ref="AM131">_xlfn.IFS(S131&lt;=5000,"0-5k",S131&lt;=10000,"5k-10k",S131&lt;=15000,"10k-15k",TRUE,"15k+")</f>
        <v>5k-10k</v>
      </c>
      <c r="AN131" t="str" cm="1">
        <f t="array" ref="AN131">_xlfn.IFS(AF131&lt;=10,"0-10",AF131&lt;=20,"10-20",AF131&lt;=30,"20-30",TRUE,"30+")</f>
        <v>10-20</v>
      </c>
      <c r="AO131" t="str" cm="1">
        <f t="array" ref="AO131">_xlfn.IFS(Y131=1,"Poor",Y131=2,"Average",Y131=3,"Good",TRUE,"Excellent")</f>
        <v>Good</v>
      </c>
      <c r="AP131" t="str" cm="1">
        <f t="array" ref="AP131">_xlfn.IFS(Q131=1,"Low",Q131=2,"Medium",Q131=3,"High",TRUE,"Very High")</f>
        <v>Low</v>
      </c>
    </row>
    <row r="132" spans="1:42" x14ac:dyDescent="0.25">
      <c r="A132">
        <v>43</v>
      </c>
      <c r="B132" t="s">
        <v>42</v>
      </c>
      <c r="C132" t="s">
        <v>91</v>
      </c>
      <c r="D132">
        <v>957</v>
      </c>
      <c r="E132" t="s">
        <v>43</v>
      </c>
      <c r="F132">
        <v>28</v>
      </c>
      <c r="G132">
        <v>3</v>
      </c>
      <c r="H132" t="s">
        <v>49</v>
      </c>
      <c r="I132">
        <v>1</v>
      </c>
      <c r="J132">
        <v>171</v>
      </c>
      <c r="K132">
        <v>2</v>
      </c>
      <c r="L132" t="s">
        <v>38</v>
      </c>
      <c r="M132">
        <v>72</v>
      </c>
      <c r="N132">
        <v>4</v>
      </c>
      <c r="O132">
        <v>1</v>
      </c>
      <c r="P132" t="s">
        <v>45</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c r="AJ132">
        <f t="shared" si="2"/>
        <v>0</v>
      </c>
      <c r="AK132" t="str" cm="1">
        <f t="array" ref="AK132">_xlfn.IFS(A132&lt;=30,"18-30",A132&lt;=45,"31-45",A132&lt;=60,"46-60",TRUE, "60+")</f>
        <v>31-45</v>
      </c>
      <c r="AL132" t="str" cm="1">
        <f t="array" ref="AL132">_xlfn.IFS(F132&lt;=10,"0-10",F132&lt;=20,"11-20",TRUE,"20+")</f>
        <v>20+</v>
      </c>
      <c r="AM132" t="str" cm="1">
        <f t="array" ref="AM132">_xlfn.IFS(S132&lt;=5000,"0-5k",S132&lt;=10000,"5k-10k",S132&lt;=15000,"10k-15k",TRUE,"15k+")</f>
        <v>0-5k</v>
      </c>
      <c r="AN132" t="str" cm="1">
        <f t="array" ref="AN132">_xlfn.IFS(AF132&lt;=10,"0-10",AF132&lt;=20,"10-20",AF132&lt;=30,"20-30",TRUE,"30+")</f>
        <v>0-10</v>
      </c>
      <c r="AO132" t="str" cm="1">
        <f t="array" ref="AO132">_xlfn.IFS(Y132=1,"Poor",Y132=2,"Average",Y132=3,"Good",TRUE,"Excellent")</f>
        <v>Good</v>
      </c>
      <c r="AP132" t="str" cm="1">
        <f t="array" ref="AP132">_xlfn.IFS(Q132=1,"Low",Q132=2,"Medium",Q132=3,"High",TRUE,"Very High")</f>
        <v>High</v>
      </c>
    </row>
    <row r="133" spans="1:42" x14ac:dyDescent="0.25">
      <c r="A133">
        <v>50</v>
      </c>
      <c r="B133" t="s">
        <v>42</v>
      </c>
      <c r="C133" t="s">
        <v>91</v>
      </c>
      <c r="D133">
        <v>809</v>
      </c>
      <c r="E133" t="s">
        <v>36</v>
      </c>
      <c r="F133">
        <v>12</v>
      </c>
      <c r="G133">
        <v>3</v>
      </c>
      <c r="H133" t="s">
        <v>57</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c r="AJ133">
        <f t="shared" si="2"/>
        <v>0</v>
      </c>
      <c r="AK133" t="str" cm="1">
        <f t="array" ref="AK133">_xlfn.IFS(A133&lt;=30,"18-30",A133&lt;=45,"31-45",A133&lt;=60,"46-60",TRUE, "60+")</f>
        <v>46-60</v>
      </c>
      <c r="AL133" t="str" cm="1">
        <f t="array" ref="AL133">_xlfn.IFS(F133&lt;=10,"0-10",F133&lt;=20,"11-20",TRUE,"20+")</f>
        <v>11-20</v>
      </c>
      <c r="AM133" t="str" cm="1">
        <f t="array" ref="AM133">_xlfn.IFS(S133&lt;=5000,"0-5k",S133&lt;=10000,"5k-10k",S133&lt;=15000,"10k-15k",TRUE,"15k+")</f>
        <v>5k-10k</v>
      </c>
      <c r="AN133" t="str" cm="1">
        <f t="array" ref="AN133">_xlfn.IFS(AF133&lt;=10,"0-10",AF133&lt;=20,"10-20",AF133&lt;=30,"20-30",TRUE,"30+")</f>
        <v>0-10</v>
      </c>
      <c r="AO133" t="str" cm="1">
        <f t="array" ref="AO133">_xlfn.IFS(Y133=1,"Poor",Y133=2,"Average",Y133=3,"Good",TRUE,"Excellent")</f>
        <v>Good</v>
      </c>
      <c r="AP133" t="str" cm="1">
        <f t="array" ref="AP133">_xlfn.IFS(Q133=1,"Low",Q133=2,"Medium",Q133=3,"High",TRUE,"Very High")</f>
        <v>Very High</v>
      </c>
    </row>
    <row r="134" spans="1:42" x14ac:dyDescent="0.25">
      <c r="A134">
        <v>31</v>
      </c>
      <c r="B134" t="s">
        <v>35</v>
      </c>
      <c r="C134" t="s">
        <v>90</v>
      </c>
      <c r="D134">
        <v>542</v>
      </c>
      <c r="E134" t="s">
        <v>36</v>
      </c>
      <c r="F134">
        <v>20</v>
      </c>
      <c r="G134">
        <v>3</v>
      </c>
      <c r="H134" t="s">
        <v>37</v>
      </c>
      <c r="I134">
        <v>1</v>
      </c>
      <c r="J134">
        <v>175</v>
      </c>
      <c r="K134">
        <v>2</v>
      </c>
      <c r="L134" t="s">
        <v>38</v>
      </c>
      <c r="M134">
        <v>71</v>
      </c>
      <c r="N134">
        <v>1</v>
      </c>
      <c r="O134">
        <v>2</v>
      </c>
      <c r="P134" t="s">
        <v>39</v>
      </c>
      <c r="Q134">
        <v>3</v>
      </c>
      <c r="R134" t="s">
        <v>46</v>
      </c>
      <c r="S134">
        <v>4559</v>
      </c>
      <c r="T134">
        <v>24788</v>
      </c>
      <c r="U134">
        <v>3</v>
      </c>
      <c r="V134" t="s">
        <v>41</v>
      </c>
      <c r="W134" t="s">
        <v>35</v>
      </c>
      <c r="X134">
        <v>11</v>
      </c>
      <c r="Y134">
        <v>3</v>
      </c>
      <c r="Z134">
        <v>3</v>
      </c>
      <c r="AA134">
        <v>80</v>
      </c>
      <c r="AB134">
        <v>1</v>
      </c>
      <c r="AC134">
        <v>4</v>
      </c>
      <c r="AD134">
        <v>2</v>
      </c>
      <c r="AE134">
        <v>3</v>
      </c>
      <c r="AF134">
        <v>2</v>
      </c>
      <c r="AG134">
        <v>2</v>
      </c>
      <c r="AH134">
        <v>2</v>
      </c>
      <c r="AI134">
        <v>2</v>
      </c>
      <c r="AJ134">
        <f t="shared" si="2"/>
        <v>1</v>
      </c>
      <c r="AK134" t="str" cm="1">
        <f t="array" ref="AK134">_xlfn.IFS(A134&lt;=30,"18-30",A134&lt;=45,"31-45",A134&lt;=60,"46-60",TRUE, "60+")</f>
        <v>31-45</v>
      </c>
      <c r="AL134" t="str" cm="1">
        <f t="array" ref="AL134">_xlfn.IFS(F134&lt;=10,"0-10",F134&lt;=20,"11-20",TRUE,"20+")</f>
        <v>11-20</v>
      </c>
      <c r="AM134" t="str" cm="1">
        <f t="array" ref="AM134">_xlfn.IFS(S134&lt;=5000,"0-5k",S134&lt;=10000,"5k-10k",S134&lt;=15000,"10k-15k",TRUE,"15k+")</f>
        <v>0-5k</v>
      </c>
      <c r="AN134" t="str" cm="1">
        <f t="array" ref="AN134">_xlfn.IFS(AF134&lt;=10,"0-10",AF134&lt;=20,"10-20",AF134&lt;=30,"20-30",TRUE,"30+")</f>
        <v>0-10</v>
      </c>
      <c r="AO134" t="str" cm="1">
        <f t="array" ref="AO134">_xlfn.IFS(Y134=1,"Poor",Y134=2,"Average",Y134=3,"Good",TRUE,"Excellent")</f>
        <v>Good</v>
      </c>
      <c r="AP134" t="str" cm="1">
        <f t="array" ref="AP134">_xlfn.IFS(Q134=1,"Low",Q134=2,"Medium",Q134=3,"High",TRUE,"Very High")</f>
        <v>High</v>
      </c>
    </row>
    <row r="135" spans="1:42" x14ac:dyDescent="0.25">
      <c r="A135">
        <v>41</v>
      </c>
      <c r="B135" t="s">
        <v>42</v>
      </c>
      <c r="C135" t="s">
        <v>90</v>
      </c>
      <c r="D135">
        <v>802</v>
      </c>
      <c r="E135" t="s">
        <v>36</v>
      </c>
      <c r="F135">
        <v>9</v>
      </c>
      <c r="G135">
        <v>1</v>
      </c>
      <c r="H135" t="s">
        <v>37</v>
      </c>
      <c r="I135">
        <v>1</v>
      </c>
      <c r="J135">
        <v>176</v>
      </c>
      <c r="K135">
        <v>3</v>
      </c>
      <c r="L135" t="s">
        <v>44</v>
      </c>
      <c r="M135">
        <v>96</v>
      </c>
      <c r="N135">
        <v>3</v>
      </c>
      <c r="O135">
        <v>3</v>
      </c>
      <c r="P135" t="s">
        <v>39</v>
      </c>
      <c r="Q135">
        <v>3</v>
      </c>
      <c r="R135" t="s">
        <v>50</v>
      </c>
      <c r="S135">
        <v>8189</v>
      </c>
      <c r="T135">
        <v>21196</v>
      </c>
      <c r="U135">
        <v>3</v>
      </c>
      <c r="V135" t="s">
        <v>41</v>
      </c>
      <c r="W135" t="s">
        <v>35</v>
      </c>
      <c r="X135">
        <v>13</v>
      </c>
      <c r="Y135">
        <v>3</v>
      </c>
      <c r="Z135">
        <v>3</v>
      </c>
      <c r="AA135">
        <v>80</v>
      </c>
      <c r="AB135">
        <v>1</v>
      </c>
      <c r="AC135">
        <v>12</v>
      </c>
      <c r="AD135">
        <v>2</v>
      </c>
      <c r="AE135">
        <v>3</v>
      </c>
      <c r="AF135">
        <v>9</v>
      </c>
      <c r="AG135">
        <v>7</v>
      </c>
      <c r="AH135">
        <v>0</v>
      </c>
      <c r="AI135">
        <v>7</v>
      </c>
      <c r="AJ135">
        <f t="shared" si="2"/>
        <v>0</v>
      </c>
      <c r="AK135" t="str" cm="1">
        <f t="array" ref="AK135">_xlfn.IFS(A135&lt;=30,"18-30",A135&lt;=45,"31-45",A135&lt;=60,"46-60",TRUE, "60+")</f>
        <v>31-45</v>
      </c>
      <c r="AL135" t="str" cm="1">
        <f t="array" ref="AL135">_xlfn.IFS(F135&lt;=10,"0-10",F135&lt;=20,"11-20",TRUE,"20+")</f>
        <v>0-10</v>
      </c>
      <c r="AM135" t="str" cm="1">
        <f t="array" ref="AM135">_xlfn.IFS(S135&lt;=5000,"0-5k",S135&lt;=10000,"5k-10k",S135&lt;=15000,"10k-15k",TRUE,"15k+")</f>
        <v>5k-10k</v>
      </c>
      <c r="AN135" t="str" cm="1">
        <f t="array" ref="AN135">_xlfn.IFS(AF135&lt;=10,"0-10",AF135&lt;=20,"10-20",AF135&lt;=30,"20-30",TRUE,"30+")</f>
        <v>0-10</v>
      </c>
      <c r="AO135" t="str" cm="1">
        <f t="array" ref="AO135">_xlfn.IFS(Y135=1,"Poor",Y135=2,"Average",Y135=3,"Good",TRUE,"Excellent")</f>
        <v>Good</v>
      </c>
      <c r="AP135" t="str" cm="1">
        <f t="array" ref="AP135">_xlfn.IFS(Q135=1,"Low",Q135=2,"Medium",Q135=3,"High",TRUE,"Very High")</f>
        <v>High</v>
      </c>
    </row>
    <row r="136" spans="1:42" x14ac:dyDescent="0.25">
      <c r="A136">
        <v>26</v>
      </c>
      <c r="B136" t="s">
        <v>42</v>
      </c>
      <c r="C136" t="s">
        <v>90</v>
      </c>
      <c r="D136">
        <v>1355</v>
      </c>
      <c r="E136" t="s">
        <v>59</v>
      </c>
      <c r="F136">
        <v>25</v>
      </c>
      <c r="G136">
        <v>1</v>
      </c>
      <c r="H136" t="s">
        <v>37</v>
      </c>
      <c r="I136">
        <v>1</v>
      </c>
      <c r="J136">
        <v>177</v>
      </c>
      <c r="K136">
        <v>3</v>
      </c>
      <c r="L136" t="s">
        <v>38</v>
      </c>
      <c r="M136">
        <v>61</v>
      </c>
      <c r="N136">
        <v>3</v>
      </c>
      <c r="O136">
        <v>1</v>
      </c>
      <c r="P136" t="s">
        <v>59</v>
      </c>
      <c r="Q136">
        <v>3</v>
      </c>
      <c r="R136" t="s">
        <v>46</v>
      </c>
      <c r="S136">
        <v>2942</v>
      </c>
      <c r="T136">
        <v>8916</v>
      </c>
      <c r="U136">
        <v>1</v>
      </c>
      <c r="V136" t="s">
        <v>41</v>
      </c>
      <c r="W136" t="s">
        <v>42</v>
      </c>
      <c r="X136">
        <v>23</v>
      </c>
      <c r="Y136">
        <v>4</v>
      </c>
      <c r="Z136">
        <v>4</v>
      </c>
      <c r="AA136">
        <v>80</v>
      </c>
      <c r="AB136">
        <v>1</v>
      </c>
      <c r="AC136">
        <v>8</v>
      </c>
      <c r="AD136">
        <v>3</v>
      </c>
      <c r="AE136">
        <v>3</v>
      </c>
      <c r="AF136">
        <v>8</v>
      </c>
      <c r="AG136">
        <v>7</v>
      </c>
      <c r="AH136">
        <v>5</v>
      </c>
      <c r="AI136">
        <v>7</v>
      </c>
      <c r="AJ136">
        <f t="shared" si="2"/>
        <v>0</v>
      </c>
      <c r="AK136" t="str" cm="1">
        <f t="array" ref="AK136">_xlfn.IFS(A136&lt;=30,"18-30",A136&lt;=45,"31-45",A136&lt;=60,"46-60",TRUE, "60+")</f>
        <v>18-30</v>
      </c>
      <c r="AL136" t="str" cm="1">
        <f t="array" ref="AL136">_xlfn.IFS(F136&lt;=10,"0-10",F136&lt;=20,"11-20",TRUE,"20+")</f>
        <v>20+</v>
      </c>
      <c r="AM136" t="str" cm="1">
        <f t="array" ref="AM136">_xlfn.IFS(S136&lt;=5000,"0-5k",S136&lt;=10000,"5k-10k",S136&lt;=15000,"10k-15k",TRUE,"15k+")</f>
        <v>0-5k</v>
      </c>
      <c r="AN136" t="str" cm="1">
        <f t="array" ref="AN136">_xlfn.IFS(AF136&lt;=10,"0-10",AF136&lt;=20,"10-20",AF136&lt;=30,"20-30",TRUE,"30+")</f>
        <v>0-10</v>
      </c>
      <c r="AO136" t="str" cm="1">
        <f t="array" ref="AO136">_xlfn.IFS(Y136=1,"Poor",Y136=2,"Average",Y136=3,"Good",TRUE,"Excellent")</f>
        <v>Excellent</v>
      </c>
      <c r="AP136" t="str" cm="1">
        <f t="array" ref="AP136">_xlfn.IFS(Q136=1,"Low",Q136=2,"Medium",Q136=3,"High",TRUE,"Very High")</f>
        <v>High</v>
      </c>
    </row>
    <row r="137" spans="1:42" x14ac:dyDescent="0.25">
      <c r="A137">
        <v>36</v>
      </c>
      <c r="B137" t="s">
        <v>42</v>
      </c>
      <c r="C137" t="s">
        <v>90</v>
      </c>
      <c r="D137">
        <v>216</v>
      </c>
      <c r="E137" t="s">
        <v>43</v>
      </c>
      <c r="F137">
        <v>6</v>
      </c>
      <c r="G137">
        <v>2</v>
      </c>
      <c r="H137" t="s">
        <v>49</v>
      </c>
      <c r="I137">
        <v>1</v>
      </c>
      <c r="J137">
        <v>178</v>
      </c>
      <c r="K137">
        <v>2</v>
      </c>
      <c r="L137" t="s">
        <v>44</v>
      </c>
      <c r="M137">
        <v>84</v>
      </c>
      <c r="N137">
        <v>3</v>
      </c>
      <c r="O137">
        <v>2</v>
      </c>
      <c r="P137" t="s">
        <v>51</v>
      </c>
      <c r="Q137">
        <v>2</v>
      </c>
      <c r="R137" t="s">
        <v>50</v>
      </c>
      <c r="S137">
        <v>4941</v>
      </c>
      <c r="T137">
        <v>2819</v>
      </c>
      <c r="U137">
        <v>6</v>
      </c>
      <c r="V137" t="s">
        <v>41</v>
      </c>
      <c r="W137" t="s">
        <v>42</v>
      </c>
      <c r="X137">
        <v>20</v>
      </c>
      <c r="Y137">
        <v>4</v>
      </c>
      <c r="Z137">
        <v>4</v>
      </c>
      <c r="AA137">
        <v>80</v>
      </c>
      <c r="AB137">
        <v>2</v>
      </c>
      <c r="AC137">
        <v>7</v>
      </c>
      <c r="AD137">
        <v>0</v>
      </c>
      <c r="AE137">
        <v>3</v>
      </c>
      <c r="AF137">
        <v>3</v>
      </c>
      <c r="AG137">
        <v>2</v>
      </c>
      <c r="AH137">
        <v>0</v>
      </c>
      <c r="AI137">
        <v>1</v>
      </c>
      <c r="AJ137">
        <f t="shared" si="2"/>
        <v>0</v>
      </c>
      <c r="AK137" t="str" cm="1">
        <f t="array" ref="AK137">_xlfn.IFS(A137&lt;=30,"18-30",A137&lt;=45,"31-45",A137&lt;=60,"46-60",TRUE, "60+")</f>
        <v>31-45</v>
      </c>
      <c r="AL137" t="str" cm="1">
        <f t="array" ref="AL137">_xlfn.IFS(F137&lt;=10,"0-10",F137&lt;=20,"11-20",TRUE,"20+")</f>
        <v>0-10</v>
      </c>
      <c r="AM137" t="str" cm="1">
        <f t="array" ref="AM137">_xlfn.IFS(S137&lt;=5000,"0-5k",S137&lt;=10000,"5k-10k",S137&lt;=15000,"10k-15k",TRUE,"15k+")</f>
        <v>0-5k</v>
      </c>
      <c r="AN137" t="str" cm="1">
        <f t="array" ref="AN137">_xlfn.IFS(AF137&lt;=10,"0-10",AF137&lt;=20,"10-20",AF137&lt;=30,"20-30",TRUE,"30+")</f>
        <v>0-10</v>
      </c>
      <c r="AO137" t="str" cm="1">
        <f t="array" ref="AO137">_xlfn.IFS(Y137=1,"Poor",Y137=2,"Average",Y137=3,"Good",TRUE,"Excellent")</f>
        <v>Excellent</v>
      </c>
      <c r="AP137" t="str" cm="1">
        <f t="array" ref="AP137">_xlfn.IFS(Q137=1,"Low",Q137=2,"Medium",Q137=3,"High",TRUE,"Very High")</f>
        <v>Medium</v>
      </c>
    </row>
    <row r="138" spans="1:42" x14ac:dyDescent="0.25">
      <c r="A138">
        <v>51</v>
      </c>
      <c r="B138" t="s">
        <v>35</v>
      </c>
      <c r="C138" t="s">
        <v>91</v>
      </c>
      <c r="D138">
        <v>1150</v>
      </c>
      <c r="E138" t="s">
        <v>43</v>
      </c>
      <c r="F138">
        <v>8</v>
      </c>
      <c r="G138">
        <v>4</v>
      </c>
      <c r="H138" t="s">
        <v>37</v>
      </c>
      <c r="I138">
        <v>1</v>
      </c>
      <c r="J138">
        <v>179</v>
      </c>
      <c r="K138">
        <v>1</v>
      </c>
      <c r="L138" t="s">
        <v>44</v>
      </c>
      <c r="M138">
        <v>53</v>
      </c>
      <c r="N138">
        <v>1</v>
      </c>
      <c r="O138">
        <v>3</v>
      </c>
      <c r="P138" t="s">
        <v>51</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c r="AJ138">
        <f t="shared" si="2"/>
        <v>1</v>
      </c>
      <c r="AK138" t="str" cm="1">
        <f t="array" ref="AK138">_xlfn.IFS(A138&lt;=30,"18-30",A138&lt;=45,"31-45",A138&lt;=60,"46-60",TRUE, "60+")</f>
        <v>46-60</v>
      </c>
      <c r="AL138" t="str" cm="1">
        <f t="array" ref="AL138">_xlfn.IFS(F138&lt;=10,"0-10",F138&lt;=20,"11-20",TRUE,"20+")</f>
        <v>0-10</v>
      </c>
      <c r="AM138" t="str" cm="1">
        <f t="array" ref="AM138">_xlfn.IFS(S138&lt;=5000,"0-5k",S138&lt;=10000,"5k-10k",S138&lt;=15000,"10k-15k",TRUE,"15k+")</f>
        <v>10k-15k</v>
      </c>
      <c r="AN138" t="str" cm="1">
        <f t="array" ref="AN138">_xlfn.IFS(AF138&lt;=10,"0-10",AF138&lt;=20,"10-20",AF138&lt;=30,"20-30",TRUE,"30+")</f>
        <v>0-10</v>
      </c>
      <c r="AO138" t="str" cm="1">
        <f t="array" ref="AO138">_xlfn.IFS(Y138=1,"Poor",Y138=2,"Average",Y138=3,"Good",TRUE,"Excellent")</f>
        <v>Good</v>
      </c>
      <c r="AP138" t="str" cm="1">
        <f t="array" ref="AP138">_xlfn.IFS(Q138=1,"Low",Q138=2,"Medium",Q138=3,"High",TRUE,"Very High")</f>
        <v>Very High</v>
      </c>
    </row>
    <row r="139" spans="1:42" x14ac:dyDescent="0.25">
      <c r="A139">
        <v>39</v>
      </c>
      <c r="B139" t="s">
        <v>42</v>
      </c>
      <c r="C139" t="s">
        <v>90</v>
      </c>
      <c r="D139">
        <v>1329</v>
      </c>
      <c r="E139" t="s">
        <v>36</v>
      </c>
      <c r="F139">
        <v>4</v>
      </c>
      <c r="G139">
        <v>4</v>
      </c>
      <c r="H139" t="s">
        <v>37</v>
      </c>
      <c r="I139">
        <v>1</v>
      </c>
      <c r="J139">
        <v>182</v>
      </c>
      <c r="K139">
        <v>4</v>
      </c>
      <c r="L139" t="s">
        <v>38</v>
      </c>
      <c r="M139">
        <v>47</v>
      </c>
      <c r="N139">
        <v>2</v>
      </c>
      <c r="O139">
        <v>2</v>
      </c>
      <c r="P139" t="s">
        <v>39</v>
      </c>
      <c r="Q139">
        <v>3</v>
      </c>
      <c r="R139" t="s">
        <v>46</v>
      </c>
      <c r="S139">
        <v>5902</v>
      </c>
      <c r="T139">
        <v>14590</v>
      </c>
      <c r="U139">
        <v>4</v>
      </c>
      <c r="V139" t="s">
        <v>41</v>
      </c>
      <c r="W139" t="s">
        <v>42</v>
      </c>
      <c r="X139">
        <v>14</v>
      </c>
      <c r="Y139">
        <v>3</v>
      </c>
      <c r="Z139">
        <v>3</v>
      </c>
      <c r="AA139">
        <v>80</v>
      </c>
      <c r="AB139">
        <v>1</v>
      </c>
      <c r="AC139">
        <v>17</v>
      </c>
      <c r="AD139">
        <v>1</v>
      </c>
      <c r="AE139">
        <v>4</v>
      </c>
      <c r="AF139">
        <v>15</v>
      </c>
      <c r="AG139">
        <v>11</v>
      </c>
      <c r="AH139">
        <v>5</v>
      </c>
      <c r="AI139">
        <v>9</v>
      </c>
      <c r="AJ139">
        <f t="shared" si="2"/>
        <v>0</v>
      </c>
      <c r="AK139" t="str" cm="1">
        <f t="array" ref="AK139">_xlfn.IFS(A139&lt;=30,"18-30",A139&lt;=45,"31-45",A139&lt;=60,"46-60",TRUE, "60+")</f>
        <v>31-45</v>
      </c>
      <c r="AL139" t="str" cm="1">
        <f t="array" ref="AL139">_xlfn.IFS(F139&lt;=10,"0-10",F139&lt;=20,"11-20",TRUE,"20+")</f>
        <v>0-10</v>
      </c>
      <c r="AM139" t="str" cm="1">
        <f t="array" ref="AM139">_xlfn.IFS(S139&lt;=5000,"0-5k",S139&lt;=10000,"5k-10k",S139&lt;=15000,"10k-15k",TRUE,"15k+")</f>
        <v>5k-10k</v>
      </c>
      <c r="AN139" t="str" cm="1">
        <f t="array" ref="AN139">_xlfn.IFS(AF139&lt;=10,"0-10",AF139&lt;=20,"10-20",AF139&lt;=30,"20-30",TRUE,"30+")</f>
        <v>10-20</v>
      </c>
      <c r="AO139" t="str" cm="1">
        <f t="array" ref="AO139">_xlfn.IFS(Y139=1,"Poor",Y139=2,"Average",Y139=3,"Good",TRUE,"Excellent")</f>
        <v>Good</v>
      </c>
      <c r="AP139" t="str" cm="1">
        <f t="array" ref="AP139">_xlfn.IFS(Q139=1,"Low",Q139=2,"Medium",Q139=3,"High",TRUE,"Very High")</f>
        <v>High</v>
      </c>
    </row>
    <row r="140" spans="1:42" x14ac:dyDescent="0.25">
      <c r="A140">
        <v>25</v>
      </c>
      <c r="B140" t="s">
        <v>42</v>
      </c>
      <c r="C140" t="s">
        <v>90</v>
      </c>
      <c r="D140">
        <v>959</v>
      </c>
      <c r="E140" t="s">
        <v>36</v>
      </c>
      <c r="F140">
        <v>28</v>
      </c>
      <c r="G140">
        <v>3</v>
      </c>
      <c r="H140" t="s">
        <v>37</v>
      </c>
      <c r="I140">
        <v>1</v>
      </c>
      <c r="J140">
        <v>183</v>
      </c>
      <c r="K140">
        <v>1</v>
      </c>
      <c r="L140" t="s">
        <v>44</v>
      </c>
      <c r="M140">
        <v>41</v>
      </c>
      <c r="N140">
        <v>2</v>
      </c>
      <c r="O140">
        <v>2</v>
      </c>
      <c r="P140" t="s">
        <v>39</v>
      </c>
      <c r="Q140">
        <v>3</v>
      </c>
      <c r="R140" t="s">
        <v>46</v>
      </c>
      <c r="S140">
        <v>8639</v>
      </c>
      <c r="T140">
        <v>24835</v>
      </c>
      <c r="U140">
        <v>2</v>
      </c>
      <c r="V140" t="s">
        <v>41</v>
      </c>
      <c r="W140" t="s">
        <v>42</v>
      </c>
      <c r="X140">
        <v>18</v>
      </c>
      <c r="Y140">
        <v>3</v>
      </c>
      <c r="Z140">
        <v>4</v>
      </c>
      <c r="AA140">
        <v>80</v>
      </c>
      <c r="AB140">
        <v>0</v>
      </c>
      <c r="AC140">
        <v>6</v>
      </c>
      <c r="AD140">
        <v>3</v>
      </c>
      <c r="AE140">
        <v>3</v>
      </c>
      <c r="AF140">
        <v>2</v>
      </c>
      <c r="AG140">
        <v>2</v>
      </c>
      <c r="AH140">
        <v>2</v>
      </c>
      <c r="AI140">
        <v>2</v>
      </c>
      <c r="AJ140">
        <f t="shared" si="2"/>
        <v>0</v>
      </c>
      <c r="AK140" t="str" cm="1">
        <f t="array" ref="AK140">_xlfn.IFS(A140&lt;=30,"18-30",A140&lt;=45,"31-45",A140&lt;=60,"46-60",TRUE, "60+")</f>
        <v>18-30</v>
      </c>
      <c r="AL140" t="str" cm="1">
        <f t="array" ref="AL140">_xlfn.IFS(F140&lt;=10,"0-10",F140&lt;=20,"11-20",TRUE,"20+")</f>
        <v>20+</v>
      </c>
      <c r="AM140" t="str" cm="1">
        <f t="array" ref="AM140">_xlfn.IFS(S140&lt;=5000,"0-5k",S140&lt;=10000,"5k-10k",S140&lt;=15000,"10k-15k",TRUE,"15k+")</f>
        <v>5k-10k</v>
      </c>
      <c r="AN140" t="str" cm="1">
        <f t="array" ref="AN140">_xlfn.IFS(AF140&lt;=10,"0-10",AF140&lt;=20,"10-20",AF140&lt;=30,"20-30",TRUE,"30+")</f>
        <v>0-10</v>
      </c>
      <c r="AO140" t="str" cm="1">
        <f t="array" ref="AO140">_xlfn.IFS(Y140=1,"Poor",Y140=2,"Average",Y140=3,"Good",TRUE,"Excellent")</f>
        <v>Good</v>
      </c>
      <c r="AP140" t="str" cm="1">
        <f t="array" ref="AP140">_xlfn.IFS(Q140=1,"Low",Q140=2,"Medium",Q140=3,"High",TRUE,"Very High")</f>
        <v>High</v>
      </c>
    </row>
    <row r="141" spans="1:42" x14ac:dyDescent="0.25">
      <c r="A141">
        <v>30</v>
      </c>
      <c r="B141" t="s">
        <v>42</v>
      </c>
      <c r="C141" t="s">
        <v>90</v>
      </c>
      <c r="D141">
        <v>1240</v>
      </c>
      <c r="E141" t="s">
        <v>59</v>
      </c>
      <c r="F141">
        <v>9</v>
      </c>
      <c r="G141">
        <v>3</v>
      </c>
      <c r="H141" t="s">
        <v>59</v>
      </c>
      <c r="I141">
        <v>1</v>
      </c>
      <c r="J141">
        <v>184</v>
      </c>
      <c r="K141">
        <v>3</v>
      </c>
      <c r="L141" t="s">
        <v>44</v>
      </c>
      <c r="M141">
        <v>48</v>
      </c>
      <c r="N141">
        <v>3</v>
      </c>
      <c r="O141">
        <v>2</v>
      </c>
      <c r="P141" t="s">
        <v>59</v>
      </c>
      <c r="Q141">
        <v>4</v>
      </c>
      <c r="R141" t="s">
        <v>46</v>
      </c>
      <c r="S141">
        <v>6347</v>
      </c>
      <c r="T141">
        <v>13982</v>
      </c>
      <c r="U141">
        <v>0</v>
      </c>
      <c r="V141" t="s">
        <v>41</v>
      </c>
      <c r="W141" t="s">
        <v>35</v>
      </c>
      <c r="X141">
        <v>19</v>
      </c>
      <c r="Y141">
        <v>3</v>
      </c>
      <c r="Z141">
        <v>4</v>
      </c>
      <c r="AA141">
        <v>80</v>
      </c>
      <c r="AB141">
        <v>0</v>
      </c>
      <c r="AC141">
        <v>12</v>
      </c>
      <c r="AD141">
        <v>2</v>
      </c>
      <c r="AE141">
        <v>1</v>
      </c>
      <c r="AF141">
        <v>11</v>
      </c>
      <c r="AG141">
        <v>9</v>
      </c>
      <c r="AH141">
        <v>4</v>
      </c>
      <c r="AI141">
        <v>7</v>
      </c>
      <c r="AJ141">
        <f t="shared" si="2"/>
        <v>0</v>
      </c>
      <c r="AK141" t="str" cm="1">
        <f t="array" ref="AK141">_xlfn.IFS(A141&lt;=30,"18-30",A141&lt;=45,"31-45",A141&lt;=60,"46-60",TRUE, "60+")</f>
        <v>18-30</v>
      </c>
      <c r="AL141" t="str" cm="1">
        <f t="array" ref="AL141">_xlfn.IFS(F141&lt;=10,"0-10",F141&lt;=20,"11-20",TRUE,"20+")</f>
        <v>0-10</v>
      </c>
      <c r="AM141" t="str" cm="1">
        <f t="array" ref="AM141">_xlfn.IFS(S141&lt;=5000,"0-5k",S141&lt;=10000,"5k-10k",S141&lt;=15000,"10k-15k",TRUE,"15k+")</f>
        <v>5k-10k</v>
      </c>
      <c r="AN141" t="str" cm="1">
        <f t="array" ref="AN141">_xlfn.IFS(AF141&lt;=10,"0-10",AF141&lt;=20,"10-20",AF141&lt;=30,"20-30",TRUE,"30+")</f>
        <v>10-20</v>
      </c>
      <c r="AO141" t="str" cm="1">
        <f t="array" ref="AO141">_xlfn.IFS(Y141=1,"Poor",Y141=2,"Average",Y141=3,"Good",TRUE,"Excellent")</f>
        <v>Good</v>
      </c>
      <c r="AP141" t="str" cm="1">
        <f t="array" ref="AP141">_xlfn.IFS(Q141=1,"Low",Q141=2,"Medium",Q141=3,"High",TRUE,"Very High")</f>
        <v>Very High</v>
      </c>
    </row>
    <row r="142" spans="1:42" x14ac:dyDescent="0.25">
      <c r="A142">
        <v>32</v>
      </c>
      <c r="B142" t="s">
        <v>35</v>
      </c>
      <c r="C142" t="s">
        <v>90</v>
      </c>
      <c r="D142">
        <v>1033</v>
      </c>
      <c r="E142" t="s">
        <v>43</v>
      </c>
      <c r="F142">
        <v>9</v>
      </c>
      <c r="G142">
        <v>3</v>
      </c>
      <c r="H142" t="s">
        <v>49</v>
      </c>
      <c r="I142">
        <v>1</v>
      </c>
      <c r="J142">
        <v>190</v>
      </c>
      <c r="K142">
        <v>1</v>
      </c>
      <c r="L142" t="s">
        <v>38</v>
      </c>
      <c r="M142">
        <v>41</v>
      </c>
      <c r="N142">
        <v>3</v>
      </c>
      <c r="O142">
        <v>1</v>
      </c>
      <c r="P142" t="s">
        <v>48</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c r="AJ142">
        <f t="shared" si="2"/>
        <v>1</v>
      </c>
      <c r="AK142" t="str" cm="1">
        <f t="array" ref="AK142">_xlfn.IFS(A142&lt;=30,"18-30",A142&lt;=45,"31-45",A142&lt;=60,"46-60",TRUE, "60+")</f>
        <v>31-45</v>
      </c>
      <c r="AL142" t="str" cm="1">
        <f t="array" ref="AL142">_xlfn.IFS(F142&lt;=10,"0-10",F142&lt;=20,"11-20",TRUE,"20+")</f>
        <v>0-10</v>
      </c>
      <c r="AM142" t="str" cm="1">
        <f t="array" ref="AM142">_xlfn.IFS(S142&lt;=5000,"0-5k",S142&lt;=10000,"5k-10k",S142&lt;=15000,"10k-15k",TRUE,"15k+")</f>
        <v>0-5k</v>
      </c>
      <c r="AN142" t="str" cm="1">
        <f t="array" ref="AN142">_xlfn.IFS(AF142&lt;=10,"0-10",AF142&lt;=20,"10-20",AF142&lt;=30,"20-30",TRUE,"30+")</f>
        <v>0-10</v>
      </c>
      <c r="AO142" t="str" cm="1">
        <f t="array" ref="AO142">_xlfn.IFS(Y142=1,"Poor",Y142=2,"Average",Y142=3,"Good",TRUE,"Excellent")</f>
        <v>Excellent</v>
      </c>
      <c r="AP142" t="str" cm="1">
        <f t="array" ref="AP142">_xlfn.IFS(Q142=1,"Low",Q142=2,"Medium",Q142=3,"High",TRUE,"Very High")</f>
        <v>Low</v>
      </c>
    </row>
    <row r="143" spans="1:42" x14ac:dyDescent="0.25">
      <c r="A143">
        <v>45</v>
      </c>
      <c r="B143" t="s">
        <v>42</v>
      </c>
      <c r="C143" t="s">
        <v>90</v>
      </c>
      <c r="D143">
        <v>1316</v>
      </c>
      <c r="E143" t="s">
        <v>43</v>
      </c>
      <c r="F143">
        <v>29</v>
      </c>
      <c r="G143">
        <v>3</v>
      </c>
      <c r="H143" t="s">
        <v>49</v>
      </c>
      <c r="I143">
        <v>1</v>
      </c>
      <c r="J143">
        <v>192</v>
      </c>
      <c r="K143">
        <v>3</v>
      </c>
      <c r="L143" t="s">
        <v>44</v>
      </c>
      <c r="M143">
        <v>83</v>
      </c>
      <c r="N143">
        <v>3</v>
      </c>
      <c r="O143">
        <v>1</v>
      </c>
      <c r="P143" t="s">
        <v>45</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c r="AJ143">
        <f t="shared" si="2"/>
        <v>0</v>
      </c>
      <c r="AK143" t="str" cm="1">
        <f t="array" ref="AK143">_xlfn.IFS(A143&lt;=30,"18-30",A143&lt;=45,"31-45",A143&lt;=60,"46-60",TRUE, "60+")</f>
        <v>31-45</v>
      </c>
      <c r="AL143" t="str" cm="1">
        <f t="array" ref="AL143">_xlfn.IFS(F143&lt;=10,"0-10",F143&lt;=20,"11-20",TRUE,"20+")</f>
        <v>20+</v>
      </c>
      <c r="AM143" t="str" cm="1">
        <f t="array" ref="AM143">_xlfn.IFS(S143&lt;=5000,"0-5k",S143&lt;=10000,"5k-10k",S143&lt;=15000,"10k-15k",TRUE,"15k+")</f>
        <v>0-5k</v>
      </c>
      <c r="AN143" t="str" cm="1">
        <f t="array" ref="AN143">_xlfn.IFS(AF143&lt;=10,"0-10",AF143&lt;=20,"10-20",AF143&lt;=30,"20-30",TRUE,"30+")</f>
        <v>0-10</v>
      </c>
      <c r="AO143" t="str" cm="1">
        <f t="array" ref="AO143">_xlfn.IFS(Y143=1,"Poor",Y143=2,"Average",Y143=3,"Good",TRUE,"Excellent")</f>
        <v>Good</v>
      </c>
      <c r="AP143" t="str" cm="1">
        <f t="array" ref="AP143">_xlfn.IFS(Q143=1,"Low",Q143=2,"Medium",Q143=3,"High",TRUE,"Very High")</f>
        <v>Very High</v>
      </c>
    </row>
    <row r="144" spans="1:42" x14ac:dyDescent="0.25">
      <c r="A144">
        <v>38</v>
      </c>
      <c r="B144" t="s">
        <v>42</v>
      </c>
      <c r="C144" t="s">
        <v>90</v>
      </c>
      <c r="D144">
        <v>364</v>
      </c>
      <c r="E144" t="s">
        <v>43</v>
      </c>
      <c r="F144">
        <v>3</v>
      </c>
      <c r="G144">
        <v>5</v>
      </c>
      <c r="H144" t="s">
        <v>58</v>
      </c>
      <c r="I144">
        <v>1</v>
      </c>
      <c r="J144">
        <v>193</v>
      </c>
      <c r="K144">
        <v>4</v>
      </c>
      <c r="L144" t="s">
        <v>38</v>
      </c>
      <c r="M144">
        <v>32</v>
      </c>
      <c r="N144">
        <v>3</v>
      </c>
      <c r="O144">
        <v>2</v>
      </c>
      <c r="P144" t="s">
        <v>45</v>
      </c>
      <c r="Q144">
        <v>3</v>
      </c>
      <c r="R144" t="s">
        <v>40</v>
      </c>
      <c r="S144">
        <v>4317</v>
      </c>
      <c r="T144">
        <v>2302</v>
      </c>
      <c r="U144">
        <v>3</v>
      </c>
      <c r="V144" t="s">
        <v>41</v>
      </c>
      <c r="W144" t="s">
        <v>35</v>
      </c>
      <c r="X144">
        <v>20</v>
      </c>
      <c r="Y144">
        <v>4</v>
      </c>
      <c r="Z144">
        <v>2</v>
      </c>
      <c r="AA144">
        <v>80</v>
      </c>
      <c r="AB144">
        <v>0</v>
      </c>
      <c r="AC144">
        <v>19</v>
      </c>
      <c r="AD144">
        <v>2</v>
      </c>
      <c r="AE144">
        <v>3</v>
      </c>
      <c r="AF144">
        <v>3</v>
      </c>
      <c r="AG144">
        <v>2</v>
      </c>
      <c r="AH144">
        <v>2</v>
      </c>
      <c r="AI144">
        <v>2</v>
      </c>
      <c r="AJ144">
        <f t="shared" si="2"/>
        <v>0</v>
      </c>
      <c r="AK144" t="str" cm="1">
        <f t="array" ref="AK144">_xlfn.IFS(A144&lt;=30,"18-30",A144&lt;=45,"31-45",A144&lt;=60,"46-60",TRUE, "60+")</f>
        <v>31-45</v>
      </c>
      <c r="AL144" t="str" cm="1">
        <f t="array" ref="AL144">_xlfn.IFS(F144&lt;=10,"0-10",F144&lt;=20,"11-20",TRUE,"20+")</f>
        <v>0-10</v>
      </c>
      <c r="AM144" t="str" cm="1">
        <f t="array" ref="AM144">_xlfn.IFS(S144&lt;=5000,"0-5k",S144&lt;=10000,"5k-10k",S144&lt;=15000,"10k-15k",TRUE,"15k+")</f>
        <v>0-5k</v>
      </c>
      <c r="AN144" t="str" cm="1">
        <f t="array" ref="AN144">_xlfn.IFS(AF144&lt;=10,"0-10",AF144&lt;=20,"10-20",AF144&lt;=30,"20-30",TRUE,"30+")</f>
        <v>0-10</v>
      </c>
      <c r="AO144" t="str" cm="1">
        <f t="array" ref="AO144">_xlfn.IFS(Y144=1,"Poor",Y144=2,"Average",Y144=3,"Good",TRUE,"Excellent")</f>
        <v>Excellent</v>
      </c>
      <c r="AP144" t="str" cm="1">
        <f t="array" ref="AP144">_xlfn.IFS(Q144=1,"Low",Q144=2,"Medium",Q144=3,"High",TRUE,"Very High")</f>
        <v>High</v>
      </c>
    </row>
    <row r="145" spans="1:42" x14ac:dyDescent="0.25">
      <c r="A145">
        <v>30</v>
      </c>
      <c r="B145" t="s">
        <v>42</v>
      </c>
      <c r="C145" t="s">
        <v>90</v>
      </c>
      <c r="D145">
        <v>438</v>
      </c>
      <c r="E145" t="s">
        <v>43</v>
      </c>
      <c r="F145">
        <v>18</v>
      </c>
      <c r="G145">
        <v>3</v>
      </c>
      <c r="H145" t="s">
        <v>37</v>
      </c>
      <c r="I145">
        <v>1</v>
      </c>
      <c r="J145">
        <v>194</v>
      </c>
      <c r="K145">
        <v>1</v>
      </c>
      <c r="L145" t="s">
        <v>38</v>
      </c>
      <c r="M145">
        <v>75</v>
      </c>
      <c r="N145">
        <v>3</v>
      </c>
      <c r="O145">
        <v>1</v>
      </c>
      <c r="P145" t="s">
        <v>45</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c r="AJ145">
        <f t="shared" si="2"/>
        <v>0</v>
      </c>
      <c r="AK145" t="str" cm="1">
        <f t="array" ref="AK145">_xlfn.IFS(A145&lt;=30,"18-30",A145&lt;=45,"31-45",A145&lt;=60,"46-60",TRUE, "60+")</f>
        <v>18-30</v>
      </c>
      <c r="AL145" t="str" cm="1">
        <f t="array" ref="AL145">_xlfn.IFS(F145&lt;=10,"0-10",F145&lt;=20,"11-20",TRUE,"20+")</f>
        <v>11-20</v>
      </c>
      <c r="AM145" t="str" cm="1">
        <f t="array" ref="AM145">_xlfn.IFS(S145&lt;=5000,"0-5k",S145&lt;=10000,"5k-10k",S145&lt;=15000,"10k-15k",TRUE,"15k+")</f>
        <v>0-5k</v>
      </c>
      <c r="AN145" t="str" cm="1">
        <f t="array" ref="AN145">_xlfn.IFS(AF145&lt;=10,"0-10",AF145&lt;=20,"10-20",AF145&lt;=30,"20-30",TRUE,"30+")</f>
        <v>0-10</v>
      </c>
      <c r="AO145" t="str" cm="1">
        <f t="array" ref="AO145">_xlfn.IFS(Y145=1,"Poor",Y145=2,"Average",Y145=3,"Good",TRUE,"Excellent")</f>
        <v>Good</v>
      </c>
      <c r="AP145" t="str" cm="1">
        <f t="array" ref="AP145">_xlfn.IFS(Q145=1,"Low",Q145=2,"Medium",Q145=3,"High",TRUE,"Very High")</f>
        <v>High</v>
      </c>
    </row>
    <row r="146" spans="1:42" x14ac:dyDescent="0.25">
      <c r="A146">
        <v>32</v>
      </c>
      <c r="B146" t="s">
        <v>42</v>
      </c>
      <c r="C146" t="s">
        <v>91</v>
      </c>
      <c r="D146">
        <v>689</v>
      </c>
      <c r="E146" t="s">
        <v>36</v>
      </c>
      <c r="F146">
        <v>9</v>
      </c>
      <c r="G146">
        <v>2</v>
      </c>
      <c r="H146" t="s">
        <v>49</v>
      </c>
      <c r="I146">
        <v>1</v>
      </c>
      <c r="J146">
        <v>195</v>
      </c>
      <c r="K146">
        <v>4</v>
      </c>
      <c r="L146" t="s">
        <v>44</v>
      </c>
      <c r="M146">
        <v>35</v>
      </c>
      <c r="N146">
        <v>1</v>
      </c>
      <c r="O146">
        <v>2</v>
      </c>
      <c r="P146" t="s">
        <v>39</v>
      </c>
      <c r="Q146">
        <v>4</v>
      </c>
      <c r="R146" t="s">
        <v>50</v>
      </c>
      <c r="S146">
        <v>4668</v>
      </c>
      <c r="T146">
        <v>22812</v>
      </c>
      <c r="U146">
        <v>0</v>
      </c>
      <c r="V146" t="s">
        <v>41</v>
      </c>
      <c r="W146" t="s">
        <v>42</v>
      </c>
      <c r="X146">
        <v>17</v>
      </c>
      <c r="Y146">
        <v>3</v>
      </c>
      <c r="Z146">
        <v>4</v>
      </c>
      <c r="AA146">
        <v>80</v>
      </c>
      <c r="AB146">
        <v>3</v>
      </c>
      <c r="AC146">
        <v>9</v>
      </c>
      <c r="AD146">
        <v>2</v>
      </c>
      <c r="AE146">
        <v>4</v>
      </c>
      <c r="AF146">
        <v>8</v>
      </c>
      <c r="AG146">
        <v>7</v>
      </c>
      <c r="AH146">
        <v>0</v>
      </c>
      <c r="AI146">
        <v>7</v>
      </c>
      <c r="AJ146">
        <f t="shared" si="2"/>
        <v>0</v>
      </c>
      <c r="AK146" t="str" cm="1">
        <f t="array" ref="AK146">_xlfn.IFS(A146&lt;=30,"18-30",A146&lt;=45,"31-45",A146&lt;=60,"46-60",TRUE, "60+")</f>
        <v>31-45</v>
      </c>
      <c r="AL146" t="str" cm="1">
        <f t="array" ref="AL146">_xlfn.IFS(F146&lt;=10,"0-10",F146&lt;=20,"11-20",TRUE,"20+")</f>
        <v>0-10</v>
      </c>
      <c r="AM146" t="str" cm="1">
        <f t="array" ref="AM146">_xlfn.IFS(S146&lt;=5000,"0-5k",S146&lt;=10000,"5k-10k",S146&lt;=15000,"10k-15k",TRUE,"15k+")</f>
        <v>0-5k</v>
      </c>
      <c r="AN146" t="str" cm="1">
        <f t="array" ref="AN146">_xlfn.IFS(AF146&lt;=10,"0-10",AF146&lt;=20,"10-20",AF146&lt;=30,"20-30",TRUE,"30+")</f>
        <v>0-10</v>
      </c>
      <c r="AO146" t="str" cm="1">
        <f t="array" ref="AO146">_xlfn.IFS(Y146=1,"Poor",Y146=2,"Average",Y146=3,"Good",TRUE,"Excellent")</f>
        <v>Good</v>
      </c>
      <c r="AP146" t="str" cm="1">
        <f t="array" ref="AP146">_xlfn.IFS(Q146=1,"Low",Q146=2,"Medium",Q146=3,"High",TRUE,"Very High")</f>
        <v>Very High</v>
      </c>
    </row>
    <row r="147" spans="1:42" x14ac:dyDescent="0.25">
      <c r="A147">
        <v>30</v>
      </c>
      <c r="B147" t="s">
        <v>42</v>
      </c>
      <c r="C147" t="s">
        <v>90</v>
      </c>
      <c r="D147">
        <v>201</v>
      </c>
      <c r="E147" t="s">
        <v>43</v>
      </c>
      <c r="F147">
        <v>5</v>
      </c>
      <c r="G147">
        <v>3</v>
      </c>
      <c r="H147" t="s">
        <v>58</v>
      </c>
      <c r="I147">
        <v>1</v>
      </c>
      <c r="J147">
        <v>197</v>
      </c>
      <c r="K147">
        <v>4</v>
      </c>
      <c r="L147" t="s">
        <v>38</v>
      </c>
      <c r="M147">
        <v>84</v>
      </c>
      <c r="N147">
        <v>3</v>
      </c>
      <c r="O147">
        <v>1</v>
      </c>
      <c r="P147" t="s">
        <v>45</v>
      </c>
      <c r="Q147">
        <v>1</v>
      </c>
      <c r="R147" t="s">
        <v>50</v>
      </c>
      <c r="S147">
        <v>3204</v>
      </c>
      <c r="T147">
        <v>10415</v>
      </c>
      <c r="U147">
        <v>5</v>
      </c>
      <c r="V147" t="s">
        <v>41</v>
      </c>
      <c r="W147" t="s">
        <v>42</v>
      </c>
      <c r="X147">
        <v>14</v>
      </c>
      <c r="Y147">
        <v>3</v>
      </c>
      <c r="Z147">
        <v>4</v>
      </c>
      <c r="AA147">
        <v>80</v>
      </c>
      <c r="AB147">
        <v>1</v>
      </c>
      <c r="AC147">
        <v>8</v>
      </c>
      <c r="AD147">
        <v>3</v>
      </c>
      <c r="AE147">
        <v>3</v>
      </c>
      <c r="AF147">
        <v>3</v>
      </c>
      <c r="AG147">
        <v>2</v>
      </c>
      <c r="AH147">
        <v>2</v>
      </c>
      <c r="AI147">
        <v>2</v>
      </c>
      <c r="AJ147">
        <f t="shared" si="2"/>
        <v>0</v>
      </c>
      <c r="AK147" t="str" cm="1">
        <f t="array" ref="AK147">_xlfn.IFS(A147&lt;=30,"18-30",A147&lt;=45,"31-45",A147&lt;=60,"46-60",TRUE, "60+")</f>
        <v>18-30</v>
      </c>
      <c r="AL147" t="str" cm="1">
        <f t="array" ref="AL147">_xlfn.IFS(F147&lt;=10,"0-10",F147&lt;=20,"11-20",TRUE,"20+")</f>
        <v>0-10</v>
      </c>
      <c r="AM147" t="str" cm="1">
        <f t="array" ref="AM147">_xlfn.IFS(S147&lt;=5000,"0-5k",S147&lt;=10000,"5k-10k",S147&lt;=15000,"10k-15k",TRUE,"15k+")</f>
        <v>0-5k</v>
      </c>
      <c r="AN147" t="str" cm="1">
        <f t="array" ref="AN147">_xlfn.IFS(AF147&lt;=10,"0-10",AF147&lt;=20,"10-20",AF147&lt;=30,"20-30",TRUE,"30+")</f>
        <v>0-10</v>
      </c>
      <c r="AO147" t="str" cm="1">
        <f t="array" ref="AO147">_xlfn.IFS(Y147=1,"Poor",Y147=2,"Average",Y147=3,"Good",TRUE,"Excellent")</f>
        <v>Good</v>
      </c>
      <c r="AP147" t="str" cm="1">
        <f t="array" ref="AP147">_xlfn.IFS(Q147=1,"Low",Q147=2,"Medium",Q147=3,"High",TRUE,"Very High")</f>
        <v>Low</v>
      </c>
    </row>
    <row r="148" spans="1:42" x14ac:dyDescent="0.25">
      <c r="A148">
        <v>30</v>
      </c>
      <c r="B148" t="s">
        <v>42</v>
      </c>
      <c r="C148" t="s">
        <v>90</v>
      </c>
      <c r="D148">
        <v>1427</v>
      </c>
      <c r="E148" t="s">
        <v>43</v>
      </c>
      <c r="F148">
        <v>2</v>
      </c>
      <c r="G148">
        <v>1</v>
      </c>
      <c r="H148" t="s">
        <v>49</v>
      </c>
      <c r="I148">
        <v>1</v>
      </c>
      <c r="J148">
        <v>198</v>
      </c>
      <c r="K148">
        <v>2</v>
      </c>
      <c r="L148" t="s">
        <v>44</v>
      </c>
      <c r="M148">
        <v>35</v>
      </c>
      <c r="N148">
        <v>2</v>
      </c>
      <c r="O148">
        <v>1</v>
      </c>
      <c r="P148" t="s">
        <v>48</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c r="AJ148">
        <f t="shared" si="2"/>
        <v>0</v>
      </c>
      <c r="AK148" t="str" cm="1">
        <f t="array" ref="AK148">_xlfn.IFS(A148&lt;=30,"18-30",A148&lt;=45,"31-45",A148&lt;=60,"46-60",TRUE, "60+")</f>
        <v>18-30</v>
      </c>
      <c r="AL148" t="str" cm="1">
        <f t="array" ref="AL148">_xlfn.IFS(F148&lt;=10,"0-10",F148&lt;=20,"11-20",TRUE,"20+")</f>
        <v>0-10</v>
      </c>
      <c r="AM148" t="str" cm="1">
        <f t="array" ref="AM148">_xlfn.IFS(S148&lt;=5000,"0-5k",S148&lt;=10000,"5k-10k",S148&lt;=15000,"10k-15k",TRUE,"15k+")</f>
        <v>0-5k</v>
      </c>
      <c r="AN148" t="str" cm="1">
        <f t="array" ref="AN148">_xlfn.IFS(AF148&lt;=10,"0-10",AF148&lt;=20,"10-20",AF148&lt;=30,"20-30",TRUE,"30+")</f>
        <v>0-10</v>
      </c>
      <c r="AO148" t="str" cm="1">
        <f t="array" ref="AO148">_xlfn.IFS(Y148=1,"Poor",Y148=2,"Average",Y148=3,"Good",TRUE,"Excellent")</f>
        <v>Good</v>
      </c>
      <c r="AP148" t="str" cm="1">
        <f t="array" ref="AP148">_xlfn.IFS(Q148=1,"Low",Q148=2,"Medium",Q148=3,"High",TRUE,"Very High")</f>
        <v>Very High</v>
      </c>
    </row>
    <row r="149" spans="1:42" x14ac:dyDescent="0.25">
      <c r="A149">
        <v>41</v>
      </c>
      <c r="B149" t="s">
        <v>42</v>
      </c>
      <c r="C149" t="s">
        <v>91</v>
      </c>
      <c r="D149">
        <v>857</v>
      </c>
      <c r="E149" t="s">
        <v>43</v>
      </c>
      <c r="F149">
        <v>10</v>
      </c>
      <c r="G149">
        <v>3</v>
      </c>
      <c r="H149" t="s">
        <v>37</v>
      </c>
      <c r="I149">
        <v>1</v>
      </c>
      <c r="J149">
        <v>199</v>
      </c>
      <c r="K149">
        <v>4</v>
      </c>
      <c r="L149" t="s">
        <v>44</v>
      </c>
      <c r="M149">
        <v>91</v>
      </c>
      <c r="N149">
        <v>2</v>
      </c>
      <c r="O149">
        <v>4</v>
      </c>
      <c r="P149" t="s">
        <v>54</v>
      </c>
      <c r="Q149">
        <v>1</v>
      </c>
      <c r="R149" t="s">
        <v>50</v>
      </c>
      <c r="S149">
        <v>17181</v>
      </c>
      <c r="T149">
        <v>12888</v>
      </c>
      <c r="U149">
        <v>4</v>
      </c>
      <c r="V149" t="s">
        <v>41</v>
      </c>
      <c r="W149" t="s">
        <v>42</v>
      </c>
      <c r="X149">
        <v>13</v>
      </c>
      <c r="Y149">
        <v>3</v>
      </c>
      <c r="Z149">
        <v>2</v>
      </c>
      <c r="AA149">
        <v>80</v>
      </c>
      <c r="AB149">
        <v>1</v>
      </c>
      <c r="AC149">
        <v>21</v>
      </c>
      <c r="AD149">
        <v>2</v>
      </c>
      <c r="AE149">
        <v>2</v>
      </c>
      <c r="AF149">
        <v>7</v>
      </c>
      <c r="AG149">
        <v>6</v>
      </c>
      <c r="AH149">
        <v>7</v>
      </c>
      <c r="AI149">
        <v>7</v>
      </c>
      <c r="AJ149">
        <f t="shared" si="2"/>
        <v>0</v>
      </c>
      <c r="AK149" t="str" cm="1">
        <f t="array" ref="AK149">_xlfn.IFS(A149&lt;=30,"18-30",A149&lt;=45,"31-45",A149&lt;=60,"46-60",TRUE, "60+")</f>
        <v>31-45</v>
      </c>
      <c r="AL149" t="str" cm="1">
        <f t="array" ref="AL149">_xlfn.IFS(F149&lt;=10,"0-10",F149&lt;=20,"11-20",TRUE,"20+")</f>
        <v>0-10</v>
      </c>
      <c r="AM149" t="str" cm="1">
        <f t="array" ref="AM149">_xlfn.IFS(S149&lt;=5000,"0-5k",S149&lt;=10000,"5k-10k",S149&lt;=15000,"10k-15k",TRUE,"15k+")</f>
        <v>15k+</v>
      </c>
      <c r="AN149" t="str" cm="1">
        <f t="array" ref="AN149">_xlfn.IFS(AF149&lt;=10,"0-10",AF149&lt;=20,"10-20",AF149&lt;=30,"20-30",TRUE,"30+")</f>
        <v>0-10</v>
      </c>
      <c r="AO149" t="str" cm="1">
        <f t="array" ref="AO149">_xlfn.IFS(Y149=1,"Poor",Y149=2,"Average",Y149=3,"Good",TRUE,"Excellent")</f>
        <v>Good</v>
      </c>
      <c r="AP149" t="str" cm="1">
        <f t="array" ref="AP149">_xlfn.IFS(Q149=1,"Low",Q149=2,"Medium",Q149=3,"High",TRUE,"Very High")</f>
        <v>Low</v>
      </c>
    </row>
    <row r="150" spans="1:42" x14ac:dyDescent="0.25">
      <c r="A150">
        <v>41</v>
      </c>
      <c r="B150" t="s">
        <v>42</v>
      </c>
      <c r="C150" t="s">
        <v>90</v>
      </c>
      <c r="D150">
        <v>933</v>
      </c>
      <c r="E150" t="s">
        <v>43</v>
      </c>
      <c r="F150">
        <v>9</v>
      </c>
      <c r="G150">
        <v>4</v>
      </c>
      <c r="H150" t="s">
        <v>37</v>
      </c>
      <c r="I150">
        <v>1</v>
      </c>
      <c r="J150">
        <v>200</v>
      </c>
      <c r="K150">
        <v>3</v>
      </c>
      <c r="L150" t="s">
        <v>44</v>
      </c>
      <c r="M150">
        <v>94</v>
      </c>
      <c r="N150">
        <v>3</v>
      </c>
      <c r="O150">
        <v>1</v>
      </c>
      <c r="P150" t="s">
        <v>48</v>
      </c>
      <c r="Q150">
        <v>1</v>
      </c>
      <c r="R150" t="s">
        <v>46</v>
      </c>
      <c r="S150">
        <v>2238</v>
      </c>
      <c r="T150">
        <v>6961</v>
      </c>
      <c r="U150">
        <v>2</v>
      </c>
      <c r="V150" t="s">
        <v>41</v>
      </c>
      <c r="W150" t="s">
        <v>42</v>
      </c>
      <c r="X150">
        <v>21</v>
      </c>
      <c r="Y150">
        <v>4</v>
      </c>
      <c r="Z150">
        <v>4</v>
      </c>
      <c r="AA150">
        <v>80</v>
      </c>
      <c r="AB150">
        <v>1</v>
      </c>
      <c r="AC150">
        <v>7</v>
      </c>
      <c r="AD150">
        <v>2</v>
      </c>
      <c r="AE150">
        <v>3</v>
      </c>
      <c r="AF150">
        <v>5</v>
      </c>
      <c r="AG150">
        <v>0</v>
      </c>
      <c r="AH150">
        <v>1</v>
      </c>
      <c r="AI150">
        <v>4</v>
      </c>
      <c r="AJ150">
        <f t="shared" si="2"/>
        <v>0</v>
      </c>
      <c r="AK150" t="str" cm="1">
        <f t="array" ref="AK150">_xlfn.IFS(A150&lt;=30,"18-30",A150&lt;=45,"31-45",A150&lt;=60,"46-60",TRUE, "60+")</f>
        <v>31-45</v>
      </c>
      <c r="AL150" t="str" cm="1">
        <f t="array" ref="AL150">_xlfn.IFS(F150&lt;=10,"0-10",F150&lt;=20,"11-20",TRUE,"20+")</f>
        <v>0-10</v>
      </c>
      <c r="AM150" t="str" cm="1">
        <f t="array" ref="AM150">_xlfn.IFS(S150&lt;=5000,"0-5k",S150&lt;=10000,"5k-10k",S150&lt;=15000,"10k-15k",TRUE,"15k+")</f>
        <v>0-5k</v>
      </c>
      <c r="AN150" t="str" cm="1">
        <f t="array" ref="AN150">_xlfn.IFS(AF150&lt;=10,"0-10",AF150&lt;=20,"10-20",AF150&lt;=30,"20-30",TRUE,"30+")</f>
        <v>0-10</v>
      </c>
      <c r="AO150" t="str" cm="1">
        <f t="array" ref="AO150">_xlfn.IFS(Y150=1,"Poor",Y150=2,"Average",Y150=3,"Good",TRUE,"Excellent")</f>
        <v>Excellent</v>
      </c>
      <c r="AP150" t="str" cm="1">
        <f t="array" ref="AP150">_xlfn.IFS(Q150=1,"Low",Q150=2,"Medium",Q150=3,"High",TRUE,"Very High")</f>
        <v>Low</v>
      </c>
    </row>
    <row r="151" spans="1:42" x14ac:dyDescent="0.25">
      <c r="A151">
        <v>19</v>
      </c>
      <c r="B151" t="s">
        <v>42</v>
      </c>
      <c r="C151" t="s">
        <v>90</v>
      </c>
      <c r="D151">
        <v>1181</v>
      </c>
      <c r="E151" t="s">
        <v>43</v>
      </c>
      <c r="F151">
        <v>3</v>
      </c>
      <c r="G151">
        <v>1</v>
      </c>
      <c r="H151" t="s">
        <v>49</v>
      </c>
      <c r="I151">
        <v>1</v>
      </c>
      <c r="J151">
        <v>201</v>
      </c>
      <c r="K151">
        <v>2</v>
      </c>
      <c r="L151" t="s">
        <v>38</v>
      </c>
      <c r="M151">
        <v>79</v>
      </c>
      <c r="N151">
        <v>3</v>
      </c>
      <c r="O151">
        <v>1</v>
      </c>
      <c r="P151" t="s">
        <v>48</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c r="AJ151">
        <f t="shared" si="2"/>
        <v>0</v>
      </c>
      <c r="AK151" t="str" cm="1">
        <f t="array" ref="AK151">_xlfn.IFS(A151&lt;=30,"18-30",A151&lt;=45,"31-45",A151&lt;=60,"46-60",TRUE, "60+")</f>
        <v>18-30</v>
      </c>
      <c r="AL151" t="str" cm="1">
        <f t="array" ref="AL151">_xlfn.IFS(F151&lt;=10,"0-10",F151&lt;=20,"11-20",TRUE,"20+")</f>
        <v>0-10</v>
      </c>
      <c r="AM151" t="str" cm="1">
        <f t="array" ref="AM151">_xlfn.IFS(S151&lt;=5000,"0-5k",S151&lt;=10000,"5k-10k",S151&lt;=15000,"10k-15k",TRUE,"15k+")</f>
        <v>0-5k</v>
      </c>
      <c r="AN151" t="str" cm="1">
        <f t="array" ref="AN151">_xlfn.IFS(AF151&lt;=10,"0-10",AF151&lt;=20,"10-20",AF151&lt;=30,"20-30",TRUE,"30+")</f>
        <v>0-10</v>
      </c>
      <c r="AO151" t="str" cm="1">
        <f t="array" ref="AO151">_xlfn.IFS(Y151=1,"Poor",Y151=2,"Average",Y151=3,"Good",TRUE,"Excellent")</f>
        <v>Good</v>
      </c>
      <c r="AP151" t="str" cm="1">
        <f t="array" ref="AP151">_xlfn.IFS(Q151=1,"Low",Q151=2,"Medium",Q151=3,"High",TRUE,"Very High")</f>
        <v>Medium</v>
      </c>
    </row>
    <row r="152" spans="1:42" x14ac:dyDescent="0.25">
      <c r="A152">
        <v>40</v>
      </c>
      <c r="B152" t="s">
        <v>42</v>
      </c>
      <c r="C152" t="s">
        <v>91</v>
      </c>
      <c r="D152">
        <v>1395</v>
      </c>
      <c r="E152" t="s">
        <v>43</v>
      </c>
      <c r="F152">
        <v>26</v>
      </c>
      <c r="G152">
        <v>3</v>
      </c>
      <c r="H152" t="s">
        <v>49</v>
      </c>
      <c r="I152">
        <v>1</v>
      </c>
      <c r="J152">
        <v>202</v>
      </c>
      <c r="K152">
        <v>2</v>
      </c>
      <c r="L152" t="s">
        <v>38</v>
      </c>
      <c r="M152">
        <v>54</v>
      </c>
      <c r="N152">
        <v>3</v>
      </c>
      <c r="O152">
        <v>2</v>
      </c>
      <c r="P152" t="s">
        <v>45</v>
      </c>
      <c r="Q152">
        <v>2</v>
      </c>
      <c r="R152" t="s">
        <v>50</v>
      </c>
      <c r="S152">
        <v>5605</v>
      </c>
      <c r="T152">
        <v>8504</v>
      </c>
      <c r="U152">
        <v>1</v>
      </c>
      <c r="V152" t="s">
        <v>41</v>
      </c>
      <c r="W152" t="s">
        <v>42</v>
      </c>
      <c r="X152">
        <v>11</v>
      </c>
      <c r="Y152">
        <v>3</v>
      </c>
      <c r="Z152">
        <v>1</v>
      </c>
      <c r="AA152">
        <v>80</v>
      </c>
      <c r="AB152">
        <v>1</v>
      </c>
      <c r="AC152">
        <v>20</v>
      </c>
      <c r="AD152">
        <v>2</v>
      </c>
      <c r="AE152">
        <v>3</v>
      </c>
      <c r="AF152">
        <v>20</v>
      </c>
      <c r="AG152">
        <v>7</v>
      </c>
      <c r="AH152">
        <v>2</v>
      </c>
      <c r="AI152">
        <v>13</v>
      </c>
      <c r="AJ152">
        <f t="shared" si="2"/>
        <v>0</v>
      </c>
      <c r="AK152" t="str" cm="1">
        <f t="array" ref="AK152">_xlfn.IFS(A152&lt;=30,"18-30",A152&lt;=45,"31-45",A152&lt;=60,"46-60",TRUE, "60+")</f>
        <v>31-45</v>
      </c>
      <c r="AL152" t="str" cm="1">
        <f t="array" ref="AL152">_xlfn.IFS(F152&lt;=10,"0-10",F152&lt;=20,"11-20",TRUE,"20+")</f>
        <v>20+</v>
      </c>
      <c r="AM152" t="str" cm="1">
        <f t="array" ref="AM152">_xlfn.IFS(S152&lt;=5000,"0-5k",S152&lt;=10000,"5k-10k",S152&lt;=15000,"10k-15k",TRUE,"15k+")</f>
        <v>5k-10k</v>
      </c>
      <c r="AN152" t="str" cm="1">
        <f t="array" ref="AN152">_xlfn.IFS(AF152&lt;=10,"0-10",AF152&lt;=20,"10-20",AF152&lt;=30,"20-30",TRUE,"30+")</f>
        <v>10-20</v>
      </c>
      <c r="AO152" t="str" cm="1">
        <f t="array" ref="AO152">_xlfn.IFS(Y152=1,"Poor",Y152=2,"Average",Y152=3,"Good",TRUE,"Excellent")</f>
        <v>Good</v>
      </c>
      <c r="AP152" t="str" cm="1">
        <f t="array" ref="AP152">_xlfn.IFS(Q152=1,"Low",Q152=2,"Medium",Q152=3,"High",TRUE,"Very High")</f>
        <v>Medium</v>
      </c>
    </row>
    <row r="153" spans="1:42" x14ac:dyDescent="0.25">
      <c r="A153">
        <v>35</v>
      </c>
      <c r="B153" t="s">
        <v>42</v>
      </c>
      <c r="C153" t="s">
        <v>90</v>
      </c>
      <c r="D153">
        <v>662</v>
      </c>
      <c r="E153" t="s">
        <v>36</v>
      </c>
      <c r="F153">
        <v>1</v>
      </c>
      <c r="G153">
        <v>5</v>
      </c>
      <c r="H153" t="s">
        <v>57</v>
      </c>
      <c r="I153">
        <v>1</v>
      </c>
      <c r="J153">
        <v>204</v>
      </c>
      <c r="K153">
        <v>3</v>
      </c>
      <c r="L153" t="s">
        <v>44</v>
      </c>
      <c r="M153">
        <v>94</v>
      </c>
      <c r="N153">
        <v>3</v>
      </c>
      <c r="O153">
        <v>3</v>
      </c>
      <c r="P153" t="s">
        <v>39</v>
      </c>
      <c r="Q153">
        <v>2</v>
      </c>
      <c r="R153" t="s">
        <v>46</v>
      </c>
      <c r="S153">
        <v>7295</v>
      </c>
      <c r="T153">
        <v>11439</v>
      </c>
      <c r="U153">
        <v>1</v>
      </c>
      <c r="V153" t="s">
        <v>41</v>
      </c>
      <c r="W153" t="s">
        <v>42</v>
      </c>
      <c r="X153">
        <v>13</v>
      </c>
      <c r="Y153">
        <v>3</v>
      </c>
      <c r="Z153">
        <v>1</v>
      </c>
      <c r="AA153">
        <v>80</v>
      </c>
      <c r="AB153">
        <v>2</v>
      </c>
      <c r="AC153">
        <v>10</v>
      </c>
      <c r="AD153">
        <v>3</v>
      </c>
      <c r="AE153">
        <v>3</v>
      </c>
      <c r="AF153">
        <v>10</v>
      </c>
      <c r="AG153">
        <v>8</v>
      </c>
      <c r="AH153">
        <v>0</v>
      </c>
      <c r="AI153">
        <v>6</v>
      </c>
      <c r="AJ153">
        <f t="shared" si="2"/>
        <v>0</v>
      </c>
      <c r="AK153" t="str" cm="1">
        <f t="array" ref="AK153">_xlfn.IFS(A153&lt;=30,"18-30",A153&lt;=45,"31-45",A153&lt;=60,"46-60",TRUE, "60+")</f>
        <v>31-45</v>
      </c>
      <c r="AL153" t="str" cm="1">
        <f t="array" ref="AL153">_xlfn.IFS(F153&lt;=10,"0-10",F153&lt;=20,"11-20",TRUE,"20+")</f>
        <v>0-10</v>
      </c>
      <c r="AM153" t="str" cm="1">
        <f t="array" ref="AM153">_xlfn.IFS(S153&lt;=5000,"0-5k",S153&lt;=10000,"5k-10k",S153&lt;=15000,"10k-15k",TRUE,"15k+")</f>
        <v>5k-10k</v>
      </c>
      <c r="AN153" t="str" cm="1">
        <f t="array" ref="AN153">_xlfn.IFS(AF153&lt;=10,"0-10",AF153&lt;=20,"10-20",AF153&lt;=30,"20-30",TRUE,"30+")</f>
        <v>0-10</v>
      </c>
      <c r="AO153" t="str" cm="1">
        <f t="array" ref="AO153">_xlfn.IFS(Y153=1,"Poor",Y153=2,"Average",Y153=3,"Good",TRUE,"Excellent")</f>
        <v>Good</v>
      </c>
      <c r="AP153" t="str" cm="1">
        <f t="array" ref="AP153">_xlfn.IFS(Q153=1,"Low",Q153=2,"Medium",Q153=3,"High",TRUE,"Very High")</f>
        <v>Medium</v>
      </c>
    </row>
    <row r="154" spans="1:42" x14ac:dyDescent="0.25">
      <c r="A154">
        <v>53</v>
      </c>
      <c r="B154" t="s">
        <v>42</v>
      </c>
      <c r="C154" t="s">
        <v>90</v>
      </c>
      <c r="D154">
        <v>1436</v>
      </c>
      <c r="E154" t="s">
        <v>36</v>
      </c>
      <c r="F154">
        <v>6</v>
      </c>
      <c r="G154">
        <v>2</v>
      </c>
      <c r="H154" t="s">
        <v>57</v>
      </c>
      <c r="I154">
        <v>1</v>
      </c>
      <c r="J154">
        <v>205</v>
      </c>
      <c r="K154">
        <v>2</v>
      </c>
      <c r="L154" t="s">
        <v>44</v>
      </c>
      <c r="M154">
        <v>34</v>
      </c>
      <c r="N154">
        <v>3</v>
      </c>
      <c r="O154">
        <v>2</v>
      </c>
      <c r="P154" t="s">
        <v>55</v>
      </c>
      <c r="Q154">
        <v>3</v>
      </c>
      <c r="R154" t="s">
        <v>46</v>
      </c>
      <c r="S154">
        <v>2306</v>
      </c>
      <c r="T154">
        <v>16047</v>
      </c>
      <c r="U154">
        <v>2</v>
      </c>
      <c r="V154" t="s">
        <v>41</v>
      </c>
      <c r="W154" t="s">
        <v>35</v>
      </c>
      <c r="X154">
        <v>20</v>
      </c>
      <c r="Y154">
        <v>4</v>
      </c>
      <c r="Z154">
        <v>4</v>
      </c>
      <c r="AA154">
        <v>80</v>
      </c>
      <c r="AB154">
        <v>1</v>
      </c>
      <c r="AC154">
        <v>13</v>
      </c>
      <c r="AD154">
        <v>3</v>
      </c>
      <c r="AE154">
        <v>1</v>
      </c>
      <c r="AF154">
        <v>7</v>
      </c>
      <c r="AG154">
        <v>7</v>
      </c>
      <c r="AH154">
        <v>4</v>
      </c>
      <c r="AI154">
        <v>5</v>
      </c>
      <c r="AJ154">
        <f t="shared" si="2"/>
        <v>0</v>
      </c>
      <c r="AK154" t="str" cm="1">
        <f t="array" ref="AK154">_xlfn.IFS(A154&lt;=30,"18-30",A154&lt;=45,"31-45",A154&lt;=60,"46-60",TRUE, "60+")</f>
        <v>46-60</v>
      </c>
      <c r="AL154" t="str" cm="1">
        <f t="array" ref="AL154">_xlfn.IFS(F154&lt;=10,"0-10",F154&lt;=20,"11-20",TRUE,"20+")</f>
        <v>0-10</v>
      </c>
      <c r="AM154" t="str" cm="1">
        <f t="array" ref="AM154">_xlfn.IFS(S154&lt;=5000,"0-5k",S154&lt;=10000,"5k-10k",S154&lt;=15000,"10k-15k",TRUE,"15k+")</f>
        <v>0-5k</v>
      </c>
      <c r="AN154" t="str" cm="1">
        <f t="array" ref="AN154">_xlfn.IFS(AF154&lt;=10,"0-10",AF154&lt;=20,"10-20",AF154&lt;=30,"20-30",TRUE,"30+")</f>
        <v>0-10</v>
      </c>
      <c r="AO154" t="str" cm="1">
        <f t="array" ref="AO154">_xlfn.IFS(Y154=1,"Poor",Y154=2,"Average",Y154=3,"Good",TRUE,"Excellent")</f>
        <v>Excellent</v>
      </c>
      <c r="AP154" t="str" cm="1">
        <f t="array" ref="AP154">_xlfn.IFS(Q154=1,"Low",Q154=2,"Medium",Q154=3,"High",TRUE,"Very High")</f>
        <v>High</v>
      </c>
    </row>
    <row r="155" spans="1:42" x14ac:dyDescent="0.25">
      <c r="A155">
        <v>45</v>
      </c>
      <c r="B155" t="s">
        <v>42</v>
      </c>
      <c r="C155" t="s">
        <v>90</v>
      </c>
      <c r="D155">
        <v>194</v>
      </c>
      <c r="E155" t="s">
        <v>43</v>
      </c>
      <c r="F155">
        <v>9</v>
      </c>
      <c r="G155">
        <v>3</v>
      </c>
      <c r="H155" t="s">
        <v>37</v>
      </c>
      <c r="I155">
        <v>1</v>
      </c>
      <c r="J155">
        <v>206</v>
      </c>
      <c r="K155">
        <v>2</v>
      </c>
      <c r="L155" t="s">
        <v>44</v>
      </c>
      <c r="M155">
        <v>60</v>
      </c>
      <c r="N155">
        <v>3</v>
      </c>
      <c r="O155">
        <v>2</v>
      </c>
      <c r="P155" t="s">
        <v>48</v>
      </c>
      <c r="Q155">
        <v>2</v>
      </c>
      <c r="R155" t="s">
        <v>50</v>
      </c>
      <c r="S155">
        <v>2348</v>
      </c>
      <c r="T155">
        <v>10901</v>
      </c>
      <c r="U155">
        <v>8</v>
      </c>
      <c r="V155" t="s">
        <v>41</v>
      </c>
      <c r="W155" t="s">
        <v>42</v>
      </c>
      <c r="X155">
        <v>18</v>
      </c>
      <c r="Y155">
        <v>3</v>
      </c>
      <c r="Z155">
        <v>3</v>
      </c>
      <c r="AA155">
        <v>80</v>
      </c>
      <c r="AB155">
        <v>1</v>
      </c>
      <c r="AC155">
        <v>20</v>
      </c>
      <c r="AD155">
        <v>2</v>
      </c>
      <c r="AE155">
        <v>1</v>
      </c>
      <c r="AF155">
        <v>17</v>
      </c>
      <c r="AG155">
        <v>9</v>
      </c>
      <c r="AH155">
        <v>0</v>
      </c>
      <c r="AI155">
        <v>15</v>
      </c>
      <c r="AJ155">
        <f t="shared" si="2"/>
        <v>0</v>
      </c>
      <c r="AK155" t="str" cm="1">
        <f t="array" ref="AK155">_xlfn.IFS(A155&lt;=30,"18-30",A155&lt;=45,"31-45",A155&lt;=60,"46-60",TRUE, "60+")</f>
        <v>31-45</v>
      </c>
      <c r="AL155" t="str" cm="1">
        <f t="array" ref="AL155">_xlfn.IFS(F155&lt;=10,"0-10",F155&lt;=20,"11-20",TRUE,"20+")</f>
        <v>0-10</v>
      </c>
      <c r="AM155" t="str" cm="1">
        <f t="array" ref="AM155">_xlfn.IFS(S155&lt;=5000,"0-5k",S155&lt;=10000,"5k-10k",S155&lt;=15000,"10k-15k",TRUE,"15k+")</f>
        <v>0-5k</v>
      </c>
      <c r="AN155" t="str" cm="1">
        <f t="array" ref="AN155">_xlfn.IFS(AF155&lt;=10,"0-10",AF155&lt;=20,"10-20",AF155&lt;=30,"20-30",TRUE,"30+")</f>
        <v>10-20</v>
      </c>
      <c r="AO155" t="str" cm="1">
        <f t="array" ref="AO155">_xlfn.IFS(Y155=1,"Poor",Y155=2,"Average",Y155=3,"Good",TRUE,"Excellent")</f>
        <v>Good</v>
      </c>
      <c r="AP155" t="str" cm="1">
        <f t="array" ref="AP155">_xlfn.IFS(Q155=1,"Low",Q155=2,"Medium",Q155=3,"High",TRUE,"Very High")</f>
        <v>Medium</v>
      </c>
    </row>
    <row r="156" spans="1:42" x14ac:dyDescent="0.25">
      <c r="A156">
        <v>32</v>
      </c>
      <c r="B156" t="s">
        <v>42</v>
      </c>
      <c r="C156" t="s">
        <v>91</v>
      </c>
      <c r="D156">
        <v>967</v>
      </c>
      <c r="E156" t="s">
        <v>36</v>
      </c>
      <c r="F156">
        <v>8</v>
      </c>
      <c r="G156">
        <v>3</v>
      </c>
      <c r="H156" t="s">
        <v>57</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c r="AJ156">
        <f t="shared" si="2"/>
        <v>0</v>
      </c>
      <c r="AK156" t="str" cm="1">
        <f t="array" ref="AK156">_xlfn.IFS(A156&lt;=30,"18-30",A156&lt;=45,"31-45",A156&lt;=60,"46-60",TRUE, "60+")</f>
        <v>31-45</v>
      </c>
      <c r="AL156" t="str" cm="1">
        <f t="array" ref="AL156">_xlfn.IFS(F156&lt;=10,"0-10",F156&lt;=20,"11-20",TRUE,"20+")</f>
        <v>0-10</v>
      </c>
      <c r="AM156" t="str" cm="1">
        <f t="array" ref="AM156">_xlfn.IFS(S156&lt;=5000,"0-5k",S156&lt;=10000,"5k-10k",S156&lt;=15000,"10k-15k",TRUE,"15k+")</f>
        <v>5k-10k</v>
      </c>
      <c r="AN156" t="str" cm="1">
        <f t="array" ref="AN156">_xlfn.IFS(AF156&lt;=10,"0-10",AF156&lt;=20,"10-20",AF156&lt;=30,"20-30",TRUE,"30+")</f>
        <v>0-10</v>
      </c>
      <c r="AO156" t="str" cm="1">
        <f t="array" ref="AO156">_xlfn.IFS(Y156=1,"Poor",Y156=2,"Average",Y156=3,"Good",TRUE,"Excellent")</f>
        <v>Good</v>
      </c>
      <c r="AP156" t="str" cm="1">
        <f t="array" ref="AP156">_xlfn.IFS(Q156=1,"Low",Q156=2,"Medium",Q156=3,"High",TRUE,"Very High")</f>
        <v>Very High</v>
      </c>
    </row>
    <row r="157" spans="1:42" x14ac:dyDescent="0.25">
      <c r="A157">
        <v>29</v>
      </c>
      <c r="B157" t="s">
        <v>42</v>
      </c>
      <c r="C157" t="s">
        <v>53</v>
      </c>
      <c r="D157">
        <v>1496</v>
      </c>
      <c r="E157" t="s">
        <v>43</v>
      </c>
      <c r="F157">
        <v>1</v>
      </c>
      <c r="G157">
        <v>1</v>
      </c>
      <c r="H157" t="s">
        <v>58</v>
      </c>
      <c r="I157">
        <v>1</v>
      </c>
      <c r="J157">
        <v>208</v>
      </c>
      <c r="K157">
        <v>4</v>
      </c>
      <c r="L157" t="s">
        <v>44</v>
      </c>
      <c r="M157">
        <v>41</v>
      </c>
      <c r="N157">
        <v>3</v>
      </c>
      <c r="O157">
        <v>2</v>
      </c>
      <c r="P157" t="s">
        <v>51</v>
      </c>
      <c r="Q157">
        <v>3</v>
      </c>
      <c r="R157" t="s">
        <v>46</v>
      </c>
      <c r="S157">
        <v>4319</v>
      </c>
      <c r="T157">
        <v>26283</v>
      </c>
      <c r="U157">
        <v>1</v>
      </c>
      <c r="V157" t="s">
        <v>41</v>
      </c>
      <c r="W157" t="s">
        <v>42</v>
      </c>
      <c r="X157">
        <v>13</v>
      </c>
      <c r="Y157">
        <v>3</v>
      </c>
      <c r="Z157">
        <v>1</v>
      </c>
      <c r="AA157">
        <v>80</v>
      </c>
      <c r="AB157">
        <v>1</v>
      </c>
      <c r="AC157">
        <v>10</v>
      </c>
      <c r="AD157">
        <v>1</v>
      </c>
      <c r="AE157">
        <v>3</v>
      </c>
      <c r="AF157">
        <v>10</v>
      </c>
      <c r="AG157">
        <v>7</v>
      </c>
      <c r="AH157">
        <v>0</v>
      </c>
      <c r="AI157">
        <v>9</v>
      </c>
      <c r="AJ157">
        <f t="shared" si="2"/>
        <v>0</v>
      </c>
      <c r="AK157" t="str" cm="1">
        <f t="array" ref="AK157">_xlfn.IFS(A157&lt;=30,"18-30",A157&lt;=45,"31-45",A157&lt;=60,"46-60",TRUE, "60+")</f>
        <v>18-30</v>
      </c>
      <c r="AL157" t="str" cm="1">
        <f t="array" ref="AL157">_xlfn.IFS(F157&lt;=10,"0-10",F157&lt;=20,"11-20",TRUE,"20+")</f>
        <v>0-10</v>
      </c>
      <c r="AM157" t="str" cm="1">
        <f t="array" ref="AM157">_xlfn.IFS(S157&lt;=5000,"0-5k",S157&lt;=10000,"5k-10k",S157&lt;=15000,"10k-15k",TRUE,"15k+")</f>
        <v>0-5k</v>
      </c>
      <c r="AN157" t="str" cm="1">
        <f t="array" ref="AN157">_xlfn.IFS(AF157&lt;=10,"0-10",AF157&lt;=20,"10-20",AF157&lt;=30,"20-30",TRUE,"30+")</f>
        <v>0-10</v>
      </c>
      <c r="AO157" t="str" cm="1">
        <f t="array" ref="AO157">_xlfn.IFS(Y157=1,"Poor",Y157=2,"Average",Y157=3,"Good",TRUE,"Excellent")</f>
        <v>Good</v>
      </c>
      <c r="AP157" t="str" cm="1">
        <f t="array" ref="AP157">_xlfn.IFS(Q157=1,"Low",Q157=2,"Medium",Q157=3,"High",TRUE,"Very High")</f>
        <v>High</v>
      </c>
    </row>
    <row r="158" spans="1:42" x14ac:dyDescent="0.25">
      <c r="A158">
        <v>51</v>
      </c>
      <c r="B158" t="s">
        <v>42</v>
      </c>
      <c r="C158" t="s">
        <v>90</v>
      </c>
      <c r="D158">
        <v>1169</v>
      </c>
      <c r="E158" t="s">
        <v>43</v>
      </c>
      <c r="F158">
        <v>7</v>
      </c>
      <c r="G158">
        <v>4</v>
      </c>
      <c r="H158" t="s">
        <v>49</v>
      </c>
      <c r="I158">
        <v>1</v>
      </c>
      <c r="J158">
        <v>211</v>
      </c>
      <c r="K158">
        <v>2</v>
      </c>
      <c r="L158" t="s">
        <v>44</v>
      </c>
      <c r="M158">
        <v>34</v>
      </c>
      <c r="N158">
        <v>2</v>
      </c>
      <c r="O158">
        <v>2</v>
      </c>
      <c r="P158" t="s">
        <v>51</v>
      </c>
      <c r="Q158">
        <v>3</v>
      </c>
      <c r="R158" t="s">
        <v>46</v>
      </c>
      <c r="S158">
        <v>6132</v>
      </c>
      <c r="T158">
        <v>13983</v>
      </c>
      <c r="U158">
        <v>2</v>
      </c>
      <c r="V158" t="s">
        <v>41</v>
      </c>
      <c r="W158" t="s">
        <v>42</v>
      </c>
      <c r="X158">
        <v>17</v>
      </c>
      <c r="Y158">
        <v>3</v>
      </c>
      <c r="Z158">
        <v>3</v>
      </c>
      <c r="AA158">
        <v>80</v>
      </c>
      <c r="AB158">
        <v>0</v>
      </c>
      <c r="AC158">
        <v>10</v>
      </c>
      <c r="AD158">
        <v>2</v>
      </c>
      <c r="AE158">
        <v>3</v>
      </c>
      <c r="AF158">
        <v>1</v>
      </c>
      <c r="AG158">
        <v>0</v>
      </c>
      <c r="AH158">
        <v>0</v>
      </c>
      <c r="AI158">
        <v>0</v>
      </c>
      <c r="AJ158">
        <f t="shared" si="2"/>
        <v>0</v>
      </c>
      <c r="AK158" t="str" cm="1">
        <f t="array" ref="AK158">_xlfn.IFS(A158&lt;=30,"18-30",A158&lt;=45,"31-45",A158&lt;=60,"46-60",TRUE, "60+")</f>
        <v>46-60</v>
      </c>
      <c r="AL158" t="str" cm="1">
        <f t="array" ref="AL158">_xlfn.IFS(F158&lt;=10,"0-10",F158&lt;=20,"11-20",TRUE,"20+")</f>
        <v>0-10</v>
      </c>
      <c r="AM158" t="str" cm="1">
        <f t="array" ref="AM158">_xlfn.IFS(S158&lt;=5000,"0-5k",S158&lt;=10000,"5k-10k",S158&lt;=15000,"10k-15k",TRUE,"15k+")</f>
        <v>5k-10k</v>
      </c>
      <c r="AN158" t="str" cm="1">
        <f t="array" ref="AN158">_xlfn.IFS(AF158&lt;=10,"0-10",AF158&lt;=20,"10-20",AF158&lt;=30,"20-30",TRUE,"30+")</f>
        <v>0-10</v>
      </c>
      <c r="AO158" t="str" cm="1">
        <f t="array" ref="AO158">_xlfn.IFS(Y158=1,"Poor",Y158=2,"Average",Y158=3,"Good",TRUE,"Excellent")</f>
        <v>Good</v>
      </c>
      <c r="AP158" t="str" cm="1">
        <f t="array" ref="AP158">_xlfn.IFS(Q158=1,"Low",Q158=2,"Medium",Q158=3,"High",TRUE,"Very High")</f>
        <v>High</v>
      </c>
    </row>
    <row r="159" spans="1:42" x14ac:dyDescent="0.25">
      <c r="A159">
        <v>58</v>
      </c>
      <c r="B159" t="s">
        <v>42</v>
      </c>
      <c r="C159" t="s">
        <v>90</v>
      </c>
      <c r="D159">
        <v>1145</v>
      </c>
      <c r="E159" t="s">
        <v>43</v>
      </c>
      <c r="F159">
        <v>9</v>
      </c>
      <c r="G159">
        <v>3</v>
      </c>
      <c r="H159" t="s">
        <v>49</v>
      </c>
      <c r="I159">
        <v>1</v>
      </c>
      <c r="J159">
        <v>214</v>
      </c>
      <c r="K159">
        <v>2</v>
      </c>
      <c r="L159" t="s">
        <v>38</v>
      </c>
      <c r="M159">
        <v>75</v>
      </c>
      <c r="N159">
        <v>2</v>
      </c>
      <c r="O159">
        <v>1</v>
      </c>
      <c r="P159" t="s">
        <v>45</v>
      </c>
      <c r="Q159">
        <v>2</v>
      </c>
      <c r="R159" t="s">
        <v>46</v>
      </c>
      <c r="S159">
        <v>3346</v>
      </c>
      <c r="T159">
        <v>11873</v>
      </c>
      <c r="U159">
        <v>4</v>
      </c>
      <c r="V159" t="s">
        <v>41</v>
      </c>
      <c r="W159" t="s">
        <v>35</v>
      </c>
      <c r="X159">
        <v>20</v>
      </c>
      <c r="Y159">
        <v>4</v>
      </c>
      <c r="Z159">
        <v>2</v>
      </c>
      <c r="AA159">
        <v>80</v>
      </c>
      <c r="AB159">
        <v>1</v>
      </c>
      <c r="AC159">
        <v>9</v>
      </c>
      <c r="AD159">
        <v>3</v>
      </c>
      <c r="AE159">
        <v>2</v>
      </c>
      <c r="AF159">
        <v>1</v>
      </c>
      <c r="AG159">
        <v>0</v>
      </c>
      <c r="AH159">
        <v>0</v>
      </c>
      <c r="AI159">
        <v>0</v>
      </c>
      <c r="AJ159">
        <f t="shared" si="2"/>
        <v>0</v>
      </c>
      <c r="AK159" t="str" cm="1">
        <f t="array" ref="AK159">_xlfn.IFS(A159&lt;=30,"18-30",A159&lt;=45,"31-45",A159&lt;=60,"46-60",TRUE, "60+")</f>
        <v>46-60</v>
      </c>
      <c r="AL159" t="str" cm="1">
        <f t="array" ref="AL159">_xlfn.IFS(F159&lt;=10,"0-10",F159&lt;=20,"11-20",TRUE,"20+")</f>
        <v>0-10</v>
      </c>
      <c r="AM159" t="str" cm="1">
        <f t="array" ref="AM159">_xlfn.IFS(S159&lt;=5000,"0-5k",S159&lt;=10000,"5k-10k",S159&lt;=15000,"10k-15k",TRUE,"15k+")</f>
        <v>0-5k</v>
      </c>
      <c r="AN159" t="str" cm="1">
        <f t="array" ref="AN159">_xlfn.IFS(AF159&lt;=10,"0-10",AF159&lt;=20,"10-20",AF159&lt;=30,"20-30",TRUE,"30+")</f>
        <v>0-10</v>
      </c>
      <c r="AO159" t="str" cm="1">
        <f t="array" ref="AO159">_xlfn.IFS(Y159=1,"Poor",Y159=2,"Average",Y159=3,"Good",TRUE,"Excellent")</f>
        <v>Excellent</v>
      </c>
      <c r="AP159" t="str" cm="1">
        <f t="array" ref="AP159">_xlfn.IFS(Q159=1,"Low",Q159=2,"Medium",Q159=3,"High",TRUE,"Very High")</f>
        <v>Medium</v>
      </c>
    </row>
    <row r="160" spans="1:42" x14ac:dyDescent="0.25">
      <c r="A160">
        <v>40</v>
      </c>
      <c r="B160" t="s">
        <v>42</v>
      </c>
      <c r="C160" t="s">
        <v>90</v>
      </c>
      <c r="D160">
        <v>630</v>
      </c>
      <c r="E160" t="s">
        <v>36</v>
      </c>
      <c r="F160">
        <v>4</v>
      </c>
      <c r="G160">
        <v>4</v>
      </c>
      <c r="H160" t="s">
        <v>57</v>
      </c>
      <c r="I160">
        <v>1</v>
      </c>
      <c r="J160">
        <v>215</v>
      </c>
      <c r="K160">
        <v>3</v>
      </c>
      <c r="L160" t="s">
        <v>44</v>
      </c>
      <c r="M160">
        <v>67</v>
      </c>
      <c r="N160">
        <v>2</v>
      </c>
      <c r="O160">
        <v>3</v>
      </c>
      <c r="P160" t="s">
        <v>39</v>
      </c>
      <c r="Q160">
        <v>4</v>
      </c>
      <c r="R160" t="s">
        <v>46</v>
      </c>
      <c r="S160">
        <v>10855</v>
      </c>
      <c r="T160">
        <v>8552</v>
      </c>
      <c r="U160">
        <v>7</v>
      </c>
      <c r="V160" t="s">
        <v>41</v>
      </c>
      <c r="W160" t="s">
        <v>42</v>
      </c>
      <c r="X160">
        <v>11</v>
      </c>
      <c r="Y160">
        <v>3</v>
      </c>
      <c r="Z160">
        <v>1</v>
      </c>
      <c r="AA160">
        <v>80</v>
      </c>
      <c r="AB160">
        <v>1</v>
      </c>
      <c r="AC160">
        <v>15</v>
      </c>
      <c r="AD160">
        <v>2</v>
      </c>
      <c r="AE160">
        <v>2</v>
      </c>
      <c r="AF160">
        <v>12</v>
      </c>
      <c r="AG160">
        <v>11</v>
      </c>
      <c r="AH160">
        <v>2</v>
      </c>
      <c r="AI160">
        <v>11</v>
      </c>
      <c r="AJ160">
        <f t="shared" si="2"/>
        <v>0</v>
      </c>
      <c r="AK160" t="str" cm="1">
        <f t="array" ref="AK160">_xlfn.IFS(A160&lt;=30,"18-30",A160&lt;=45,"31-45",A160&lt;=60,"46-60",TRUE, "60+")</f>
        <v>31-45</v>
      </c>
      <c r="AL160" t="str" cm="1">
        <f t="array" ref="AL160">_xlfn.IFS(F160&lt;=10,"0-10",F160&lt;=20,"11-20",TRUE,"20+")</f>
        <v>0-10</v>
      </c>
      <c r="AM160" t="str" cm="1">
        <f t="array" ref="AM160">_xlfn.IFS(S160&lt;=5000,"0-5k",S160&lt;=10000,"5k-10k",S160&lt;=15000,"10k-15k",TRUE,"15k+")</f>
        <v>10k-15k</v>
      </c>
      <c r="AN160" t="str" cm="1">
        <f t="array" ref="AN160">_xlfn.IFS(AF160&lt;=10,"0-10",AF160&lt;=20,"10-20",AF160&lt;=30,"20-30",TRUE,"30+")</f>
        <v>10-20</v>
      </c>
      <c r="AO160" t="str" cm="1">
        <f t="array" ref="AO160">_xlfn.IFS(Y160=1,"Poor",Y160=2,"Average",Y160=3,"Good",TRUE,"Excellent")</f>
        <v>Good</v>
      </c>
      <c r="AP160" t="str" cm="1">
        <f t="array" ref="AP160">_xlfn.IFS(Q160=1,"Low",Q160=2,"Medium",Q160=3,"High",TRUE,"Very High")</f>
        <v>Very High</v>
      </c>
    </row>
    <row r="161" spans="1:42" x14ac:dyDescent="0.25">
      <c r="A161">
        <v>34</v>
      </c>
      <c r="B161" t="s">
        <v>42</v>
      </c>
      <c r="C161" t="s">
        <v>91</v>
      </c>
      <c r="D161">
        <v>303</v>
      </c>
      <c r="E161" t="s">
        <v>36</v>
      </c>
      <c r="F161">
        <v>2</v>
      </c>
      <c r="G161">
        <v>4</v>
      </c>
      <c r="H161" t="s">
        <v>57</v>
      </c>
      <c r="I161">
        <v>1</v>
      </c>
      <c r="J161">
        <v>216</v>
      </c>
      <c r="K161">
        <v>3</v>
      </c>
      <c r="L161" t="s">
        <v>38</v>
      </c>
      <c r="M161">
        <v>75</v>
      </c>
      <c r="N161">
        <v>3</v>
      </c>
      <c r="O161">
        <v>1</v>
      </c>
      <c r="P161" t="s">
        <v>55</v>
      </c>
      <c r="Q161">
        <v>3</v>
      </c>
      <c r="R161" t="s">
        <v>46</v>
      </c>
      <c r="S161">
        <v>2231</v>
      </c>
      <c r="T161">
        <v>11314</v>
      </c>
      <c r="U161">
        <v>6</v>
      </c>
      <c r="V161" t="s">
        <v>41</v>
      </c>
      <c r="W161" t="s">
        <v>42</v>
      </c>
      <c r="X161">
        <v>18</v>
      </c>
      <c r="Y161">
        <v>3</v>
      </c>
      <c r="Z161">
        <v>4</v>
      </c>
      <c r="AA161">
        <v>80</v>
      </c>
      <c r="AB161">
        <v>1</v>
      </c>
      <c r="AC161">
        <v>6</v>
      </c>
      <c r="AD161">
        <v>3</v>
      </c>
      <c r="AE161">
        <v>3</v>
      </c>
      <c r="AF161">
        <v>4</v>
      </c>
      <c r="AG161">
        <v>3</v>
      </c>
      <c r="AH161">
        <v>1</v>
      </c>
      <c r="AI161">
        <v>2</v>
      </c>
      <c r="AJ161">
        <f t="shared" si="2"/>
        <v>0</v>
      </c>
      <c r="AK161" t="str" cm="1">
        <f t="array" ref="AK161">_xlfn.IFS(A161&lt;=30,"18-30",A161&lt;=45,"31-45",A161&lt;=60,"46-60",TRUE, "60+")</f>
        <v>31-45</v>
      </c>
      <c r="AL161" t="str" cm="1">
        <f t="array" ref="AL161">_xlfn.IFS(F161&lt;=10,"0-10",F161&lt;=20,"11-20",TRUE,"20+")</f>
        <v>0-10</v>
      </c>
      <c r="AM161" t="str" cm="1">
        <f t="array" ref="AM161">_xlfn.IFS(S161&lt;=5000,"0-5k",S161&lt;=10000,"5k-10k",S161&lt;=15000,"10k-15k",TRUE,"15k+")</f>
        <v>0-5k</v>
      </c>
      <c r="AN161" t="str" cm="1">
        <f t="array" ref="AN161">_xlfn.IFS(AF161&lt;=10,"0-10",AF161&lt;=20,"10-20",AF161&lt;=30,"20-30",TRUE,"30+")</f>
        <v>0-10</v>
      </c>
      <c r="AO161" t="str" cm="1">
        <f t="array" ref="AO161">_xlfn.IFS(Y161=1,"Poor",Y161=2,"Average",Y161=3,"Good",TRUE,"Excellent")</f>
        <v>Good</v>
      </c>
      <c r="AP161" t="str" cm="1">
        <f t="array" ref="AP161">_xlfn.IFS(Q161=1,"Low",Q161=2,"Medium",Q161=3,"High",TRUE,"Very High")</f>
        <v>High</v>
      </c>
    </row>
    <row r="162" spans="1:42" x14ac:dyDescent="0.25">
      <c r="A162">
        <v>22</v>
      </c>
      <c r="B162" t="s">
        <v>42</v>
      </c>
      <c r="C162" t="s">
        <v>90</v>
      </c>
      <c r="D162">
        <v>1256</v>
      </c>
      <c r="E162" t="s">
        <v>43</v>
      </c>
      <c r="F162">
        <v>19</v>
      </c>
      <c r="G162">
        <v>1</v>
      </c>
      <c r="H162" t="s">
        <v>49</v>
      </c>
      <c r="I162">
        <v>1</v>
      </c>
      <c r="J162">
        <v>217</v>
      </c>
      <c r="K162">
        <v>3</v>
      </c>
      <c r="L162" t="s">
        <v>44</v>
      </c>
      <c r="M162">
        <v>80</v>
      </c>
      <c r="N162">
        <v>3</v>
      </c>
      <c r="O162">
        <v>1</v>
      </c>
      <c r="P162" t="s">
        <v>45</v>
      </c>
      <c r="Q162">
        <v>4</v>
      </c>
      <c r="R162" t="s">
        <v>46</v>
      </c>
      <c r="S162">
        <v>2323</v>
      </c>
      <c r="T162">
        <v>11992</v>
      </c>
      <c r="U162">
        <v>1</v>
      </c>
      <c r="V162" t="s">
        <v>41</v>
      </c>
      <c r="W162" t="s">
        <v>42</v>
      </c>
      <c r="X162">
        <v>24</v>
      </c>
      <c r="Y162">
        <v>4</v>
      </c>
      <c r="Z162">
        <v>1</v>
      </c>
      <c r="AA162">
        <v>80</v>
      </c>
      <c r="AB162">
        <v>2</v>
      </c>
      <c r="AC162">
        <v>2</v>
      </c>
      <c r="AD162">
        <v>6</v>
      </c>
      <c r="AE162">
        <v>3</v>
      </c>
      <c r="AF162">
        <v>2</v>
      </c>
      <c r="AG162">
        <v>2</v>
      </c>
      <c r="AH162">
        <v>2</v>
      </c>
      <c r="AI162">
        <v>2</v>
      </c>
      <c r="AJ162">
        <f t="shared" si="2"/>
        <v>0</v>
      </c>
      <c r="AK162" t="str" cm="1">
        <f t="array" ref="AK162">_xlfn.IFS(A162&lt;=30,"18-30",A162&lt;=45,"31-45",A162&lt;=60,"46-60",TRUE, "60+")</f>
        <v>18-30</v>
      </c>
      <c r="AL162" t="str" cm="1">
        <f t="array" ref="AL162">_xlfn.IFS(F162&lt;=10,"0-10",F162&lt;=20,"11-20",TRUE,"20+")</f>
        <v>11-20</v>
      </c>
      <c r="AM162" t="str" cm="1">
        <f t="array" ref="AM162">_xlfn.IFS(S162&lt;=5000,"0-5k",S162&lt;=10000,"5k-10k",S162&lt;=15000,"10k-15k",TRUE,"15k+")</f>
        <v>0-5k</v>
      </c>
      <c r="AN162" t="str" cm="1">
        <f t="array" ref="AN162">_xlfn.IFS(AF162&lt;=10,"0-10",AF162&lt;=20,"10-20",AF162&lt;=30,"20-30",TRUE,"30+")</f>
        <v>0-10</v>
      </c>
      <c r="AO162" t="str" cm="1">
        <f t="array" ref="AO162">_xlfn.IFS(Y162=1,"Poor",Y162=2,"Average",Y162=3,"Good",TRUE,"Excellent")</f>
        <v>Excellent</v>
      </c>
      <c r="AP162" t="str" cm="1">
        <f t="array" ref="AP162">_xlfn.IFS(Q162=1,"Low",Q162=2,"Medium",Q162=3,"High",TRUE,"Very High")</f>
        <v>Very High</v>
      </c>
    </row>
    <row r="163" spans="1:42" x14ac:dyDescent="0.25">
      <c r="A163">
        <v>27</v>
      </c>
      <c r="B163" t="s">
        <v>42</v>
      </c>
      <c r="C163" t="s">
        <v>53</v>
      </c>
      <c r="D163">
        <v>691</v>
      </c>
      <c r="E163" t="s">
        <v>43</v>
      </c>
      <c r="F163">
        <v>9</v>
      </c>
      <c r="G163">
        <v>3</v>
      </c>
      <c r="H163" t="s">
        <v>49</v>
      </c>
      <c r="I163">
        <v>1</v>
      </c>
      <c r="J163">
        <v>218</v>
      </c>
      <c r="K163">
        <v>4</v>
      </c>
      <c r="L163" t="s">
        <v>44</v>
      </c>
      <c r="M163">
        <v>57</v>
      </c>
      <c r="N163">
        <v>3</v>
      </c>
      <c r="O163">
        <v>1</v>
      </c>
      <c r="P163" t="s">
        <v>45</v>
      </c>
      <c r="Q163">
        <v>2</v>
      </c>
      <c r="R163" t="s">
        <v>50</v>
      </c>
      <c r="S163">
        <v>2024</v>
      </c>
      <c r="T163">
        <v>5970</v>
      </c>
      <c r="U163">
        <v>6</v>
      </c>
      <c r="V163" t="s">
        <v>41</v>
      </c>
      <c r="W163" t="s">
        <v>42</v>
      </c>
      <c r="X163">
        <v>18</v>
      </c>
      <c r="Y163">
        <v>3</v>
      </c>
      <c r="Z163">
        <v>4</v>
      </c>
      <c r="AA163">
        <v>80</v>
      </c>
      <c r="AB163">
        <v>1</v>
      </c>
      <c r="AC163">
        <v>6</v>
      </c>
      <c r="AD163">
        <v>1</v>
      </c>
      <c r="AE163">
        <v>1</v>
      </c>
      <c r="AF163">
        <v>2</v>
      </c>
      <c r="AG163">
        <v>2</v>
      </c>
      <c r="AH163">
        <v>2</v>
      </c>
      <c r="AI163">
        <v>2</v>
      </c>
      <c r="AJ163">
        <f t="shared" si="2"/>
        <v>0</v>
      </c>
      <c r="AK163" t="str" cm="1">
        <f t="array" ref="AK163">_xlfn.IFS(A163&lt;=30,"18-30",A163&lt;=45,"31-45",A163&lt;=60,"46-60",TRUE, "60+")</f>
        <v>18-30</v>
      </c>
      <c r="AL163" t="str" cm="1">
        <f t="array" ref="AL163">_xlfn.IFS(F163&lt;=10,"0-10",F163&lt;=20,"11-20",TRUE,"20+")</f>
        <v>0-10</v>
      </c>
      <c r="AM163" t="str" cm="1">
        <f t="array" ref="AM163">_xlfn.IFS(S163&lt;=5000,"0-5k",S163&lt;=10000,"5k-10k",S163&lt;=15000,"10k-15k",TRUE,"15k+")</f>
        <v>0-5k</v>
      </c>
      <c r="AN163" t="str" cm="1">
        <f t="array" ref="AN163">_xlfn.IFS(AF163&lt;=10,"0-10",AF163&lt;=20,"10-20",AF163&lt;=30,"20-30",TRUE,"30+")</f>
        <v>0-10</v>
      </c>
      <c r="AO163" t="str" cm="1">
        <f t="array" ref="AO163">_xlfn.IFS(Y163=1,"Poor",Y163=2,"Average",Y163=3,"Good",TRUE,"Excellent")</f>
        <v>Good</v>
      </c>
      <c r="AP163" t="str" cm="1">
        <f t="array" ref="AP163">_xlfn.IFS(Q163=1,"Low",Q163=2,"Medium",Q163=3,"High",TRUE,"Very High")</f>
        <v>Medium</v>
      </c>
    </row>
    <row r="164" spans="1:42" x14ac:dyDescent="0.25">
      <c r="A164">
        <v>28</v>
      </c>
      <c r="B164" t="s">
        <v>42</v>
      </c>
      <c r="C164" t="s">
        <v>90</v>
      </c>
      <c r="D164">
        <v>440</v>
      </c>
      <c r="E164" t="s">
        <v>43</v>
      </c>
      <c r="F164">
        <v>21</v>
      </c>
      <c r="G164">
        <v>3</v>
      </c>
      <c r="H164" t="s">
        <v>49</v>
      </c>
      <c r="I164">
        <v>1</v>
      </c>
      <c r="J164">
        <v>221</v>
      </c>
      <c r="K164">
        <v>3</v>
      </c>
      <c r="L164" t="s">
        <v>44</v>
      </c>
      <c r="M164">
        <v>42</v>
      </c>
      <c r="N164">
        <v>3</v>
      </c>
      <c r="O164">
        <v>1</v>
      </c>
      <c r="P164" t="s">
        <v>45</v>
      </c>
      <c r="Q164">
        <v>4</v>
      </c>
      <c r="R164" t="s">
        <v>46</v>
      </c>
      <c r="S164">
        <v>2713</v>
      </c>
      <c r="T164">
        <v>6672</v>
      </c>
      <c r="U164">
        <v>1</v>
      </c>
      <c r="V164" t="s">
        <v>41</v>
      </c>
      <c r="W164" t="s">
        <v>42</v>
      </c>
      <c r="X164">
        <v>11</v>
      </c>
      <c r="Y164">
        <v>3</v>
      </c>
      <c r="Z164">
        <v>3</v>
      </c>
      <c r="AA164">
        <v>80</v>
      </c>
      <c r="AB164">
        <v>1</v>
      </c>
      <c r="AC164">
        <v>5</v>
      </c>
      <c r="AD164">
        <v>2</v>
      </c>
      <c r="AE164">
        <v>1</v>
      </c>
      <c r="AF164">
        <v>5</v>
      </c>
      <c r="AG164">
        <v>2</v>
      </c>
      <c r="AH164">
        <v>0</v>
      </c>
      <c r="AI164">
        <v>2</v>
      </c>
      <c r="AJ164">
        <f t="shared" si="2"/>
        <v>0</v>
      </c>
      <c r="AK164" t="str" cm="1">
        <f t="array" ref="AK164">_xlfn.IFS(A164&lt;=30,"18-30",A164&lt;=45,"31-45",A164&lt;=60,"46-60",TRUE, "60+")</f>
        <v>18-30</v>
      </c>
      <c r="AL164" t="str" cm="1">
        <f t="array" ref="AL164">_xlfn.IFS(F164&lt;=10,"0-10",F164&lt;=20,"11-20",TRUE,"20+")</f>
        <v>20+</v>
      </c>
      <c r="AM164" t="str" cm="1">
        <f t="array" ref="AM164">_xlfn.IFS(S164&lt;=5000,"0-5k",S164&lt;=10000,"5k-10k",S164&lt;=15000,"10k-15k",TRUE,"15k+")</f>
        <v>0-5k</v>
      </c>
      <c r="AN164" t="str" cm="1">
        <f t="array" ref="AN164">_xlfn.IFS(AF164&lt;=10,"0-10",AF164&lt;=20,"10-20",AF164&lt;=30,"20-30",TRUE,"30+")</f>
        <v>0-10</v>
      </c>
      <c r="AO164" t="str" cm="1">
        <f t="array" ref="AO164">_xlfn.IFS(Y164=1,"Poor",Y164=2,"Average",Y164=3,"Good",TRUE,"Excellent")</f>
        <v>Good</v>
      </c>
      <c r="AP164" t="str" cm="1">
        <f t="array" ref="AP164">_xlfn.IFS(Q164=1,"Low",Q164=2,"Medium",Q164=3,"High",TRUE,"Very High")</f>
        <v>Very High</v>
      </c>
    </row>
    <row r="165" spans="1:42" x14ac:dyDescent="0.25">
      <c r="A165">
        <v>57</v>
      </c>
      <c r="B165" t="s">
        <v>42</v>
      </c>
      <c r="C165" t="s">
        <v>90</v>
      </c>
      <c r="D165">
        <v>334</v>
      </c>
      <c r="E165" t="s">
        <v>43</v>
      </c>
      <c r="F165">
        <v>24</v>
      </c>
      <c r="G165">
        <v>2</v>
      </c>
      <c r="H165" t="s">
        <v>37</v>
      </c>
      <c r="I165">
        <v>1</v>
      </c>
      <c r="J165">
        <v>223</v>
      </c>
      <c r="K165">
        <v>3</v>
      </c>
      <c r="L165" t="s">
        <v>44</v>
      </c>
      <c r="M165">
        <v>83</v>
      </c>
      <c r="N165">
        <v>4</v>
      </c>
      <c r="O165">
        <v>3</v>
      </c>
      <c r="P165" t="s">
        <v>52</v>
      </c>
      <c r="Q165">
        <v>4</v>
      </c>
      <c r="R165" t="s">
        <v>50</v>
      </c>
      <c r="S165">
        <v>9439</v>
      </c>
      <c r="T165">
        <v>23402</v>
      </c>
      <c r="U165">
        <v>3</v>
      </c>
      <c r="V165" t="s">
        <v>41</v>
      </c>
      <c r="W165" t="s">
        <v>35</v>
      </c>
      <c r="X165">
        <v>16</v>
      </c>
      <c r="Y165">
        <v>3</v>
      </c>
      <c r="Z165">
        <v>2</v>
      </c>
      <c r="AA165">
        <v>80</v>
      </c>
      <c r="AB165">
        <v>1</v>
      </c>
      <c r="AC165">
        <v>12</v>
      </c>
      <c r="AD165">
        <v>2</v>
      </c>
      <c r="AE165">
        <v>1</v>
      </c>
      <c r="AF165">
        <v>5</v>
      </c>
      <c r="AG165">
        <v>3</v>
      </c>
      <c r="AH165">
        <v>1</v>
      </c>
      <c r="AI165">
        <v>4</v>
      </c>
      <c r="AJ165">
        <f t="shared" si="2"/>
        <v>0</v>
      </c>
      <c r="AK165" t="str" cm="1">
        <f t="array" ref="AK165">_xlfn.IFS(A165&lt;=30,"18-30",A165&lt;=45,"31-45",A165&lt;=60,"46-60",TRUE, "60+")</f>
        <v>46-60</v>
      </c>
      <c r="AL165" t="str" cm="1">
        <f t="array" ref="AL165">_xlfn.IFS(F165&lt;=10,"0-10",F165&lt;=20,"11-20",TRUE,"20+")</f>
        <v>20+</v>
      </c>
      <c r="AM165" t="str" cm="1">
        <f t="array" ref="AM165">_xlfn.IFS(S165&lt;=5000,"0-5k",S165&lt;=10000,"5k-10k",S165&lt;=15000,"10k-15k",TRUE,"15k+")</f>
        <v>5k-10k</v>
      </c>
      <c r="AN165" t="str" cm="1">
        <f t="array" ref="AN165">_xlfn.IFS(AF165&lt;=10,"0-10",AF165&lt;=20,"10-20",AF165&lt;=30,"20-30",TRUE,"30+")</f>
        <v>0-10</v>
      </c>
      <c r="AO165" t="str" cm="1">
        <f t="array" ref="AO165">_xlfn.IFS(Y165=1,"Poor",Y165=2,"Average",Y165=3,"Good",TRUE,"Excellent")</f>
        <v>Good</v>
      </c>
      <c r="AP165" t="str" cm="1">
        <f t="array" ref="AP165">_xlfn.IFS(Q165=1,"Low",Q165=2,"Medium",Q165=3,"High",TRUE,"Very High")</f>
        <v>Very High</v>
      </c>
    </row>
    <row r="166" spans="1:42" x14ac:dyDescent="0.25">
      <c r="A166">
        <v>27</v>
      </c>
      <c r="B166" t="s">
        <v>42</v>
      </c>
      <c r="C166" t="s">
        <v>53</v>
      </c>
      <c r="D166">
        <v>1450</v>
      </c>
      <c r="E166" t="s">
        <v>43</v>
      </c>
      <c r="F166">
        <v>3</v>
      </c>
      <c r="G166">
        <v>3</v>
      </c>
      <c r="H166" t="s">
        <v>49</v>
      </c>
      <c r="I166">
        <v>1</v>
      </c>
      <c r="J166">
        <v>224</v>
      </c>
      <c r="K166">
        <v>3</v>
      </c>
      <c r="L166" t="s">
        <v>44</v>
      </c>
      <c r="M166">
        <v>79</v>
      </c>
      <c r="N166">
        <v>2</v>
      </c>
      <c r="O166">
        <v>1</v>
      </c>
      <c r="P166" t="s">
        <v>45</v>
      </c>
      <c r="Q166">
        <v>3</v>
      </c>
      <c r="R166" t="s">
        <v>50</v>
      </c>
      <c r="S166">
        <v>2566</v>
      </c>
      <c r="T166">
        <v>25326</v>
      </c>
      <c r="U166">
        <v>1</v>
      </c>
      <c r="V166" t="s">
        <v>41</v>
      </c>
      <c r="W166" t="s">
        <v>35</v>
      </c>
      <c r="X166">
        <v>15</v>
      </c>
      <c r="Y166">
        <v>3</v>
      </c>
      <c r="Z166">
        <v>4</v>
      </c>
      <c r="AA166">
        <v>80</v>
      </c>
      <c r="AB166">
        <v>1</v>
      </c>
      <c r="AC166">
        <v>1</v>
      </c>
      <c r="AD166">
        <v>2</v>
      </c>
      <c r="AE166">
        <v>2</v>
      </c>
      <c r="AF166">
        <v>1</v>
      </c>
      <c r="AG166">
        <v>1</v>
      </c>
      <c r="AH166">
        <v>0</v>
      </c>
      <c r="AI166">
        <v>1</v>
      </c>
      <c r="AJ166">
        <f t="shared" si="2"/>
        <v>0</v>
      </c>
      <c r="AK166" t="str" cm="1">
        <f t="array" ref="AK166">_xlfn.IFS(A166&lt;=30,"18-30",A166&lt;=45,"31-45",A166&lt;=60,"46-60",TRUE, "60+")</f>
        <v>18-30</v>
      </c>
      <c r="AL166" t="str" cm="1">
        <f t="array" ref="AL166">_xlfn.IFS(F166&lt;=10,"0-10",F166&lt;=20,"11-20",TRUE,"20+")</f>
        <v>0-10</v>
      </c>
      <c r="AM166" t="str" cm="1">
        <f t="array" ref="AM166">_xlfn.IFS(S166&lt;=5000,"0-5k",S166&lt;=10000,"5k-10k",S166&lt;=15000,"10k-15k",TRUE,"15k+")</f>
        <v>0-5k</v>
      </c>
      <c r="AN166" t="str" cm="1">
        <f t="array" ref="AN166">_xlfn.IFS(AF166&lt;=10,"0-10",AF166&lt;=20,"10-20",AF166&lt;=30,"20-30",TRUE,"30+")</f>
        <v>0-10</v>
      </c>
      <c r="AO166" t="str" cm="1">
        <f t="array" ref="AO166">_xlfn.IFS(Y166=1,"Poor",Y166=2,"Average",Y166=3,"Good",TRUE,"Excellent")</f>
        <v>Good</v>
      </c>
      <c r="AP166" t="str" cm="1">
        <f t="array" ref="AP166">_xlfn.IFS(Q166=1,"Low",Q166=2,"Medium",Q166=3,"High",TRUE,"Very High")</f>
        <v>High</v>
      </c>
    </row>
    <row r="167" spans="1:42" x14ac:dyDescent="0.25">
      <c r="A167">
        <v>50</v>
      </c>
      <c r="B167" t="s">
        <v>42</v>
      </c>
      <c r="C167" t="s">
        <v>90</v>
      </c>
      <c r="D167">
        <v>1452</v>
      </c>
      <c r="E167" t="s">
        <v>43</v>
      </c>
      <c r="F167">
        <v>11</v>
      </c>
      <c r="G167">
        <v>3</v>
      </c>
      <c r="H167" t="s">
        <v>37</v>
      </c>
      <c r="I167">
        <v>1</v>
      </c>
      <c r="J167">
        <v>226</v>
      </c>
      <c r="K167">
        <v>3</v>
      </c>
      <c r="L167" t="s">
        <v>38</v>
      </c>
      <c r="M167">
        <v>53</v>
      </c>
      <c r="N167">
        <v>3</v>
      </c>
      <c r="O167">
        <v>5</v>
      </c>
      <c r="P167" t="s">
        <v>54</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c r="AJ167">
        <f t="shared" si="2"/>
        <v>0</v>
      </c>
      <c r="AK167" t="str" cm="1">
        <f t="array" ref="AK167">_xlfn.IFS(A167&lt;=30,"18-30",A167&lt;=45,"31-45",A167&lt;=60,"46-60",TRUE, "60+")</f>
        <v>46-60</v>
      </c>
      <c r="AL167" t="str" cm="1">
        <f t="array" ref="AL167">_xlfn.IFS(F167&lt;=10,"0-10",F167&lt;=20,"11-20",TRUE,"20+")</f>
        <v>11-20</v>
      </c>
      <c r="AM167" t="str" cm="1">
        <f t="array" ref="AM167">_xlfn.IFS(S167&lt;=5000,"0-5k",S167&lt;=10000,"5k-10k",S167&lt;=15000,"10k-15k",TRUE,"15k+")</f>
        <v>15k+</v>
      </c>
      <c r="AN167" t="str" cm="1">
        <f t="array" ref="AN167">_xlfn.IFS(AF167&lt;=10,"0-10",AF167&lt;=20,"10-20",AF167&lt;=30,"20-30",TRUE,"30+")</f>
        <v>0-10</v>
      </c>
      <c r="AO167" t="str" cm="1">
        <f t="array" ref="AO167">_xlfn.IFS(Y167=1,"Poor",Y167=2,"Average",Y167=3,"Good",TRUE,"Excellent")</f>
        <v>Good</v>
      </c>
      <c r="AP167" t="str" cm="1">
        <f t="array" ref="AP167">_xlfn.IFS(Q167=1,"Low",Q167=2,"Medium",Q167=3,"High",TRUE,"Very High")</f>
        <v>Medium</v>
      </c>
    </row>
    <row r="168" spans="1:42" x14ac:dyDescent="0.25">
      <c r="A168">
        <v>41</v>
      </c>
      <c r="B168" t="s">
        <v>42</v>
      </c>
      <c r="C168" t="s">
        <v>90</v>
      </c>
      <c r="D168">
        <v>465</v>
      </c>
      <c r="E168" t="s">
        <v>43</v>
      </c>
      <c r="F168">
        <v>14</v>
      </c>
      <c r="G168">
        <v>3</v>
      </c>
      <c r="H168" t="s">
        <v>37</v>
      </c>
      <c r="I168">
        <v>1</v>
      </c>
      <c r="J168">
        <v>227</v>
      </c>
      <c r="K168">
        <v>1</v>
      </c>
      <c r="L168" t="s">
        <v>44</v>
      </c>
      <c r="M168">
        <v>56</v>
      </c>
      <c r="N168">
        <v>3</v>
      </c>
      <c r="O168">
        <v>1</v>
      </c>
      <c r="P168" t="s">
        <v>45</v>
      </c>
      <c r="Q168">
        <v>3</v>
      </c>
      <c r="R168" t="s">
        <v>50</v>
      </c>
      <c r="S168">
        <v>2451</v>
      </c>
      <c r="T168">
        <v>4609</v>
      </c>
      <c r="U168">
        <v>4</v>
      </c>
      <c r="V168" t="s">
        <v>41</v>
      </c>
      <c r="W168" t="s">
        <v>42</v>
      </c>
      <c r="X168">
        <v>12</v>
      </c>
      <c r="Y168">
        <v>3</v>
      </c>
      <c r="Z168">
        <v>1</v>
      </c>
      <c r="AA168">
        <v>80</v>
      </c>
      <c r="AB168">
        <v>1</v>
      </c>
      <c r="AC168">
        <v>13</v>
      </c>
      <c r="AD168">
        <v>2</v>
      </c>
      <c r="AE168">
        <v>3</v>
      </c>
      <c r="AF168">
        <v>9</v>
      </c>
      <c r="AG168">
        <v>8</v>
      </c>
      <c r="AH168">
        <v>1</v>
      </c>
      <c r="AI168">
        <v>8</v>
      </c>
      <c r="AJ168">
        <f t="shared" si="2"/>
        <v>0</v>
      </c>
      <c r="AK168" t="str" cm="1">
        <f t="array" ref="AK168">_xlfn.IFS(A168&lt;=30,"18-30",A168&lt;=45,"31-45",A168&lt;=60,"46-60",TRUE, "60+")</f>
        <v>31-45</v>
      </c>
      <c r="AL168" t="str" cm="1">
        <f t="array" ref="AL168">_xlfn.IFS(F168&lt;=10,"0-10",F168&lt;=20,"11-20",TRUE,"20+")</f>
        <v>11-20</v>
      </c>
      <c r="AM168" t="str" cm="1">
        <f t="array" ref="AM168">_xlfn.IFS(S168&lt;=5000,"0-5k",S168&lt;=10000,"5k-10k",S168&lt;=15000,"10k-15k",TRUE,"15k+")</f>
        <v>0-5k</v>
      </c>
      <c r="AN168" t="str" cm="1">
        <f t="array" ref="AN168">_xlfn.IFS(AF168&lt;=10,"0-10",AF168&lt;=20,"10-20",AF168&lt;=30,"20-30",TRUE,"30+")</f>
        <v>0-10</v>
      </c>
      <c r="AO168" t="str" cm="1">
        <f t="array" ref="AO168">_xlfn.IFS(Y168=1,"Poor",Y168=2,"Average",Y168=3,"Good",TRUE,"Excellent")</f>
        <v>Good</v>
      </c>
      <c r="AP168" t="str" cm="1">
        <f t="array" ref="AP168">_xlfn.IFS(Q168=1,"Low",Q168=2,"Medium",Q168=3,"High",TRUE,"Very High")</f>
        <v>High</v>
      </c>
    </row>
    <row r="169" spans="1:42" x14ac:dyDescent="0.25">
      <c r="A169">
        <v>30</v>
      </c>
      <c r="B169" t="s">
        <v>42</v>
      </c>
      <c r="C169" t="s">
        <v>90</v>
      </c>
      <c r="D169">
        <v>1339</v>
      </c>
      <c r="E169" t="s">
        <v>36</v>
      </c>
      <c r="F169">
        <v>5</v>
      </c>
      <c r="G169">
        <v>3</v>
      </c>
      <c r="H169" t="s">
        <v>37</v>
      </c>
      <c r="I169">
        <v>1</v>
      </c>
      <c r="J169">
        <v>228</v>
      </c>
      <c r="K169">
        <v>2</v>
      </c>
      <c r="L169" t="s">
        <v>38</v>
      </c>
      <c r="M169">
        <v>41</v>
      </c>
      <c r="N169">
        <v>3</v>
      </c>
      <c r="O169">
        <v>3</v>
      </c>
      <c r="P169" t="s">
        <v>39</v>
      </c>
      <c r="Q169">
        <v>4</v>
      </c>
      <c r="R169" t="s">
        <v>46</v>
      </c>
      <c r="S169">
        <v>9419</v>
      </c>
      <c r="T169">
        <v>8053</v>
      </c>
      <c r="U169">
        <v>2</v>
      </c>
      <c r="V169" t="s">
        <v>41</v>
      </c>
      <c r="W169" t="s">
        <v>42</v>
      </c>
      <c r="X169">
        <v>12</v>
      </c>
      <c r="Y169">
        <v>3</v>
      </c>
      <c r="Z169">
        <v>3</v>
      </c>
      <c r="AA169">
        <v>80</v>
      </c>
      <c r="AB169">
        <v>1</v>
      </c>
      <c r="AC169">
        <v>12</v>
      </c>
      <c r="AD169">
        <v>2</v>
      </c>
      <c r="AE169">
        <v>3</v>
      </c>
      <c r="AF169">
        <v>10</v>
      </c>
      <c r="AG169">
        <v>9</v>
      </c>
      <c r="AH169">
        <v>7</v>
      </c>
      <c r="AI169">
        <v>4</v>
      </c>
      <c r="AJ169">
        <f t="shared" si="2"/>
        <v>0</v>
      </c>
      <c r="AK169" t="str" cm="1">
        <f t="array" ref="AK169">_xlfn.IFS(A169&lt;=30,"18-30",A169&lt;=45,"31-45",A169&lt;=60,"46-60",TRUE, "60+")</f>
        <v>18-30</v>
      </c>
      <c r="AL169" t="str" cm="1">
        <f t="array" ref="AL169">_xlfn.IFS(F169&lt;=10,"0-10",F169&lt;=20,"11-20",TRUE,"20+")</f>
        <v>0-10</v>
      </c>
      <c r="AM169" t="str" cm="1">
        <f t="array" ref="AM169">_xlfn.IFS(S169&lt;=5000,"0-5k",S169&lt;=10000,"5k-10k",S169&lt;=15000,"10k-15k",TRUE,"15k+")</f>
        <v>5k-10k</v>
      </c>
      <c r="AN169" t="str" cm="1">
        <f t="array" ref="AN169">_xlfn.IFS(AF169&lt;=10,"0-10",AF169&lt;=20,"10-20",AF169&lt;=30,"20-30",TRUE,"30+")</f>
        <v>0-10</v>
      </c>
      <c r="AO169" t="str" cm="1">
        <f t="array" ref="AO169">_xlfn.IFS(Y169=1,"Poor",Y169=2,"Average",Y169=3,"Good",TRUE,"Excellent")</f>
        <v>Good</v>
      </c>
      <c r="AP169" t="str" cm="1">
        <f t="array" ref="AP169">_xlfn.IFS(Q169=1,"Low",Q169=2,"Medium",Q169=3,"High",TRUE,"Very High")</f>
        <v>Very High</v>
      </c>
    </row>
    <row r="170" spans="1:42" x14ac:dyDescent="0.25">
      <c r="A170">
        <v>38</v>
      </c>
      <c r="B170" t="s">
        <v>42</v>
      </c>
      <c r="C170" t="s">
        <v>90</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c r="AJ170">
        <f t="shared" si="2"/>
        <v>0</v>
      </c>
      <c r="AK170" t="str" cm="1">
        <f t="array" ref="AK170">_xlfn.IFS(A170&lt;=30,"18-30",A170&lt;=45,"31-45",A170&lt;=60,"46-60",TRUE, "60+")</f>
        <v>31-45</v>
      </c>
      <c r="AL170" t="str" cm="1">
        <f t="array" ref="AL170">_xlfn.IFS(F170&lt;=10,"0-10",F170&lt;=20,"11-20",TRUE,"20+")</f>
        <v>0-10</v>
      </c>
      <c r="AM170" t="str" cm="1">
        <f t="array" ref="AM170">_xlfn.IFS(S170&lt;=5000,"0-5k",S170&lt;=10000,"5k-10k",S170&lt;=15000,"10k-15k",TRUE,"15k+")</f>
        <v>5k-10k</v>
      </c>
      <c r="AN170" t="str" cm="1">
        <f t="array" ref="AN170">_xlfn.IFS(AF170&lt;=10,"0-10",AF170&lt;=20,"10-20",AF170&lt;=30,"20-30",TRUE,"30+")</f>
        <v>0-10</v>
      </c>
      <c r="AO170" t="str" cm="1">
        <f t="array" ref="AO170">_xlfn.IFS(Y170=1,"Poor",Y170=2,"Average",Y170=3,"Good",TRUE,"Excellent")</f>
        <v>Excellent</v>
      </c>
      <c r="AP170" t="str" cm="1">
        <f t="array" ref="AP170">_xlfn.IFS(Q170=1,"Low",Q170=2,"Medium",Q170=3,"High",TRUE,"Very High")</f>
        <v>Very High</v>
      </c>
    </row>
    <row r="171" spans="1:42" x14ac:dyDescent="0.25">
      <c r="A171">
        <v>32</v>
      </c>
      <c r="B171" t="s">
        <v>42</v>
      </c>
      <c r="C171" t="s">
        <v>90</v>
      </c>
      <c r="D171">
        <v>120</v>
      </c>
      <c r="E171" t="s">
        <v>43</v>
      </c>
      <c r="F171">
        <v>6</v>
      </c>
      <c r="G171">
        <v>5</v>
      </c>
      <c r="H171" t="s">
        <v>37</v>
      </c>
      <c r="I171">
        <v>1</v>
      </c>
      <c r="J171">
        <v>231</v>
      </c>
      <c r="K171">
        <v>3</v>
      </c>
      <c r="L171" t="s">
        <v>44</v>
      </c>
      <c r="M171">
        <v>43</v>
      </c>
      <c r="N171">
        <v>3</v>
      </c>
      <c r="O171">
        <v>1</v>
      </c>
      <c r="P171" t="s">
        <v>45</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c r="AJ171">
        <f t="shared" si="2"/>
        <v>0</v>
      </c>
      <c r="AK171" t="str" cm="1">
        <f t="array" ref="AK171">_xlfn.IFS(A171&lt;=30,"18-30",A171&lt;=45,"31-45",A171&lt;=60,"46-60",TRUE, "60+")</f>
        <v>31-45</v>
      </c>
      <c r="AL171" t="str" cm="1">
        <f t="array" ref="AL171">_xlfn.IFS(F171&lt;=10,"0-10",F171&lt;=20,"11-20",TRUE,"20+")</f>
        <v>0-10</v>
      </c>
      <c r="AM171" t="str" cm="1">
        <f t="array" ref="AM171">_xlfn.IFS(S171&lt;=5000,"0-5k",S171&lt;=10000,"5k-10k",S171&lt;=15000,"10k-15k",TRUE,"15k+")</f>
        <v>0-5k</v>
      </c>
      <c r="AN171" t="str" cm="1">
        <f t="array" ref="AN171">_xlfn.IFS(AF171&lt;=10,"0-10",AF171&lt;=20,"10-20",AF171&lt;=30,"20-30",TRUE,"30+")</f>
        <v>0-10</v>
      </c>
      <c r="AO171" t="str" cm="1">
        <f t="array" ref="AO171">_xlfn.IFS(Y171=1,"Poor",Y171=2,"Average",Y171=3,"Good",TRUE,"Excellent")</f>
        <v>Excellent</v>
      </c>
      <c r="AP171" t="str" cm="1">
        <f t="array" ref="AP171">_xlfn.IFS(Q171=1,"Low",Q171=2,"Medium",Q171=3,"High",TRUE,"Very High")</f>
        <v>High</v>
      </c>
    </row>
    <row r="172" spans="1:42" x14ac:dyDescent="0.25">
      <c r="A172">
        <v>27</v>
      </c>
      <c r="B172" t="s">
        <v>42</v>
      </c>
      <c r="C172" t="s">
        <v>90</v>
      </c>
      <c r="D172">
        <v>1157</v>
      </c>
      <c r="E172" t="s">
        <v>43</v>
      </c>
      <c r="F172">
        <v>17</v>
      </c>
      <c r="G172">
        <v>3</v>
      </c>
      <c r="H172" t="s">
        <v>58</v>
      </c>
      <c r="I172">
        <v>1</v>
      </c>
      <c r="J172">
        <v>233</v>
      </c>
      <c r="K172">
        <v>3</v>
      </c>
      <c r="L172" t="s">
        <v>44</v>
      </c>
      <c r="M172">
        <v>51</v>
      </c>
      <c r="N172">
        <v>3</v>
      </c>
      <c r="O172">
        <v>1</v>
      </c>
      <c r="P172" t="s">
        <v>45</v>
      </c>
      <c r="Q172">
        <v>2</v>
      </c>
      <c r="R172" t="s">
        <v>46</v>
      </c>
      <c r="S172">
        <v>3058</v>
      </c>
      <c r="T172">
        <v>13364</v>
      </c>
      <c r="U172">
        <v>0</v>
      </c>
      <c r="V172" t="s">
        <v>41</v>
      </c>
      <c r="W172" t="s">
        <v>35</v>
      </c>
      <c r="X172">
        <v>16</v>
      </c>
      <c r="Y172">
        <v>3</v>
      </c>
      <c r="Z172">
        <v>4</v>
      </c>
      <c r="AA172">
        <v>80</v>
      </c>
      <c r="AB172">
        <v>1</v>
      </c>
      <c r="AC172">
        <v>6</v>
      </c>
      <c r="AD172">
        <v>3</v>
      </c>
      <c r="AE172">
        <v>2</v>
      </c>
      <c r="AF172">
        <v>5</v>
      </c>
      <c r="AG172">
        <v>2</v>
      </c>
      <c r="AH172">
        <v>1</v>
      </c>
      <c r="AI172">
        <v>1</v>
      </c>
      <c r="AJ172">
        <f t="shared" si="2"/>
        <v>0</v>
      </c>
      <c r="AK172" t="str" cm="1">
        <f t="array" ref="AK172">_xlfn.IFS(A172&lt;=30,"18-30",A172&lt;=45,"31-45",A172&lt;=60,"46-60",TRUE, "60+")</f>
        <v>18-30</v>
      </c>
      <c r="AL172" t="str" cm="1">
        <f t="array" ref="AL172">_xlfn.IFS(F172&lt;=10,"0-10",F172&lt;=20,"11-20",TRUE,"20+")</f>
        <v>11-20</v>
      </c>
      <c r="AM172" t="str" cm="1">
        <f t="array" ref="AM172">_xlfn.IFS(S172&lt;=5000,"0-5k",S172&lt;=10000,"5k-10k",S172&lt;=15000,"10k-15k",TRUE,"15k+")</f>
        <v>0-5k</v>
      </c>
      <c r="AN172" t="str" cm="1">
        <f t="array" ref="AN172">_xlfn.IFS(AF172&lt;=10,"0-10",AF172&lt;=20,"10-20",AF172&lt;=30,"20-30",TRUE,"30+")</f>
        <v>0-10</v>
      </c>
      <c r="AO172" t="str" cm="1">
        <f t="array" ref="AO172">_xlfn.IFS(Y172=1,"Poor",Y172=2,"Average",Y172=3,"Good",TRUE,"Excellent")</f>
        <v>Good</v>
      </c>
      <c r="AP172" t="str" cm="1">
        <f t="array" ref="AP172">_xlfn.IFS(Q172=1,"Low",Q172=2,"Medium",Q172=3,"High",TRUE,"Very High")</f>
        <v>Medium</v>
      </c>
    </row>
    <row r="173" spans="1:42" x14ac:dyDescent="0.25">
      <c r="A173">
        <v>19</v>
      </c>
      <c r="B173" t="s">
        <v>35</v>
      </c>
      <c r="C173" t="s">
        <v>91</v>
      </c>
      <c r="D173">
        <v>602</v>
      </c>
      <c r="E173" t="s">
        <v>36</v>
      </c>
      <c r="F173">
        <v>1</v>
      </c>
      <c r="G173">
        <v>1</v>
      </c>
      <c r="H173" t="s">
        <v>58</v>
      </c>
      <c r="I173">
        <v>1</v>
      </c>
      <c r="J173">
        <v>235</v>
      </c>
      <c r="K173">
        <v>3</v>
      </c>
      <c r="L173" t="s">
        <v>38</v>
      </c>
      <c r="M173">
        <v>100</v>
      </c>
      <c r="N173">
        <v>1</v>
      </c>
      <c r="O173">
        <v>1</v>
      </c>
      <c r="P173" t="s">
        <v>55</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c r="AJ173">
        <f t="shared" si="2"/>
        <v>1</v>
      </c>
      <c r="AK173" t="str" cm="1">
        <f t="array" ref="AK173">_xlfn.IFS(A173&lt;=30,"18-30",A173&lt;=45,"31-45",A173&lt;=60,"46-60",TRUE, "60+")</f>
        <v>18-30</v>
      </c>
      <c r="AL173" t="str" cm="1">
        <f t="array" ref="AL173">_xlfn.IFS(F173&lt;=10,"0-10",F173&lt;=20,"11-20",TRUE,"20+")</f>
        <v>0-10</v>
      </c>
      <c r="AM173" t="str" cm="1">
        <f t="array" ref="AM173">_xlfn.IFS(S173&lt;=5000,"0-5k",S173&lt;=10000,"5k-10k",S173&lt;=15000,"10k-15k",TRUE,"15k+")</f>
        <v>0-5k</v>
      </c>
      <c r="AN173" t="str" cm="1">
        <f t="array" ref="AN173">_xlfn.IFS(AF173&lt;=10,"0-10",AF173&lt;=20,"10-20",AF173&lt;=30,"20-30",TRUE,"30+")</f>
        <v>0-10</v>
      </c>
      <c r="AO173" t="str" cm="1">
        <f t="array" ref="AO173">_xlfn.IFS(Y173=1,"Poor",Y173=2,"Average",Y173=3,"Good",TRUE,"Excellent")</f>
        <v>Excellent</v>
      </c>
      <c r="AP173" t="str" cm="1">
        <f t="array" ref="AP173">_xlfn.IFS(Q173=1,"Low",Q173=2,"Medium",Q173=3,"High",TRUE,"Very High")</f>
        <v>Low</v>
      </c>
    </row>
    <row r="174" spans="1:42" x14ac:dyDescent="0.25">
      <c r="A174">
        <v>36</v>
      </c>
      <c r="B174" t="s">
        <v>42</v>
      </c>
      <c r="C174" t="s">
        <v>91</v>
      </c>
      <c r="D174">
        <v>1480</v>
      </c>
      <c r="E174" t="s">
        <v>43</v>
      </c>
      <c r="F174">
        <v>3</v>
      </c>
      <c r="G174">
        <v>2</v>
      </c>
      <c r="H174" t="s">
        <v>49</v>
      </c>
      <c r="I174">
        <v>1</v>
      </c>
      <c r="J174">
        <v>238</v>
      </c>
      <c r="K174">
        <v>4</v>
      </c>
      <c r="L174" t="s">
        <v>44</v>
      </c>
      <c r="M174">
        <v>30</v>
      </c>
      <c r="N174">
        <v>3</v>
      </c>
      <c r="O174">
        <v>1</v>
      </c>
      <c r="P174" t="s">
        <v>48</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c r="AJ174">
        <f t="shared" si="2"/>
        <v>0</v>
      </c>
      <c r="AK174" t="str" cm="1">
        <f t="array" ref="AK174">_xlfn.IFS(A174&lt;=30,"18-30",A174&lt;=45,"31-45",A174&lt;=60,"46-60",TRUE, "60+")</f>
        <v>31-45</v>
      </c>
      <c r="AL174" t="str" cm="1">
        <f t="array" ref="AL174">_xlfn.IFS(F174&lt;=10,"0-10",F174&lt;=20,"11-20",TRUE,"20+")</f>
        <v>0-10</v>
      </c>
      <c r="AM174" t="str" cm="1">
        <f t="array" ref="AM174">_xlfn.IFS(S174&lt;=5000,"0-5k",S174&lt;=10000,"5k-10k",S174&lt;=15000,"10k-15k",TRUE,"15k+")</f>
        <v>0-5k</v>
      </c>
      <c r="AN174" t="str" cm="1">
        <f t="array" ref="AN174">_xlfn.IFS(AF174&lt;=10,"0-10",AF174&lt;=20,"10-20",AF174&lt;=30,"20-30",TRUE,"30+")</f>
        <v>0-10</v>
      </c>
      <c r="AO174" t="str" cm="1">
        <f t="array" ref="AO174">_xlfn.IFS(Y174=1,"Poor",Y174=2,"Average",Y174=3,"Good",TRUE,"Excellent")</f>
        <v>Good</v>
      </c>
      <c r="AP174" t="str" cm="1">
        <f t="array" ref="AP174">_xlfn.IFS(Q174=1,"Low",Q174=2,"Medium",Q174=3,"High",TRUE,"Very High")</f>
        <v>Medium</v>
      </c>
    </row>
    <row r="175" spans="1:42" x14ac:dyDescent="0.25">
      <c r="A175">
        <v>30</v>
      </c>
      <c r="B175" t="s">
        <v>42</v>
      </c>
      <c r="C175" t="s">
        <v>53</v>
      </c>
      <c r="D175">
        <v>111</v>
      </c>
      <c r="E175" t="s">
        <v>43</v>
      </c>
      <c r="F175">
        <v>9</v>
      </c>
      <c r="G175">
        <v>3</v>
      </c>
      <c r="H175" t="s">
        <v>49</v>
      </c>
      <c r="I175">
        <v>1</v>
      </c>
      <c r="J175">
        <v>239</v>
      </c>
      <c r="K175">
        <v>3</v>
      </c>
      <c r="L175" t="s">
        <v>44</v>
      </c>
      <c r="M175">
        <v>66</v>
      </c>
      <c r="N175">
        <v>3</v>
      </c>
      <c r="O175">
        <v>2</v>
      </c>
      <c r="P175" t="s">
        <v>48</v>
      </c>
      <c r="Q175">
        <v>1</v>
      </c>
      <c r="R175" t="s">
        <v>50</v>
      </c>
      <c r="S175">
        <v>3072</v>
      </c>
      <c r="T175">
        <v>11012</v>
      </c>
      <c r="U175">
        <v>1</v>
      </c>
      <c r="V175" t="s">
        <v>41</v>
      </c>
      <c r="W175" t="s">
        <v>42</v>
      </c>
      <c r="X175">
        <v>11</v>
      </c>
      <c r="Y175">
        <v>3</v>
      </c>
      <c r="Z175">
        <v>3</v>
      </c>
      <c r="AA175">
        <v>80</v>
      </c>
      <c r="AB175">
        <v>2</v>
      </c>
      <c r="AC175">
        <v>12</v>
      </c>
      <c r="AD175">
        <v>4</v>
      </c>
      <c r="AE175">
        <v>3</v>
      </c>
      <c r="AF175">
        <v>12</v>
      </c>
      <c r="AG175">
        <v>9</v>
      </c>
      <c r="AH175">
        <v>6</v>
      </c>
      <c r="AI175">
        <v>10</v>
      </c>
      <c r="AJ175">
        <f t="shared" si="2"/>
        <v>0</v>
      </c>
      <c r="AK175" t="str" cm="1">
        <f t="array" ref="AK175">_xlfn.IFS(A175&lt;=30,"18-30",A175&lt;=45,"31-45",A175&lt;=60,"46-60",TRUE, "60+")</f>
        <v>18-30</v>
      </c>
      <c r="AL175" t="str" cm="1">
        <f t="array" ref="AL175">_xlfn.IFS(F175&lt;=10,"0-10",F175&lt;=20,"11-20",TRUE,"20+")</f>
        <v>0-10</v>
      </c>
      <c r="AM175" t="str" cm="1">
        <f t="array" ref="AM175">_xlfn.IFS(S175&lt;=5000,"0-5k",S175&lt;=10000,"5k-10k",S175&lt;=15000,"10k-15k",TRUE,"15k+")</f>
        <v>0-5k</v>
      </c>
      <c r="AN175" t="str" cm="1">
        <f t="array" ref="AN175">_xlfn.IFS(AF175&lt;=10,"0-10",AF175&lt;=20,"10-20",AF175&lt;=30,"20-30",TRUE,"30+")</f>
        <v>10-20</v>
      </c>
      <c r="AO175" t="str" cm="1">
        <f t="array" ref="AO175">_xlfn.IFS(Y175=1,"Poor",Y175=2,"Average",Y175=3,"Good",TRUE,"Excellent")</f>
        <v>Good</v>
      </c>
      <c r="AP175" t="str" cm="1">
        <f t="array" ref="AP175">_xlfn.IFS(Q175=1,"Low",Q175=2,"Medium",Q175=3,"High",TRUE,"Very High")</f>
        <v>Low</v>
      </c>
    </row>
    <row r="176" spans="1:42" x14ac:dyDescent="0.25">
      <c r="A176">
        <v>45</v>
      </c>
      <c r="B176" t="s">
        <v>42</v>
      </c>
      <c r="C176" t="s">
        <v>90</v>
      </c>
      <c r="D176">
        <v>1268</v>
      </c>
      <c r="E176" t="s">
        <v>36</v>
      </c>
      <c r="F176">
        <v>4</v>
      </c>
      <c r="G176">
        <v>2</v>
      </c>
      <c r="H176" t="s">
        <v>37</v>
      </c>
      <c r="I176">
        <v>1</v>
      </c>
      <c r="J176">
        <v>240</v>
      </c>
      <c r="K176">
        <v>3</v>
      </c>
      <c r="L176" t="s">
        <v>38</v>
      </c>
      <c r="M176">
        <v>30</v>
      </c>
      <c r="N176">
        <v>3</v>
      </c>
      <c r="O176">
        <v>2</v>
      </c>
      <c r="P176" t="s">
        <v>39</v>
      </c>
      <c r="Q176">
        <v>1</v>
      </c>
      <c r="R176" t="s">
        <v>50</v>
      </c>
      <c r="S176">
        <v>5006</v>
      </c>
      <c r="T176">
        <v>6319</v>
      </c>
      <c r="U176">
        <v>4</v>
      </c>
      <c r="V176" t="s">
        <v>41</v>
      </c>
      <c r="W176" t="s">
        <v>35</v>
      </c>
      <c r="X176">
        <v>11</v>
      </c>
      <c r="Y176">
        <v>3</v>
      </c>
      <c r="Z176">
        <v>1</v>
      </c>
      <c r="AA176">
        <v>80</v>
      </c>
      <c r="AB176">
        <v>1</v>
      </c>
      <c r="AC176">
        <v>9</v>
      </c>
      <c r="AD176">
        <v>3</v>
      </c>
      <c r="AE176">
        <v>4</v>
      </c>
      <c r="AF176">
        <v>5</v>
      </c>
      <c r="AG176">
        <v>4</v>
      </c>
      <c r="AH176">
        <v>0</v>
      </c>
      <c r="AI176">
        <v>3</v>
      </c>
      <c r="AJ176">
        <f t="shared" si="2"/>
        <v>0</v>
      </c>
      <c r="AK176" t="str" cm="1">
        <f t="array" ref="AK176">_xlfn.IFS(A176&lt;=30,"18-30",A176&lt;=45,"31-45",A176&lt;=60,"46-60",TRUE, "60+")</f>
        <v>31-45</v>
      </c>
      <c r="AL176" t="str" cm="1">
        <f t="array" ref="AL176">_xlfn.IFS(F176&lt;=10,"0-10",F176&lt;=20,"11-20",TRUE,"20+")</f>
        <v>0-10</v>
      </c>
      <c r="AM176" t="str" cm="1">
        <f t="array" ref="AM176">_xlfn.IFS(S176&lt;=5000,"0-5k",S176&lt;=10000,"5k-10k",S176&lt;=15000,"10k-15k",TRUE,"15k+")</f>
        <v>5k-10k</v>
      </c>
      <c r="AN176" t="str" cm="1">
        <f t="array" ref="AN176">_xlfn.IFS(AF176&lt;=10,"0-10",AF176&lt;=20,"10-20",AF176&lt;=30,"20-30",TRUE,"30+")</f>
        <v>0-10</v>
      </c>
      <c r="AO176" t="str" cm="1">
        <f t="array" ref="AO176">_xlfn.IFS(Y176=1,"Poor",Y176=2,"Average",Y176=3,"Good",TRUE,"Excellent")</f>
        <v>Good</v>
      </c>
      <c r="AP176" t="str" cm="1">
        <f t="array" ref="AP176">_xlfn.IFS(Q176=1,"Low",Q176=2,"Medium",Q176=3,"High",TRUE,"Very High")</f>
        <v>Low</v>
      </c>
    </row>
    <row r="177" spans="1:42" x14ac:dyDescent="0.25">
      <c r="A177">
        <v>56</v>
      </c>
      <c r="B177" t="s">
        <v>42</v>
      </c>
      <c r="C177" t="s">
        <v>90</v>
      </c>
      <c r="D177">
        <v>713</v>
      </c>
      <c r="E177" t="s">
        <v>43</v>
      </c>
      <c r="F177">
        <v>8</v>
      </c>
      <c r="G177">
        <v>3</v>
      </c>
      <c r="H177" t="s">
        <v>37</v>
      </c>
      <c r="I177">
        <v>1</v>
      </c>
      <c r="J177">
        <v>241</v>
      </c>
      <c r="K177">
        <v>3</v>
      </c>
      <c r="L177" t="s">
        <v>38</v>
      </c>
      <c r="M177">
        <v>67</v>
      </c>
      <c r="N177">
        <v>3</v>
      </c>
      <c r="O177">
        <v>1</v>
      </c>
      <c r="P177" t="s">
        <v>45</v>
      </c>
      <c r="Q177">
        <v>1</v>
      </c>
      <c r="R177" t="s">
        <v>50</v>
      </c>
      <c r="S177">
        <v>4257</v>
      </c>
      <c r="T177">
        <v>13939</v>
      </c>
      <c r="U177">
        <v>4</v>
      </c>
      <c r="V177" t="s">
        <v>41</v>
      </c>
      <c r="W177" t="s">
        <v>35</v>
      </c>
      <c r="X177">
        <v>18</v>
      </c>
      <c r="Y177">
        <v>3</v>
      </c>
      <c r="Z177">
        <v>3</v>
      </c>
      <c r="AA177">
        <v>80</v>
      </c>
      <c r="AB177">
        <v>1</v>
      </c>
      <c r="AC177">
        <v>19</v>
      </c>
      <c r="AD177">
        <v>3</v>
      </c>
      <c r="AE177">
        <v>3</v>
      </c>
      <c r="AF177">
        <v>2</v>
      </c>
      <c r="AG177">
        <v>2</v>
      </c>
      <c r="AH177">
        <v>2</v>
      </c>
      <c r="AI177">
        <v>2</v>
      </c>
      <c r="AJ177">
        <f t="shared" si="2"/>
        <v>0</v>
      </c>
      <c r="AK177" t="str" cm="1">
        <f t="array" ref="AK177">_xlfn.IFS(A177&lt;=30,"18-30",A177&lt;=45,"31-45",A177&lt;=60,"46-60",TRUE, "60+")</f>
        <v>46-60</v>
      </c>
      <c r="AL177" t="str" cm="1">
        <f t="array" ref="AL177">_xlfn.IFS(F177&lt;=10,"0-10",F177&lt;=20,"11-20",TRUE,"20+")</f>
        <v>0-10</v>
      </c>
      <c r="AM177" t="str" cm="1">
        <f t="array" ref="AM177">_xlfn.IFS(S177&lt;=5000,"0-5k",S177&lt;=10000,"5k-10k",S177&lt;=15000,"10k-15k",TRUE,"15k+")</f>
        <v>0-5k</v>
      </c>
      <c r="AN177" t="str" cm="1">
        <f t="array" ref="AN177">_xlfn.IFS(AF177&lt;=10,"0-10",AF177&lt;=20,"10-20",AF177&lt;=30,"20-30",TRUE,"30+")</f>
        <v>0-10</v>
      </c>
      <c r="AO177" t="str" cm="1">
        <f t="array" ref="AO177">_xlfn.IFS(Y177=1,"Poor",Y177=2,"Average",Y177=3,"Good",TRUE,"Excellent")</f>
        <v>Good</v>
      </c>
      <c r="AP177" t="str" cm="1">
        <f t="array" ref="AP177">_xlfn.IFS(Q177=1,"Low",Q177=2,"Medium",Q177=3,"High",TRUE,"Very High")</f>
        <v>Low</v>
      </c>
    </row>
    <row r="178" spans="1:42" x14ac:dyDescent="0.25">
      <c r="A178">
        <v>33</v>
      </c>
      <c r="B178" t="s">
        <v>42</v>
      </c>
      <c r="C178" t="s">
        <v>90</v>
      </c>
      <c r="D178">
        <v>134</v>
      </c>
      <c r="E178" t="s">
        <v>43</v>
      </c>
      <c r="F178">
        <v>2</v>
      </c>
      <c r="G178">
        <v>3</v>
      </c>
      <c r="H178" t="s">
        <v>37</v>
      </c>
      <c r="I178">
        <v>1</v>
      </c>
      <c r="J178">
        <v>242</v>
      </c>
      <c r="K178">
        <v>3</v>
      </c>
      <c r="L178" t="s">
        <v>44</v>
      </c>
      <c r="M178">
        <v>90</v>
      </c>
      <c r="N178">
        <v>3</v>
      </c>
      <c r="O178">
        <v>1</v>
      </c>
      <c r="P178" t="s">
        <v>45</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c r="AJ178">
        <f t="shared" si="2"/>
        <v>0</v>
      </c>
      <c r="AK178" t="str" cm="1">
        <f t="array" ref="AK178">_xlfn.IFS(A178&lt;=30,"18-30",A178&lt;=45,"31-45",A178&lt;=60,"46-60",TRUE, "60+")</f>
        <v>31-45</v>
      </c>
      <c r="AL178" t="str" cm="1">
        <f t="array" ref="AL178">_xlfn.IFS(F178&lt;=10,"0-10",F178&lt;=20,"11-20",TRUE,"20+")</f>
        <v>0-10</v>
      </c>
      <c r="AM178" t="str" cm="1">
        <f t="array" ref="AM178">_xlfn.IFS(S178&lt;=5000,"0-5k",S178&lt;=10000,"5k-10k",S178&lt;=15000,"10k-15k",TRUE,"15k+")</f>
        <v>0-5k</v>
      </c>
      <c r="AN178" t="str" cm="1">
        <f t="array" ref="AN178">_xlfn.IFS(AF178&lt;=10,"0-10",AF178&lt;=20,"10-20",AF178&lt;=30,"20-30",TRUE,"30+")</f>
        <v>0-10</v>
      </c>
      <c r="AO178" t="str" cm="1">
        <f t="array" ref="AO178">_xlfn.IFS(Y178=1,"Poor",Y178=2,"Average",Y178=3,"Good",TRUE,"Excellent")</f>
        <v>Good</v>
      </c>
      <c r="AP178" t="str" cm="1">
        <f t="array" ref="AP178">_xlfn.IFS(Q178=1,"Low",Q178=2,"Medium",Q178=3,"High",TRUE,"Very High")</f>
        <v>Very High</v>
      </c>
    </row>
    <row r="179" spans="1:42" x14ac:dyDescent="0.25">
      <c r="A179">
        <v>19</v>
      </c>
      <c r="B179" t="s">
        <v>35</v>
      </c>
      <c r="C179" t="s">
        <v>90</v>
      </c>
      <c r="D179">
        <v>303</v>
      </c>
      <c r="E179" t="s">
        <v>43</v>
      </c>
      <c r="F179">
        <v>2</v>
      </c>
      <c r="G179">
        <v>3</v>
      </c>
      <c r="H179" t="s">
        <v>37</v>
      </c>
      <c r="I179">
        <v>1</v>
      </c>
      <c r="J179">
        <v>243</v>
      </c>
      <c r="K179">
        <v>2</v>
      </c>
      <c r="L179" t="s">
        <v>44</v>
      </c>
      <c r="M179">
        <v>47</v>
      </c>
      <c r="N179">
        <v>2</v>
      </c>
      <c r="O179">
        <v>1</v>
      </c>
      <c r="P179" t="s">
        <v>48</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c r="AJ179">
        <f t="shared" si="2"/>
        <v>1</v>
      </c>
      <c r="AK179" t="str" cm="1">
        <f t="array" ref="AK179">_xlfn.IFS(A179&lt;=30,"18-30",A179&lt;=45,"31-45",A179&lt;=60,"46-60",TRUE, "60+")</f>
        <v>18-30</v>
      </c>
      <c r="AL179" t="str" cm="1">
        <f t="array" ref="AL179">_xlfn.IFS(F179&lt;=10,"0-10",F179&lt;=20,"11-20",TRUE,"20+")</f>
        <v>0-10</v>
      </c>
      <c r="AM179" t="str" cm="1">
        <f t="array" ref="AM179">_xlfn.IFS(S179&lt;=5000,"0-5k",S179&lt;=10000,"5k-10k",S179&lt;=15000,"10k-15k",TRUE,"15k+")</f>
        <v>0-5k</v>
      </c>
      <c r="AN179" t="str" cm="1">
        <f t="array" ref="AN179">_xlfn.IFS(AF179&lt;=10,"0-10",AF179&lt;=20,"10-20",AF179&lt;=30,"20-30",TRUE,"30+")</f>
        <v>0-10</v>
      </c>
      <c r="AO179" t="str" cm="1">
        <f t="array" ref="AO179">_xlfn.IFS(Y179=1,"Poor",Y179=2,"Average",Y179=3,"Good",TRUE,"Excellent")</f>
        <v>Excellent</v>
      </c>
      <c r="AP179" t="str" cm="1">
        <f t="array" ref="AP179">_xlfn.IFS(Q179=1,"Low",Q179=2,"Medium",Q179=3,"High",TRUE,"Very High")</f>
        <v>Very High</v>
      </c>
    </row>
    <row r="180" spans="1:42" x14ac:dyDescent="0.25">
      <c r="A180">
        <v>46</v>
      </c>
      <c r="B180" t="s">
        <v>42</v>
      </c>
      <c r="C180" t="s">
        <v>90</v>
      </c>
      <c r="D180">
        <v>526</v>
      </c>
      <c r="E180" t="s">
        <v>36</v>
      </c>
      <c r="F180">
        <v>1</v>
      </c>
      <c r="G180">
        <v>2</v>
      </c>
      <c r="H180" t="s">
        <v>57</v>
      </c>
      <c r="I180">
        <v>1</v>
      </c>
      <c r="J180">
        <v>244</v>
      </c>
      <c r="K180">
        <v>2</v>
      </c>
      <c r="L180" t="s">
        <v>38</v>
      </c>
      <c r="M180">
        <v>92</v>
      </c>
      <c r="N180">
        <v>3</v>
      </c>
      <c r="O180">
        <v>3</v>
      </c>
      <c r="P180" t="s">
        <v>39</v>
      </c>
      <c r="Q180">
        <v>1</v>
      </c>
      <c r="R180" t="s">
        <v>50</v>
      </c>
      <c r="S180">
        <v>10453</v>
      </c>
      <c r="T180">
        <v>2137</v>
      </c>
      <c r="U180">
        <v>1</v>
      </c>
      <c r="V180" t="s">
        <v>41</v>
      </c>
      <c r="W180" t="s">
        <v>42</v>
      </c>
      <c r="X180">
        <v>25</v>
      </c>
      <c r="Y180">
        <v>4</v>
      </c>
      <c r="Z180">
        <v>3</v>
      </c>
      <c r="AA180">
        <v>80</v>
      </c>
      <c r="AB180">
        <v>3</v>
      </c>
      <c r="AC180">
        <v>24</v>
      </c>
      <c r="AD180">
        <v>2</v>
      </c>
      <c r="AE180">
        <v>3</v>
      </c>
      <c r="AF180">
        <v>24</v>
      </c>
      <c r="AG180">
        <v>13</v>
      </c>
      <c r="AH180">
        <v>15</v>
      </c>
      <c r="AI180">
        <v>7</v>
      </c>
      <c r="AJ180">
        <f t="shared" si="2"/>
        <v>0</v>
      </c>
      <c r="AK180" t="str" cm="1">
        <f t="array" ref="AK180">_xlfn.IFS(A180&lt;=30,"18-30",A180&lt;=45,"31-45",A180&lt;=60,"46-60",TRUE, "60+")</f>
        <v>46-60</v>
      </c>
      <c r="AL180" t="str" cm="1">
        <f t="array" ref="AL180">_xlfn.IFS(F180&lt;=10,"0-10",F180&lt;=20,"11-20",TRUE,"20+")</f>
        <v>0-10</v>
      </c>
      <c r="AM180" t="str" cm="1">
        <f t="array" ref="AM180">_xlfn.IFS(S180&lt;=5000,"0-5k",S180&lt;=10000,"5k-10k",S180&lt;=15000,"10k-15k",TRUE,"15k+")</f>
        <v>10k-15k</v>
      </c>
      <c r="AN180" t="str" cm="1">
        <f t="array" ref="AN180">_xlfn.IFS(AF180&lt;=10,"0-10",AF180&lt;=20,"10-20",AF180&lt;=30,"20-30",TRUE,"30+")</f>
        <v>20-30</v>
      </c>
      <c r="AO180" t="str" cm="1">
        <f t="array" ref="AO180">_xlfn.IFS(Y180=1,"Poor",Y180=2,"Average",Y180=3,"Good",TRUE,"Excellent")</f>
        <v>Excellent</v>
      </c>
      <c r="AP180" t="str" cm="1">
        <f t="array" ref="AP180">_xlfn.IFS(Q180=1,"Low",Q180=2,"Medium",Q180=3,"High",TRUE,"Very High")</f>
        <v>Low</v>
      </c>
    </row>
    <row r="181" spans="1:42" x14ac:dyDescent="0.25">
      <c r="A181">
        <v>38</v>
      </c>
      <c r="B181" t="s">
        <v>42</v>
      </c>
      <c r="C181" t="s">
        <v>90</v>
      </c>
      <c r="D181">
        <v>1380</v>
      </c>
      <c r="E181" t="s">
        <v>43</v>
      </c>
      <c r="F181">
        <v>9</v>
      </c>
      <c r="G181">
        <v>2</v>
      </c>
      <c r="H181" t="s">
        <v>37</v>
      </c>
      <c r="I181">
        <v>1</v>
      </c>
      <c r="J181">
        <v>245</v>
      </c>
      <c r="K181">
        <v>3</v>
      </c>
      <c r="L181" t="s">
        <v>38</v>
      </c>
      <c r="M181">
        <v>75</v>
      </c>
      <c r="N181">
        <v>3</v>
      </c>
      <c r="O181">
        <v>1</v>
      </c>
      <c r="P181" t="s">
        <v>48</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c r="AJ181">
        <f t="shared" si="2"/>
        <v>0</v>
      </c>
      <c r="AK181" t="str" cm="1">
        <f t="array" ref="AK181">_xlfn.IFS(A181&lt;=30,"18-30",A181&lt;=45,"31-45",A181&lt;=60,"46-60",TRUE, "60+")</f>
        <v>31-45</v>
      </c>
      <c r="AL181" t="str" cm="1">
        <f t="array" ref="AL181">_xlfn.IFS(F181&lt;=10,"0-10",F181&lt;=20,"11-20",TRUE,"20+")</f>
        <v>0-10</v>
      </c>
      <c r="AM181" t="str" cm="1">
        <f t="array" ref="AM181">_xlfn.IFS(S181&lt;=5000,"0-5k",S181&lt;=10000,"5k-10k",S181&lt;=15000,"10k-15k",TRUE,"15k+")</f>
        <v>0-5k</v>
      </c>
      <c r="AN181" t="str" cm="1">
        <f t="array" ref="AN181">_xlfn.IFS(AF181&lt;=10,"0-10",AF181&lt;=20,"10-20",AF181&lt;=30,"20-30",TRUE,"30+")</f>
        <v>0-10</v>
      </c>
      <c r="AO181" t="str" cm="1">
        <f t="array" ref="AO181">_xlfn.IFS(Y181=1,"Poor",Y181=2,"Average",Y181=3,"Good",TRUE,"Excellent")</f>
        <v>Good</v>
      </c>
      <c r="AP181" t="str" cm="1">
        <f t="array" ref="AP181">_xlfn.IFS(Q181=1,"Low",Q181=2,"Medium",Q181=3,"High",TRUE,"Very High")</f>
        <v>Very High</v>
      </c>
    </row>
    <row r="182" spans="1:42" x14ac:dyDescent="0.25">
      <c r="A182">
        <v>31</v>
      </c>
      <c r="B182" t="s">
        <v>42</v>
      </c>
      <c r="C182" t="s">
        <v>90</v>
      </c>
      <c r="D182">
        <v>140</v>
      </c>
      <c r="E182" t="s">
        <v>43</v>
      </c>
      <c r="F182">
        <v>12</v>
      </c>
      <c r="G182">
        <v>1</v>
      </c>
      <c r="H182" t="s">
        <v>49</v>
      </c>
      <c r="I182">
        <v>1</v>
      </c>
      <c r="J182">
        <v>246</v>
      </c>
      <c r="K182">
        <v>3</v>
      </c>
      <c r="L182" t="s">
        <v>38</v>
      </c>
      <c r="M182">
        <v>95</v>
      </c>
      <c r="N182">
        <v>3</v>
      </c>
      <c r="O182">
        <v>1</v>
      </c>
      <c r="P182" t="s">
        <v>45</v>
      </c>
      <c r="Q182">
        <v>4</v>
      </c>
      <c r="R182" t="s">
        <v>46</v>
      </c>
      <c r="S182">
        <v>3929</v>
      </c>
      <c r="T182">
        <v>6984</v>
      </c>
      <c r="U182">
        <v>8</v>
      </c>
      <c r="V182" t="s">
        <v>41</v>
      </c>
      <c r="W182" t="s">
        <v>35</v>
      </c>
      <c r="X182">
        <v>23</v>
      </c>
      <c r="Y182">
        <v>4</v>
      </c>
      <c r="Z182">
        <v>3</v>
      </c>
      <c r="AA182">
        <v>80</v>
      </c>
      <c r="AB182">
        <v>1</v>
      </c>
      <c r="AC182">
        <v>7</v>
      </c>
      <c r="AD182">
        <v>0</v>
      </c>
      <c r="AE182">
        <v>3</v>
      </c>
      <c r="AF182">
        <v>4</v>
      </c>
      <c r="AG182">
        <v>2</v>
      </c>
      <c r="AH182">
        <v>0</v>
      </c>
      <c r="AI182">
        <v>2</v>
      </c>
      <c r="AJ182">
        <f t="shared" si="2"/>
        <v>0</v>
      </c>
      <c r="AK182" t="str" cm="1">
        <f t="array" ref="AK182">_xlfn.IFS(A182&lt;=30,"18-30",A182&lt;=45,"31-45",A182&lt;=60,"46-60",TRUE, "60+")</f>
        <v>31-45</v>
      </c>
      <c r="AL182" t="str" cm="1">
        <f t="array" ref="AL182">_xlfn.IFS(F182&lt;=10,"0-10",F182&lt;=20,"11-20",TRUE,"20+")</f>
        <v>11-20</v>
      </c>
      <c r="AM182" t="str" cm="1">
        <f t="array" ref="AM182">_xlfn.IFS(S182&lt;=5000,"0-5k",S182&lt;=10000,"5k-10k",S182&lt;=15000,"10k-15k",TRUE,"15k+")</f>
        <v>0-5k</v>
      </c>
      <c r="AN182" t="str" cm="1">
        <f t="array" ref="AN182">_xlfn.IFS(AF182&lt;=10,"0-10",AF182&lt;=20,"10-20",AF182&lt;=30,"20-30",TRUE,"30+")</f>
        <v>0-10</v>
      </c>
      <c r="AO182" t="str" cm="1">
        <f t="array" ref="AO182">_xlfn.IFS(Y182=1,"Poor",Y182=2,"Average",Y182=3,"Good",TRUE,"Excellent")</f>
        <v>Excellent</v>
      </c>
      <c r="AP182" t="str" cm="1">
        <f t="array" ref="AP182">_xlfn.IFS(Q182=1,"Low",Q182=2,"Medium",Q182=3,"High",TRUE,"Very High")</f>
        <v>Very High</v>
      </c>
    </row>
    <row r="183" spans="1:42" x14ac:dyDescent="0.25">
      <c r="A183">
        <v>34</v>
      </c>
      <c r="B183" t="s">
        <v>42</v>
      </c>
      <c r="C183" t="s">
        <v>90</v>
      </c>
      <c r="D183">
        <v>629</v>
      </c>
      <c r="E183" t="s">
        <v>43</v>
      </c>
      <c r="F183">
        <v>27</v>
      </c>
      <c r="G183">
        <v>2</v>
      </c>
      <c r="H183" t="s">
        <v>49</v>
      </c>
      <c r="I183">
        <v>1</v>
      </c>
      <c r="J183">
        <v>247</v>
      </c>
      <c r="K183">
        <v>4</v>
      </c>
      <c r="L183" t="s">
        <v>38</v>
      </c>
      <c r="M183">
        <v>95</v>
      </c>
      <c r="N183">
        <v>3</v>
      </c>
      <c r="O183">
        <v>1</v>
      </c>
      <c r="P183" t="s">
        <v>45</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c r="AJ183">
        <f t="shared" si="2"/>
        <v>0</v>
      </c>
      <c r="AK183" t="str" cm="1">
        <f t="array" ref="AK183">_xlfn.IFS(A183&lt;=30,"18-30",A183&lt;=45,"31-45",A183&lt;=60,"46-60",TRUE, "60+")</f>
        <v>31-45</v>
      </c>
      <c r="AL183" t="str" cm="1">
        <f t="array" ref="AL183">_xlfn.IFS(F183&lt;=10,"0-10",F183&lt;=20,"11-20",TRUE,"20+")</f>
        <v>20+</v>
      </c>
      <c r="AM183" t="str" cm="1">
        <f t="array" ref="AM183">_xlfn.IFS(S183&lt;=5000,"0-5k",S183&lt;=10000,"5k-10k",S183&lt;=15000,"10k-15k",TRUE,"15k+")</f>
        <v>0-5k</v>
      </c>
      <c r="AN183" t="str" cm="1">
        <f t="array" ref="AN183">_xlfn.IFS(AF183&lt;=10,"0-10",AF183&lt;=20,"10-20",AF183&lt;=30,"20-30",TRUE,"30+")</f>
        <v>0-10</v>
      </c>
      <c r="AO183" t="str" cm="1">
        <f t="array" ref="AO183">_xlfn.IFS(Y183=1,"Poor",Y183=2,"Average",Y183=3,"Good",TRUE,"Excellent")</f>
        <v>Good</v>
      </c>
      <c r="AP183" t="str" cm="1">
        <f t="array" ref="AP183">_xlfn.IFS(Q183=1,"Low",Q183=2,"Medium",Q183=3,"High",TRUE,"Very High")</f>
        <v>Medium</v>
      </c>
    </row>
    <row r="184" spans="1:42" x14ac:dyDescent="0.25">
      <c r="A184">
        <v>41</v>
      </c>
      <c r="B184" t="s">
        <v>35</v>
      </c>
      <c r="C184" t="s">
        <v>90</v>
      </c>
      <c r="D184">
        <v>1356</v>
      </c>
      <c r="E184" t="s">
        <v>36</v>
      </c>
      <c r="F184">
        <v>20</v>
      </c>
      <c r="G184">
        <v>2</v>
      </c>
      <c r="H184" t="s">
        <v>57</v>
      </c>
      <c r="I184">
        <v>1</v>
      </c>
      <c r="J184">
        <v>248</v>
      </c>
      <c r="K184">
        <v>2</v>
      </c>
      <c r="L184" t="s">
        <v>38</v>
      </c>
      <c r="M184">
        <v>70</v>
      </c>
      <c r="N184">
        <v>3</v>
      </c>
      <c r="O184">
        <v>1</v>
      </c>
      <c r="P184" t="s">
        <v>55</v>
      </c>
      <c r="Q184">
        <v>2</v>
      </c>
      <c r="R184" t="s">
        <v>40</v>
      </c>
      <c r="S184">
        <v>3140</v>
      </c>
      <c r="T184">
        <v>21728</v>
      </c>
      <c r="U184">
        <v>1</v>
      </c>
      <c r="V184" t="s">
        <v>41</v>
      </c>
      <c r="W184" t="s">
        <v>35</v>
      </c>
      <c r="X184">
        <v>22</v>
      </c>
      <c r="Y184">
        <v>4</v>
      </c>
      <c r="Z184">
        <v>4</v>
      </c>
      <c r="AA184">
        <v>80</v>
      </c>
      <c r="AB184">
        <v>0</v>
      </c>
      <c r="AC184">
        <v>4</v>
      </c>
      <c r="AD184">
        <v>5</v>
      </c>
      <c r="AE184">
        <v>2</v>
      </c>
      <c r="AF184">
        <v>4</v>
      </c>
      <c r="AG184">
        <v>3</v>
      </c>
      <c r="AH184">
        <v>0</v>
      </c>
      <c r="AI184">
        <v>2</v>
      </c>
      <c r="AJ184">
        <f t="shared" si="2"/>
        <v>1</v>
      </c>
      <c r="AK184" t="str" cm="1">
        <f t="array" ref="AK184">_xlfn.IFS(A184&lt;=30,"18-30",A184&lt;=45,"31-45",A184&lt;=60,"46-60",TRUE, "60+")</f>
        <v>31-45</v>
      </c>
      <c r="AL184" t="str" cm="1">
        <f t="array" ref="AL184">_xlfn.IFS(F184&lt;=10,"0-10",F184&lt;=20,"11-20",TRUE,"20+")</f>
        <v>11-20</v>
      </c>
      <c r="AM184" t="str" cm="1">
        <f t="array" ref="AM184">_xlfn.IFS(S184&lt;=5000,"0-5k",S184&lt;=10000,"5k-10k",S184&lt;=15000,"10k-15k",TRUE,"15k+")</f>
        <v>0-5k</v>
      </c>
      <c r="AN184" t="str" cm="1">
        <f t="array" ref="AN184">_xlfn.IFS(AF184&lt;=10,"0-10",AF184&lt;=20,"10-20",AF184&lt;=30,"20-30",TRUE,"30+")</f>
        <v>0-10</v>
      </c>
      <c r="AO184" t="str" cm="1">
        <f t="array" ref="AO184">_xlfn.IFS(Y184=1,"Poor",Y184=2,"Average",Y184=3,"Good",TRUE,"Excellent")</f>
        <v>Excellent</v>
      </c>
      <c r="AP184" t="str" cm="1">
        <f t="array" ref="AP184">_xlfn.IFS(Q184=1,"Low",Q184=2,"Medium",Q184=3,"High",TRUE,"Very High")</f>
        <v>Medium</v>
      </c>
    </row>
    <row r="185" spans="1:42" x14ac:dyDescent="0.25">
      <c r="A185">
        <v>50</v>
      </c>
      <c r="B185" t="s">
        <v>42</v>
      </c>
      <c r="C185" t="s">
        <v>90</v>
      </c>
      <c r="D185">
        <v>328</v>
      </c>
      <c r="E185" t="s">
        <v>43</v>
      </c>
      <c r="F185">
        <v>1</v>
      </c>
      <c r="G185">
        <v>3</v>
      </c>
      <c r="H185" t="s">
        <v>49</v>
      </c>
      <c r="I185">
        <v>1</v>
      </c>
      <c r="J185">
        <v>249</v>
      </c>
      <c r="K185">
        <v>3</v>
      </c>
      <c r="L185" t="s">
        <v>44</v>
      </c>
      <c r="M185">
        <v>86</v>
      </c>
      <c r="N185">
        <v>2</v>
      </c>
      <c r="O185">
        <v>1</v>
      </c>
      <c r="P185" t="s">
        <v>48</v>
      </c>
      <c r="Q185">
        <v>3</v>
      </c>
      <c r="R185" t="s">
        <v>46</v>
      </c>
      <c r="S185">
        <v>3690</v>
      </c>
      <c r="T185">
        <v>3425</v>
      </c>
      <c r="U185">
        <v>2</v>
      </c>
      <c r="V185" t="s">
        <v>41</v>
      </c>
      <c r="W185" t="s">
        <v>42</v>
      </c>
      <c r="X185">
        <v>15</v>
      </c>
      <c r="Y185">
        <v>3</v>
      </c>
      <c r="Z185">
        <v>4</v>
      </c>
      <c r="AA185">
        <v>80</v>
      </c>
      <c r="AB185">
        <v>1</v>
      </c>
      <c r="AC185">
        <v>5</v>
      </c>
      <c r="AD185">
        <v>2</v>
      </c>
      <c r="AE185">
        <v>2</v>
      </c>
      <c r="AF185">
        <v>3</v>
      </c>
      <c r="AG185">
        <v>2</v>
      </c>
      <c r="AH185">
        <v>0</v>
      </c>
      <c r="AI185">
        <v>2</v>
      </c>
      <c r="AJ185">
        <f t="shared" si="2"/>
        <v>0</v>
      </c>
      <c r="AK185" t="str" cm="1">
        <f t="array" ref="AK185">_xlfn.IFS(A185&lt;=30,"18-30",A185&lt;=45,"31-45",A185&lt;=60,"46-60",TRUE, "60+")</f>
        <v>46-60</v>
      </c>
      <c r="AL185" t="str" cm="1">
        <f t="array" ref="AL185">_xlfn.IFS(F185&lt;=10,"0-10",F185&lt;=20,"11-20",TRUE,"20+")</f>
        <v>0-10</v>
      </c>
      <c r="AM185" t="str" cm="1">
        <f t="array" ref="AM185">_xlfn.IFS(S185&lt;=5000,"0-5k",S185&lt;=10000,"5k-10k",S185&lt;=15000,"10k-15k",TRUE,"15k+")</f>
        <v>0-5k</v>
      </c>
      <c r="AN185" t="str" cm="1">
        <f t="array" ref="AN185">_xlfn.IFS(AF185&lt;=10,"0-10",AF185&lt;=20,"10-20",AF185&lt;=30,"20-30",TRUE,"30+")</f>
        <v>0-10</v>
      </c>
      <c r="AO185" t="str" cm="1">
        <f t="array" ref="AO185">_xlfn.IFS(Y185=1,"Poor",Y185=2,"Average",Y185=3,"Good",TRUE,"Excellent")</f>
        <v>Good</v>
      </c>
      <c r="AP185" t="str" cm="1">
        <f t="array" ref="AP185">_xlfn.IFS(Q185=1,"Low",Q185=2,"Medium",Q185=3,"High",TRUE,"Very High")</f>
        <v>High</v>
      </c>
    </row>
    <row r="186" spans="1:42" x14ac:dyDescent="0.25">
      <c r="A186">
        <v>53</v>
      </c>
      <c r="B186" t="s">
        <v>42</v>
      </c>
      <c r="C186" t="s">
        <v>90</v>
      </c>
      <c r="D186">
        <v>1084</v>
      </c>
      <c r="E186" t="s">
        <v>43</v>
      </c>
      <c r="F186">
        <v>13</v>
      </c>
      <c r="G186">
        <v>2</v>
      </c>
      <c r="H186" t="s">
        <v>49</v>
      </c>
      <c r="I186">
        <v>1</v>
      </c>
      <c r="J186">
        <v>250</v>
      </c>
      <c r="K186">
        <v>4</v>
      </c>
      <c r="L186" t="s">
        <v>38</v>
      </c>
      <c r="M186">
        <v>57</v>
      </c>
      <c r="N186">
        <v>4</v>
      </c>
      <c r="O186">
        <v>2</v>
      </c>
      <c r="P186" t="s">
        <v>51</v>
      </c>
      <c r="Q186">
        <v>1</v>
      </c>
      <c r="R186" t="s">
        <v>50</v>
      </c>
      <c r="S186">
        <v>4450</v>
      </c>
      <c r="T186">
        <v>26250</v>
      </c>
      <c r="U186">
        <v>1</v>
      </c>
      <c r="V186" t="s">
        <v>41</v>
      </c>
      <c r="W186" t="s">
        <v>42</v>
      </c>
      <c r="X186">
        <v>11</v>
      </c>
      <c r="Y186">
        <v>3</v>
      </c>
      <c r="Z186">
        <v>3</v>
      </c>
      <c r="AA186">
        <v>80</v>
      </c>
      <c r="AB186">
        <v>2</v>
      </c>
      <c r="AC186">
        <v>5</v>
      </c>
      <c r="AD186">
        <v>3</v>
      </c>
      <c r="AE186">
        <v>3</v>
      </c>
      <c r="AF186">
        <v>4</v>
      </c>
      <c r="AG186">
        <v>2</v>
      </c>
      <c r="AH186">
        <v>1</v>
      </c>
      <c r="AI186">
        <v>3</v>
      </c>
      <c r="AJ186">
        <f t="shared" si="2"/>
        <v>0</v>
      </c>
      <c r="AK186" t="str" cm="1">
        <f t="array" ref="AK186">_xlfn.IFS(A186&lt;=30,"18-30",A186&lt;=45,"31-45",A186&lt;=60,"46-60",TRUE, "60+")</f>
        <v>46-60</v>
      </c>
      <c r="AL186" t="str" cm="1">
        <f t="array" ref="AL186">_xlfn.IFS(F186&lt;=10,"0-10",F186&lt;=20,"11-20",TRUE,"20+")</f>
        <v>11-20</v>
      </c>
      <c r="AM186" t="str" cm="1">
        <f t="array" ref="AM186">_xlfn.IFS(S186&lt;=5000,"0-5k",S186&lt;=10000,"5k-10k",S186&lt;=15000,"10k-15k",TRUE,"15k+")</f>
        <v>0-5k</v>
      </c>
      <c r="AN186" t="str" cm="1">
        <f t="array" ref="AN186">_xlfn.IFS(AF186&lt;=10,"0-10",AF186&lt;=20,"10-20",AF186&lt;=30,"20-30",TRUE,"30+")</f>
        <v>0-10</v>
      </c>
      <c r="AO186" t="str" cm="1">
        <f t="array" ref="AO186">_xlfn.IFS(Y186=1,"Poor",Y186=2,"Average",Y186=3,"Good",TRUE,"Excellent")</f>
        <v>Good</v>
      </c>
      <c r="AP186" t="str" cm="1">
        <f t="array" ref="AP186">_xlfn.IFS(Q186=1,"Low",Q186=2,"Medium",Q186=3,"High",TRUE,"Very High")</f>
        <v>Low</v>
      </c>
    </row>
    <row r="187" spans="1:42" x14ac:dyDescent="0.25">
      <c r="A187">
        <v>33</v>
      </c>
      <c r="B187" t="s">
        <v>42</v>
      </c>
      <c r="C187" t="s">
        <v>90</v>
      </c>
      <c r="D187">
        <v>931</v>
      </c>
      <c r="E187" t="s">
        <v>43</v>
      </c>
      <c r="F187">
        <v>14</v>
      </c>
      <c r="G187">
        <v>3</v>
      </c>
      <c r="H187" t="s">
        <v>49</v>
      </c>
      <c r="I187">
        <v>1</v>
      </c>
      <c r="J187">
        <v>252</v>
      </c>
      <c r="K187">
        <v>4</v>
      </c>
      <c r="L187" t="s">
        <v>38</v>
      </c>
      <c r="M187">
        <v>72</v>
      </c>
      <c r="N187">
        <v>3</v>
      </c>
      <c r="O187">
        <v>1</v>
      </c>
      <c r="P187" t="s">
        <v>45</v>
      </c>
      <c r="Q187">
        <v>2</v>
      </c>
      <c r="R187" t="s">
        <v>46</v>
      </c>
      <c r="S187">
        <v>2756</v>
      </c>
      <c r="T187">
        <v>4673</v>
      </c>
      <c r="U187">
        <v>1</v>
      </c>
      <c r="V187" t="s">
        <v>41</v>
      </c>
      <c r="W187" t="s">
        <v>42</v>
      </c>
      <c r="X187">
        <v>13</v>
      </c>
      <c r="Y187">
        <v>3</v>
      </c>
      <c r="Z187">
        <v>4</v>
      </c>
      <c r="AA187">
        <v>80</v>
      </c>
      <c r="AB187">
        <v>1</v>
      </c>
      <c r="AC187">
        <v>8</v>
      </c>
      <c r="AD187">
        <v>5</v>
      </c>
      <c r="AE187">
        <v>3</v>
      </c>
      <c r="AF187">
        <v>8</v>
      </c>
      <c r="AG187">
        <v>7</v>
      </c>
      <c r="AH187">
        <v>1</v>
      </c>
      <c r="AI187">
        <v>6</v>
      </c>
      <c r="AJ187">
        <f t="shared" si="2"/>
        <v>0</v>
      </c>
      <c r="AK187" t="str" cm="1">
        <f t="array" ref="AK187">_xlfn.IFS(A187&lt;=30,"18-30",A187&lt;=45,"31-45",A187&lt;=60,"46-60",TRUE, "60+")</f>
        <v>31-45</v>
      </c>
      <c r="AL187" t="str" cm="1">
        <f t="array" ref="AL187">_xlfn.IFS(F187&lt;=10,"0-10",F187&lt;=20,"11-20",TRUE,"20+")</f>
        <v>11-20</v>
      </c>
      <c r="AM187" t="str" cm="1">
        <f t="array" ref="AM187">_xlfn.IFS(S187&lt;=5000,"0-5k",S187&lt;=10000,"5k-10k",S187&lt;=15000,"10k-15k",TRUE,"15k+")</f>
        <v>0-5k</v>
      </c>
      <c r="AN187" t="str" cm="1">
        <f t="array" ref="AN187">_xlfn.IFS(AF187&lt;=10,"0-10",AF187&lt;=20,"10-20",AF187&lt;=30,"20-30",TRUE,"30+")</f>
        <v>0-10</v>
      </c>
      <c r="AO187" t="str" cm="1">
        <f t="array" ref="AO187">_xlfn.IFS(Y187=1,"Poor",Y187=2,"Average",Y187=3,"Good",TRUE,"Excellent")</f>
        <v>Good</v>
      </c>
      <c r="AP187" t="str" cm="1">
        <f t="array" ref="AP187">_xlfn.IFS(Q187=1,"Low",Q187=2,"Medium",Q187=3,"High",TRUE,"Very High")</f>
        <v>Medium</v>
      </c>
    </row>
    <row r="188" spans="1:42" x14ac:dyDescent="0.25">
      <c r="A188">
        <v>40</v>
      </c>
      <c r="B188" t="s">
        <v>42</v>
      </c>
      <c r="C188" t="s">
        <v>90</v>
      </c>
      <c r="D188">
        <v>989</v>
      </c>
      <c r="E188" t="s">
        <v>43</v>
      </c>
      <c r="F188">
        <v>4</v>
      </c>
      <c r="G188">
        <v>1</v>
      </c>
      <c r="H188" t="s">
        <v>49</v>
      </c>
      <c r="I188">
        <v>1</v>
      </c>
      <c r="J188">
        <v>253</v>
      </c>
      <c r="K188">
        <v>4</v>
      </c>
      <c r="L188" t="s">
        <v>38</v>
      </c>
      <c r="M188">
        <v>46</v>
      </c>
      <c r="N188">
        <v>3</v>
      </c>
      <c r="O188">
        <v>5</v>
      </c>
      <c r="P188" t="s">
        <v>54</v>
      </c>
      <c r="Q188">
        <v>3</v>
      </c>
      <c r="R188" t="s">
        <v>46</v>
      </c>
      <c r="S188">
        <v>19033</v>
      </c>
      <c r="T188">
        <v>6499</v>
      </c>
      <c r="U188">
        <v>1</v>
      </c>
      <c r="V188" t="s">
        <v>41</v>
      </c>
      <c r="W188" t="s">
        <v>42</v>
      </c>
      <c r="X188">
        <v>14</v>
      </c>
      <c r="Y188">
        <v>3</v>
      </c>
      <c r="Z188">
        <v>2</v>
      </c>
      <c r="AA188">
        <v>80</v>
      </c>
      <c r="AB188">
        <v>1</v>
      </c>
      <c r="AC188">
        <v>21</v>
      </c>
      <c r="AD188">
        <v>2</v>
      </c>
      <c r="AE188">
        <v>3</v>
      </c>
      <c r="AF188">
        <v>20</v>
      </c>
      <c r="AG188">
        <v>8</v>
      </c>
      <c r="AH188">
        <v>9</v>
      </c>
      <c r="AI188">
        <v>9</v>
      </c>
      <c r="AJ188">
        <f t="shared" si="2"/>
        <v>0</v>
      </c>
      <c r="AK188" t="str" cm="1">
        <f t="array" ref="AK188">_xlfn.IFS(A188&lt;=30,"18-30",A188&lt;=45,"31-45",A188&lt;=60,"46-60",TRUE, "60+")</f>
        <v>31-45</v>
      </c>
      <c r="AL188" t="str" cm="1">
        <f t="array" ref="AL188">_xlfn.IFS(F188&lt;=10,"0-10",F188&lt;=20,"11-20",TRUE,"20+")</f>
        <v>0-10</v>
      </c>
      <c r="AM188" t="str" cm="1">
        <f t="array" ref="AM188">_xlfn.IFS(S188&lt;=5000,"0-5k",S188&lt;=10000,"5k-10k",S188&lt;=15000,"10k-15k",TRUE,"15k+")</f>
        <v>15k+</v>
      </c>
      <c r="AN188" t="str" cm="1">
        <f t="array" ref="AN188">_xlfn.IFS(AF188&lt;=10,"0-10",AF188&lt;=20,"10-20",AF188&lt;=30,"20-30",TRUE,"30+")</f>
        <v>10-20</v>
      </c>
      <c r="AO188" t="str" cm="1">
        <f t="array" ref="AO188">_xlfn.IFS(Y188=1,"Poor",Y188=2,"Average",Y188=3,"Good",TRUE,"Excellent")</f>
        <v>Good</v>
      </c>
      <c r="AP188" t="str" cm="1">
        <f t="array" ref="AP188">_xlfn.IFS(Q188=1,"Low",Q188=2,"Medium",Q188=3,"High",TRUE,"Very High")</f>
        <v>High</v>
      </c>
    </row>
    <row r="189" spans="1:42" x14ac:dyDescent="0.25">
      <c r="A189">
        <v>55</v>
      </c>
      <c r="B189" t="s">
        <v>42</v>
      </c>
      <c r="C189" t="s">
        <v>90</v>
      </c>
      <c r="D189">
        <v>692</v>
      </c>
      <c r="E189" t="s">
        <v>43</v>
      </c>
      <c r="F189">
        <v>14</v>
      </c>
      <c r="G189">
        <v>4</v>
      </c>
      <c r="H189" t="s">
        <v>49</v>
      </c>
      <c r="I189">
        <v>1</v>
      </c>
      <c r="J189">
        <v>254</v>
      </c>
      <c r="K189">
        <v>3</v>
      </c>
      <c r="L189" t="s">
        <v>44</v>
      </c>
      <c r="M189">
        <v>61</v>
      </c>
      <c r="N189">
        <v>4</v>
      </c>
      <c r="O189">
        <v>5</v>
      </c>
      <c r="P189" t="s">
        <v>56</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c r="AJ189">
        <f t="shared" si="2"/>
        <v>0</v>
      </c>
      <c r="AK189" t="str" cm="1">
        <f t="array" ref="AK189">_xlfn.IFS(A189&lt;=30,"18-30",A189&lt;=45,"31-45",A189&lt;=60,"46-60",TRUE, "60+")</f>
        <v>46-60</v>
      </c>
      <c r="AL189" t="str" cm="1">
        <f t="array" ref="AL189">_xlfn.IFS(F189&lt;=10,"0-10",F189&lt;=20,"11-20",TRUE,"20+")</f>
        <v>11-20</v>
      </c>
      <c r="AM189" t="str" cm="1">
        <f t="array" ref="AM189">_xlfn.IFS(S189&lt;=5000,"0-5k",S189&lt;=10000,"5k-10k",S189&lt;=15000,"10k-15k",TRUE,"15k+")</f>
        <v>15k+</v>
      </c>
      <c r="AN189" t="str" cm="1">
        <f t="array" ref="AN189">_xlfn.IFS(AF189&lt;=10,"0-10",AF189&lt;=20,"10-20",AF189&lt;=30,"20-30",TRUE,"30+")</f>
        <v>20-30</v>
      </c>
      <c r="AO189" t="str" cm="1">
        <f t="array" ref="AO189">_xlfn.IFS(Y189=1,"Poor",Y189=2,"Average",Y189=3,"Good",TRUE,"Excellent")</f>
        <v>Good</v>
      </c>
      <c r="AP189" t="str" cm="1">
        <f t="array" ref="AP189">_xlfn.IFS(Q189=1,"Low",Q189=2,"Medium",Q189=3,"High",TRUE,"Very High")</f>
        <v>Medium</v>
      </c>
    </row>
    <row r="190" spans="1:42" x14ac:dyDescent="0.25">
      <c r="A190">
        <v>34</v>
      </c>
      <c r="B190" t="s">
        <v>42</v>
      </c>
      <c r="C190" t="s">
        <v>91</v>
      </c>
      <c r="D190">
        <v>1069</v>
      </c>
      <c r="E190" t="s">
        <v>43</v>
      </c>
      <c r="F190">
        <v>2</v>
      </c>
      <c r="G190">
        <v>1</v>
      </c>
      <c r="H190" t="s">
        <v>37</v>
      </c>
      <c r="I190">
        <v>1</v>
      </c>
      <c r="J190">
        <v>256</v>
      </c>
      <c r="K190">
        <v>4</v>
      </c>
      <c r="L190" t="s">
        <v>44</v>
      </c>
      <c r="M190">
        <v>45</v>
      </c>
      <c r="N190">
        <v>2</v>
      </c>
      <c r="O190">
        <v>2</v>
      </c>
      <c r="P190" t="s">
        <v>51</v>
      </c>
      <c r="Q190">
        <v>3</v>
      </c>
      <c r="R190" t="s">
        <v>46</v>
      </c>
      <c r="S190">
        <v>9547</v>
      </c>
      <c r="T190">
        <v>14074</v>
      </c>
      <c r="U190">
        <v>1</v>
      </c>
      <c r="V190" t="s">
        <v>41</v>
      </c>
      <c r="W190" t="s">
        <v>42</v>
      </c>
      <c r="X190">
        <v>17</v>
      </c>
      <c r="Y190">
        <v>3</v>
      </c>
      <c r="Z190">
        <v>3</v>
      </c>
      <c r="AA190">
        <v>80</v>
      </c>
      <c r="AB190">
        <v>0</v>
      </c>
      <c r="AC190">
        <v>10</v>
      </c>
      <c r="AD190">
        <v>2</v>
      </c>
      <c r="AE190">
        <v>2</v>
      </c>
      <c r="AF190">
        <v>10</v>
      </c>
      <c r="AG190">
        <v>9</v>
      </c>
      <c r="AH190">
        <v>1</v>
      </c>
      <c r="AI190">
        <v>9</v>
      </c>
      <c r="AJ190">
        <f t="shared" si="2"/>
        <v>0</v>
      </c>
      <c r="AK190" t="str" cm="1">
        <f t="array" ref="AK190">_xlfn.IFS(A190&lt;=30,"18-30",A190&lt;=45,"31-45",A190&lt;=60,"46-60",TRUE, "60+")</f>
        <v>31-45</v>
      </c>
      <c r="AL190" t="str" cm="1">
        <f t="array" ref="AL190">_xlfn.IFS(F190&lt;=10,"0-10",F190&lt;=20,"11-20",TRUE,"20+")</f>
        <v>0-10</v>
      </c>
      <c r="AM190" t="str" cm="1">
        <f t="array" ref="AM190">_xlfn.IFS(S190&lt;=5000,"0-5k",S190&lt;=10000,"5k-10k",S190&lt;=15000,"10k-15k",TRUE,"15k+")</f>
        <v>5k-10k</v>
      </c>
      <c r="AN190" t="str" cm="1">
        <f t="array" ref="AN190">_xlfn.IFS(AF190&lt;=10,"0-10",AF190&lt;=20,"10-20",AF190&lt;=30,"20-30",TRUE,"30+")</f>
        <v>0-10</v>
      </c>
      <c r="AO190" t="str" cm="1">
        <f t="array" ref="AO190">_xlfn.IFS(Y190=1,"Poor",Y190=2,"Average",Y190=3,"Good",TRUE,"Excellent")</f>
        <v>Good</v>
      </c>
      <c r="AP190" t="str" cm="1">
        <f t="array" ref="AP190">_xlfn.IFS(Q190=1,"Low",Q190=2,"Medium",Q190=3,"High",TRUE,"Very High")</f>
        <v>High</v>
      </c>
    </row>
    <row r="191" spans="1:42" x14ac:dyDescent="0.25">
      <c r="A191">
        <v>51</v>
      </c>
      <c r="B191" t="s">
        <v>42</v>
      </c>
      <c r="C191" t="s">
        <v>90</v>
      </c>
      <c r="D191">
        <v>313</v>
      </c>
      <c r="E191" t="s">
        <v>43</v>
      </c>
      <c r="F191">
        <v>3</v>
      </c>
      <c r="G191">
        <v>3</v>
      </c>
      <c r="H191" t="s">
        <v>49</v>
      </c>
      <c r="I191">
        <v>1</v>
      </c>
      <c r="J191">
        <v>258</v>
      </c>
      <c r="K191">
        <v>4</v>
      </c>
      <c r="L191" t="s">
        <v>38</v>
      </c>
      <c r="M191">
        <v>98</v>
      </c>
      <c r="N191">
        <v>3</v>
      </c>
      <c r="O191">
        <v>4</v>
      </c>
      <c r="P191" t="s">
        <v>52</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c r="AJ191">
        <f t="shared" si="2"/>
        <v>0</v>
      </c>
      <c r="AK191" t="str" cm="1">
        <f t="array" ref="AK191">_xlfn.IFS(A191&lt;=30,"18-30",A191&lt;=45,"31-45",A191&lt;=60,"46-60",TRUE, "60+")</f>
        <v>46-60</v>
      </c>
      <c r="AL191" t="str" cm="1">
        <f t="array" ref="AL191">_xlfn.IFS(F191&lt;=10,"0-10",F191&lt;=20,"11-20",TRUE,"20+")</f>
        <v>0-10</v>
      </c>
      <c r="AM191" t="str" cm="1">
        <f t="array" ref="AM191">_xlfn.IFS(S191&lt;=5000,"0-5k",S191&lt;=10000,"5k-10k",S191&lt;=15000,"10k-15k",TRUE,"15k+")</f>
        <v>10k-15k</v>
      </c>
      <c r="AN191" t="str" cm="1">
        <f t="array" ref="AN191">_xlfn.IFS(AF191&lt;=10,"0-10",AF191&lt;=20,"10-20",AF191&lt;=30,"20-30",TRUE,"30+")</f>
        <v>0-10</v>
      </c>
      <c r="AO191" t="str" cm="1">
        <f t="array" ref="AO191">_xlfn.IFS(Y191=1,"Poor",Y191=2,"Average",Y191=3,"Good",TRUE,"Excellent")</f>
        <v>Good</v>
      </c>
      <c r="AP191" t="str" cm="1">
        <f t="array" ref="AP191">_xlfn.IFS(Q191=1,"Low",Q191=2,"Medium",Q191=3,"High",TRUE,"Very High")</f>
        <v>Medium</v>
      </c>
    </row>
    <row r="192" spans="1:42" x14ac:dyDescent="0.25">
      <c r="A192">
        <v>52</v>
      </c>
      <c r="B192" t="s">
        <v>42</v>
      </c>
      <c r="C192" t="s">
        <v>90</v>
      </c>
      <c r="D192">
        <v>699</v>
      </c>
      <c r="E192" t="s">
        <v>43</v>
      </c>
      <c r="F192">
        <v>1</v>
      </c>
      <c r="G192">
        <v>4</v>
      </c>
      <c r="H192" t="s">
        <v>37</v>
      </c>
      <c r="I192">
        <v>1</v>
      </c>
      <c r="J192">
        <v>259</v>
      </c>
      <c r="K192">
        <v>3</v>
      </c>
      <c r="L192" t="s">
        <v>44</v>
      </c>
      <c r="M192">
        <v>65</v>
      </c>
      <c r="N192">
        <v>2</v>
      </c>
      <c r="O192">
        <v>5</v>
      </c>
      <c r="P192" t="s">
        <v>54</v>
      </c>
      <c r="Q192">
        <v>3</v>
      </c>
      <c r="R192" t="s">
        <v>46</v>
      </c>
      <c r="S192">
        <v>19999</v>
      </c>
      <c r="T192">
        <v>5678</v>
      </c>
      <c r="U192">
        <v>0</v>
      </c>
      <c r="V192" t="s">
        <v>41</v>
      </c>
      <c r="W192" t="s">
        <v>42</v>
      </c>
      <c r="X192">
        <v>14</v>
      </c>
      <c r="Y192">
        <v>3</v>
      </c>
      <c r="Z192">
        <v>1</v>
      </c>
      <c r="AA192">
        <v>80</v>
      </c>
      <c r="AB192">
        <v>1</v>
      </c>
      <c r="AC192">
        <v>34</v>
      </c>
      <c r="AD192">
        <v>5</v>
      </c>
      <c r="AE192">
        <v>3</v>
      </c>
      <c r="AF192">
        <v>33</v>
      </c>
      <c r="AG192">
        <v>18</v>
      </c>
      <c r="AH192">
        <v>11</v>
      </c>
      <c r="AI192">
        <v>9</v>
      </c>
      <c r="AJ192">
        <f t="shared" si="2"/>
        <v>0</v>
      </c>
      <c r="AK192" t="str" cm="1">
        <f t="array" ref="AK192">_xlfn.IFS(A192&lt;=30,"18-30",A192&lt;=45,"31-45",A192&lt;=60,"46-60",TRUE, "60+")</f>
        <v>46-60</v>
      </c>
      <c r="AL192" t="str" cm="1">
        <f t="array" ref="AL192">_xlfn.IFS(F192&lt;=10,"0-10",F192&lt;=20,"11-20",TRUE,"20+")</f>
        <v>0-10</v>
      </c>
      <c r="AM192" t="str" cm="1">
        <f t="array" ref="AM192">_xlfn.IFS(S192&lt;=5000,"0-5k",S192&lt;=10000,"5k-10k",S192&lt;=15000,"10k-15k",TRUE,"15k+")</f>
        <v>15k+</v>
      </c>
      <c r="AN192" t="str" cm="1">
        <f t="array" ref="AN192">_xlfn.IFS(AF192&lt;=10,"0-10",AF192&lt;=20,"10-20",AF192&lt;=30,"20-30",TRUE,"30+")</f>
        <v>30+</v>
      </c>
      <c r="AO192" t="str" cm="1">
        <f t="array" ref="AO192">_xlfn.IFS(Y192=1,"Poor",Y192=2,"Average",Y192=3,"Good",TRUE,"Excellent")</f>
        <v>Good</v>
      </c>
      <c r="AP192" t="str" cm="1">
        <f t="array" ref="AP192">_xlfn.IFS(Q192=1,"Low",Q192=2,"Medium",Q192=3,"High",TRUE,"Very High")</f>
        <v>High</v>
      </c>
    </row>
    <row r="193" spans="1:42" x14ac:dyDescent="0.25">
      <c r="A193">
        <v>27</v>
      </c>
      <c r="B193" t="s">
        <v>42</v>
      </c>
      <c r="C193" t="s">
        <v>90</v>
      </c>
      <c r="D193">
        <v>894</v>
      </c>
      <c r="E193" t="s">
        <v>43</v>
      </c>
      <c r="F193">
        <v>9</v>
      </c>
      <c r="G193">
        <v>3</v>
      </c>
      <c r="H193" t="s">
        <v>49</v>
      </c>
      <c r="I193">
        <v>1</v>
      </c>
      <c r="J193">
        <v>260</v>
      </c>
      <c r="K193">
        <v>4</v>
      </c>
      <c r="L193" t="s">
        <v>38</v>
      </c>
      <c r="M193">
        <v>99</v>
      </c>
      <c r="N193">
        <v>3</v>
      </c>
      <c r="O193">
        <v>1</v>
      </c>
      <c r="P193" t="s">
        <v>45</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c r="AJ193">
        <f t="shared" si="2"/>
        <v>0</v>
      </c>
      <c r="AK193" t="str" cm="1">
        <f t="array" ref="AK193">_xlfn.IFS(A193&lt;=30,"18-30",A193&lt;=45,"31-45",A193&lt;=60,"46-60",TRUE, "60+")</f>
        <v>18-30</v>
      </c>
      <c r="AL193" t="str" cm="1">
        <f t="array" ref="AL193">_xlfn.IFS(F193&lt;=10,"0-10",F193&lt;=20,"11-20",TRUE,"20+")</f>
        <v>0-10</v>
      </c>
      <c r="AM193" t="str" cm="1">
        <f t="array" ref="AM193">_xlfn.IFS(S193&lt;=5000,"0-5k",S193&lt;=10000,"5k-10k",S193&lt;=15000,"10k-15k",TRUE,"15k+")</f>
        <v>0-5k</v>
      </c>
      <c r="AN193" t="str" cm="1">
        <f t="array" ref="AN193">_xlfn.IFS(AF193&lt;=10,"0-10",AF193&lt;=20,"10-20",AF193&lt;=30,"20-30",TRUE,"30+")</f>
        <v>0-10</v>
      </c>
      <c r="AO193" t="str" cm="1">
        <f t="array" ref="AO193">_xlfn.IFS(Y193=1,"Poor",Y193=2,"Average",Y193=3,"Good",TRUE,"Excellent")</f>
        <v>Good</v>
      </c>
      <c r="AP193" t="str" cm="1">
        <f t="array" ref="AP193">_xlfn.IFS(Q193=1,"Low",Q193=2,"Medium",Q193=3,"High",TRUE,"Very High")</f>
        <v>Medium</v>
      </c>
    </row>
    <row r="194" spans="1:42" x14ac:dyDescent="0.25">
      <c r="A194">
        <v>35</v>
      </c>
      <c r="B194" t="s">
        <v>35</v>
      </c>
      <c r="C194" t="s">
        <v>90</v>
      </c>
      <c r="D194">
        <v>556</v>
      </c>
      <c r="E194" t="s">
        <v>43</v>
      </c>
      <c r="F194">
        <v>23</v>
      </c>
      <c r="G194">
        <v>2</v>
      </c>
      <c r="H194" t="s">
        <v>37</v>
      </c>
      <c r="I194">
        <v>1</v>
      </c>
      <c r="J194">
        <v>261</v>
      </c>
      <c r="K194">
        <v>2</v>
      </c>
      <c r="L194" t="s">
        <v>44</v>
      </c>
      <c r="M194">
        <v>50</v>
      </c>
      <c r="N194">
        <v>2</v>
      </c>
      <c r="O194">
        <v>2</v>
      </c>
      <c r="P194" t="s">
        <v>51</v>
      </c>
      <c r="Q194">
        <v>3</v>
      </c>
      <c r="R194" t="s">
        <v>46</v>
      </c>
      <c r="S194">
        <v>5916</v>
      </c>
      <c r="T194">
        <v>15497</v>
      </c>
      <c r="U194">
        <v>3</v>
      </c>
      <c r="V194" t="s">
        <v>41</v>
      </c>
      <c r="W194" t="s">
        <v>35</v>
      </c>
      <c r="X194">
        <v>13</v>
      </c>
      <c r="Y194">
        <v>3</v>
      </c>
      <c r="Z194">
        <v>1</v>
      </c>
      <c r="AA194">
        <v>80</v>
      </c>
      <c r="AB194">
        <v>0</v>
      </c>
      <c r="AC194">
        <v>8</v>
      </c>
      <c r="AD194">
        <v>1</v>
      </c>
      <c r="AE194">
        <v>3</v>
      </c>
      <c r="AF194">
        <v>1</v>
      </c>
      <c r="AG194">
        <v>0</v>
      </c>
      <c r="AH194">
        <v>0</v>
      </c>
      <c r="AI194">
        <v>1</v>
      </c>
      <c r="AJ194">
        <f t="shared" ref="AJ194:AJ257" si="3">IF(B194="yes",1,0)</f>
        <v>1</v>
      </c>
      <c r="AK194" t="str" cm="1">
        <f t="array" ref="AK194">_xlfn.IFS(A194&lt;=30,"18-30",A194&lt;=45,"31-45",A194&lt;=60,"46-60",TRUE, "60+")</f>
        <v>31-45</v>
      </c>
      <c r="AL194" t="str" cm="1">
        <f t="array" ref="AL194">_xlfn.IFS(F194&lt;=10,"0-10",F194&lt;=20,"11-20",TRUE,"20+")</f>
        <v>20+</v>
      </c>
      <c r="AM194" t="str" cm="1">
        <f t="array" ref="AM194">_xlfn.IFS(S194&lt;=5000,"0-5k",S194&lt;=10000,"5k-10k",S194&lt;=15000,"10k-15k",TRUE,"15k+")</f>
        <v>5k-10k</v>
      </c>
      <c r="AN194" t="str" cm="1">
        <f t="array" ref="AN194">_xlfn.IFS(AF194&lt;=10,"0-10",AF194&lt;=20,"10-20",AF194&lt;=30,"20-30",TRUE,"30+")</f>
        <v>0-10</v>
      </c>
      <c r="AO194" t="str" cm="1">
        <f t="array" ref="AO194">_xlfn.IFS(Y194=1,"Poor",Y194=2,"Average",Y194=3,"Good",TRUE,"Excellent")</f>
        <v>Good</v>
      </c>
      <c r="AP194" t="str" cm="1">
        <f t="array" ref="AP194">_xlfn.IFS(Q194=1,"Low",Q194=2,"Medium",Q194=3,"High",TRUE,"Very High")</f>
        <v>High</v>
      </c>
    </row>
    <row r="195" spans="1:42" x14ac:dyDescent="0.25">
      <c r="A195">
        <v>43</v>
      </c>
      <c r="B195" t="s">
        <v>42</v>
      </c>
      <c r="C195" t="s">
        <v>53</v>
      </c>
      <c r="D195">
        <v>1344</v>
      </c>
      <c r="E195" t="s">
        <v>43</v>
      </c>
      <c r="F195">
        <v>7</v>
      </c>
      <c r="G195">
        <v>3</v>
      </c>
      <c r="H195" t="s">
        <v>49</v>
      </c>
      <c r="I195">
        <v>1</v>
      </c>
      <c r="J195">
        <v>262</v>
      </c>
      <c r="K195">
        <v>4</v>
      </c>
      <c r="L195" t="s">
        <v>44</v>
      </c>
      <c r="M195">
        <v>37</v>
      </c>
      <c r="N195">
        <v>4</v>
      </c>
      <c r="O195">
        <v>1</v>
      </c>
      <c r="P195" t="s">
        <v>45</v>
      </c>
      <c r="Q195">
        <v>4</v>
      </c>
      <c r="R195" t="s">
        <v>50</v>
      </c>
      <c r="S195">
        <v>2089</v>
      </c>
      <c r="T195">
        <v>5228</v>
      </c>
      <c r="U195">
        <v>4</v>
      </c>
      <c r="V195" t="s">
        <v>41</v>
      </c>
      <c r="W195" t="s">
        <v>42</v>
      </c>
      <c r="X195">
        <v>14</v>
      </c>
      <c r="Y195">
        <v>3</v>
      </c>
      <c r="Z195">
        <v>4</v>
      </c>
      <c r="AA195">
        <v>80</v>
      </c>
      <c r="AB195">
        <v>3</v>
      </c>
      <c r="AC195">
        <v>7</v>
      </c>
      <c r="AD195">
        <v>3</v>
      </c>
      <c r="AE195">
        <v>4</v>
      </c>
      <c r="AF195">
        <v>5</v>
      </c>
      <c r="AG195">
        <v>4</v>
      </c>
      <c r="AH195">
        <v>2</v>
      </c>
      <c r="AI195">
        <v>2</v>
      </c>
      <c r="AJ195">
        <f t="shared" si="3"/>
        <v>0</v>
      </c>
      <c r="AK195" t="str" cm="1">
        <f t="array" ref="AK195">_xlfn.IFS(A195&lt;=30,"18-30",A195&lt;=45,"31-45",A195&lt;=60,"46-60",TRUE, "60+")</f>
        <v>31-45</v>
      </c>
      <c r="AL195" t="str" cm="1">
        <f t="array" ref="AL195">_xlfn.IFS(F195&lt;=10,"0-10",F195&lt;=20,"11-20",TRUE,"20+")</f>
        <v>0-10</v>
      </c>
      <c r="AM195" t="str" cm="1">
        <f t="array" ref="AM195">_xlfn.IFS(S195&lt;=5000,"0-5k",S195&lt;=10000,"5k-10k",S195&lt;=15000,"10k-15k",TRUE,"15k+")</f>
        <v>0-5k</v>
      </c>
      <c r="AN195" t="str" cm="1">
        <f t="array" ref="AN195">_xlfn.IFS(AF195&lt;=10,"0-10",AF195&lt;=20,"10-20",AF195&lt;=30,"20-30",TRUE,"30+")</f>
        <v>0-10</v>
      </c>
      <c r="AO195" t="str" cm="1">
        <f t="array" ref="AO195">_xlfn.IFS(Y195=1,"Poor",Y195=2,"Average",Y195=3,"Good",TRUE,"Excellent")</f>
        <v>Good</v>
      </c>
      <c r="AP195" t="str" cm="1">
        <f t="array" ref="AP195">_xlfn.IFS(Q195=1,"Low",Q195=2,"Medium",Q195=3,"High",TRUE,"Very High")</f>
        <v>Very High</v>
      </c>
    </row>
    <row r="196" spans="1:42" x14ac:dyDescent="0.25">
      <c r="A196">
        <v>45</v>
      </c>
      <c r="B196" t="s">
        <v>42</v>
      </c>
      <c r="C196" t="s">
        <v>53</v>
      </c>
      <c r="D196">
        <v>1195</v>
      </c>
      <c r="E196" t="s">
        <v>43</v>
      </c>
      <c r="F196">
        <v>2</v>
      </c>
      <c r="G196">
        <v>2</v>
      </c>
      <c r="H196" t="s">
        <v>49</v>
      </c>
      <c r="I196">
        <v>1</v>
      </c>
      <c r="J196">
        <v>264</v>
      </c>
      <c r="K196">
        <v>1</v>
      </c>
      <c r="L196" t="s">
        <v>44</v>
      </c>
      <c r="M196">
        <v>65</v>
      </c>
      <c r="N196">
        <v>2</v>
      </c>
      <c r="O196">
        <v>4</v>
      </c>
      <c r="P196" t="s">
        <v>54</v>
      </c>
      <c r="Q196">
        <v>4</v>
      </c>
      <c r="R196" t="s">
        <v>46</v>
      </c>
      <c r="S196">
        <v>16792</v>
      </c>
      <c r="T196">
        <v>20462</v>
      </c>
      <c r="U196">
        <v>9</v>
      </c>
      <c r="V196" t="s">
        <v>41</v>
      </c>
      <c r="W196" t="s">
        <v>42</v>
      </c>
      <c r="X196">
        <v>23</v>
      </c>
      <c r="Y196">
        <v>4</v>
      </c>
      <c r="Z196">
        <v>4</v>
      </c>
      <c r="AA196">
        <v>80</v>
      </c>
      <c r="AB196">
        <v>1</v>
      </c>
      <c r="AC196">
        <v>22</v>
      </c>
      <c r="AD196">
        <v>1</v>
      </c>
      <c r="AE196">
        <v>3</v>
      </c>
      <c r="AF196">
        <v>20</v>
      </c>
      <c r="AG196">
        <v>8</v>
      </c>
      <c r="AH196">
        <v>11</v>
      </c>
      <c r="AI196">
        <v>8</v>
      </c>
      <c r="AJ196">
        <f t="shared" si="3"/>
        <v>0</v>
      </c>
      <c r="AK196" t="str" cm="1">
        <f t="array" ref="AK196">_xlfn.IFS(A196&lt;=30,"18-30",A196&lt;=45,"31-45",A196&lt;=60,"46-60",TRUE, "60+")</f>
        <v>31-45</v>
      </c>
      <c r="AL196" t="str" cm="1">
        <f t="array" ref="AL196">_xlfn.IFS(F196&lt;=10,"0-10",F196&lt;=20,"11-20",TRUE,"20+")</f>
        <v>0-10</v>
      </c>
      <c r="AM196" t="str" cm="1">
        <f t="array" ref="AM196">_xlfn.IFS(S196&lt;=5000,"0-5k",S196&lt;=10000,"5k-10k",S196&lt;=15000,"10k-15k",TRUE,"15k+")</f>
        <v>15k+</v>
      </c>
      <c r="AN196" t="str" cm="1">
        <f t="array" ref="AN196">_xlfn.IFS(AF196&lt;=10,"0-10",AF196&lt;=20,"10-20",AF196&lt;=30,"20-30",TRUE,"30+")</f>
        <v>10-20</v>
      </c>
      <c r="AO196" t="str" cm="1">
        <f t="array" ref="AO196">_xlfn.IFS(Y196=1,"Poor",Y196=2,"Average",Y196=3,"Good",TRUE,"Excellent")</f>
        <v>Excellent</v>
      </c>
      <c r="AP196" t="str" cm="1">
        <f t="array" ref="AP196">_xlfn.IFS(Q196=1,"Low",Q196=2,"Medium",Q196=3,"High",TRUE,"Very High")</f>
        <v>Very High</v>
      </c>
    </row>
    <row r="197" spans="1:42" x14ac:dyDescent="0.25">
      <c r="A197">
        <v>37</v>
      </c>
      <c r="B197" t="s">
        <v>42</v>
      </c>
      <c r="C197" t="s">
        <v>90</v>
      </c>
      <c r="D197">
        <v>290</v>
      </c>
      <c r="E197" t="s">
        <v>43</v>
      </c>
      <c r="F197">
        <v>21</v>
      </c>
      <c r="G197">
        <v>3</v>
      </c>
      <c r="H197" t="s">
        <v>37</v>
      </c>
      <c r="I197">
        <v>1</v>
      </c>
      <c r="J197">
        <v>267</v>
      </c>
      <c r="K197">
        <v>2</v>
      </c>
      <c r="L197" t="s">
        <v>44</v>
      </c>
      <c r="M197">
        <v>65</v>
      </c>
      <c r="N197">
        <v>4</v>
      </c>
      <c r="O197">
        <v>1</v>
      </c>
      <c r="P197" t="s">
        <v>45</v>
      </c>
      <c r="Q197">
        <v>1</v>
      </c>
      <c r="R197" t="s">
        <v>46</v>
      </c>
      <c r="S197">
        <v>3564</v>
      </c>
      <c r="T197">
        <v>22977</v>
      </c>
      <c r="U197">
        <v>1</v>
      </c>
      <c r="V197" t="s">
        <v>41</v>
      </c>
      <c r="W197" t="s">
        <v>35</v>
      </c>
      <c r="X197">
        <v>12</v>
      </c>
      <c r="Y197">
        <v>3</v>
      </c>
      <c r="Z197">
        <v>1</v>
      </c>
      <c r="AA197">
        <v>80</v>
      </c>
      <c r="AB197">
        <v>1</v>
      </c>
      <c r="AC197">
        <v>8</v>
      </c>
      <c r="AD197">
        <v>3</v>
      </c>
      <c r="AE197">
        <v>2</v>
      </c>
      <c r="AF197">
        <v>8</v>
      </c>
      <c r="AG197">
        <v>7</v>
      </c>
      <c r="AH197">
        <v>1</v>
      </c>
      <c r="AI197">
        <v>7</v>
      </c>
      <c r="AJ197">
        <f t="shared" si="3"/>
        <v>0</v>
      </c>
      <c r="AK197" t="str" cm="1">
        <f t="array" ref="AK197">_xlfn.IFS(A197&lt;=30,"18-30",A197&lt;=45,"31-45",A197&lt;=60,"46-60",TRUE, "60+")</f>
        <v>31-45</v>
      </c>
      <c r="AL197" t="str" cm="1">
        <f t="array" ref="AL197">_xlfn.IFS(F197&lt;=10,"0-10",F197&lt;=20,"11-20",TRUE,"20+")</f>
        <v>20+</v>
      </c>
      <c r="AM197" t="str" cm="1">
        <f t="array" ref="AM197">_xlfn.IFS(S197&lt;=5000,"0-5k",S197&lt;=10000,"5k-10k",S197&lt;=15000,"10k-15k",TRUE,"15k+")</f>
        <v>0-5k</v>
      </c>
      <c r="AN197" t="str" cm="1">
        <f t="array" ref="AN197">_xlfn.IFS(AF197&lt;=10,"0-10",AF197&lt;=20,"10-20",AF197&lt;=30,"20-30",TRUE,"30+")</f>
        <v>0-10</v>
      </c>
      <c r="AO197" t="str" cm="1">
        <f t="array" ref="AO197">_xlfn.IFS(Y197=1,"Poor",Y197=2,"Average",Y197=3,"Good",TRUE,"Excellent")</f>
        <v>Good</v>
      </c>
      <c r="AP197" t="str" cm="1">
        <f t="array" ref="AP197">_xlfn.IFS(Q197=1,"Low",Q197=2,"Medium",Q197=3,"High",TRUE,"Very High")</f>
        <v>Low</v>
      </c>
    </row>
    <row r="198" spans="1:42" x14ac:dyDescent="0.25">
      <c r="A198">
        <v>35</v>
      </c>
      <c r="B198" t="s">
        <v>42</v>
      </c>
      <c r="C198" t="s">
        <v>91</v>
      </c>
      <c r="D198">
        <v>138</v>
      </c>
      <c r="E198" t="s">
        <v>43</v>
      </c>
      <c r="F198">
        <v>2</v>
      </c>
      <c r="G198">
        <v>3</v>
      </c>
      <c r="H198" t="s">
        <v>49</v>
      </c>
      <c r="I198">
        <v>1</v>
      </c>
      <c r="J198">
        <v>269</v>
      </c>
      <c r="K198">
        <v>2</v>
      </c>
      <c r="L198" t="s">
        <v>38</v>
      </c>
      <c r="M198">
        <v>37</v>
      </c>
      <c r="N198">
        <v>3</v>
      </c>
      <c r="O198">
        <v>2</v>
      </c>
      <c r="P198" t="s">
        <v>48</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c r="AJ198">
        <f t="shared" si="3"/>
        <v>0</v>
      </c>
      <c r="AK198" t="str" cm="1">
        <f t="array" ref="AK198">_xlfn.IFS(A198&lt;=30,"18-30",A198&lt;=45,"31-45",A198&lt;=60,"46-60",TRUE, "60+")</f>
        <v>31-45</v>
      </c>
      <c r="AL198" t="str" cm="1">
        <f t="array" ref="AL198">_xlfn.IFS(F198&lt;=10,"0-10",F198&lt;=20,"11-20",TRUE,"20+")</f>
        <v>0-10</v>
      </c>
      <c r="AM198" t="str" cm="1">
        <f t="array" ref="AM198">_xlfn.IFS(S198&lt;=5000,"0-5k",S198&lt;=10000,"5k-10k",S198&lt;=15000,"10k-15k",TRUE,"15k+")</f>
        <v>0-5k</v>
      </c>
      <c r="AN198" t="str" cm="1">
        <f t="array" ref="AN198">_xlfn.IFS(AF198&lt;=10,"0-10",AF198&lt;=20,"10-20",AF198&lt;=30,"20-30",TRUE,"30+")</f>
        <v>0-10</v>
      </c>
      <c r="AO198" t="str" cm="1">
        <f t="array" ref="AO198">_xlfn.IFS(Y198=1,"Poor",Y198=2,"Average",Y198=3,"Good",TRUE,"Excellent")</f>
        <v>Good</v>
      </c>
      <c r="AP198" t="str" cm="1">
        <f t="array" ref="AP198">_xlfn.IFS(Q198=1,"Low",Q198=2,"Medium",Q198=3,"High",TRUE,"Very High")</f>
        <v>Medium</v>
      </c>
    </row>
    <row r="199" spans="1:42" x14ac:dyDescent="0.25">
      <c r="A199">
        <v>42</v>
      </c>
      <c r="B199" t="s">
        <v>42</v>
      </c>
      <c r="C199" t="s">
        <v>53</v>
      </c>
      <c r="D199">
        <v>926</v>
      </c>
      <c r="E199" t="s">
        <v>43</v>
      </c>
      <c r="F199">
        <v>21</v>
      </c>
      <c r="G199">
        <v>2</v>
      </c>
      <c r="H199" t="s">
        <v>49</v>
      </c>
      <c r="I199">
        <v>1</v>
      </c>
      <c r="J199">
        <v>270</v>
      </c>
      <c r="K199">
        <v>3</v>
      </c>
      <c r="L199" t="s">
        <v>38</v>
      </c>
      <c r="M199">
        <v>36</v>
      </c>
      <c r="N199">
        <v>3</v>
      </c>
      <c r="O199">
        <v>2</v>
      </c>
      <c r="P199" t="s">
        <v>51</v>
      </c>
      <c r="Q199">
        <v>3</v>
      </c>
      <c r="R199" t="s">
        <v>50</v>
      </c>
      <c r="S199">
        <v>5265</v>
      </c>
      <c r="T199">
        <v>16439</v>
      </c>
      <c r="U199">
        <v>2</v>
      </c>
      <c r="V199" t="s">
        <v>41</v>
      </c>
      <c r="W199" t="s">
        <v>42</v>
      </c>
      <c r="X199">
        <v>16</v>
      </c>
      <c r="Y199">
        <v>3</v>
      </c>
      <c r="Z199">
        <v>2</v>
      </c>
      <c r="AA199">
        <v>80</v>
      </c>
      <c r="AB199">
        <v>1</v>
      </c>
      <c r="AC199">
        <v>11</v>
      </c>
      <c r="AD199">
        <v>5</v>
      </c>
      <c r="AE199">
        <v>3</v>
      </c>
      <c r="AF199">
        <v>5</v>
      </c>
      <c r="AG199">
        <v>3</v>
      </c>
      <c r="AH199">
        <v>0</v>
      </c>
      <c r="AI199">
        <v>2</v>
      </c>
      <c r="AJ199">
        <f t="shared" si="3"/>
        <v>0</v>
      </c>
      <c r="AK199" t="str" cm="1">
        <f t="array" ref="AK199">_xlfn.IFS(A199&lt;=30,"18-30",A199&lt;=45,"31-45",A199&lt;=60,"46-60",TRUE, "60+")</f>
        <v>31-45</v>
      </c>
      <c r="AL199" t="str" cm="1">
        <f t="array" ref="AL199">_xlfn.IFS(F199&lt;=10,"0-10",F199&lt;=20,"11-20",TRUE,"20+")</f>
        <v>20+</v>
      </c>
      <c r="AM199" t="str" cm="1">
        <f t="array" ref="AM199">_xlfn.IFS(S199&lt;=5000,"0-5k",S199&lt;=10000,"5k-10k",S199&lt;=15000,"10k-15k",TRUE,"15k+")</f>
        <v>5k-10k</v>
      </c>
      <c r="AN199" t="str" cm="1">
        <f t="array" ref="AN199">_xlfn.IFS(AF199&lt;=10,"0-10",AF199&lt;=20,"10-20",AF199&lt;=30,"20-30",TRUE,"30+")</f>
        <v>0-10</v>
      </c>
      <c r="AO199" t="str" cm="1">
        <f t="array" ref="AO199">_xlfn.IFS(Y199=1,"Poor",Y199=2,"Average",Y199=3,"Good",TRUE,"Excellent")</f>
        <v>Good</v>
      </c>
      <c r="AP199" t="str" cm="1">
        <f t="array" ref="AP199">_xlfn.IFS(Q199=1,"Low",Q199=2,"Medium",Q199=3,"High",TRUE,"Very High")</f>
        <v>High</v>
      </c>
    </row>
    <row r="200" spans="1:42" x14ac:dyDescent="0.25">
      <c r="A200">
        <v>38</v>
      </c>
      <c r="B200" t="s">
        <v>42</v>
      </c>
      <c r="C200" t="s">
        <v>90</v>
      </c>
      <c r="D200">
        <v>1261</v>
      </c>
      <c r="E200" t="s">
        <v>43</v>
      </c>
      <c r="F200">
        <v>2</v>
      </c>
      <c r="G200">
        <v>4</v>
      </c>
      <c r="H200" t="s">
        <v>37</v>
      </c>
      <c r="I200">
        <v>1</v>
      </c>
      <c r="J200">
        <v>271</v>
      </c>
      <c r="K200">
        <v>4</v>
      </c>
      <c r="L200" t="s">
        <v>44</v>
      </c>
      <c r="M200">
        <v>88</v>
      </c>
      <c r="N200">
        <v>3</v>
      </c>
      <c r="O200">
        <v>2</v>
      </c>
      <c r="P200" t="s">
        <v>51</v>
      </c>
      <c r="Q200">
        <v>3</v>
      </c>
      <c r="R200" t="s">
        <v>46</v>
      </c>
      <c r="S200">
        <v>6553</v>
      </c>
      <c r="T200">
        <v>7259</v>
      </c>
      <c r="U200">
        <v>9</v>
      </c>
      <c r="V200" t="s">
        <v>41</v>
      </c>
      <c r="W200" t="s">
        <v>42</v>
      </c>
      <c r="X200">
        <v>14</v>
      </c>
      <c r="Y200">
        <v>3</v>
      </c>
      <c r="Z200">
        <v>2</v>
      </c>
      <c r="AA200">
        <v>80</v>
      </c>
      <c r="AB200">
        <v>0</v>
      </c>
      <c r="AC200">
        <v>14</v>
      </c>
      <c r="AD200">
        <v>3</v>
      </c>
      <c r="AE200">
        <v>3</v>
      </c>
      <c r="AF200">
        <v>1</v>
      </c>
      <c r="AG200">
        <v>0</v>
      </c>
      <c r="AH200">
        <v>0</v>
      </c>
      <c r="AI200">
        <v>0</v>
      </c>
      <c r="AJ200">
        <f t="shared" si="3"/>
        <v>0</v>
      </c>
      <c r="AK200" t="str" cm="1">
        <f t="array" ref="AK200">_xlfn.IFS(A200&lt;=30,"18-30",A200&lt;=45,"31-45",A200&lt;=60,"46-60",TRUE, "60+")</f>
        <v>31-45</v>
      </c>
      <c r="AL200" t="str" cm="1">
        <f t="array" ref="AL200">_xlfn.IFS(F200&lt;=10,"0-10",F200&lt;=20,"11-20",TRUE,"20+")</f>
        <v>0-10</v>
      </c>
      <c r="AM200" t="str" cm="1">
        <f t="array" ref="AM200">_xlfn.IFS(S200&lt;=5000,"0-5k",S200&lt;=10000,"5k-10k",S200&lt;=15000,"10k-15k",TRUE,"15k+")</f>
        <v>5k-10k</v>
      </c>
      <c r="AN200" t="str" cm="1">
        <f t="array" ref="AN200">_xlfn.IFS(AF200&lt;=10,"0-10",AF200&lt;=20,"10-20",AF200&lt;=30,"20-30",TRUE,"30+")</f>
        <v>0-10</v>
      </c>
      <c r="AO200" t="str" cm="1">
        <f t="array" ref="AO200">_xlfn.IFS(Y200=1,"Poor",Y200=2,"Average",Y200=3,"Good",TRUE,"Excellent")</f>
        <v>Good</v>
      </c>
      <c r="AP200" t="str" cm="1">
        <f t="array" ref="AP200">_xlfn.IFS(Q200=1,"Low",Q200=2,"Medium",Q200=3,"High",TRUE,"Very High")</f>
        <v>High</v>
      </c>
    </row>
    <row r="201" spans="1:42" x14ac:dyDescent="0.25">
      <c r="A201">
        <v>38</v>
      </c>
      <c r="B201" t="s">
        <v>42</v>
      </c>
      <c r="C201" t="s">
        <v>90</v>
      </c>
      <c r="D201">
        <v>1084</v>
      </c>
      <c r="E201" t="s">
        <v>43</v>
      </c>
      <c r="F201">
        <v>29</v>
      </c>
      <c r="G201">
        <v>3</v>
      </c>
      <c r="H201" t="s">
        <v>58</v>
      </c>
      <c r="I201">
        <v>1</v>
      </c>
      <c r="J201">
        <v>273</v>
      </c>
      <c r="K201">
        <v>4</v>
      </c>
      <c r="L201" t="s">
        <v>44</v>
      </c>
      <c r="M201">
        <v>54</v>
      </c>
      <c r="N201">
        <v>3</v>
      </c>
      <c r="O201">
        <v>2</v>
      </c>
      <c r="P201" t="s">
        <v>51</v>
      </c>
      <c r="Q201">
        <v>4</v>
      </c>
      <c r="R201" t="s">
        <v>46</v>
      </c>
      <c r="S201">
        <v>6261</v>
      </c>
      <c r="T201">
        <v>4185</v>
      </c>
      <c r="U201">
        <v>3</v>
      </c>
      <c r="V201" t="s">
        <v>41</v>
      </c>
      <c r="W201" t="s">
        <v>42</v>
      </c>
      <c r="X201">
        <v>18</v>
      </c>
      <c r="Y201">
        <v>3</v>
      </c>
      <c r="Z201">
        <v>1</v>
      </c>
      <c r="AA201">
        <v>80</v>
      </c>
      <c r="AB201">
        <v>1</v>
      </c>
      <c r="AC201">
        <v>9</v>
      </c>
      <c r="AD201">
        <v>3</v>
      </c>
      <c r="AE201">
        <v>1</v>
      </c>
      <c r="AF201">
        <v>7</v>
      </c>
      <c r="AG201">
        <v>7</v>
      </c>
      <c r="AH201">
        <v>1</v>
      </c>
      <c r="AI201">
        <v>7</v>
      </c>
      <c r="AJ201">
        <f t="shared" si="3"/>
        <v>0</v>
      </c>
      <c r="AK201" t="str" cm="1">
        <f t="array" ref="AK201">_xlfn.IFS(A201&lt;=30,"18-30",A201&lt;=45,"31-45",A201&lt;=60,"46-60",TRUE, "60+")</f>
        <v>31-45</v>
      </c>
      <c r="AL201" t="str" cm="1">
        <f t="array" ref="AL201">_xlfn.IFS(F201&lt;=10,"0-10",F201&lt;=20,"11-20",TRUE,"20+")</f>
        <v>20+</v>
      </c>
      <c r="AM201" t="str" cm="1">
        <f t="array" ref="AM201">_xlfn.IFS(S201&lt;=5000,"0-5k",S201&lt;=10000,"5k-10k",S201&lt;=15000,"10k-15k",TRUE,"15k+")</f>
        <v>5k-10k</v>
      </c>
      <c r="AN201" t="str" cm="1">
        <f t="array" ref="AN201">_xlfn.IFS(AF201&lt;=10,"0-10",AF201&lt;=20,"10-20",AF201&lt;=30,"20-30",TRUE,"30+")</f>
        <v>0-10</v>
      </c>
      <c r="AO201" t="str" cm="1">
        <f t="array" ref="AO201">_xlfn.IFS(Y201=1,"Poor",Y201=2,"Average",Y201=3,"Good",TRUE,"Excellent")</f>
        <v>Good</v>
      </c>
      <c r="AP201" t="str" cm="1">
        <f t="array" ref="AP201">_xlfn.IFS(Q201=1,"Low",Q201=2,"Medium",Q201=3,"High",TRUE,"Very High")</f>
        <v>Very High</v>
      </c>
    </row>
    <row r="202" spans="1:42" x14ac:dyDescent="0.25">
      <c r="A202">
        <v>27</v>
      </c>
      <c r="B202" t="s">
        <v>42</v>
      </c>
      <c r="C202" t="s">
        <v>91</v>
      </c>
      <c r="D202">
        <v>472</v>
      </c>
      <c r="E202" t="s">
        <v>43</v>
      </c>
      <c r="F202">
        <v>1</v>
      </c>
      <c r="G202">
        <v>1</v>
      </c>
      <c r="H202" t="s">
        <v>58</v>
      </c>
      <c r="I202">
        <v>1</v>
      </c>
      <c r="J202">
        <v>274</v>
      </c>
      <c r="K202">
        <v>3</v>
      </c>
      <c r="L202" t="s">
        <v>44</v>
      </c>
      <c r="M202">
        <v>60</v>
      </c>
      <c r="N202">
        <v>2</v>
      </c>
      <c r="O202">
        <v>2</v>
      </c>
      <c r="P202" t="s">
        <v>51</v>
      </c>
      <c r="Q202">
        <v>1</v>
      </c>
      <c r="R202" t="s">
        <v>46</v>
      </c>
      <c r="S202">
        <v>4298</v>
      </c>
      <c r="T202">
        <v>9679</v>
      </c>
      <c r="U202">
        <v>5</v>
      </c>
      <c r="V202" t="s">
        <v>41</v>
      </c>
      <c r="W202" t="s">
        <v>42</v>
      </c>
      <c r="X202">
        <v>19</v>
      </c>
      <c r="Y202">
        <v>3</v>
      </c>
      <c r="Z202">
        <v>3</v>
      </c>
      <c r="AA202">
        <v>80</v>
      </c>
      <c r="AB202">
        <v>1</v>
      </c>
      <c r="AC202">
        <v>6</v>
      </c>
      <c r="AD202">
        <v>1</v>
      </c>
      <c r="AE202">
        <v>3</v>
      </c>
      <c r="AF202">
        <v>2</v>
      </c>
      <c r="AG202">
        <v>2</v>
      </c>
      <c r="AH202">
        <v>2</v>
      </c>
      <c r="AI202">
        <v>0</v>
      </c>
      <c r="AJ202">
        <f t="shared" si="3"/>
        <v>0</v>
      </c>
      <c r="AK202" t="str" cm="1">
        <f t="array" ref="AK202">_xlfn.IFS(A202&lt;=30,"18-30",A202&lt;=45,"31-45",A202&lt;=60,"46-60",TRUE, "60+")</f>
        <v>18-30</v>
      </c>
      <c r="AL202" t="str" cm="1">
        <f t="array" ref="AL202">_xlfn.IFS(F202&lt;=10,"0-10",F202&lt;=20,"11-20",TRUE,"20+")</f>
        <v>0-10</v>
      </c>
      <c r="AM202" t="str" cm="1">
        <f t="array" ref="AM202">_xlfn.IFS(S202&lt;=5000,"0-5k",S202&lt;=10000,"5k-10k",S202&lt;=15000,"10k-15k",TRUE,"15k+")</f>
        <v>0-5k</v>
      </c>
      <c r="AN202" t="str" cm="1">
        <f t="array" ref="AN202">_xlfn.IFS(AF202&lt;=10,"0-10",AF202&lt;=20,"10-20",AF202&lt;=30,"20-30",TRUE,"30+")</f>
        <v>0-10</v>
      </c>
      <c r="AO202" t="str" cm="1">
        <f t="array" ref="AO202">_xlfn.IFS(Y202=1,"Poor",Y202=2,"Average",Y202=3,"Good",TRUE,"Excellent")</f>
        <v>Good</v>
      </c>
      <c r="AP202" t="str" cm="1">
        <f t="array" ref="AP202">_xlfn.IFS(Q202=1,"Low",Q202=2,"Medium",Q202=3,"High",TRUE,"Very High")</f>
        <v>Low</v>
      </c>
    </row>
    <row r="203" spans="1:42" x14ac:dyDescent="0.25">
      <c r="A203">
        <v>49</v>
      </c>
      <c r="B203" t="s">
        <v>42</v>
      </c>
      <c r="C203" t="s">
        <v>53</v>
      </c>
      <c r="D203">
        <v>1002</v>
      </c>
      <c r="E203" t="s">
        <v>43</v>
      </c>
      <c r="F203">
        <v>18</v>
      </c>
      <c r="G203">
        <v>4</v>
      </c>
      <c r="H203" t="s">
        <v>37</v>
      </c>
      <c r="I203">
        <v>1</v>
      </c>
      <c r="J203">
        <v>275</v>
      </c>
      <c r="K203">
        <v>4</v>
      </c>
      <c r="L203" t="s">
        <v>44</v>
      </c>
      <c r="M203">
        <v>92</v>
      </c>
      <c r="N203">
        <v>3</v>
      </c>
      <c r="O203">
        <v>2</v>
      </c>
      <c r="P203" t="s">
        <v>51</v>
      </c>
      <c r="Q203">
        <v>4</v>
      </c>
      <c r="R203" t="s">
        <v>50</v>
      </c>
      <c r="S203">
        <v>6804</v>
      </c>
      <c r="T203">
        <v>23793</v>
      </c>
      <c r="U203">
        <v>1</v>
      </c>
      <c r="V203" t="s">
        <v>41</v>
      </c>
      <c r="W203" t="s">
        <v>35</v>
      </c>
      <c r="X203">
        <v>15</v>
      </c>
      <c r="Y203">
        <v>3</v>
      </c>
      <c r="Z203">
        <v>1</v>
      </c>
      <c r="AA203">
        <v>80</v>
      </c>
      <c r="AB203">
        <v>2</v>
      </c>
      <c r="AC203">
        <v>7</v>
      </c>
      <c r="AD203">
        <v>0</v>
      </c>
      <c r="AE203">
        <v>3</v>
      </c>
      <c r="AF203">
        <v>7</v>
      </c>
      <c r="AG203">
        <v>7</v>
      </c>
      <c r="AH203">
        <v>1</v>
      </c>
      <c r="AI203">
        <v>7</v>
      </c>
      <c r="AJ203">
        <f t="shared" si="3"/>
        <v>0</v>
      </c>
      <c r="AK203" t="str" cm="1">
        <f t="array" ref="AK203">_xlfn.IFS(A203&lt;=30,"18-30",A203&lt;=45,"31-45",A203&lt;=60,"46-60",TRUE, "60+")</f>
        <v>46-60</v>
      </c>
      <c r="AL203" t="str" cm="1">
        <f t="array" ref="AL203">_xlfn.IFS(F203&lt;=10,"0-10",F203&lt;=20,"11-20",TRUE,"20+")</f>
        <v>11-20</v>
      </c>
      <c r="AM203" t="str" cm="1">
        <f t="array" ref="AM203">_xlfn.IFS(S203&lt;=5000,"0-5k",S203&lt;=10000,"5k-10k",S203&lt;=15000,"10k-15k",TRUE,"15k+")</f>
        <v>5k-10k</v>
      </c>
      <c r="AN203" t="str" cm="1">
        <f t="array" ref="AN203">_xlfn.IFS(AF203&lt;=10,"0-10",AF203&lt;=20,"10-20",AF203&lt;=30,"20-30",TRUE,"30+")</f>
        <v>0-10</v>
      </c>
      <c r="AO203" t="str" cm="1">
        <f t="array" ref="AO203">_xlfn.IFS(Y203=1,"Poor",Y203=2,"Average",Y203=3,"Good",TRUE,"Excellent")</f>
        <v>Good</v>
      </c>
      <c r="AP203" t="str" cm="1">
        <f t="array" ref="AP203">_xlfn.IFS(Q203=1,"Low",Q203=2,"Medium",Q203=3,"High",TRUE,"Very High")</f>
        <v>Very High</v>
      </c>
    </row>
    <row r="204" spans="1:42" x14ac:dyDescent="0.25">
      <c r="A204">
        <v>34</v>
      </c>
      <c r="B204" t="s">
        <v>42</v>
      </c>
      <c r="C204" t="s">
        <v>91</v>
      </c>
      <c r="D204">
        <v>878</v>
      </c>
      <c r="E204" t="s">
        <v>43</v>
      </c>
      <c r="F204">
        <v>10</v>
      </c>
      <c r="G204">
        <v>4</v>
      </c>
      <c r="H204" t="s">
        <v>49</v>
      </c>
      <c r="I204">
        <v>1</v>
      </c>
      <c r="J204">
        <v>277</v>
      </c>
      <c r="K204">
        <v>4</v>
      </c>
      <c r="L204" t="s">
        <v>44</v>
      </c>
      <c r="M204">
        <v>43</v>
      </c>
      <c r="N204">
        <v>3</v>
      </c>
      <c r="O204">
        <v>1</v>
      </c>
      <c r="P204" t="s">
        <v>45</v>
      </c>
      <c r="Q204">
        <v>3</v>
      </c>
      <c r="R204" t="s">
        <v>50</v>
      </c>
      <c r="S204">
        <v>3815</v>
      </c>
      <c r="T204">
        <v>5972</v>
      </c>
      <c r="U204">
        <v>1</v>
      </c>
      <c r="V204" t="s">
        <v>41</v>
      </c>
      <c r="W204" t="s">
        <v>35</v>
      </c>
      <c r="X204">
        <v>17</v>
      </c>
      <c r="Y204">
        <v>3</v>
      </c>
      <c r="Z204">
        <v>4</v>
      </c>
      <c r="AA204">
        <v>80</v>
      </c>
      <c r="AB204">
        <v>1</v>
      </c>
      <c r="AC204">
        <v>5</v>
      </c>
      <c r="AD204">
        <v>4</v>
      </c>
      <c r="AE204">
        <v>4</v>
      </c>
      <c r="AF204">
        <v>5</v>
      </c>
      <c r="AG204">
        <v>3</v>
      </c>
      <c r="AH204">
        <v>2</v>
      </c>
      <c r="AI204">
        <v>0</v>
      </c>
      <c r="AJ204">
        <f t="shared" si="3"/>
        <v>0</v>
      </c>
      <c r="AK204" t="str" cm="1">
        <f t="array" ref="AK204">_xlfn.IFS(A204&lt;=30,"18-30",A204&lt;=45,"31-45",A204&lt;=60,"46-60",TRUE, "60+")</f>
        <v>31-45</v>
      </c>
      <c r="AL204" t="str" cm="1">
        <f t="array" ref="AL204">_xlfn.IFS(F204&lt;=10,"0-10",F204&lt;=20,"11-20",TRUE,"20+")</f>
        <v>0-10</v>
      </c>
      <c r="AM204" t="str" cm="1">
        <f t="array" ref="AM204">_xlfn.IFS(S204&lt;=5000,"0-5k",S204&lt;=10000,"5k-10k",S204&lt;=15000,"10k-15k",TRUE,"15k+")</f>
        <v>0-5k</v>
      </c>
      <c r="AN204" t="str" cm="1">
        <f t="array" ref="AN204">_xlfn.IFS(AF204&lt;=10,"0-10",AF204&lt;=20,"10-20",AF204&lt;=30,"20-30",TRUE,"30+")</f>
        <v>0-10</v>
      </c>
      <c r="AO204" t="str" cm="1">
        <f t="array" ref="AO204">_xlfn.IFS(Y204=1,"Poor",Y204=2,"Average",Y204=3,"Good",TRUE,"Excellent")</f>
        <v>Good</v>
      </c>
      <c r="AP204" t="str" cm="1">
        <f t="array" ref="AP204">_xlfn.IFS(Q204=1,"Low",Q204=2,"Medium",Q204=3,"High",TRUE,"Very High")</f>
        <v>High</v>
      </c>
    </row>
    <row r="205" spans="1:42" x14ac:dyDescent="0.25">
      <c r="A205">
        <v>40</v>
      </c>
      <c r="B205" t="s">
        <v>42</v>
      </c>
      <c r="C205" t="s">
        <v>90</v>
      </c>
      <c r="D205">
        <v>905</v>
      </c>
      <c r="E205" t="s">
        <v>43</v>
      </c>
      <c r="F205">
        <v>19</v>
      </c>
      <c r="G205">
        <v>2</v>
      </c>
      <c r="H205" t="s">
        <v>49</v>
      </c>
      <c r="I205">
        <v>1</v>
      </c>
      <c r="J205">
        <v>281</v>
      </c>
      <c r="K205">
        <v>3</v>
      </c>
      <c r="L205" t="s">
        <v>44</v>
      </c>
      <c r="M205">
        <v>99</v>
      </c>
      <c r="N205">
        <v>3</v>
      </c>
      <c r="O205">
        <v>2</v>
      </c>
      <c r="P205" t="s">
        <v>48</v>
      </c>
      <c r="Q205">
        <v>4</v>
      </c>
      <c r="R205" t="s">
        <v>46</v>
      </c>
      <c r="S205">
        <v>2741</v>
      </c>
      <c r="T205">
        <v>16523</v>
      </c>
      <c r="U205">
        <v>8</v>
      </c>
      <c r="V205" t="s">
        <v>41</v>
      </c>
      <c r="W205" t="s">
        <v>35</v>
      </c>
      <c r="X205">
        <v>15</v>
      </c>
      <c r="Y205">
        <v>3</v>
      </c>
      <c r="Z205">
        <v>3</v>
      </c>
      <c r="AA205">
        <v>80</v>
      </c>
      <c r="AB205">
        <v>1</v>
      </c>
      <c r="AC205">
        <v>15</v>
      </c>
      <c r="AD205">
        <v>2</v>
      </c>
      <c r="AE205">
        <v>4</v>
      </c>
      <c r="AF205">
        <v>7</v>
      </c>
      <c r="AG205">
        <v>2</v>
      </c>
      <c r="AH205">
        <v>3</v>
      </c>
      <c r="AI205">
        <v>7</v>
      </c>
      <c r="AJ205">
        <f t="shared" si="3"/>
        <v>0</v>
      </c>
      <c r="AK205" t="str" cm="1">
        <f t="array" ref="AK205">_xlfn.IFS(A205&lt;=30,"18-30",A205&lt;=45,"31-45",A205&lt;=60,"46-60",TRUE, "60+")</f>
        <v>31-45</v>
      </c>
      <c r="AL205" t="str" cm="1">
        <f t="array" ref="AL205">_xlfn.IFS(F205&lt;=10,"0-10",F205&lt;=20,"11-20",TRUE,"20+")</f>
        <v>11-20</v>
      </c>
      <c r="AM205" t="str" cm="1">
        <f t="array" ref="AM205">_xlfn.IFS(S205&lt;=5000,"0-5k",S205&lt;=10000,"5k-10k",S205&lt;=15000,"10k-15k",TRUE,"15k+")</f>
        <v>0-5k</v>
      </c>
      <c r="AN205" t="str" cm="1">
        <f t="array" ref="AN205">_xlfn.IFS(AF205&lt;=10,"0-10",AF205&lt;=20,"10-20",AF205&lt;=30,"20-30",TRUE,"30+")</f>
        <v>0-10</v>
      </c>
      <c r="AO205" t="str" cm="1">
        <f t="array" ref="AO205">_xlfn.IFS(Y205=1,"Poor",Y205=2,"Average",Y205=3,"Good",TRUE,"Excellent")</f>
        <v>Good</v>
      </c>
      <c r="AP205" t="str" cm="1">
        <f t="array" ref="AP205">_xlfn.IFS(Q205=1,"Low",Q205=2,"Medium",Q205=3,"High",TRUE,"Very High")</f>
        <v>Very High</v>
      </c>
    </row>
    <row r="206" spans="1:42" x14ac:dyDescent="0.25">
      <c r="A206">
        <v>38</v>
      </c>
      <c r="B206" t="s">
        <v>35</v>
      </c>
      <c r="C206" t="s">
        <v>90</v>
      </c>
      <c r="D206">
        <v>1180</v>
      </c>
      <c r="E206" t="s">
        <v>43</v>
      </c>
      <c r="F206">
        <v>29</v>
      </c>
      <c r="G206">
        <v>1</v>
      </c>
      <c r="H206" t="s">
        <v>49</v>
      </c>
      <c r="I206">
        <v>1</v>
      </c>
      <c r="J206">
        <v>282</v>
      </c>
      <c r="K206">
        <v>2</v>
      </c>
      <c r="L206" t="s">
        <v>44</v>
      </c>
      <c r="M206">
        <v>70</v>
      </c>
      <c r="N206">
        <v>3</v>
      </c>
      <c r="O206">
        <v>2</v>
      </c>
      <c r="P206" t="s">
        <v>52</v>
      </c>
      <c r="Q206">
        <v>1</v>
      </c>
      <c r="R206" t="s">
        <v>46</v>
      </c>
      <c r="S206">
        <v>6673</v>
      </c>
      <c r="T206">
        <v>11354</v>
      </c>
      <c r="U206">
        <v>7</v>
      </c>
      <c r="V206" t="s">
        <v>41</v>
      </c>
      <c r="W206" t="s">
        <v>35</v>
      </c>
      <c r="X206">
        <v>19</v>
      </c>
      <c r="Y206">
        <v>3</v>
      </c>
      <c r="Z206">
        <v>2</v>
      </c>
      <c r="AA206">
        <v>80</v>
      </c>
      <c r="AB206">
        <v>0</v>
      </c>
      <c r="AC206">
        <v>17</v>
      </c>
      <c r="AD206">
        <v>2</v>
      </c>
      <c r="AE206">
        <v>3</v>
      </c>
      <c r="AF206">
        <v>1</v>
      </c>
      <c r="AG206">
        <v>0</v>
      </c>
      <c r="AH206">
        <v>0</v>
      </c>
      <c r="AI206">
        <v>0</v>
      </c>
      <c r="AJ206">
        <f t="shared" si="3"/>
        <v>1</v>
      </c>
      <c r="AK206" t="str" cm="1">
        <f t="array" ref="AK206">_xlfn.IFS(A206&lt;=30,"18-30",A206&lt;=45,"31-45",A206&lt;=60,"46-60",TRUE, "60+")</f>
        <v>31-45</v>
      </c>
      <c r="AL206" t="str" cm="1">
        <f t="array" ref="AL206">_xlfn.IFS(F206&lt;=10,"0-10",F206&lt;=20,"11-20",TRUE,"20+")</f>
        <v>20+</v>
      </c>
      <c r="AM206" t="str" cm="1">
        <f t="array" ref="AM206">_xlfn.IFS(S206&lt;=5000,"0-5k",S206&lt;=10000,"5k-10k",S206&lt;=15000,"10k-15k",TRUE,"15k+")</f>
        <v>5k-10k</v>
      </c>
      <c r="AN206" t="str" cm="1">
        <f t="array" ref="AN206">_xlfn.IFS(AF206&lt;=10,"0-10",AF206&lt;=20,"10-20",AF206&lt;=30,"20-30",TRUE,"30+")</f>
        <v>0-10</v>
      </c>
      <c r="AO206" t="str" cm="1">
        <f t="array" ref="AO206">_xlfn.IFS(Y206=1,"Poor",Y206=2,"Average",Y206=3,"Good",TRUE,"Excellent")</f>
        <v>Good</v>
      </c>
      <c r="AP206" t="str" cm="1">
        <f t="array" ref="AP206">_xlfn.IFS(Q206=1,"Low",Q206=2,"Medium",Q206=3,"High",TRUE,"Very High")</f>
        <v>Low</v>
      </c>
    </row>
    <row r="207" spans="1:42" x14ac:dyDescent="0.25">
      <c r="A207">
        <v>29</v>
      </c>
      <c r="B207" t="s">
        <v>35</v>
      </c>
      <c r="C207" t="s">
        <v>90</v>
      </c>
      <c r="D207">
        <v>121</v>
      </c>
      <c r="E207" t="s">
        <v>36</v>
      </c>
      <c r="F207">
        <v>27</v>
      </c>
      <c r="G207">
        <v>3</v>
      </c>
      <c r="H207" t="s">
        <v>57</v>
      </c>
      <c r="I207">
        <v>1</v>
      </c>
      <c r="J207">
        <v>283</v>
      </c>
      <c r="K207">
        <v>2</v>
      </c>
      <c r="L207" t="s">
        <v>38</v>
      </c>
      <c r="M207">
        <v>35</v>
      </c>
      <c r="N207">
        <v>3</v>
      </c>
      <c r="O207">
        <v>3</v>
      </c>
      <c r="P207" t="s">
        <v>39</v>
      </c>
      <c r="Q207">
        <v>4</v>
      </c>
      <c r="R207" t="s">
        <v>46</v>
      </c>
      <c r="S207">
        <v>7639</v>
      </c>
      <c r="T207">
        <v>24525</v>
      </c>
      <c r="U207">
        <v>1</v>
      </c>
      <c r="V207" t="s">
        <v>41</v>
      </c>
      <c r="W207" t="s">
        <v>42</v>
      </c>
      <c r="X207">
        <v>22</v>
      </c>
      <c r="Y207">
        <v>4</v>
      </c>
      <c r="Z207">
        <v>4</v>
      </c>
      <c r="AA207">
        <v>80</v>
      </c>
      <c r="AB207">
        <v>3</v>
      </c>
      <c r="AC207">
        <v>10</v>
      </c>
      <c r="AD207">
        <v>3</v>
      </c>
      <c r="AE207">
        <v>2</v>
      </c>
      <c r="AF207">
        <v>10</v>
      </c>
      <c r="AG207">
        <v>4</v>
      </c>
      <c r="AH207">
        <v>1</v>
      </c>
      <c r="AI207">
        <v>9</v>
      </c>
      <c r="AJ207">
        <f t="shared" si="3"/>
        <v>1</v>
      </c>
      <c r="AK207" t="str" cm="1">
        <f t="array" ref="AK207">_xlfn.IFS(A207&lt;=30,"18-30",A207&lt;=45,"31-45",A207&lt;=60,"46-60",TRUE, "60+")</f>
        <v>18-30</v>
      </c>
      <c r="AL207" t="str" cm="1">
        <f t="array" ref="AL207">_xlfn.IFS(F207&lt;=10,"0-10",F207&lt;=20,"11-20",TRUE,"20+")</f>
        <v>20+</v>
      </c>
      <c r="AM207" t="str" cm="1">
        <f t="array" ref="AM207">_xlfn.IFS(S207&lt;=5000,"0-5k",S207&lt;=10000,"5k-10k",S207&lt;=15000,"10k-15k",TRUE,"15k+")</f>
        <v>5k-10k</v>
      </c>
      <c r="AN207" t="str" cm="1">
        <f t="array" ref="AN207">_xlfn.IFS(AF207&lt;=10,"0-10",AF207&lt;=20,"10-20",AF207&lt;=30,"20-30",TRUE,"30+")</f>
        <v>0-10</v>
      </c>
      <c r="AO207" t="str" cm="1">
        <f t="array" ref="AO207">_xlfn.IFS(Y207=1,"Poor",Y207=2,"Average",Y207=3,"Good",TRUE,"Excellent")</f>
        <v>Excellent</v>
      </c>
      <c r="AP207" t="str" cm="1">
        <f t="array" ref="AP207">_xlfn.IFS(Q207=1,"Low",Q207=2,"Medium",Q207=3,"High",TRUE,"Very High")</f>
        <v>Very High</v>
      </c>
    </row>
    <row r="208" spans="1:42" x14ac:dyDescent="0.25">
      <c r="A208">
        <v>22</v>
      </c>
      <c r="B208" t="s">
        <v>42</v>
      </c>
      <c r="C208" t="s">
        <v>90</v>
      </c>
      <c r="D208">
        <v>1136</v>
      </c>
      <c r="E208" t="s">
        <v>43</v>
      </c>
      <c r="F208">
        <v>5</v>
      </c>
      <c r="G208">
        <v>3</v>
      </c>
      <c r="H208" t="s">
        <v>37</v>
      </c>
      <c r="I208">
        <v>1</v>
      </c>
      <c r="J208">
        <v>284</v>
      </c>
      <c r="K208">
        <v>4</v>
      </c>
      <c r="L208" t="s">
        <v>44</v>
      </c>
      <c r="M208">
        <v>60</v>
      </c>
      <c r="N208">
        <v>4</v>
      </c>
      <c r="O208">
        <v>1</v>
      </c>
      <c r="P208" t="s">
        <v>45</v>
      </c>
      <c r="Q208">
        <v>2</v>
      </c>
      <c r="R208" t="s">
        <v>50</v>
      </c>
      <c r="S208">
        <v>2328</v>
      </c>
      <c r="T208">
        <v>12392</v>
      </c>
      <c r="U208">
        <v>1</v>
      </c>
      <c r="V208" t="s">
        <v>41</v>
      </c>
      <c r="W208" t="s">
        <v>35</v>
      </c>
      <c r="X208">
        <v>16</v>
      </c>
      <c r="Y208">
        <v>3</v>
      </c>
      <c r="Z208">
        <v>1</v>
      </c>
      <c r="AA208">
        <v>80</v>
      </c>
      <c r="AB208">
        <v>1</v>
      </c>
      <c r="AC208">
        <v>4</v>
      </c>
      <c r="AD208">
        <v>2</v>
      </c>
      <c r="AE208">
        <v>2</v>
      </c>
      <c r="AF208">
        <v>4</v>
      </c>
      <c r="AG208">
        <v>2</v>
      </c>
      <c r="AH208">
        <v>2</v>
      </c>
      <c r="AI208">
        <v>2</v>
      </c>
      <c r="AJ208">
        <f t="shared" si="3"/>
        <v>0</v>
      </c>
      <c r="AK208" t="str" cm="1">
        <f t="array" ref="AK208">_xlfn.IFS(A208&lt;=30,"18-30",A208&lt;=45,"31-45",A208&lt;=60,"46-60",TRUE, "60+")</f>
        <v>18-30</v>
      </c>
      <c r="AL208" t="str" cm="1">
        <f t="array" ref="AL208">_xlfn.IFS(F208&lt;=10,"0-10",F208&lt;=20,"11-20",TRUE,"20+")</f>
        <v>0-10</v>
      </c>
      <c r="AM208" t="str" cm="1">
        <f t="array" ref="AM208">_xlfn.IFS(S208&lt;=5000,"0-5k",S208&lt;=10000,"5k-10k",S208&lt;=15000,"10k-15k",TRUE,"15k+")</f>
        <v>0-5k</v>
      </c>
      <c r="AN208" t="str" cm="1">
        <f t="array" ref="AN208">_xlfn.IFS(AF208&lt;=10,"0-10",AF208&lt;=20,"10-20",AF208&lt;=30,"20-30",TRUE,"30+")</f>
        <v>0-10</v>
      </c>
      <c r="AO208" t="str" cm="1">
        <f t="array" ref="AO208">_xlfn.IFS(Y208=1,"Poor",Y208=2,"Average",Y208=3,"Good",TRUE,"Excellent")</f>
        <v>Good</v>
      </c>
      <c r="AP208" t="str" cm="1">
        <f t="array" ref="AP208">_xlfn.IFS(Q208=1,"Low",Q208=2,"Medium",Q208=3,"High",TRUE,"Very High")</f>
        <v>Medium</v>
      </c>
    </row>
    <row r="209" spans="1:42" x14ac:dyDescent="0.25">
      <c r="A209">
        <v>36</v>
      </c>
      <c r="B209" t="s">
        <v>42</v>
      </c>
      <c r="C209" t="s">
        <v>91</v>
      </c>
      <c r="D209">
        <v>635</v>
      </c>
      <c r="E209" t="s">
        <v>43</v>
      </c>
      <c r="F209">
        <v>18</v>
      </c>
      <c r="G209">
        <v>1</v>
      </c>
      <c r="H209" t="s">
        <v>49</v>
      </c>
      <c r="I209">
        <v>1</v>
      </c>
      <c r="J209">
        <v>286</v>
      </c>
      <c r="K209">
        <v>2</v>
      </c>
      <c r="L209" t="s">
        <v>38</v>
      </c>
      <c r="M209">
        <v>73</v>
      </c>
      <c r="N209">
        <v>3</v>
      </c>
      <c r="O209">
        <v>1</v>
      </c>
      <c r="P209" t="s">
        <v>48</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c r="AJ209">
        <f t="shared" si="3"/>
        <v>0</v>
      </c>
      <c r="AK209" t="str" cm="1">
        <f t="array" ref="AK209">_xlfn.IFS(A209&lt;=30,"18-30",A209&lt;=45,"31-45",A209&lt;=60,"46-60",TRUE, "60+")</f>
        <v>31-45</v>
      </c>
      <c r="AL209" t="str" cm="1">
        <f t="array" ref="AL209">_xlfn.IFS(F209&lt;=10,"0-10",F209&lt;=20,"11-20",TRUE,"20+")</f>
        <v>11-20</v>
      </c>
      <c r="AM209" t="str" cm="1">
        <f t="array" ref="AM209">_xlfn.IFS(S209&lt;=5000,"0-5k",S209&lt;=10000,"5k-10k",S209&lt;=15000,"10k-15k",TRUE,"15k+")</f>
        <v>0-5k</v>
      </c>
      <c r="AN209" t="str" cm="1">
        <f t="array" ref="AN209">_xlfn.IFS(AF209&lt;=10,"0-10",AF209&lt;=20,"10-20",AF209&lt;=30,"20-30",TRUE,"30+")</f>
        <v>0-10</v>
      </c>
      <c r="AO209" t="str" cm="1">
        <f t="array" ref="AO209">_xlfn.IFS(Y209=1,"Poor",Y209=2,"Average",Y209=3,"Good",TRUE,"Excellent")</f>
        <v>Good</v>
      </c>
      <c r="AP209" t="str" cm="1">
        <f t="array" ref="AP209">_xlfn.IFS(Q209=1,"Low",Q209=2,"Medium",Q209=3,"High",TRUE,"Very High")</f>
        <v>Very High</v>
      </c>
    </row>
    <row r="210" spans="1:42" x14ac:dyDescent="0.25">
      <c r="A210">
        <v>40</v>
      </c>
      <c r="B210" t="s">
        <v>42</v>
      </c>
      <c r="C210" t="s">
        <v>53</v>
      </c>
      <c r="D210">
        <v>1151</v>
      </c>
      <c r="E210" t="s">
        <v>43</v>
      </c>
      <c r="F210">
        <v>9</v>
      </c>
      <c r="G210">
        <v>5</v>
      </c>
      <c r="H210" t="s">
        <v>37</v>
      </c>
      <c r="I210">
        <v>1</v>
      </c>
      <c r="J210">
        <v>287</v>
      </c>
      <c r="K210">
        <v>4</v>
      </c>
      <c r="L210" t="s">
        <v>44</v>
      </c>
      <c r="M210">
        <v>63</v>
      </c>
      <c r="N210">
        <v>2</v>
      </c>
      <c r="O210">
        <v>2</v>
      </c>
      <c r="P210" t="s">
        <v>52</v>
      </c>
      <c r="Q210">
        <v>4</v>
      </c>
      <c r="R210" t="s">
        <v>46</v>
      </c>
      <c r="S210">
        <v>4876</v>
      </c>
      <c r="T210">
        <v>14242</v>
      </c>
      <c r="U210">
        <v>9</v>
      </c>
      <c r="V210" t="s">
        <v>41</v>
      </c>
      <c r="W210" t="s">
        <v>42</v>
      </c>
      <c r="X210">
        <v>14</v>
      </c>
      <c r="Y210">
        <v>3</v>
      </c>
      <c r="Z210">
        <v>4</v>
      </c>
      <c r="AA210">
        <v>80</v>
      </c>
      <c r="AB210">
        <v>1</v>
      </c>
      <c r="AC210">
        <v>5</v>
      </c>
      <c r="AD210">
        <v>5</v>
      </c>
      <c r="AE210">
        <v>1</v>
      </c>
      <c r="AF210">
        <v>3</v>
      </c>
      <c r="AG210">
        <v>2</v>
      </c>
      <c r="AH210">
        <v>0</v>
      </c>
      <c r="AI210">
        <v>2</v>
      </c>
      <c r="AJ210">
        <f t="shared" si="3"/>
        <v>0</v>
      </c>
      <c r="AK210" t="str" cm="1">
        <f t="array" ref="AK210">_xlfn.IFS(A210&lt;=30,"18-30",A210&lt;=45,"31-45",A210&lt;=60,"46-60",TRUE, "60+")</f>
        <v>31-45</v>
      </c>
      <c r="AL210" t="str" cm="1">
        <f t="array" ref="AL210">_xlfn.IFS(F210&lt;=10,"0-10",F210&lt;=20,"11-20",TRUE,"20+")</f>
        <v>0-10</v>
      </c>
      <c r="AM210" t="str" cm="1">
        <f t="array" ref="AM210">_xlfn.IFS(S210&lt;=5000,"0-5k",S210&lt;=10000,"5k-10k",S210&lt;=15000,"10k-15k",TRUE,"15k+")</f>
        <v>0-5k</v>
      </c>
      <c r="AN210" t="str" cm="1">
        <f t="array" ref="AN210">_xlfn.IFS(AF210&lt;=10,"0-10",AF210&lt;=20,"10-20",AF210&lt;=30,"20-30",TRUE,"30+")</f>
        <v>0-10</v>
      </c>
      <c r="AO210" t="str" cm="1">
        <f t="array" ref="AO210">_xlfn.IFS(Y210=1,"Poor",Y210=2,"Average",Y210=3,"Good",TRUE,"Excellent")</f>
        <v>Good</v>
      </c>
      <c r="AP210" t="str" cm="1">
        <f t="array" ref="AP210">_xlfn.IFS(Q210=1,"Low",Q210=2,"Medium",Q210=3,"High",TRUE,"Very High")</f>
        <v>Very High</v>
      </c>
    </row>
    <row r="211" spans="1:42" x14ac:dyDescent="0.25">
      <c r="A211">
        <v>46</v>
      </c>
      <c r="B211" t="s">
        <v>42</v>
      </c>
      <c r="C211" t="s">
        <v>90</v>
      </c>
      <c r="D211">
        <v>644</v>
      </c>
      <c r="E211" t="s">
        <v>43</v>
      </c>
      <c r="F211">
        <v>1</v>
      </c>
      <c r="G211">
        <v>4</v>
      </c>
      <c r="H211" t="s">
        <v>49</v>
      </c>
      <c r="I211">
        <v>1</v>
      </c>
      <c r="J211">
        <v>288</v>
      </c>
      <c r="K211">
        <v>4</v>
      </c>
      <c r="L211" t="s">
        <v>44</v>
      </c>
      <c r="M211">
        <v>97</v>
      </c>
      <c r="N211">
        <v>3</v>
      </c>
      <c r="O211">
        <v>3</v>
      </c>
      <c r="P211" t="s">
        <v>52</v>
      </c>
      <c r="Q211">
        <v>1</v>
      </c>
      <c r="R211" t="s">
        <v>50</v>
      </c>
      <c r="S211">
        <v>9396</v>
      </c>
      <c r="T211">
        <v>12368</v>
      </c>
      <c r="U211">
        <v>7</v>
      </c>
      <c r="V211" t="s">
        <v>41</v>
      </c>
      <c r="W211" t="s">
        <v>42</v>
      </c>
      <c r="X211">
        <v>16</v>
      </c>
      <c r="Y211">
        <v>3</v>
      </c>
      <c r="Z211">
        <v>3</v>
      </c>
      <c r="AA211">
        <v>80</v>
      </c>
      <c r="AB211">
        <v>1</v>
      </c>
      <c r="AC211">
        <v>17</v>
      </c>
      <c r="AD211">
        <v>3</v>
      </c>
      <c r="AE211">
        <v>3</v>
      </c>
      <c r="AF211">
        <v>4</v>
      </c>
      <c r="AG211">
        <v>2</v>
      </c>
      <c r="AH211">
        <v>0</v>
      </c>
      <c r="AI211">
        <v>3</v>
      </c>
      <c r="AJ211">
        <f t="shared" si="3"/>
        <v>0</v>
      </c>
      <c r="AK211" t="str" cm="1">
        <f t="array" ref="AK211">_xlfn.IFS(A211&lt;=30,"18-30",A211&lt;=45,"31-45",A211&lt;=60,"46-60",TRUE, "60+")</f>
        <v>46-60</v>
      </c>
      <c r="AL211" t="str" cm="1">
        <f t="array" ref="AL211">_xlfn.IFS(F211&lt;=10,"0-10",F211&lt;=20,"11-20",TRUE,"20+")</f>
        <v>0-10</v>
      </c>
      <c r="AM211" t="str" cm="1">
        <f t="array" ref="AM211">_xlfn.IFS(S211&lt;=5000,"0-5k",S211&lt;=10000,"5k-10k",S211&lt;=15000,"10k-15k",TRUE,"15k+")</f>
        <v>5k-10k</v>
      </c>
      <c r="AN211" t="str" cm="1">
        <f t="array" ref="AN211">_xlfn.IFS(AF211&lt;=10,"0-10",AF211&lt;=20,"10-20",AF211&lt;=30,"20-30",TRUE,"30+")</f>
        <v>0-10</v>
      </c>
      <c r="AO211" t="str" cm="1">
        <f t="array" ref="AO211">_xlfn.IFS(Y211=1,"Poor",Y211=2,"Average",Y211=3,"Good",TRUE,"Excellent")</f>
        <v>Good</v>
      </c>
      <c r="AP211" t="str" cm="1">
        <f t="array" ref="AP211">_xlfn.IFS(Q211=1,"Low",Q211=2,"Medium",Q211=3,"High",TRUE,"Very High")</f>
        <v>Low</v>
      </c>
    </row>
    <row r="212" spans="1:42" x14ac:dyDescent="0.25">
      <c r="A212">
        <v>32</v>
      </c>
      <c r="B212" t="s">
        <v>35</v>
      </c>
      <c r="C212" t="s">
        <v>90</v>
      </c>
      <c r="D212">
        <v>1045</v>
      </c>
      <c r="E212" t="s">
        <v>36</v>
      </c>
      <c r="F212">
        <v>4</v>
      </c>
      <c r="G212">
        <v>4</v>
      </c>
      <c r="H212" t="s">
        <v>49</v>
      </c>
      <c r="I212">
        <v>1</v>
      </c>
      <c r="J212">
        <v>291</v>
      </c>
      <c r="K212">
        <v>4</v>
      </c>
      <c r="L212" t="s">
        <v>44</v>
      </c>
      <c r="M212">
        <v>32</v>
      </c>
      <c r="N212">
        <v>1</v>
      </c>
      <c r="O212">
        <v>3</v>
      </c>
      <c r="P212" t="s">
        <v>39</v>
      </c>
      <c r="Q212">
        <v>4</v>
      </c>
      <c r="R212" t="s">
        <v>46</v>
      </c>
      <c r="S212">
        <v>10400</v>
      </c>
      <c r="T212">
        <v>25812</v>
      </c>
      <c r="U212">
        <v>1</v>
      </c>
      <c r="V212" t="s">
        <v>41</v>
      </c>
      <c r="W212" t="s">
        <v>42</v>
      </c>
      <c r="X212">
        <v>11</v>
      </c>
      <c r="Y212">
        <v>3</v>
      </c>
      <c r="Z212">
        <v>3</v>
      </c>
      <c r="AA212">
        <v>80</v>
      </c>
      <c r="AB212">
        <v>0</v>
      </c>
      <c r="AC212">
        <v>14</v>
      </c>
      <c r="AD212">
        <v>2</v>
      </c>
      <c r="AE212">
        <v>2</v>
      </c>
      <c r="AF212">
        <v>14</v>
      </c>
      <c r="AG212">
        <v>8</v>
      </c>
      <c r="AH212">
        <v>9</v>
      </c>
      <c r="AI212">
        <v>8</v>
      </c>
      <c r="AJ212">
        <f t="shared" si="3"/>
        <v>1</v>
      </c>
      <c r="AK212" t="str" cm="1">
        <f t="array" ref="AK212">_xlfn.IFS(A212&lt;=30,"18-30",A212&lt;=45,"31-45",A212&lt;=60,"46-60",TRUE, "60+")</f>
        <v>31-45</v>
      </c>
      <c r="AL212" t="str" cm="1">
        <f t="array" ref="AL212">_xlfn.IFS(F212&lt;=10,"0-10",F212&lt;=20,"11-20",TRUE,"20+")</f>
        <v>0-10</v>
      </c>
      <c r="AM212" t="str" cm="1">
        <f t="array" ref="AM212">_xlfn.IFS(S212&lt;=5000,"0-5k",S212&lt;=10000,"5k-10k",S212&lt;=15000,"10k-15k",TRUE,"15k+")</f>
        <v>10k-15k</v>
      </c>
      <c r="AN212" t="str" cm="1">
        <f t="array" ref="AN212">_xlfn.IFS(AF212&lt;=10,"0-10",AF212&lt;=20,"10-20",AF212&lt;=30,"20-30",TRUE,"30+")</f>
        <v>10-20</v>
      </c>
      <c r="AO212" t="str" cm="1">
        <f t="array" ref="AO212">_xlfn.IFS(Y212=1,"Poor",Y212=2,"Average",Y212=3,"Good",TRUE,"Excellent")</f>
        <v>Good</v>
      </c>
      <c r="AP212" t="str" cm="1">
        <f t="array" ref="AP212">_xlfn.IFS(Q212=1,"Low",Q212=2,"Medium",Q212=3,"High",TRUE,"Very High")</f>
        <v>Very High</v>
      </c>
    </row>
    <row r="213" spans="1:42" x14ac:dyDescent="0.25">
      <c r="A213">
        <v>30</v>
      </c>
      <c r="B213" t="s">
        <v>42</v>
      </c>
      <c r="C213" t="s">
        <v>53</v>
      </c>
      <c r="D213">
        <v>829</v>
      </c>
      <c r="E213" t="s">
        <v>43</v>
      </c>
      <c r="F213">
        <v>1</v>
      </c>
      <c r="G213">
        <v>1</v>
      </c>
      <c r="H213" t="s">
        <v>37</v>
      </c>
      <c r="I213">
        <v>1</v>
      </c>
      <c r="J213">
        <v>292</v>
      </c>
      <c r="K213">
        <v>3</v>
      </c>
      <c r="L213" t="s">
        <v>44</v>
      </c>
      <c r="M213">
        <v>88</v>
      </c>
      <c r="N213">
        <v>2</v>
      </c>
      <c r="O213">
        <v>3</v>
      </c>
      <c r="P213" t="s">
        <v>51</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c r="AJ213">
        <f t="shared" si="3"/>
        <v>0</v>
      </c>
      <c r="AK213" t="str" cm="1">
        <f t="array" ref="AK213">_xlfn.IFS(A213&lt;=30,"18-30",A213&lt;=45,"31-45",A213&lt;=60,"46-60",TRUE, "60+")</f>
        <v>18-30</v>
      </c>
      <c r="AL213" t="str" cm="1">
        <f t="array" ref="AL213">_xlfn.IFS(F213&lt;=10,"0-10",F213&lt;=20,"11-20",TRUE,"20+")</f>
        <v>0-10</v>
      </c>
      <c r="AM213" t="str" cm="1">
        <f t="array" ref="AM213">_xlfn.IFS(S213&lt;=5000,"0-5k",S213&lt;=10000,"5k-10k",S213&lt;=15000,"10k-15k",TRUE,"15k+")</f>
        <v>5k-10k</v>
      </c>
      <c r="AN213" t="str" cm="1">
        <f t="array" ref="AN213">_xlfn.IFS(AF213&lt;=10,"0-10",AF213&lt;=20,"10-20",AF213&lt;=30,"20-30",TRUE,"30+")</f>
        <v>10-20</v>
      </c>
      <c r="AO213" t="str" cm="1">
        <f t="array" ref="AO213">_xlfn.IFS(Y213=1,"Poor",Y213=2,"Average",Y213=3,"Good",TRUE,"Excellent")</f>
        <v>Excellent</v>
      </c>
      <c r="AP213" t="str" cm="1">
        <f t="array" ref="AP213">_xlfn.IFS(Q213=1,"Low",Q213=2,"Medium",Q213=3,"High",TRUE,"Very High")</f>
        <v>High</v>
      </c>
    </row>
    <row r="214" spans="1:42" x14ac:dyDescent="0.25">
      <c r="A214">
        <v>27</v>
      </c>
      <c r="B214" t="s">
        <v>42</v>
      </c>
      <c r="C214" t="s">
        <v>91</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c r="AJ214">
        <f t="shared" si="3"/>
        <v>0</v>
      </c>
      <c r="AK214" t="str" cm="1">
        <f t="array" ref="AK214">_xlfn.IFS(A214&lt;=30,"18-30",A214&lt;=45,"31-45",A214&lt;=60,"46-60",TRUE, "60+")</f>
        <v>18-30</v>
      </c>
      <c r="AL214" t="str" cm="1">
        <f t="array" ref="AL214">_xlfn.IFS(F214&lt;=10,"0-10",F214&lt;=20,"11-20",TRUE,"20+")</f>
        <v>11-20</v>
      </c>
      <c r="AM214" t="str" cm="1">
        <f t="array" ref="AM214">_xlfn.IFS(S214&lt;=5000,"0-5k",S214&lt;=10000,"5k-10k",S214&lt;=15000,"10k-15k",TRUE,"15k+")</f>
        <v>5k-10k</v>
      </c>
      <c r="AN214" t="str" cm="1">
        <f t="array" ref="AN214">_xlfn.IFS(AF214&lt;=10,"0-10",AF214&lt;=20,"10-20",AF214&lt;=30,"20-30",TRUE,"30+")</f>
        <v>0-10</v>
      </c>
      <c r="AO214" t="str" cm="1">
        <f t="array" ref="AO214">_xlfn.IFS(Y214=1,"Poor",Y214=2,"Average",Y214=3,"Good",TRUE,"Excellent")</f>
        <v>Good</v>
      </c>
      <c r="AP214" t="str" cm="1">
        <f t="array" ref="AP214">_xlfn.IFS(Q214=1,"Low",Q214=2,"Medium",Q214=3,"High",TRUE,"Very High")</f>
        <v>High</v>
      </c>
    </row>
    <row r="215" spans="1:42" x14ac:dyDescent="0.25">
      <c r="A215">
        <v>51</v>
      </c>
      <c r="B215" t="s">
        <v>42</v>
      </c>
      <c r="C215" t="s">
        <v>90</v>
      </c>
      <c r="D215">
        <v>1469</v>
      </c>
      <c r="E215" t="s">
        <v>43</v>
      </c>
      <c r="F215">
        <v>8</v>
      </c>
      <c r="G215">
        <v>4</v>
      </c>
      <c r="H215" t="s">
        <v>37</v>
      </c>
      <c r="I215">
        <v>1</v>
      </c>
      <c r="J215">
        <v>296</v>
      </c>
      <c r="K215">
        <v>2</v>
      </c>
      <c r="L215" t="s">
        <v>44</v>
      </c>
      <c r="M215">
        <v>81</v>
      </c>
      <c r="N215">
        <v>2</v>
      </c>
      <c r="O215">
        <v>3</v>
      </c>
      <c r="P215" t="s">
        <v>56</v>
      </c>
      <c r="Q215">
        <v>2</v>
      </c>
      <c r="R215" t="s">
        <v>46</v>
      </c>
      <c r="S215">
        <v>12490</v>
      </c>
      <c r="T215">
        <v>15736</v>
      </c>
      <c r="U215">
        <v>5</v>
      </c>
      <c r="V215" t="s">
        <v>41</v>
      </c>
      <c r="W215" t="s">
        <v>42</v>
      </c>
      <c r="X215">
        <v>16</v>
      </c>
      <c r="Y215">
        <v>3</v>
      </c>
      <c r="Z215">
        <v>4</v>
      </c>
      <c r="AA215">
        <v>80</v>
      </c>
      <c r="AB215">
        <v>2</v>
      </c>
      <c r="AC215">
        <v>16</v>
      </c>
      <c r="AD215">
        <v>5</v>
      </c>
      <c r="AE215">
        <v>1</v>
      </c>
      <c r="AF215">
        <v>10</v>
      </c>
      <c r="AG215">
        <v>9</v>
      </c>
      <c r="AH215">
        <v>4</v>
      </c>
      <c r="AI215">
        <v>7</v>
      </c>
      <c r="AJ215">
        <f t="shared" si="3"/>
        <v>0</v>
      </c>
      <c r="AK215" t="str" cm="1">
        <f t="array" ref="AK215">_xlfn.IFS(A215&lt;=30,"18-30",A215&lt;=45,"31-45",A215&lt;=60,"46-60",TRUE, "60+")</f>
        <v>46-60</v>
      </c>
      <c r="AL215" t="str" cm="1">
        <f t="array" ref="AL215">_xlfn.IFS(F215&lt;=10,"0-10",F215&lt;=20,"11-20",TRUE,"20+")</f>
        <v>0-10</v>
      </c>
      <c r="AM215" t="str" cm="1">
        <f t="array" ref="AM215">_xlfn.IFS(S215&lt;=5000,"0-5k",S215&lt;=10000,"5k-10k",S215&lt;=15000,"10k-15k",TRUE,"15k+")</f>
        <v>10k-15k</v>
      </c>
      <c r="AN215" t="str" cm="1">
        <f t="array" ref="AN215">_xlfn.IFS(AF215&lt;=10,"0-10",AF215&lt;=20,"10-20",AF215&lt;=30,"20-30",TRUE,"30+")</f>
        <v>0-10</v>
      </c>
      <c r="AO215" t="str" cm="1">
        <f t="array" ref="AO215">_xlfn.IFS(Y215=1,"Poor",Y215=2,"Average",Y215=3,"Good",TRUE,"Excellent")</f>
        <v>Good</v>
      </c>
      <c r="AP215" t="str" cm="1">
        <f t="array" ref="AP215">_xlfn.IFS(Q215=1,"Low",Q215=2,"Medium",Q215=3,"High",TRUE,"Very High")</f>
        <v>Medium</v>
      </c>
    </row>
    <row r="216" spans="1:42" x14ac:dyDescent="0.25">
      <c r="A216">
        <v>30</v>
      </c>
      <c r="B216" t="s">
        <v>35</v>
      </c>
      <c r="C216" t="s">
        <v>90</v>
      </c>
      <c r="D216">
        <v>1005</v>
      </c>
      <c r="E216" t="s">
        <v>43</v>
      </c>
      <c r="F216">
        <v>3</v>
      </c>
      <c r="G216">
        <v>3</v>
      </c>
      <c r="H216" t="s">
        <v>58</v>
      </c>
      <c r="I216">
        <v>1</v>
      </c>
      <c r="J216">
        <v>297</v>
      </c>
      <c r="K216">
        <v>4</v>
      </c>
      <c r="L216" t="s">
        <v>38</v>
      </c>
      <c r="M216">
        <v>88</v>
      </c>
      <c r="N216">
        <v>3</v>
      </c>
      <c r="O216">
        <v>1</v>
      </c>
      <c r="P216" t="s">
        <v>45</v>
      </c>
      <c r="Q216">
        <v>1</v>
      </c>
      <c r="R216" t="s">
        <v>40</v>
      </c>
      <c r="S216">
        <v>2657</v>
      </c>
      <c r="T216">
        <v>8556</v>
      </c>
      <c r="U216">
        <v>5</v>
      </c>
      <c r="V216" t="s">
        <v>41</v>
      </c>
      <c r="W216" t="s">
        <v>35</v>
      </c>
      <c r="X216">
        <v>11</v>
      </c>
      <c r="Y216">
        <v>3</v>
      </c>
      <c r="Z216">
        <v>3</v>
      </c>
      <c r="AA216">
        <v>80</v>
      </c>
      <c r="AB216">
        <v>0</v>
      </c>
      <c r="AC216">
        <v>8</v>
      </c>
      <c r="AD216">
        <v>5</v>
      </c>
      <c r="AE216">
        <v>3</v>
      </c>
      <c r="AF216">
        <v>5</v>
      </c>
      <c r="AG216">
        <v>2</v>
      </c>
      <c r="AH216">
        <v>0</v>
      </c>
      <c r="AI216">
        <v>4</v>
      </c>
      <c r="AJ216">
        <f t="shared" si="3"/>
        <v>1</v>
      </c>
      <c r="AK216" t="str" cm="1">
        <f t="array" ref="AK216">_xlfn.IFS(A216&lt;=30,"18-30",A216&lt;=45,"31-45",A216&lt;=60,"46-60",TRUE, "60+")</f>
        <v>18-30</v>
      </c>
      <c r="AL216" t="str" cm="1">
        <f t="array" ref="AL216">_xlfn.IFS(F216&lt;=10,"0-10",F216&lt;=20,"11-20",TRUE,"20+")</f>
        <v>0-10</v>
      </c>
      <c r="AM216" t="str" cm="1">
        <f t="array" ref="AM216">_xlfn.IFS(S216&lt;=5000,"0-5k",S216&lt;=10000,"5k-10k",S216&lt;=15000,"10k-15k",TRUE,"15k+")</f>
        <v>0-5k</v>
      </c>
      <c r="AN216" t="str" cm="1">
        <f t="array" ref="AN216">_xlfn.IFS(AF216&lt;=10,"0-10",AF216&lt;=20,"10-20",AF216&lt;=30,"20-30",TRUE,"30+")</f>
        <v>0-10</v>
      </c>
      <c r="AO216" t="str" cm="1">
        <f t="array" ref="AO216">_xlfn.IFS(Y216=1,"Poor",Y216=2,"Average",Y216=3,"Good",TRUE,"Excellent")</f>
        <v>Good</v>
      </c>
      <c r="AP216" t="str" cm="1">
        <f t="array" ref="AP216">_xlfn.IFS(Q216=1,"Low",Q216=2,"Medium",Q216=3,"High",TRUE,"Very High")</f>
        <v>Low</v>
      </c>
    </row>
    <row r="217" spans="1:42" x14ac:dyDescent="0.25">
      <c r="A217">
        <v>41</v>
      </c>
      <c r="B217" t="s">
        <v>42</v>
      </c>
      <c r="C217" t="s">
        <v>90</v>
      </c>
      <c r="D217">
        <v>896</v>
      </c>
      <c r="E217" t="s">
        <v>36</v>
      </c>
      <c r="F217">
        <v>6</v>
      </c>
      <c r="G217">
        <v>3</v>
      </c>
      <c r="H217" t="s">
        <v>37</v>
      </c>
      <c r="I217">
        <v>1</v>
      </c>
      <c r="J217">
        <v>298</v>
      </c>
      <c r="K217">
        <v>4</v>
      </c>
      <c r="L217" t="s">
        <v>38</v>
      </c>
      <c r="M217">
        <v>75</v>
      </c>
      <c r="N217">
        <v>3</v>
      </c>
      <c r="O217">
        <v>3</v>
      </c>
      <c r="P217" t="s">
        <v>54</v>
      </c>
      <c r="Q217">
        <v>4</v>
      </c>
      <c r="R217" t="s">
        <v>40</v>
      </c>
      <c r="S217">
        <v>13591</v>
      </c>
      <c r="T217">
        <v>14674</v>
      </c>
      <c r="U217">
        <v>3</v>
      </c>
      <c r="V217" t="s">
        <v>41</v>
      </c>
      <c r="W217" t="s">
        <v>35</v>
      </c>
      <c r="X217">
        <v>18</v>
      </c>
      <c r="Y217">
        <v>3</v>
      </c>
      <c r="Z217">
        <v>3</v>
      </c>
      <c r="AA217">
        <v>80</v>
      </c>
      <c r="AB217">
        <v>0</v>
      </c>
      <c r="AC217">
        <v>16</v>
      </c>
      <c r="AD217">
        <v>3</v>
      </c>
      <c r="AE217">
        <v>3</v>
      </c>
      <c r="AF217">
        <v>1</v>
      </c>
      <c r="AG217">
        <v>0</v>
      </c>
      <c r="AH217">
        <v>0</v>
      </c>
      <c r="AI217">
        <v>0</v>
      </c>
      <c r="AJ217">
        <f t="shared" si="3"/>
        <v>0</v>
      </c>
      <c r="AK217" t="str" cm="1">
        <f t="array" ref="AK217">_xlfn.IFS(A217&lt;=30,"18-30",A217&lt;=45,"31-45",A217&lt;=60,"46-60",TRUE, "60+")</f>
        <v>31-45</v>
      </c>
      <c r="AL217" t="str" cm="1">
        <f t="array" ref="AL217">_xlfn.IFS(F217&lt;=10,"0-10",F217&lt;=20,"11-20",TRUE,"20+")</f>
        <v>0-10</v>
      </c>
      <c r="AM217" t="str" cm="1">
        <f t="array" ref="AM217">_xlfn.IFS(S217&lt;=5000,"0-5k",S217&lt;=10000,"5k-10k",S217&lt;=15000,"10k-15k",TRUE,"15k+")</f>
        <v>10k-15k</v>
      </c>
      <c r="AN217" t="str" cm="1">
        <f t="array" ref="AN217">_xlfn.IFS(AF217&lt;=10,"0-10",AF217&lt;=20,"10-20",AF217&lt;=30,"20-30",TRUE,"30+")</f>
        <v>0-10</v>
      </c>
      <c r="AO217" t="str" cm="1">
        <f t="array" ref="AO217">_xlfn.IFS(Y217=1,"Poor",Y217=2,"Average",Y217=3,"Good",TRUE,"Excellent")</f>
        <v>Good</v>
      </c>
      <c r="AP217" t="str" cm="1">
        <f t="array" ref="AP217">_xlfn.IFS(Q217=1,"Low",Q217=2,"Medium",Q217=3,"High",TRUE,"Very High")</f>
        <v>Very High</v>
      </c>
    </row>
    <row r="218" spans="1:42" x14ac:dyDescent="0.25">
      <c r="A218">
        <v>30</v>
      </c>
      <c r="B218" t="s">
        <v>35</v>
      </c>
      <c r="C218" t="s">
        <v>91</v>
      </c>
      <c r="D218">
        <v>334</v>
      </c>
      <c r="E218" t="s">
        <v>36</v>
      </c>
      <c r="F218">
        <v>26</v>
      </c>
      <c r="G218">
        <v>4</v>
      </c>
      <c r="H218" t="s">
        <v>57</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c r="AJ218">
        <f t="shared" si="3"/>
        <v>1</v>
      </c>
      <c r="AK218" t="str" cm="1">
        <f t="array" ref="AK218">_xlfn.IFS(A218&lt;=30,"18-30",A218&lt;=45,"31-45",A218&lt;=60,"46-60",TRUE, "60+")</f>
        <v>18-30</v>
      </c>
      <c r="AL218" t="str" cm="1">
        <f t="array" ref="AL218">_xlfn.IFS(F218&lt;=10,"0-10",F218&lt;=20,"11-20",TRUE,"20+")</f>
        <v>20+</v>
      </c>
      <c r="AM218" t="str" cm="1">
        <f t="array" ref="AM218">_xlfn.IFS(S218&lt;=5000,"0-5k",S218&lt;=10000,"5k-10k",S218&lt;=15000,"10k-15k",TRUE,"15k+")</f>
        <v>5k-10k</v>
      </c>
      <c r="AN218" t="str" cm="1">
        <f t="array" ref="AN218">_xlfn.IFS(AF218&lt;=10,"0-10",AF218&lt;=20,"10-20",AF218&lt;=30,"20-30",TRUE,"30+")</f>
        <v>0-10</v>
      </c>
      <c r="AO218" t="str" cm="1">
        <f t="array" ref="AO218">_xlfn.IFS(Y218=1,"Poor",Y218=2,"Average",Y218=3,"Good",TRUE,"Excellent")</f>
        <v>Good</v>
      </c>
      <c r="AP218" t="str" cm="1">
        <f t="array" ref="AP218">_xlfn.IFS(Q218=1,"Low",Q218=2,"Medium",Q218=3,"High",TRUE,"Very High")</f>
        <v>Low</v>
      </c>
    </row>
    <row r="219" spans="1:42" x14ac:dyDescent="0.25">
      <c r="A219">
        <v>29</v>
      </c>
      <c r="B219" t="s">
        <v>35</v>
      </c>
      <c r="C219" t="s">
        <v>90</v>
      </c>
      <c r="D219">
        <v>992</v>
      </c>
      <c r="E219" t="s">
        <v>43</v>
      </c>
      <c r="F219">
        <v>1</v>
      </c>
      <c r="G219">
        <v>3</v>
      </c>
      <c r="H219" t="s">
        <v>58</v>
      </c>
      <c r="I219">
        <v>1</v>
      </c>
      <c r="J219">
        <v>300</v>
      </c>
      <c r="K219">
        <v>3</v>
      </c>
      <c r="L219" t="s">
        <v>44</v>
      </c>
      <c r="M219">
        <v>85</v>
      </c>
      <c r="N219">
        <v>3</v>
      </c>
      <c r="O219">
        <v>1</v>
      </c>
      <c r="P219" t="s">
        <v>45</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c r="AJ219">
        <f t="shared" si="3"/>
        <v>1</v>
      </c>
      <c r="AK219" t="str" cm="1">
        <f t="array" ref="AK219">_xlfn.IFS(A219&lt;=30,"18-30",A219&lt;=45,"31-45",A219&lt;=60,"46-60",TRUE, "60+")</f>
        <v>18-30</v>
      </c>
      <c r="AL219" t="str" cm="1">
        <f t="array" ref="AL219">_xlfn.IFS(F219&lt;=10,"0-10",F219&lt;=20,"11-20",TRUE,"20+")</f>
        <v>0-10</v>
      </c>
      <c r="AM219" t="str" cm="1">
        <f t="array" ref="AM219">_xlfn.IFS(S219&lt;=5000,"0-5k",S219&lt;=10000,"5k-10k",S219&lt;=15000,"10k-15k",TRUE,"15k+")</f>
        <v>0-5k</v>
      </c>
      <c r="AN219" t="str" cm="1">
        <f t="array" ref="AN219">_xlfn.IFS(AF219&lt;=10,"0-10",AF219&lt;=20,"10-20",AF219&lt;=30,"20-30",TRUE,"30+")</f>
        <v>0-10</v>
      </c>
      <c r="AO219" t="str" cm="1">
        <f t="array" ref="AO219">_xlfn.IFS(Y219=1,"Poor",Y219=2,"Average",Y219=3,"Good",TRUE,"Excellent")</f>
        <v>Good</v>
      </c>
      <c r="AP219" t="str" cm="1">
        <f t="array" ref="AP219">_xlfn.IFS(Q219=1,"Low",Q219=2,"Medium",Q219=3,"High",TRUE,"Very High")</f>
        <v>High</v>
      </c>
    </row>
    <row r="220" spans="1:42" x14ac:dyDescent="0.25">
      <c r="A220">
        <v>45</v>
      </c>
      <c r="B220" t="s">
        <v>42</v>
      </c>
      <c r="C220" t="s">
        <v>53</v>
      </c>
      <c r="D220">
        <v>1052</v>
      </c>
      <c r="E220" t="s">
        <v>36</v>
      </c>
      <c r="F220">
        <v>6</v>
      </c>
      <c r="G220">
        <v>3</v>
      </c>
      <c r="H220" t="s">
        <v>49</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c r="AJ220">
        <f t="shared" si="3"/>
        <v>0</v>
      </c>
      <c r="AK220" t="str" cm="1">
        <f t="array" ref="AK220">_xlfn.IFS(A220&lt;=30,"18-30",A220&lt;=45,"31-45",A220&lt;=60,"46-60",TRUE, "60+")</f>
        <v>31-45</v>
      </c>
      <c r="AL220" t="str" cm="1">
        <f t="array" ref="AL220">_xlfn.IFS(F220&lt;=10,"0-10",F220&lt;=20,"11-20",TRUE,"20+")</f>
        <v>0-10</v>
      </c>
      <c r="AM220" t="str" cm="1">
        <f t="array" ref="AM220">_xlfn.IFS(S220&lt;=5000,"0-5k",S220&lt;=10000,"5k-10k",S220&lt;=15000,"10k-15k",TRUE,"15k+")</f>
        <v>5k-10k</v>
      </c>
      <c r="AN220" t="str" cm="1">
        <f t="array" ref="AN220">_xlfn.IFS(AF220&lt;=10,"0-10",AF220&lt;=20,"10-20",AF220&lt;=30,"20-30",TRUE,"30+")</f>
        <v>10-20</v>
      </c>
      <c r="AO220" t="str" cm="1">
        <f t="array" ref="AO220">_xlfn.IFS(Y220=1,"Poor",Y220=2,"Average",Y220=3,"Good",TRUE,"Excellent")</f>
        <v>Good</v>
      </c>
      <c r="AP220" t="str" cm="1">
        <f t="array" ref="AP220">_xlfn.IFS(Q220=1,"Low",Q220=2,"Medium",Q220=3,"High",TRUE,"Very High")</f>
        <v>Very High</v>
      </c>
    </row>
    <row r="221" spans="1:42" x14ac:dyDescent="0.25">
      <c r="A221">
        <v>54</v>
      </c>
      <c r="B221" t="s">
        <v>42</v>
      </c>
      <c r="C221" t="s">
        <v>90</v>
      </c>
      <c r="D221">
        <v>1147</v>
      </c>
      <c r="E221" t="s">
        <v>36</v>
      </c>
      <c r="F221">
        <v>3</v>
      </c>
      <c r="G221">
        <v>3</v>
      </c>
      <c r="H221" t="s">
        <v>57</v>
      </c>
      <c r="I221">
        <v>1</v>
      </c>
      <c r="J221">
        <v>303</v>
      </c>
      <c r="K221">
        <v>4</v>
      </c>
      <c r="L221" t="s">
        <v>38</v>
      </c>
      <c r="M221">
        <v>52</v>
      </c>
      <c r="N221">
        <v>3</v>
      </c>
      <c r="O221">
        <v>2</v>
      </c>
      <c r="P221" t="s">
        <v>39</v>
      </c>
      <c r="Q221">
        <v>1</v>
      </c>
      <c r="R221" t="s">
        <v>46</v>
      </c>
      <c r="S221">
        <v>5940</v>
      </c>
      <c r="T221">
        <v>17011</v>
      </c>
      <c r="U221">
        <v>2</v>
      </c>
      <c r="V221" t="s">
        <v>41</v>
      </c>
      <c r="W221" t="s">
        <v>42</v>
      </c>
      <c r="X221">
        <v>14</v>
      </c>
      <c r="Y221">
        <v>3</v>
      </c>
      <c r="Z221">
        <v>4</v>
      </c>
      <c r="AA221">
        <v>80</v>
      </c>
      <c r="AB221">
        <v>1</v>
      </c>
      <c r="AC221">
        <v>16</v>
      </c>
      <c r="AD221">
        <v>4</v>
      </c>
      <c r="AE221">
        <v>3</v>
      </c>
      <c r="AF221">
        <v>6</v>
      </c>
      <c r="AG221">
        <v>2</v>
      </c>
      <c r="AH221">
        <v>0</v>
      </c>
      <c r="AI221">
        <v>5</v>
      </c>
      <c r="AJ221">
        <f t="shared" si="3"/>
        <v>0</v>
      </c>
      <c r="AK221" t="str" cm="1">
        <f t="array" ref="AK221">_xlfn.IFS(A221&lt;=30,"18-30",A221&lt;=45,"31-45",A221&lt;=60,"46-60",TRUE, "60+")</f>
        <v>46-60</v>
      </c>
      <c r="AL221" t="str" cm="1">
        <f t="array" ref="AL221">_xlfn.IFS(F221&lt;=10,"0-10",F221&lt;=20,"11-20",TRUE,"20+")</f>
        <v>0-10</v>
      </c>
      <c r="AM221" t="str" cm="1">
        <f t="array" ref="AM221">_xlfn.IFS(S221&lt;=5000,"0-5k",S221&lt;=10000,"5k-10k",S221&lt;=15000,"10k-15k",TRUE,"15k+")</f>
        <v>5k-10k</v>
      </c>
      <c r="AN221" t="str" cm="1">
        <f t="array" ref="AN221">_xlfn.IFS(AF221&lt;=10,"0-10",AF221&lt;=20,"10-20",AF221&lt;=30,"20-30",TRUE,"30+")</f>
        <v>0-10</v>
      </c>
      <c r="AO221" t="str" cm="1">
        <f t="array" ref="AO221">_xlfn.IFS(Y221=1,"Poor",Y221=2,"Average",Y221=3,"Good",TRUE,"Excellent")</f>
        <v>Good</v>
      </c>
      <c r="AP221" t="str" cm="1">
        <f t="array" ref="AP221">_xlfn.IFS(Q221=1,"Low",Q221=2,"Medium",Q221=3,"High",TRUE,"Very High")</f>
        <v>Low</v>
      </c>
    </row>
    <row r="222" spans="1:42" x14ac:dyDescent="0.25">
      <c r="A222">
        <v>36</v>
      </c>
      <c r="B222" t="s">
        <v>42</v>
      </c>
      <c r="C222" t="s">
        <v>90</v>
      </c>
      <c r="D222">
        <v>1396</v>
      </c>
      <c r="E222" t="s">
        <v>43</v>
      </c>
      <c r="F222">
        <v>5</v>
      </c>
      <c r="G222">
        <v>2</v>
      </c>
      <c r="H222" t="s">
        <v>37</v>
      </c>
      <c r="I222">
        <v>1</v>
      </c>
      <c r="J222">
        <v>304</v>
      </c>
      <c r="K222">
        <v>4</v>
      </c>
      <c r="L222" t="s">
        <v>44</v>
      </c>
      <c r="M222">
        <v>62</v>
      </c>
      <c r="N222">
        <v>3</v>
      </c>
      <c r="O222">
        <v>2</v>
      </c>
      <c r="P222" t="s">
        <v>48</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c r="AJ222">
        <f t="shared" si="3"/>
        <v>0</v>
      </c>
      <c r="AK222" t="str" cm="1">
        <f t="array" ref="AK222">_xlfn.IFS(A222&lt;=30,"18-30",A222&lt;=45,"31-45",A222&lt;=60,"46-60",TRUE, "60+")</f>
        <v>31-45</v>
      </c>
      <c r="AL222" t="str" cm="1">
        <f t="array" ref="AL222">_xlfn.IFS(F222&lt;=10,"0-10",F222&lt;=20,"11-20",TRUE,"20+")</f>
        <v>0-10</v>
      </c>
      <c r="AM222" t="str" cm="1">
        <f t="array" ref="AM222">_xlfn.IFS(S222&lt;=5000,"0-5k",S222&lt;=10000,"5k-10k",S222&lt;=15000,"10k-15k",TRUE,"15k+")</f>
        <v>5k-10k</v>
      </c>
      <c r="AN222" t="str" cm="1">
        <f t="array" ref="AN222">_xlfn.IFS(AF222&lt;=10,"0-10",AF222&lt;=20,"10-20",AF222&lt;=30,"20-30",TRUE,"30+")</f>
        <v>10-20</v>
      </c>
      <c r="AO222" t="str" cm="1">
        <f t="array" ref="AO222">_xlfn.IFS(Y222=1,"Poor",Y222=2,"Average",Y222=3,"Good",TRUE,"Excellent")</f>
        <v>Good</v>
      </c>
      <c r="AP222" t="str" cm="1">
        <f t="array" ref="AP222">_xlfn.IFS(Q222=1,"Low",Q222=2,"Medium",Q222=3,"High",TRUE,"Very High")</f>
        <v>Medium</v>
      </c>
    </row>
    <row r="223" spans="1:42" x14ac:dyDescent="0.25">
      <c r="A223">
        <v>33</v>
      </c>
      <c r="B223" t="s">
        <v>42</v>
      </c>
      <c r="C223" t="s">
        <v>90</v>
      </c>
      <c r="D223">
        <v>147</v>
      </c>
      <c r="E223" t="s">
        <v>43</v>
      </c>
      <c r="F223">
        <v>4</v>
      </c>
      <c r="G223">
        <v>4</v>
      </c>
      <c r="H223" t="s">
        <v>49</v>
      </c>
      <c r="I223">
        <v>1</v>
      </c>
      <c r="J223">
        <v>305</v>
      </c>
      <c r="K223">
        <v>3</v>
      </c>
      <c r="L223" t="s">
        <v>38</v>
      </c>
      <c r="M223">
        <v>47</v>
      </c>
      <c r="N223">
        <v>2</v>
      </c>
      <c r="O223">
        <v>1</v>
      </c>
      <c r="P223" t="s">
        <v>45</v>
      </c>
      <c r="Q223">
        <v>2</v>
      </c>
      <c r="R223" t="s">
        <v>46</v>
      </c>
      <c r="S223">
        <v>2622</v>
      </c>
      <c r="T223">
        <v>13248</v>
      </c>
      <c r="U223">
        <v>6</v>
      </c>
      <c r="V223" t="s">
        <v>41</v>
      </c>
      <c r="W223" t="s">
        <v>42</v>
      </c>
      <c r="X223">
        <v>21</v>
      </c>
      <c r="Y223">
        <v>4</v>
      </c>
      <c r="Z223">
        <v>4</v>
      </c>
      <c r="AA223">
        <v>80</v>
      </c>
      <c r="AB223">
        <v>0</v>
      </c>
      <c r="AC223">
        <v>7</v>
      </c>
      <c r="AD223">
        <v>3</v>
      </c>
      <c r="AE223">
        <v>3</v>
      </c>
      <c r="AF223">
        <v>3</v>
      </c>
      <c r="AG223">
        <v>2</v>
      </c>
      <c r="AH223">
        <v>1</v>
      </c>
      <c r="AI223">
        <v>1</v>
      </c>
      <c r="AJ223">
        <f t="shared" si="3"/>
        <v>0</v>
      </c>
      <c r="AK223" t="str" cm="1">
        <f t="array" ref="AK223">_xlfn.IFS(A223&lt;=30,"18-30",A223&lt;=45,"31-45",A223&lt;=60,"46-60",TRUE, "60+")</f>
        <v>31-45</v>
      </c>
      <c r="AL223" t="str" cm="1">
        <f t="array" ref="AL223">_xlfn.IFS(F223&lt;=10,"0-10",F223&lt;=20,"11-20",TRUE,"20+")</f>
        <v>0-10</v>
      </c>
      <c r="AM223" t="str" cm="1">
        <f t="array" ref="AM223">_xlfn.IFS(S223&lt;=5000,"0-5k",S223&lt;=10000,"5k-10k",S223&lt;=15000,"10k-15k",TRUE,"15k+")</f>
        <v>0-5k</v>
      </c>
      <c r="AN223" t="str" cm="1">
        <f t="array" ref="AN223">_xlfn.IFS(AF223&lt;=10,"0-10",AF223&lt;=20,"10-20",AF223&lt;=30,"20-30",TRUE,"30+")</f>
        <v>0-10</v>
      </c>
      <c r="AO223" t="str" cm="1">
        <f t="array" ref="AO223">_xlfn.IFS(Y223=1,"Poor",Y223=2,"Average",Y223=3,"Good",TRUE,"Excellent")</f>
        <v>Excellent</v>
      </c>
      <c r="AP223" t="str" cm="1">
        <f t="array" ref="AP223">_xlfn.IFS(Q223=1,"Low",Q223=2,"Medium",Q223=3,"High",TRUE,"Very High")</f>
        <v>Medium</v>
      </c>
    </row>
    <row r="224" spans="1:42" x14ac:dyDescent="0.25">
      <c r="A224">
        <v>37</v>
      </c>
      <c r="B224" t="s">
        <v>42</v>
      </c>
      <c r="C224" t="s">
        <v>91</v>
      </c>
      <c r="D224">
        <v>663</v>
      </c>
      <c r="E224" t="s">
        <v>43</v>
      </c>
      <c r="F224">
        <v>11</v>
      </c>
      <c r="G224">
        <v>3</v>
      </c>
      <c r="H224" t="s">
        <v>47</v>
      </c>
      <c r="I224">
        <v>1</v>
      </c>
      <c r="J224">
        <v>306</v>
      </c>
      <c r="K224">
        <v>2</v>
      </c>
      <c r="L224" t="s">
        <v>44</v>
      </c>
      <c r="M224">
        <v>47</v>
      </c>
      <c r="N224">
        <v>3</v>
      </c>
      <c r="O224">
        <v>3</v>
      </c>
      <c r="P224" t="s">
        <v>56</v>
      </c>
      <c r="Q224">
        <v>4</v>
      </c>
      <c r="R224" t="s">
        <v>50</v>
      </c>
      <c r="S224">
        <v>12185</v>
      </c>
      <c r="T224">
        <v>10056</v>
      </c>
      <c r="U224">
        <v>1</v>
      </c>
      <c r="V224" t="s">
        <v>41</v>
      </c>
      <c r="W224" t="s">
        <v>35</v>
      </c>
      <c r="X224">
        <v>14</v>
      </c>
      <c r="Y224">
        <v>3</v>
      </c>
      <c r="Z224">
        <v>3</v>
      </c>
      <c r="AA224">
        <v>80</v>
      </c>
      <c r="AB224">
        <v>3</v>
      </c>
      <c r="AC224">
        <v>10</v>
      </c>
      <c r="AD224">
        <v>1</v>
      </c>
      <c r="AE224">
        <v>3</v>
      </c>
      <c r="AF224">
        <v>10</v>
      </c>
      <c r="AG224">
        <v>8</v>
      </c>
      <c r="AH224">
        <v>0</v>
      </c>
      <c r="AI224">
        <v>7</v>
      </c>
      <c r="AJ224">
        <f t="shared" si="3"/>
        <v>0</v>
      </c>
      <c r="AK224" t="str" cm="1">
        <f t="array" ref="AK224">_xlfn.IFS(A224&lt;=30,"18-30",A224&lt;=45,"31-45",A224&lt;=60,"46-60",TRUE, "60+")</f>
        <v>31-45</v>
      </c>
      <c r="AL224" t="str" cm="1">
        <f t="array" ref="AL224">_xlfn.IFS(F224&lt;=10,"0-10",F224&lt;=20,"11-20",TRUE,"20+")</f>
        <v>11-20</v>
      </c>
      <c r="AM224" t="str" cm="1">
        <f t="array" ref="AM224">_xlfn.IFS(S224&lt;=5000,"0-5k",S224&lt;=10000,"5k-10k",S224&lt;=15000,"10k-15k",TRUE,"15k+")</f>
        <v>10k-15k</v>
      </c>
      <c r="AN224" t="str" cm="1">
        <f t="array" ref="AN224">_xlfn.IFS(AF224&lt;=10,"0-10",AF224&lt;=20,"10-20",AF224&lt;=30,"20-30",TRUE,"30+")</f>
        <v>0-10</v>
      </c>
      <c r="AO224" t="str" cm="1">
        <f t="array" ref="AO224">_xlfn.IFS(Y224=1,"Poor",Y224=2,"Average",Y224=3,"Good",TRUE,"Excellent")</f>
        <v>Good</v>
      </c>
      <c r="AP224" t="str" cm="1">
        <f t="array" ref="AP224">_xlfn.IFS(Q224=1,"Low",Q224=2,"Medium",Q224=3,"High",TRUE,"Very High")</f>
        <v>Very High</v>
      </c>
    </row>
    <row r="225" spans="1:42" x14ac:dyDescent="0.25">
      <c r="A225">
        <v>38</v>
      </c>
      <c r="B225" t="s">
        <v>42</v>
      </c>
      <c r="C225" t="s">
        <v>90</v>
      </c>
      <c r="D225">
        <v>119</v>
      </c>
      <c r="E225" t="s">
        <v>36</v>
      </c>
      <c r="F225">
        <v>3</v>
      </c>
      <c r="G225">
        <v>3</v>
      </c>
      <c r="H225" t="s">
        <v>37</v>
      </c>
      <c r="I225">
        <v>1</v>
      </c>
      <c r="J225">
        <v>307</v>
      </c>
      <c r="K225">
        <v>1</v>
      </c>
      <c r="L225" t="s">
        <v>44</v>
      </c>
      <c r="M225">
        <v>76</v>
      </c>
      <c r="N225">
        <v>3</v>
      </c>
      <c r="O225">
        <v>3</v>
      </c>
      <c r="P225" t="s">
        <v>39</v>
      </c>
      <c r="Q225">
        <v>3</v>
      </c>
      <c r="R225" t="s">
        <v>50</v>
      </c>
      <c r="S225">
        <v>10609</v>
      </c>
      <c r="T225">
        <v>9647</v>
      </c>
      <c r="U225">
        <v>0</v>
      </c>
      <c r="V225" t="s">
        <v>41</v>
      </c>
      <c r="W225" t="s">
        <v>42</v>
      </c>
      <c r="X225">
        <v>12</v>
      </c>
      <c r="Y225">
        <v>3</v>
      </c>
      <c r="Z225">
        <v>3</v>
      </c>
      <c r="AA225">
        <v>80</v>
      </c>
      <c r="AB225">
        <v>2</v>
      </c>
      <c r="AC225">
        <v>17</v>
      </c>
      <c r="AD225">
        <v>6</v>
      </c>
      <c r="AE225">
        <v>2</v>
      </c>
      <c r="AF225">
        <v>16</v>
      </c>
      <c r="AG225">
        <v>10</v>
      </c>
      <c r="AH225">
        <v>5</v>
      </c>
      <c r="AI225">
        <v>13</v>
      </c>
      <c r="AJ225">
        <f t="shared" si="3"/>
        <v>0</v>
      </c>
      <c r="AK225" t="str" cm="1">
        <f t="array" ref="AK225">_xlfn.IFS(A225&lt;=30,"18-30",A225&lt;=45,"31-45",A225&lt;=60,"46-60",TRUE, "60+")</f>
        <v>31-45</v>
      </c>
      <c r="AL225" t="str" cm="1">
        <f t="array" ref="AL225">_xlfn.IFS(F225&lt;=10,"0-10",F225&lt;=20,"11-20",TRUE,"20+")</f>
        <v>0-10</v>
      </c>
      <c r="AM225" t="str" cm="1">
        <f t="array" ref="AM225">_xlfn.IFS(S225&lt;=5000,"0-5k",S225&lt;=10000,"5k-10k",S225&lt;=15000,"10k-15k",TRUE,"15k+")</f>
        <v>10k-15k</v>
      </c>
      <c r="AN225" t="str" cm="1">
        <f t="array" ref="AN225">_xlfn.IFS(AF225&lt;=10,"0-10",AF225&lt;=20,"10-20",AF225&lt;=30,"20-30",TRUE,"30+")</f>
        <v>10-20</v>
      </c>
      <c r="AO225" t="str" cm="1">
        <f t="array" ref="AO225">_xlfn.IFS(Y225=1,"Poor",Y225=2,"Average",Y225=3,"Good",TRUE,"Excellent")</f>
        <v>Good</v>
      </c>
      <c r="AP225" t="str" cm="1">
        <f t="array" ref="AP225">_xlfn.IFS(Q225=1,"Low",Q225=2,"Medium",Q225=3,"High",TRUE,"Very High")</f>
        <v>High</v>
      </c>
    </row>
    <row r="226" spans="1:42" x14ac:dyDescent="0.25">
      <c r="A226">
        <v>31</v>
      </c>
      <c r="B226" t="s">
        <v>42</v>
      </c>
      <c r="C226" t="s">
        <v>53</v>
      </c>
      <c r="D226">
        <v>979</v>
      </c>
      <c r="E226" t="s">
        <v>43</v>
      </c>
      <c r="F226">
        <v>1</v>
      </c>
      <c r="G226">
        <v>4</v>
      </c>
      <c r="H226" t="s">
        <v>49</v>
      </c>
      <c r="I226">
        <v>1</v>
      </c>
      <c r="J226">
        <v>308</v>
      </c>
      <c r="K226">
        <v>3</v>
      </c>
      <c r="L226" t="s">
        <v>44</v>
      </c>
      <c r="M226">
        <v>90</v>
      </c>
      <c r="N226">
        <v>1</v>
      </c>
      <c r="O226">
        <v>2</v>
      </c>
      <c r="P226" t="s">
        <v>51</v>
      </c>
      <c r="Q226">
        <v>3</v>
      </c>
      <c r="R226" t="s">
        <v>46</v>
      </c>
      <c r="S226">
        <v>4345</v>
      </c>
      <c r="T226">
        <v>4381</v>
      </c>
      <c r="U226">
        <v>0</v>
      </c>
      <c r="V226" t="s">
        <v>41</v>
      </c>
      <c r="W226" t="s">
        <v>42</v>
      </c>
      <c r="X226">
        <v>12</v>
      </c>
      <c r="Y226">
        <v>3</v>
      </c>
      <c r="Z226">
        <v>4</v>
      </c>
      <c r="AA226">
        <v>80</v>
      </c>
      <c r="AB226">
        <v>1</v>
      </c>
      <c r="AC226">
        <v>6</v>
      </c>
      <c r="AD226">
        <v>2</v>
      </c>
      <c r="AE226">
        <v>3</v>
      </c>
      <c r="AF226">
        <v>5</v>
      </c>
      <c r="AG226">
        <v>4</v>
      </c>
      <c r="AH226">
        <v>1</v>
      </c>
      <c r="AI226">
        <v>4</v>
      </c>
      <c r="AJ226">
        <f t="shared" si="3"/>
        <v>0</v>
      </c>
      <c r="AK226" t="str" cm="1">
        <f t="array" ref="AK226">_xlfn.IFS(A226&lt;=30,"18-30",A226&lt;=45,"31-45",A226&lt;=60,"46-60",TRUE, "60+")</f>
        <v>31-45</v>
      </c>
      <c r="AL226" t="str" cm="1">
        <f t="array" ref="AL226">_xlfn.IFS(F226&lt;=10,"0-10",F226&lt;=20,"11-20",TRUE,"20+")</f>
        <v>0-10</v>
      </c>
      <c r="AM226" t="str" cm="1">
        <f t="array" ref="AM226">_xlfn.IFS(S226&lt;=5000,"0-5k",S226&lt;=10000,"5k-10k",S226&lt;=15000,"10k-15k",TRUE,"15k+")</f>
        <v>0-5k</v>
      </c>
      <c r="AN226" t="str" cm="1">
        <f t="array" ref="AN226">_xlfn.IFS(AF226&lt;=10,"0-10",AF226&lt;=20,"10-20",AF226&lt;=30,"20-30",TRUE,"30+")</f>
        <v>0-10</v>
      </c>
      <c r="AO226" t="str" cm="1">
        <f t="array" ref="AO226">_xlfn.IFS(Y226=1,"Poor",Y226=2,"Average",Y226=3,"Good",TRUE,"Excellent")</f>
        <v>Good</v>
      </c>
      <c r="AP226" t="str" cm="1">
        <f t="array" ref="AP226">_xlfn.IFS(Q226=1,"Low",Q226=2,"Medium",Q226=3,"High",TRUE,"Very High")</f>
        <v>High</v>
      </c>
    </row>
    <row r="227" spans="1:42" x14ac:dyDescent="0.25">
      <c r="A227">
        <v>59</v>
      </c>
      <c r="B227" t="s">
        <v>42</v>
      </c>
      <c r="C227" t="s">
        <v>90</v>
      </c>
      <c r="D227">
        <v>142</v>
      </c>
      <c r="E227" t="s">
        <v>43</v>
      </c>
      <c r="F227">
        <v>3</v>
      </c>
      <c r="G227">
        <v>3</v>
      </c>
      <c r="H227" t="s">
        <v>37</v>
      </c>
      <c r="I227">
        <v>1</v>
      </c>
      <c r="J227">
        <v>309</v>
      </c>
      <c r="K227">
        <v>3</v>
      </c>
      <c r="L227" t="s">
        <v>44</v>
      </c>
      <c r="M227">
        <v>70</v>
      </c>
      <c r="N227">
        <v>2</v>
      </c>
      <c r="O227">
        <v>1</v>
      </c>
      <c r="P227" t="s">
        <v>45</v>
      </c>
      <c r="Q227">
        <v>4</v>
      </c>
      <c r="R227" t="s">
        <v>46</v>
      </c>
      <c r="S227">
        <v>2177</v>
      </c>
      <c r="T227">
        <v>8456</v>
      </c>
      <c r="U227">
        <v>3</v>
      </c>
      <c r="V227" t="s">
        <v>41</v>
      </c>
      <c r="W227" t="s">
        <v>42</v>
      </c>
      <c r="X227">
        <v>17</v>
      </c>
      <c r="Y227">
        <v>3</v>
      </c>
      <c r="Z227">
        <v>1</v>
      </c>
      <c r="AA227">
        <v>80</v>
      </c>
      <c r="AB227">
        <v>1</v>
      </c>
      <c r="AC227">
        <v>7</v>
      </c>
      <c r="AD227">
        <v>6</v>
      </c>
      <c r="AE227">
        <v>3</v>
      </c>
      <c r="AF227">
        <v>1</v>
      </c>
      <c r="AG227">
        <v>0</v>
      </c>
      <c r="AH227">
        <v>0</v>
      </c>
      <c r="AI227">
        <v>0</v>
      </c>
      <c r="AJ227">
        <f t="shared" si="3"/>
        <v>0</v>
      </c>
      <c r="AK227" t="str" cm="1">
        <f t="array" ref="AK227">_xlfn.IFS(A227&lt;=30,"18-30",A227&lt;=45,"31-45",A227&lt;=60,"46-60",TRUE, "60+")</f>
        <v>46-60</v>
      </c>
      <c r="AL227" t="str" cm="1">
        <f t="array" ref="AL227">_xlfn.IFS(F227&lt;=10,"0-10",F227&lt;=20,"11-20",TRUE,"20+")</f>
        <v>0-10</v>
      </c>
      <c r="AM227" t="str" cm="1">
        <f t="array" ref="AM227">_xlfn.IFS(S227&lt;=5000,"0-5k",S227&lt;=10000,"5k-10k",S227&lt;=15000,"10k-15k",TRUE,"15k+")</f>
        <v>0-5k</v>
      </c>
      <c r="AN227" t="str" cm="1">
        <f t="array" ref="AN227">_xlfn.IFS(AF227&lt;=10,"0-10",AF227&lt;=20,"10-20",AF227&lt;=30,"20-30",TRUE,"30+")</f>
        <v>0-10</v>
      </c>
      <c r="AO227" t="str" cm="1">
        <f t="array" ref="AO227">_xlfn.IFS(Y227=1,"Poor",Y227=2,"Average",Y227=3,"Good",TRUE,"Excellent")</f>
        <v>Good</v>
      </c>
      <c r="AP227" t="str" cm="1">
        <f t="array" ref="AP227">_xlfn.IFS(Q227=1,"Low",Q227=2,"Medium",Q227=3,"High",TRUE,"Very High")</f>
        <v>Very High</v>
      </c>
    </row>
    <row r="228" spans="1:42" x14ac:dyDescent="0.25">
      <c r="A228">
        <v>37</v>
      </c>
      <c r="B228" t="s">
        <v>42</v>
      </c>
      <c r="C228" t="s">
        <v>91</v>
      </c>
      <c r="D228">
        <v>319</v>
      </c>
      <c r="E228" t="s">
        <v>36</v>
      </c>
      <c r="F228">
        <v>4</v>
      </c>
      <c r="G228">
        <v>4</v>
      </c>
      <c r="H228" t="s">
        <v>57</v>
      </c>
      <c r="I228">
        <v>1</v>
      </c>
      <c r="J228">
        <v>311</v>
      </c>
      <c r="K228">
        <v>1</v>
      </c>
      <c r="L228" t="s">
        <v>44</v>
      </c>
      <c r="M228">
        <v>41</v>
      </c>
      <c r="N228">
        <v>3</v>
      </c>
      <c r="O228">
        <v>1</v>
      </c>
      <c r="P228" t="s">
        <v>55</v>
      </c>
      <c r="Q228">
        <v>4</v>
      </c>
      <c r="R228" t="s">
        <v>50</v>
      </c>
      <c r="S228">
        <v>2793</v>
      </c>
      <c r="T228">
        <v>2539</v>
      </c>
      <c r="U228">
        <v>4</v>
      </c>
      <c r="V228" t="s">
        <v>41</v>
      </c>
      <c r="W228" t="s">
        <v>42</v>
      </c>
      <c r="X228">
        <v>17</v>
      </c>
      <c r="Y228">
        <v>3</v>
      </c>
      <c r="Z228">
        <v>3</v>
      </c>
      <c r="AA228">
        <v>80</v>
      </c>
      <c r="AB228">
        <v>1</v>
      </c>
      <c r="AC228">
        <v>13</v>
      </c>
      <c r="AD228">
        <v>2</v>
      </c>
      <c r="AE228">
        <v>3</v>
      </c>
      <c r="AF228">
        <v>9</v>
      </c>
      <c r="AG228">
        <v>8</v>
      </c>
      <c r="AH228">
        <v>5</v>
      </c>
      <c r="AI228">
        <v>8</v>
      </c>
      <c r="AJ228">
        <f t="shared" si="3"/>
        <v>0</v>
      </c>
      <c r="AK228" t="str" cm="1">
        <f t="array" ref="AK228">_xlfn.IFS(A228&lt;=30,"18-30",A228&lt;=45,"31-45",A228&lt;=60,"46-60",TRUE, "60+")</f>
        <v>31-45</v>
      </c>
      <c r="AL228" t="str" cm="1">
        <f t="array" ref="AL228">_xlfn.IFS(F228&lt;=10,"0-10",F228&lt;=20,"11-20",TRUE,"20+")</f>
        <v>0-10</v>
      </c>
      <c r="AM228" t="str" cm="1">
        <f t="array" ref="AM228">_xlfn.IFS(S228&lt;=5000,"0-5k",S228&lt;=10000,"5k-10k",S228&lt;=15000,"10k-15k",TRUE,"15k+")</f>
        <v>0-5k</v>
      </c>
      <c r="AN228" t="str" cm="1">
        <f t="array" ref="AN228">_xlfn.IFS(AF228&lt;=10,"0-10",AF228&lt;=20,"10-20",AF228&lt;=30,"20-30",TRUE,"30+")</f>
        <v>0-10</v>
      </c>
      <c r="AO228" t="str" cm="1">
        <f t="array" ref="AO228">_xlfn.IFS(Y228=1,"Poor",Y228=2,"Average",Y228=3,"Good",TRUE,"Excellent")</f>
        <v>Good</v>
      </c>
      <c r="AP228" t="str" cm="1">
        <f t="array" ref="AP228">_xlfn.IFS(Q228=1,"Low",Q228=2,"Medium",Q228=3,"High",TRUE,"Very High")</f>
        <v>Very High</v>
      </c>
    </row>
    <row r="229" spans="1:42" x14ac:dyDescent="0.25">
      <c r="A229">
        <v>29</v>
      </c>
      <c r="B229" t="s">
        <v>42</v>
      </c>
      <c r="C229" t="s">
        <v>91</v>
      </c>
      <c r="D229">
        <v>1413</v>
      </c>
      <c r="E229" t="s">
        <v>36</v>
      </c>
      <c r="F229">
        <v>1</v>
      </c>
      <c r="G229">
        <v>1</v>
      </c>
      <c r="H229" t="s">
        <v>49</v>
      </c>
      <c r="I229">
        <v>1</v>
      </c>
      <c r="J229">
        <v>312</v>
      </c>
      <c r="K229">
        <v>2</v>
      </c>
      <c r="L229" t="s">
        <v>38</v>
      </c>
      <c r="M229">
        <v>42</v>
      </c>
      <c r="N229">
        <v>3</v>
      </c>
      <c r="O229">
        <v>3</v>
      </c>
      <c r="P229" t="s">
        <v>39</v>
      </c>
      <c r="Q229">
        <v>4</v>
      </c>
      <c r="R229" t="s">
        <v>46</v>
      </c>
      <c r="S229">
        <v>7918</v>
      </c>
      <c r="T229">
        <v>6599</v>
      </c>
      <c r="U229">
        <v>1</v>
      </c>
      <c r="V229" t="s">
        <v>41</v>
      </c>
      <c r="W229" t="s">
        <v>42</v>
      </c>
      <c r="X229">
        <v>14</v>
      </c>
      <c r="Y229">
        <v>3</v>
      </c>
      <c r="Z229">
        <v>4</v>
      </c>
      <c r="AA229">
        <v>80</v>
      </c>
      <c r="AB229">
        <v>1</v>
      </c>
      <c r="AC229">
        <v>11</v>
      </c>
      <c r="AD229">
        <v>5</v>
      </c>
      <c r="AE229">
        <v>3</v>
      </c>
      <c r="AF229">
        <v>11</v>
      </c>
      <c r="AG229">
        <v>10</v>
      </c>
      <c r="AH229">
        <v>4</v>
      </c>
      <c r="AI229">
        <v>1</v>
      </c>
      <c r="AJ229">
        <f t="shared" si="3"/>
        <v>0</v>
      </c>
      <c r="AK229" t="str" cm="1">
        <f t="array" ref="AK229">_xlfn.IFS(A229&lt;=30,"18-30",A229&lt;=45,"31-45",A229&lt;=60,"46-60",TRUE, "60+")</f>
        <v>18-30</v>
      </c>
      <c r="AL229" t="str" cm="1">
        <f t="array" ref="AL229">_xlfn.IFS(F229&lt;=10,"0-10",F229&lt;=20,"11-20",TRUE,"20+")</f>
        <v>0-10</v>
      </c>
      <c r="AM229" t="str" cm="1">
        <f t="array" ref="AM229">_xlfn.IFS(S229&lt;=5000,"0-5k",S229&lt;=10000,"5k-10k",S229&lt;=15000,"10k-15k",TRUE,"15k+")</f>
        <v>5k-10k</v>
      </c>
      <c r="AN229" t="str" cm="1">
        <f t="array" ref="AN229">_xlfn.IFS(AF229&lt;=10,"0-10",AF229&lt;=20,"10-20",AF229&lt;=30,"20-30",TRUE,"30+")</f>
        <v>10-20</v>
      </c>
      <c r="AO229" t="str" cm="1">
        <f t="array" ref="AO229">_xlfn.IFS(Y229=1,"Poor",Y229=2,"Average",Y229=3,"Good",TRUE,"Excellent")</f>
        <v>Good</v>
      </c>
      <c r="AP229" t="str" cm="1">
        <f t="array" ref="AP229">_xlfn.IFS(Q229=1,"Low",Q229=2,"Medium",Q229=3,"High",TRUE,"Very High")</f>
        <v>Very High</v>
      </c>
    </row>
    <row r="230" spans="1:42" x14ac:dyDescent="0.25">
      <c r="A230">
        <v>35</v>
      </c>
      <c r="B230" t="s">
        <v>42</v>
      </c>
      <c r="C230" t="s">
        <v>91</v>
      </c>
      <c r="D230">
        <v>944</v>
      </c>
      <c r="E230" t="s">
        <v>36</v>
      </c>
      <c r="F230">
        <v>1</v>
      </c>
      <c r="G230">
        <v>3</v>
      </c>
      <c r="H230" t="s">
        <v>57</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c r="AJ230">
        <f t="shared" si="3"/>
        <v>0</v>
      </c>
      <c r="AK230" t="str" cm="1">
        <f t="array" ref="AK230">_xlfn.IFS(A230&lt;=30,"18-30",A230&lt;=45,"31-45",A230&lt;=60,"46-60",TRUE, "60+")</f>
        <v>31-45</v>
      </c>
      <c r="AL230" t="str" cm="1">
        <f t="array" ref="AL230">_xlfn.IFS(F230&lt;=10,"0-10",F230&lt;=20,"11-20",TRUE,"20+")</f>
        <v>0-10</v>
      </c>
      <c r="AM230" t="str" cm="1">
        <f t="array" ref="AM230">_xlfn.IFS(S230&lt;=5000,"0-5k",S230&lt;=10000,"5k-10k",S230&lt;=15000,"10k-15k",TRUE,"15k+")</f>
        <v>5k-10k</v>
      </c>
      <c r="AN230" t="str" cm="1">
        <f t="array" ref="AN230">_xlfn.IFS(AF230&lt;=10,"0-10",AF230&lt;=20,"10-20",AF230&lt;=30,"20-30",TRUE,"30+")</f>
        <v>0-10</v>
      </c>
      <c r="AO230" t="str" cm="1">
        <f t="array" ref="AO230">_xlfn.IFS(Y230=1,"Poor",Y230=2,"Average",Y230=3,"Good",TRUE,"Excellent")</f>
        <v>Good</v>
      </c>
      <c r="AP230" t="str" cm="1">
        <f t="array" ref="AP230">_xlfn.IFS(Q230=1,"Low",Q230=2,"Medium",Q230=3,"High",TRUE,"Very High")</f>
        <v>High</v>
      </c>
    </row>
    <row r="231" spans="1:42" x14ac:dyDescent="0.25">
      <c r="A231">
        <v>29</v>
      </c>
      <c r="B231" t="s">
        <v>35</v>
      </c>
      <c r="C231" t="s">
        <v>90</v>
      </c>
      <c r="D231">
        <v>896</v>
      </c>
      <c r="E231" t="s">
        <v>43</v>
      </c>
      <c r="F231">
        <v>18</v>
      </c>
      <c r="G231">
        <v>1</v>
      </c>
      <c r="H231" t="s">
        <v>49</v>
      </c>
      <c r="I231">
        <v>1</v>
      </c>
      <c r="J231">
        <v>315</v>
      </c>
      <c r="K231">
        <v>3</v>
      </c>
      <c r="L231" t="s">
        <v>44</v>
      </c>
      <c r="M231">
        <v>86</v>
      </c>
      <c r="N231">
        <v>2</v>
      </c>
      <c r="O231">
        <v>1</v>
      </c>
      <c r="P231" t="s">
        <v>45</v>
      </c>
      <c r="Q231">
        <v>4</v>
      </c>
      <c r="R231" t="s">
        <v>40</v>
      </c>
      <c r="S231">
        <v>2389</v>
      </c>
      <c r="T231">
        <v>14961</v>
      </c>
      <c r="U231">
        <v>1</v>
      </c>
      <c r="V231" t="s">
        <v>41</v>
      </c>
      <c r="W231" t="s">
        <v>35</v>
      </c>
      <c r="X231">
        <v>13</v>
      </c>
      <c r="Y231">
        <v>3</v>
      </c>
      <c r="Z231">
        <v>3</v>
      </c>
      <c r="AA231">
        <v>80</v>
      </c>
      <c r="AB231">
        <v>0</v>
      </c>
      <c r="AC231">
        <v>4</v>
      </c>
      <c r="AD231">
        <v>3</v>
      </c>
      <c r="AE231">
        <v>2</v>
      </c>
      <c r="AF231">
        <v>4</v>
      </c>
      <c r="AG231">
        <v>3</v>
      </c>
      <c r="AH231">
        <v>0</v>
      </c>
      <c r="AI231">
        <v>1</v>
      </c>
      <c r="AJ231">
        <f t="shared" si="3"/>
        <v>1</v>
      </c>
      <c r="AK231" t="str" cm="1">
        <f t="array" ref="AK231">_xlfn.IFS(A231&lt;=30,"18-30",A231&lt;=45,"31-45",A231&lt;=60,"46-60",TRUE, "60+")</f>
        <v>18-30</v>
      </c>
      <c r="AL231" t="str" cm="1">
        <f t="array" ref="AL231">_xlfn.IFS(F231&lt;=10,"0-10",F231&lt;=20,"11-20",TRUE,"20+")</f>
        <v>11-20</v>
      </c>
      <c r="AM231" t="str" cm="1">
        <f t="array" ref="AM231">_xlfn.IFS(S231&lt;=5000,"0-5k",S231&lt;=10000,"5k-10k",S231&lt;=15000,"10k-15k",TRUE,"15k+")</f>
        <v>0-5k</v>
      </c>
      <c r="AN231" t="str" cm="1">
        <f t="array" ref="AN231">_xlfn.IFS(AF231&lt;=10,"0-10",AF231&lt;=20,"10-20",AF231&lt;=30,"20-30",TRUE,"30+")</f>
        <v>0-10</v>
      </c>
      <c r="AO231" t="str" cm="1">
        <f t="array" ref="AO231">_xlfn.IFS(Y231=1,"Poor",Y231=2,"Average",Y231=3,"Good",TRUE,"Excellent")</f>
        <v>Good</v>
      </c>
      <c r="AP231" t="str" cm="1">
        <f t="array" ref="AP231">_xlfn.IFS(Q231=1,"Low",Q231=2,"Medium",Q231=3,"High",TRUE,"Very High")</f>
        <v>Very High</v>
      </c>
    </row>
    <row r="232" spans="1:42" x14ac:dyDescent="0.25">
      <c r="A232">
        <v>52</v>
      </c>
      <c r="B232" t="s">
        <v>42</v>
      </c>
      <c r="C232" t="s">
        <v>90</v>
      </c>
      <c r="D232">
        <v>1323</v>
      </c>
      <c r="E232" t="s">
        <v>43</v>
      </c>
      <c r="F232">
        <v>2</v>
      </c>
      <c r="G232">
        <v>3</v>
      </c>
      <c r="H232" t="s">
        <v>37</v>
      </c>
      <c r="I232">
        <v>1</v>
      </c>
      <c r="J232">
        <v>316</v>
      </c>
      <c r="K232">
        <v>3</v>
      </c>
      <c r="L232" t="s">
        <v>38</v>
      </c>
      <c r="M232">
        <v>89</v>
      </c>
      <c r="N232">
        <v>2</v>
      </c>
      <c r="O232">
        <v>1</v>
      </c>
      <c r="P232" t="s">
        <v>48</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c r="AJ232">
        <f t="shared" si="3"/>
        <v>0</v>
      </c>
      <c r="AK232" t="str" cm="1">
        <f t="array" ref="AK232">_xlfn.IFS(A232&lt;=30,"18-30",A232&lt;=45,"31-45",A232&lt;=60,"46-60",TRUE, "60+")</f>
        <v>46-60</v>
      </c>
      <c r="AL232" t="str" cm="1">
        <f t="array" ref="AL232">_xlfn.IFS(F232&lt;=10,"0-10",F232&lt;=20,"11-20",TRUE,"20+")</f>
        <v>0-10</v>
      </c>
      <c r="AM232" t="str" cm="1">
        <f t="array" ref="AM232">_xlfn.IFS(S232&lt;=5000,"0-5k",S232&lt;=10000,"5k-10k",S232&lt;=15000,"10k-15k",TRUE,"15k+")</f>
        <v>0-5k</v>
      </c>
      <c r="AN232" t="str" cm="1">
        <f t="array" ref="AN232">_xlfn.IFS(AF232&lt;=10,"0-10",AF232&lt;=20,"10-20",AF232&lt;=30,"20-30",TRUE,"30+")</f>
        <v>0-10</v>
      </c>
      <c r="AO232" t="str" cm="1">
        <f t="array" ref="AO232">_xlfn.IFS(Y232=1,"Poor",Y232=2,"Average",Y232=3,"Good",TRUE,"Excellent")</f>
        <v>Good</v>
      </c>
      <c r="AP232" t="str" cm="1">
        <f t="array" ref="AP232">_xlfn.IFS(Q232=1,"Low",Q232=2,"Medium",Q232=3,"High",TRUE,"Very High")</f>
        <v>Very High</v>
      </c>
    </row>
    <row r="233" spans="1:42" x14ac:dyDescent="0.25">
      <c r="A233">
        <v>42</v>
      </c>
      <c r="B233" t="s">
        <v>42</v>
      </c>
      <c r="C233" t="s">
        <v>90</v>
      </c>
      <c r="D233">
        <v>532</v>
      </c>
      <c r="E233" t="s">
        <v>43</v>
      </c>
      <c r="F233">
        <v>4</v>
      </c>
      <c r="G233">
        <v>2</v>
      </c>
      <c r="H233" t="s">
        <v>58</v>
      </c>
      <c r="I233">
        <v>1</v>
      </c>
      <c r="J233">
        <v>319</v>
      </c>
      <c r="K233">
        <v>3</v>
      </c>
      <c r="L233" t="s">
        <v>44</v>
      </c>
      <c r="M233">
        <v>58</v>
      </c>
      <c r="N233">
        <v>3</v>
      </c>
      <c r="O233">
        <v>5</v>
      </c>
      <c r="P233" t="s">
        <v>54</v>
      </c>
      <c r="Q233">
        <v>4</v>
      </c>
      <c r="R233" t="s">
        <v>46</v>
      </c>
      <c r="S233">
        <v>19232</v>
      </c>
      <c r="T233">
        <v>4933</v>
      </c>
      <c r="U233">
        <v>1</v>
      </c>
      <c r="V233" t="s">
        <v>41</v>
      </c>
      <c r="W233" t="s">
        <v>42</v>
      </c>
      <c r="X233">
        <v>11</v>
      </c>
      <c r="Y233">
        <v>3</v>
      </c>
      <c r="Z233">
        <v>4</v>
      </c>
      <c r="AA233">
        <v>80</v>
      </c>
      <c r="AB233">
        <v>0</v>
      </c>
      <c r="AC233">
        <v>22</v>
      </c>
      <c r="AD233">
        <v>3</v>
      </c>
      <c r="AE233">
        <v>3</v>
      </c>
      <c r="AF233">
        <v>22</v>
      </c>
      <c r="AG233">
        <v>17</v>
      </c>
      <c r="AH233">
        <v>11</v>
      </c>
      <c r="AI233">
        <v>15</v>
      </c>
      <c r="AJ233">
        <f t="shared" si="3"/>
        <v>0</v>
      </c>
      <c r="AK233" t="str" cm="1">
        <f t="array" ref="AK233">_xlfn.IFS(A233&lt;=30,"18-30",A233&lt;=45,"31-45",A233&lt;=60,"46-60",TRUE, "60+")</f>
        <v>31-45</v>
      </c>
      <c r="AL233" t="str" cm="1">
        <f t="array" ref="AL233">_xlfn.IFS(F233&lt;=10,"0-10",F233&lt;=20,"11-20",TRUE,"20+")</f>
        <v>0-10</v>
      </c>
      <c r="AM233" t="str" cm="1">
        <f t="array" ref="AM233">_xlfn.IFS(S233&lt;=5000,"0-5k",S233&lt;=10000,"5k-10k",S233&lt;=15000,"10k-15k",TRUE,"15k+")</f>
        <v>15k+</v>
      </c>
      <c r="AN233" t="str" cm="1">
        <f t="array" ref="AN233">_xlfn.IFS(AF233&lt;=10,"0-10",AF233&lt;=20,"10-20",AF233&lt;=30,"20-30",TRUE,"30+")</f>
        <v>20-30</v>
      </c>
      <c r="AO233" t="str" cm="1">
        <f t="array" ref="AO233">_xlfn.IFS(Y233=1,"Poor",Y233=2,"Average",Y233=3,"Good",TRUE,"Excellent")</f>
        <v>Good</v>
      </c>
      <c r="AP233" t="str" cm="1">
        <f t="array" ref="AP233">_xlfn.IFS(Q233=1,"Low",Q233=2,"Medium",Q233=3,"High",TRUE,"Very High")</f>
        <v>Very High</v>
      </c>
    </row>
    <row r="234" spans="1:42" x14ac:dyDescent="0.25">
      <c r="A234">
        <v>59</v>
      </c>
      <c r="B234" t="s">
        <v>42</v>
      </c>
      <c r="C234" t="s">
        <v>90</v>
      </c>
      <c r="D234">
        <v>818</v>
      </c>
      <c r="E234" t="s">
        <v>59</v>
      </c>
      <c r="F234">
        <v>6</v>
      </c>
      <c r="G234">
        <v>2</v>
      </c>
      <c r="H234" t="s">
        <v>49</v>
      </c>
      <c r="I234">
        <v>1</v>
      </c>
      <c r="J234">
        <v>321</v>
      </c>
      <c r="K234">
        <v>2</v>
      </c>
      <c r="L234" t="s">
        <v>44</v>
      </c>
      <c r="M234">
        <v>52</v>
      </c>
      <c r="N234">
        <v>3</v>
      </c>
      <c r="O234">
        <v>1</v>
      </c>
      <c r="P234" t="s">
        <v>59</v>
      </c>
      <c r="Q234">
        <v>3</v>
      </c>
      <c r="R234" t="s">
        <v>46</v>
      </c>
      <c r="S234">
        <v>2267</v>
      </c>
      <c r="T234">
        <v>25657</v>
      </c>
      <c r="U234">
        <v>8</v>
      </c>
      <c r="V234" t="s">
        <v>41</v>
      </c>
      <c r="W234" t="s">
        <v>42</v>
      </c>
      <c r="X234">
        <v>17</v>
      </c>
      <c r="Y234">
        <v>3</v>
      </c>
      <c r="Z234">
        <v>4</v>
      </c>
      <c r="AA234">
        <v>80</v>
      </c>
      <c r="AB234">
        <v>0</v>
      </c>
      <c r="AC234">
        <v>7</v>
      </c>
      <c r="AD234">
        <v>2</v>
      </c>
      <c r="AE234">
        <v>2</v>
      </c>
      <c r="AF234">
        <v>2</v>
      </c>
      <c r="AG234">
        <v>2</v>
      </c>
      <c r="AH234">
        <v>2</v>
      </c>
      <c r="AI234">
        <v>2</v>
      </c>
      <c r="AJ234">
        <f t="shared" si="3"/>
        <v>0</v>
      </c>
      <c r="AK234" t="str" cm="1">
        <f t="array" ref="AK234">_xlfn.IFS(A234&lt;=30,"18-30",A234&lt;=45,"31-45",A234&lt;=60,"46-60",TRUE, "60+")</f>
        <v>46-60</v>
      </c>
      <c r="AL234" t="str" cm="1">
        <f t="array" ref="AL234">_xlfn.IFS(F234&lt;=10,"0-10",F234&lt;=20,"11-20",TRUE,"20+")</f>
        <v>0-10</v>
      </c>
      <c r="AM234" t="str" cm="1">
        <f t="array" ref="AM234">_xlfn.IFS(S234&lt;=5000,"0-5k",S234&lt;=10000,"5k-10k",S234&lt;=15000,"10k-15k",TRUE,"15k+")</f>
        <v>0-5k</v>
      </c>
      <c r="AN234" t="str" cm="1">
        <f t="array" ref="AN234">_xlfn.IFS(AF234&lt;=10,"0-10",AF234&lt;=20,"10-20",AF234&lt;=30,"20-30",TRUE,"30+")</f>
        <v>0-10</v>
      </c>
      <c r="AO234" t="str" cm="1">
        <f t="array" ref="AO234">_xlfn.IFS(Y234=1,"Poor",Y234=2,"Average",Y234=3,"Good",TRUE,"Excellent")</f>
        <v>Good</v>
      </c>
      <c r="AP234" t="str" cm="1">
        <f t="array" ref="AP234">_xlfn.IFS(Q234=1,"Low",Q234=2,"Medium",Q234=3,"High",TRUE,"Very High")</f>
        <v>High</v>
      </c>
    </row>
    <row r="235" spans="1:42" x14ac:dyDescent="0.25">
      <c r="A235">
        <v>50</v>
      </c>
      <c r="B235" t="s">
        <v>42</v>
      </c>
      <c r="C235" t="s">
        <v>90</v>
      </c>
      <c r="D235">
        <v>854</v>
      </c>
      <c r="E235" t="s">
        <v>36</v>
      </c>
      <c r="F235">
        <v>1</v>
      </c>
      <c r="G235">
        <v>4</v>
      </c>
      <c r="H235" t="s">
        <v>49</v>
      </c>
      <c r="I235">
        <v>1</v>
      </c>
      <c r="J235">
        <v>323</v>
      </c>
      <c r="K235">
        <v>4</v>
      </c>
      <c r="L235" t="s">
        <v>38</v>
      </c>
      <c r="M235">
        <v>68</v>
      </c>
      <c r="N235">
        <v>3</v>
      </c>
      <c r="O235">
        <v>5</v>
      </c>
      <c r="P235" t="s">
        <v>54</v>
      </c>
      <c r="Q235">
        <v>4</v>
      </c>
      <c r="R235" t="s">
        <v>50</v>
      </c>
      <c r="S235">
        <v>19517</v>
      </c>
      <c r="T235">
        <v>24118</v>
      </c>
      <c r="U235">
        <v>3</v>
      </c>
      <c r="V235" t="s">
        <v>41</v>
      </c>
      <c r="W235" t="s">
        <v>42</v>
      </c>
      <c r="X235">
        <v>11</v>
      </c>
      <c r="Y235">
        <v>3</v>
      </c>
      <c r="Z235">
        <v>3</v>
      </c>
      <c r="AA235">
        <v>80</v>
      </c>
      <c r="AB235">
        <v>1</v>
      </c>
      <c r="AC235">
        <v>32</v>
      </c>
      <c r="AD235">
        <v>3</v>
      </c>
      <c r="AE235">
        <v>2</v>
      </c>
      <c r="AF235">
        <v>7</v>
      </c>
      <c r="AG235">
        <v>0</v>
      </c>
      <c r="AH235">
        <v>0</v>
      </c>
      <c r="AI235">
        <v>6</v>
      </c>
      <c r="AJ235">
        <f t="shared" si="3"/>
        <v>0</v>
      </c>
      <c r="AK235" t="str" cm="1">
        <f t="array" ref="AK235">_xlfn.IFS(A235&lt;=30,"18-30",A235&lt;=45,"31-45",A235&lt;=60,"46-60",TRUE, "60+")</f>
        <v>46-60</v>
      </c>
      <c r="AL235" t="str" cm="1">
        <f t="array" ref="AL235">_xlfn.IFS(F235&lt;=10,"0-10",F235&lt;=20,"11-20",TRUE,"20+")</f>
        <v>0-10</v>
      </c>
      <c r="AM235" t="str" cm="1">
        <f t="array" ref="AM235">_xlfn.IFS(S235&lt;=5000,"0-5k",S235&lt;=10000,"5k-10k",S235&lt;=15000,"10k-15k",TRUE,"15k+")</f>
        <v>15k+</v>
      </c>
      <c r="AN235" t="str" cm="1">
        <f t="array" ref="AN235">_xlfn.IFS(AF235&lt;=10,"0-10",AF235&lt;=20,"10-20",AF235&lt;=30,"20-30",TRUE,"30+")</f>
        <v>0-10</v>
      </c>
      <c r="AO235" t="str" cm="1">
        <f t="array" ref="AO235">_xlfn.IFS(Y235=1,"Poor",Y235=2,"Average",Y235=3,"Good",TRUE,"Excellent")</f>
        <v>Good</v>
      </c>
      <c r="AP235" t="str" cm="1">
        <f t="array" ref="AP235">_xlfn.IFS(Q235=1,"Low",Q235=2,"Medium",Q235=3,"High",TRUE,"Very High")</f>
        <v>Very High</v>
      </c>
    </row>
    <row r="236" spans="1:42" x14ac:dyDescent="0.25">
      <c r="A236">
        <v>33</v>
      </c>
      <c r="B236" t="s">
        <v>35</v>
      </c>
      <c r="C236" t="s">
        <v>90</v>
      </c>
      <c r="D236">
        <v>813</v>
      </c>
      <c r="E236" t="s">
        <v>43</v>
      </c>
      <c r="F236">
        <v>14</v>
      </c>
      <c r="G236">
        <v>3</v>
      </c>
      <c r="H236" t="s">
        <v>49</v>
      </c>
      <c r="I236">
        <v>1</v>
      </c>
      <c r="J236">
        <v>325</v>
      </c>
      <c r="K236">
        <v>3</v>
      </c>
      <c r="L236" t="s">
        <v>44</v>
      </c>
      <c r="M236">
        <v>58</v>
      </c>
      <c r="N236">
        <v>3</v>
      </c>
      <c r="O236">
        <v>1</v>
      </c>
      <c r="P236" t="s">
        <v>48</v>
      </c>
      <c r="Q236">
        <v>4</v>
      </c>
      <c r="R236" t="s">
        <v>46</v>
      </c>
      <c r="S236">
        <v>2436</v>
      </c>
      <c r="T236">
        <v>22149</v>
      </c>
      <c r="U236">
        <v>5</v>
      </c>
      <c r="V236" t="s">
        <v>41</v>
      </c>
      <c r="W236" t="s">
        <v>35</v>
      </c>
      <c r="X236">
        <v>13</v>
      </c>
      <c r="Y236">
        <v>3</v>
      </c>
      <c r="Z236">
        <v>3</v>
      </c>
      <c r="AA236">
        <v>80</v>
      </c>
      <c r="AB236">
        <v>1</v>
      </c>
      <c r="AC236">
        <v>8</v>
      </c>
      <c r="AD236">
        <v>2</v>
      </c>
      <c r="AE236">
        <v>1</v>
      </c>
      <c r="AF236">
        <v>5</v>
      </c>
      <c r="AG236">
        <v>4</v>
      </c>
      <c r="AH236">
        <v>0</v>
      </c>
      <c r="AI236">
        <v>4</v>
      </c>
      <c r="AJ236">
        <f t="shared" si="3"/>
        <v>1</v>
      </c>
      <c r="AK236" t="str" cm="1">
        <f t="array" ref="AK236">_xlfn.IFS(A236&lt;=30,"18-30",A236&lt;=45,"31-45",A236&lt;=60,"46-60",TRUE, "60+")</f>
        <v>31-45</v>
      </c>
      <c r="AL236" t="str" cm="1">
        <f t="array" ref="AL236">_xlfn.IFS(F236&lt;=10,"0-10",F236&lt;=20,"11-20",TRUE,"20+")</f>
        <v>11-20</v>
      </c>
      <c r="AM236" t="str" cm="1">
        <f t="array" ref="AM236">_xlfn.IFS(S236&lt;=5000,"0-5k",S236&lt;=10000,"5k-10k",S236&lt;=15000,"10k-15k",TRUE,"15k+")</f>
        <v>0-5k</v>
      </c>
      <c r="AN236" t="str" cm="1">
        <f t="array" ref="AN236">_xlfn.IFS(AF236&lt;=10,"0-10",AF236&lt;=20,"10-20",AF236&lt;=30,"20-30",TRUE,"30+")</f>
        <v>0-10</v>
      </c>
      <c r="AO236" t="str" cm="1">
        <f t="array" ref="AO236">_xlfn.IFS(Y236=1,"Poor",Y236=2,"Average",Y236=3,"Good",TRUE,"Excellent")</f>
        <v>Good</v>
      </c>
      <c r="AP236" t="str" cm="1">
        <f t="array" ref="AP236">_xlfn.IFS(Q236=1,"Low",Q236=2,"Medium",Q236=3,"High",TRUE,"Very High")</f>
        <v>Very High</v>
      </c>
    </row>
    <row r="237" spans="1:42" x14ac:dyDescent="0.25">
      <c r="A237">
        <v>43</v>
      </c>
      <c r="B237" t="s">
        <v>42</v>
      </c>
      <c r="C237" t="s">
        <v>90</v>
      </c>
      <c r="D237">
        <v>1034</v>
      </c>
      <c r="E237" t="s">
        <v>36</v>
      </c>
      <c r="F237">
        <v>16</v>
      </c>
      <c r="G237">
        <v>3</v>
      </c>
      <c r="H237" t="s">
        <v>57</v>
      </c>
      <c r="I237">
        <v>1</v>
      </c>
      <c r="J237">
        <v>327</v>
      </c>
      <c r="K237">
        <v>4</v>
      </c>
      <c r="L237" t="s">
        <v>38</v>
      </c>
      <c r="M237">
        <v>80</v>
      </c>
      <c r="N237">
        <v>3</v>
      </c>
      <c r="O237">
        <v>4</v>
      </c>
      <c r="P237" t="s">
        <v>54</v>
      </c>
      <c r="Q237">
        <v>4</v>
      </c>
      <c r="R237" t="s">
        <v>46</v>
      </c>
      <c r="S237">
        <v>16064</v>
      </c>
      <c r="T237">
        <v>7744</v>
      </c>
      <c r="U237">
        <v>5</v>
      </c>
      <c r="V237" t="s">
        <v>41</v>
      </c>
      <c r="W237" t="s">
        <v>35</v>
      </c>
      <c r="X237">
        <v>22</v>
      </c>
      <c r="Y237">
        <v>4</v>
      </c>
      <c r="Z237">
        <v>3</v>
      </c>
      <c r="AA237">
        <v>80</v>
      </c>
      <c r="AB237">
        <v>1</v>
      </c>
      <c r="AC237">
        <v>22</v>
      </c>
      <c r="AD237">
        <v>3</v>
      </c>
      <c r="AE237">
        <v>3</v>
      </c>
      <c r="AF237">
        <v>17</v>
      </c>
      <c r="AG237">
        <v>13</v>
      </c>
      <c r="AH237">
        <v>1</v>
      </c>
      <c r="AI237">
        <v>9</v>
      </c>
      <c r="AJ237">
        <f t="shared" si="3"/>
        <v>0</v>
      </c>
      <c r="AK237" t="str" cm="1">
        <f t="array" ref="AK237">_xlfn.IFS(A237&lt;=30,"18-30",A237&lt;=45,"31-45",A237&lt;=60,"46-60",TRUE, "60+")</f>
        <v>31-45</v>
      </c>
      <c r="AL237" t="str" cm="1">
        <f t="array" ref="AL237">_xlfn.IFS(F237&lt;=10,"0-10",F237&lt;=20,"11-20",TRUE,"20+")</f>
        <v>11-20</v>
      </c>
      <c r="AM237" t="str" cm="1">
        <f t="array" ref="AM237">_xlfn.IFS(S237&lt;=5000,"0-5k",S237&lt;=10000,"5k-10k",S237&lt;=15000,"10k-15k",TRUE,"15k+")</f>
        <v>15k+</v>
      </c>
      <c r="AN237" t="str" cm="1">
        <f t="array" ref="AN237">_xlfn.IFS(AF237&lt;=10,"0-10",AF237&lt;=20,"10-20",AF237&lt;=30,"20-30",TRUE,"30+")</f>
        <v>10-20</v>
      </c>
      <c r="AO237" t="str" cm="1">
        <f t="array" ref="AO237">_xlfn.IFS(Y237=1,"Poor",Y237=2,"Average",Y237=3,"Good",TRUE,"Excellent")</f>
        <v>Excellent</v>
      </c>
      <c r="AP237" t="str" cm="1">
        <f t="array" ref="AP237">_xlfn.IFS(Q237=1,"Low",Q237=2,"Medium",Q237=3,"High",TRUE,"Very High")</f>
        <v>Very High</v>
      </c>
    </row>
    <row r="238" spans="1:42" x14ac:dyDescent="0.25">
      <c r="A238">
        <v>33</v>
      </c>
      <c r="B238" t="s">
        <v>35</v>
      </c>
      <c r="C238" t="s">
        <v>90</v>
      </c>
      <c r="D238">
        <v>465</v>
      </c>
      <c r="E238" t="s">
        <v>43</v>
      </c>
      <c r="F238">
        <v>2</v>
      </c>
      <c r="G238">
        <v>2</v>
      </c>
      <c r="H238" t="s">
        <v>37</v>
      </c>
      <c r="I238">
        <v>1</v>
      </c>
      <c r="J238">
        <v>328</v>
      </c>
      <c r="K238">
        <v>1</v>
      </c>
      <c r="L238" t="s">
        <v>38</v>
      </c>
      <c r="M238">
        <v>39</v>
      </c>
      <c r="N238">
        <v>3</v>
      </c>
      <c r="O238">
        <v>1</v>
      </c>
      <c r="P238" t="s">
        <v>48</v>
      </c>
      <c r="Q238">
        <v>1</v>
      </c>
      <c r="R238" t="s">
        <v>46</v>
      </c>
      <c r="S238">
        <v>2707</v>
      </c>
      <c r="T238">
        <v>21509</v>
      </c>
      <c r="U238">
        <v>7</v>
      </c>
      <c r="V238" t="s">
        <v>41</v>
      </c>
      <c r="W238" t="s">
        <v>42</v>
      </c>
      <c r="X238">
        <v>20</v>
      </c>
      <c r="Y238">
        <v>4</v>
      </c>
      <c r="Z238">
        <v>1</v>
      </c>
      <c r="AA238">
        <v>80</v>
      </c>
      <c r="AB238">
        <v>0</v>
      </c>
      <c r="AC238">
        <v>13</v>
      </c>
      <c r="AD238">
        <v>3</v>
      </c>
      <c r="AE238">
        <v>4</v>
      </c>
      <c r="AF238">
        <v>9</v>
      </c>
      <c r="AG238">
        <v>7</v>
      </c>
      <c r="AH238">
        <v>1</v>
      </c>
      <c r="AI238">
        <v>7</v>
      </c>
      <c r="AJ238">
        <f t="shared" si="3"/>
        <v>1</v>
      </c>
      <c r="AK238" t="str" cm="1">
        <f t="array" ref="AK238">_xlfn.IFS(A238&lt;=30,"18-30",A238&lt;=45,"31-45",A238&lt;=60,"46-60",TRUE, "60+")</f>
        <v>31-45</v>
      </c>
      <c r="AL238" t="str" cm="1">
        <f t="array" ref="AL238">_xlfn.IFS(F238&lt;=10,"0-10",F238&lt;=20,"11-20",TRUE,"20+")</f>
        <v>0-10</v>
      </c>
      <c r="AM238" t="str" cm="1">
        <f t="array" ref="AM238">_xlfn.IFS(S238&lt;=5000,"0-5k",S238&lt;=10000,"5k-10k",S238&lt;=15000,"10k-15k",TRUE,"15k+")</f>
        <v>0-5k</v>
      </c>
      <c r="AN238" t="str" cm="1">
        <f t="array" ref="AN238">_xlfn.IFS(AF238&lt;=10,"0-10",AF238&lt;=20,"10-20",AF238&lt;=30,"20-30",TRUE,"30+")</f>
        <v>0-10</v>
      </c>
      <c r="AO238" t="str" cm="1">
        <f t="array" ref="AO238">_xlfn.IFS(Y238=1,"Poor",Y238=2,"Average",Y238=3,"Good",TRUE,"Excellent")</f>
        <v>Excellent</v>
      </c>
      <c r="AP238" t="str" cm="1">
        <f t="array" ref="AP238">_xlfn.IFS(Q238=1,"Low",Q238=2,"Medium",Q238=3,"High",TRUE,"Very High")</f>
        <v>Low</v>
      </c>
    </row>
    <row r="239" spans="1:42" x14ac:dyDescent="0.25">
      <c r="A239">
        <v>52</v>
      </c>
      <c r="B239" t="s">
        <v>42</v>
      </c>
      <c r="C239" t="s">
        <v>53</v>
      </c>
      <c r="D239">
        <v>771</v>
      </c>
      <c r="E239" t="s">
        <v>36</v>
      </c>
      <c r="F239">
        <v>2</v>
      </c>
      <c r="G239">
        <v>4</v>
      </c>
      <c r="H239" t="s">
        <v>37</v>
      </c>
      <c r="I239">
        <v>1</v>
      </c>
      <c r="J239">
        <v>329</v>
      </c>
      <c r="K239">
        <v>1</v>
      </c>
      <c r="L239" t="s">
        <v>44</v>
      </c>
      <c r="M239">
        <v>79</v>
      </c>
      <c r="N239">
        <v>2</v>
      </c>
      <c r="O239">
        <v>5</v>
      </c>
      <c r="P239" t="s">
        <v>54</v>
      </c>
      <c r="Q239">
        <v>3</v>
      </c>
      <c r="R239" t="s">
        <v>40</v>
      </c>
      <c r="S239">
        <v>19068</v>
      </c>
      <c r="T239">
        <v>21030</v>
      </c>
      <c r="U239">
        <v>1</v>
      </c>
      <c r="V239" t="s">
        <v>41</v>
      </c>
      <c r="W239" t="s">
        <v>35</v>
      </c>
      <c r="X239">
        <v>18</v>
      </c>
      <c r="Y239">
        <v>3</v>
      </c>
      <c r="Z239">
        <v>4</v>
      </c>
      <c r="AA239">
        <v>80</v>
      </c>
      <c r="AB239">
        <v>0</v>
      </c>
      <c r="AC239">
        <v>33</v>
      </c>
      <c r="AD239">
        <v>2</v>
      </c>
      <c r="AE239">
        <v>4</v>
      </c>
      <c r="AF239">
        <v>33</v>
      </c>
      <c r="AG239">
        <v>7</v>
      </c>
      <c r="AH239">
        <v>15</v>
      </c>
      <c r="AI239">
        <v>12</v>
      </c>
      <c r="AJ239">
        <f t="shared" si="3"/>
        <v>0</v>
      </c>
      <c r="AK239" t="str" cm="1">
        <f t="array" ref="AK239">_xlfn.IFS(A239&lt;=30,"18-30",A239&lt;=45,"31-45",A239&lt;=60,"46-60",TRUE, "60+")</f>
        <v>46-60</v>
      </c>
      <c r="AL239" t="str" cm="1">
        <f t="array" ref="AL239">_xlfn.IFS(F239&lt;=10,"0-10",F239&lt;=20,"11-20",TRUE,"20+")</f>
        <v>0-10</v>
      </c>
      <c r="AM239" t="str" cm="1">
        <f t="array" ref="AM239">_xlfn.IFS(S239&lt;=5000,"0-5k",S239&lt;=10000,"5k-10k",S239&lt;=15000,"10k-15k",TRUE,"15k+")</f>
        <v>15k+</v>
      </c>
      <c r="AN239" t="str" cm="1">
        <f t="array" ref="AN239">_xlfn.IFS(AF239&lt;=10,"0-10",AF239&lt;=20,"10-20",AF239&lt;=30,"20-30",TRUE,"30+")</f>
        <v>30+</v>
      </c>
      <c r="AO239" t="str" cm="1">
        <f t="array" ref="AO239">_xlfn.IFS(Y239=1,"Poor",Y239=2,"Average",Y239=3,"Good",TRUE,"Excellent")</f>
        <v>Good</v>
      </c>
      <c r="AP239" t="str" cm="1">
        <f t="array" ref="AP239">_xlfn.IFS(Q239=1,"Low",Q239=2,"Medium",Q239=3,"High",TRUE,"Very High")</f>
        <v>High</v>
      </c>
    </row>
    <row r="240" spans="1:42" x14ac:dyDescent="0.25">
      <c r="A240">
        <v>32</v>
      </c>
      <c r="B240" t="s">
        <v>42</v>
      </c>
      <c r="C240" t="s">
        <v>90</v>
      </c>
      <c r="D240">
        <v>1401</v>
      </c>
      <c r="E240" t="s">
        <v>36</v>
      </c>
      <c r="F240">
        <v>4</v>
      </c>
      <c r="G240">
        <v>2</v>
      </c>
      <c r="H240" t="s">
        <v>37</v>
      </c>
      <c r="I240">
        <v>1</v>
      </c>
      <c r="J240">
        <v>330</v>
      </c>
      <c r="K240">
        <v>3</v>
      </c>
      <c r="L240" t="s">
        <v>38</v>
      </c>
      <c r="M240">
        <v>56</v>
      </c>
      <c r="N240">
        <v>3</v>
      </c>
      <c r="O240">
        <v>1</v>
      </c>
      <c r="P240" t="s">
        <v>55</v>
      </c>
      <c r="Q240">
        <v>2</v>
      </c>
      <c r="R240" t="s">
        <v>46</v>
      </c>
      <c r="S240">
        <v>3931</v>
      </c>
      <c r="T240">
        <v>20990</v>
      </c>
      <c r="U240">
        <v>2</v>
      </c>
      <c r="V240" t="s">
        <v>41</v>
      </c>
      <c r="W240" t="s">
        <v>42</v>
      </c>
      <c r="X240">
        <v>11</v>
      </c>
      <c r="Y240">
        <v>3</v>
      </c>
      <c r="Z240">
        <v>1</v>
      </c>
      <c r="AA240">
        <v>80</v>
      </c>
      <c r="AB240">
        <v>1</v>
      </c>
      <c r="AC240">
        <v>6</v>
      </c>
      <c r="AD240">
        <v>5</v>
      </c>
      <c r="AE240">
        <v>3</v>
      </c>
      <c r="AF240">
        <v>4</v>
      </c>
      <c r="AG240">
        <v>3</v>
      </c>
      <c r="AH240">
        <v>1</v>
      </c>
      <c r="AI240">
        <v>2</v>
      </c>
      <c r="AJ240">
        <f t="shared" si="3"/>
        <v>0</v>
      </c>
      <c r="AK240" t="str" cm="1">
        <f t="array" ref="AK240">_xlfn.IFS(A240&lt;=30,"18-30",A240&lt;=45,"31-45",A240&lt;=60,"46-60",TRUE, "60+")</f>
        <v>31-45</v>
      </c>
      <c r="AL240" t="str" cm="1">
        <f t="array" ref="AL240">_xlfn.IFS(F240&lt;=10,"0-10",F240&lt;=20,"11-20",TRUE,"20+")</f>
        <v>0-10</v>
      </c>
      <c r="AM240" t="str" cm="1">
        <f t="array" ref="AM240">_xlfn.IFS(S240&lt;=5000,"0-5k",S240&lt;=10000,"5k-10k",S240&lt;=15000,"10k-15k",TRUE,"15k+")</f>
        <v>0-5k</v>
      </c>
      <c r="AN240" t="str" cm="1">
        <f t="array" ref="AN240">_xlfn.IFS(AF240&lt;=10,"0-10",AF240&lt;=20,"10-20",AF240&lt;=30,"20-30",TRUE,"30+")</f>
        <v>0-10</v>
      </c>
      <c r="AO240" t="str" cm="1">
        <f t="array" ref="AO240">_xlfn.IFS(Y240=1,"Poor",Y240=2,"Average",Y240=3,"Good",TRUE,"Excellent")</f>
        <v>Good</v>
      </c>
      <c r="AP240" t="str" cm="1">
        <f t="array" ref="AP240">_xlfn.IFS(Q240=1,"Low",Q240=2,"Medium",Q240=3,"High",TRUE,"Very High")</f>
        <v>Medium</v>
      </c>
    </row>
    <row r="241" spans="1:42" x14ac:dyDescent="0.25">
      <c r="A241">
        <v>32</v>
      </c>
      <c r="B241" t="s">
        <v>35</v>
      </c>
      <c r="C241" t="s">
        <v>90</v>
      </c>
      <c r="D241">
        <v>515</v>
      </c>
      <c r="E241" t="s">
        <v>43</v>
      </c>
      <c r="F241">
        <v>1</v>
      </c>
      <c r="G241">
        <v>3</v>
      </c>
      <c r="H241" t="s">
        <v>37</v>
      </c>
      <c r="I241">
        <v>1</v>
      </c>
      <c r="J241">
        <v>331</v>
      </c>
      <c r="K241">
        <v>4</v>
      </c>
      <c r="L241" t="s">
        <v>44</v>
      </c>
      <c r="M241">
        <v>62</v>
      </c>
      <c r="N241">
        <v>2</v>
      </c>
      <c r="O241">
        <v>1</v>
      </c>
      <c r="P241" t="s">
        <v>48</v>
      </c>
      <c r="Q241">
        <v>3</v>
      </c>
      <c r="R241" t="s">
        <v>40</v>
      </c>
      <c r="S241">
        <v>3730</v>
      </c>
      <c r="T241">
        <v>9571</v>
      </c>
      <c r="U241">
        <v>0</v>
      </c>
      <c r="V241" t="s">
        <v>41</v>
      </c>
      <c r="W241" t="s">
        <v>35</v>
      </c>
      <c r="X241">
        <v>14</v>
      </c>
      <c r="Y241">
        <v>3</v>
      </c>
      <c r="Z241">
        <v>4</v>
      </c>
      <c r="AA241">
        <v>80</v>
      </c>
      <c r="AB241">
        <v>0</v>
      </c>
      <c r="AC241">
        <v>4</v>
      </c>
      <c r="AD241">
        <v>2</v>
      </c>
      <c r="AE241">
        <v>1</v>
      </c>
      <c r="AF241">
        <v>3</v>
      </c>
      <c r="AG241">
        <v>2</v>
      </c>
      <c r="AH241">
        <v>1</v>
      </c>
      <c r="AI241">
        <v>2</v>
      </c>
      <c r="AJ241">
        <f t="shared" si="3"/>
        <v>1</v>
      </c>
      <c r="AK241" t="str" cm="1">
        <f t="array" ref="AK241">_xlfn.IFS(A241&lt;=30,"18-30",A241&lt;=45,"31-45",A241&lt;=60,"46-60",TRUE, "60+")</f>
        <v>31-45</v>
      </c>
      <c r="AL241" t="str" cm="1">
        <f t="array" ref="AL241">_xlfn.IFS(F241&lt;=10,"0-10",F241&lt;=20,"11-20",TRUE,"20+")</f>
        <v>0-10</v>
      </c>
      <c r="AM241" t="str" cm="1">
        <f t="array" ref="AM241">_xlfn.IFS(S241&lt;=5000,"0-5k",S241&lt;=10000,"5k-10k",S241&lt;=15000,"10k-15k",TRUE,"15k+")</f>
        <v>0-5k</v>
      </c>
      <c r="AN241" t="str" cm="1">
        <f t="array" ref="AN241">_xlfn.IFS(AF241&lt;=10,"0-10",AF241&lt;=20,"10-20",AF241&lt;=30,"20-30",TRUE,"30+")</f>
        <v>0-10</v>
      </c>
      <c r="AO241" t="str" cm="1">
        <f t="array" ref="AO241">_xlfn.IFS(Y241=1,"Poor",Y241=2,"Average",Y241=3,"Good",TRUE,"Excellent")</f>
        <v>Good</v>
      </c>
      <c r="AP241" t="str" cm="1">
        <f t="array" ref="AP241">_xlfn.IFS(Q241=1,"Low",Q241=2,"Medium",Q241=3,"High",TRUE,"Very High")</f>
        <v>High</v>
      </c>
    </row>
    <row r="242" spans="1:42" x14ac:dyDescent="0.25">
      <c r="A242">
        <v>39</v>
      </c>
      <c r="B242" t="s">
        <v>42</v>
      </c>
      <c r="C242" t="s">
        <v>90</v>
      </c>
      <c r="D242">
        <v>1431</v>
      </c>
      <c r="E242" t="s">
        <v>43</v>
      </c>
      <c r="F242">
        <v>1</v>
      </c>
      <c r="G242">
        <v>4</v>
      </c>
      <c r="H242" t="s">
        <v>49</v>
      </c>
      <c r="I242">
        <v>1</v>
      </c>
      <c r="J242">
        <v>332</v>
      </c>
      <c r="K242">
        <v>3</v>
      </c>
      <c r="L242" t="s">
        <v>38</v>
      </c>
      <c r="M242">
        <v>96</v>
      </c>
      <c r="N242">
        <v>3</v>
      </c>
      <c r="O242">
        <v>1</v>
      </c>
      <c r="P242" t="s">
        <v>48</v>
      </c>
      <c r="Q242">
        <v>3</v>
      </c>
      <c r="R242" t="s">
        <v>50</v>
      </c>
      <c r="S242">
        <v>2232</v>
      </c>
      <c r="T242">
        <v>15417</v>
      </c>
      <c r="U242">
        <v>7</v>
      </c>
      <c r="V242" t="s">
        <v>41</v>
      </c>
      <c r="W242" t="s">
        <v>42</v>
      </c>
      <c r="X242">
        <v>14</v>
      </c>
      <c r="Y242">
        <v>3</v>
      </c>
      <c r="Z242">
        <v>3</v>
      </c>
      <c r="AA242">
        <v>80</v>
      </c>
      <c r="AB242">
        <v>3</v>
      </c>
      <c r="AC242">
        <v>7</v>
      </c>
      <c r="AD242">
        <v>1</v>
      </c>
      <c r="AE242">
        <v>3</v>
      </c>
      <c r="AF242">
        <v>3</v>
      </c>
      <c r="AG242">
        <v>2</v>
      </c>
      <c r="AH242">
        <v>1</v>
      </c>
      <c r="AI242">
        <v>2</v>
      </c>
      <c r="AJ242">
        <f t="shared" si="3"/>
        <v>0</v>
      </c>
      <c r="AK242" t="str" cm="1">
        <f t="array" ref="AK242">_xlfn.IFS(A242&lt;=30,"18-30",A242&lt;=45,"31-45",A242&lt;=60,"46-60",TRUE, "60+")</f>
        <v>31-45</v>
      </c>
      <c r="AL242" t="str" cm="1">
        <f t="array" ref="AL242">_xlfn.IFS(F242&lt;=10,"0-10",F242&lt;=20,"11-20",TRUE,"20+")</f>
        <v>0-10</v>
      </c>
      <c r="AM242" t="str" cm="1">
        <f t="array" ref="AM242">_xlfn.IFS(S242&lt;=5000,"0-5k",S242&lt;=10000,"5k-10k",S242&lt;=15000,"10k-15k",TRUE,"15k+")</f>
        <v>0-5k</v>
      </c>
      <c r="AN242" t="str" cm="1">
        <f t="array" ref="AN242">_xlfn.IFS(AF242&lt;=10,"0-10",AF242&lt;=20,"10-20",AF242&lt;=30,"20-30",TRUE,"30+")</f>
        <v>0-10</v>
      </c>
      <c r="AO242" t="str" cm="1">
        <f t="array" ref="AO242">_xlfn.IFS(Y242=1,"Poor",Y242=2,"Average",Y242=3,"Good",TRUE,"Excellent")</f>
        <v>Good</v>
      </c>
      <c r="AP242" t="str" cm="1">
        <f t="array" ref="AP242">_xlfn.IFS(Q242=1,"Low",Q242=2,"Medium",Q242=3,"High",TRUE,"Very High")</f>
        <v>High</v>
      </c>
    </row>
    <row r="243" spans="1:42" x14ac:dyDescent="0.25">
      <c r="A243">
        <v>32</v>
      </c>
      <c r="B243" t="s">
        <v>42</v>
      </c>
      <c r="C243" t="s">
        <v>53</v>
      </c>
      <c r="D243">
        <v>976</v>
      </c>
      <c r="E243" t="s">
        <v>36</v>
      </c>
      <c r="F243">
        <v>26</v>
      </c>
      <c r="G243">
        <v>4</v>
      </c>
      <c r="H243" t="s">
        <v>57</v>
      </c>
      <c r="I243">
        <v>1</v>
      </c>
      <c r="J243">
        <v>333</v>
      </c>
      <c r="K243">
        <v>3</v>
      </c>
      <c r="L243" t="s">
        <v>44</v>
      </c>
      <c r="M243">
        <v>100</v>
      </c>
      <c r="N243">
        <v>3</v>
      </c>
      <c r="O243">
        <v>2</v>
      </c>
      <c r="P243" t="s">
        <v>39</v>
      </c>
      <c r="Q243">
        <v>4</v>
      </c>
      <c r="R243" t="s">
        <v>46</v>
      </c>
      <c r="S243">
        <v>4465</v>
      </c>
      <c r="T243">
        <v>12069</v>
      </c>
      <c r="U243">
        <v>0</v>
      </c>
      <c r="V243" t="s">
        <v>41</v>
      </c>
      <c r="W243" t="s">
        <v>42</v>
      </c>
      <c r="X243">
        <v>18</v>
      </c>
      <c r="Y243">
        <v>3</v>
      </c>
      <c r="Z243">
        <v>1</v>
      </c>
      <c r="AA243">
        <v>80</v>
      </c>
      <c r="AB243">
        <v>0</v>
      </c>
      <c r="AC243">
        <v>4</v>
      </c>
      <c r="AD243">
        <v>2</v>
      </c>
      <c r="AE243">
        <v>3</v>
      </c>
      <c r="AF243">
        <v>3</v>
      </c>
      <c r="AG243">
        <v>2</v>
      </c>
      <c r="AH243">
        <v>2</v>
      </c>
      <c r="AI243">
        <v>2</v>
      </c>
      <c r="AJ243">
        <f t="shared" si="3"/>
        <v>0</v>
      </c>
      <c r="AK243" t="str" cm="1">
        <f t="array" ref="AK243">_xlfn.IFS(A243&lt;=30,"18-30",A243&lt;=45,"31-45",A243&lt;=60,"46-60",TRUE, "60+")</f>
        <v>31-45</v>
      </c>
      <c r="AL243" t="str" cm="1">
        <f t="array" ref="AL243">_xlfn.IFS(F243&lt;=10,"0-10",F243&lt;=20,"11-20",TRUE,"20+")</f>
        <v>20+</v>
      </c>
      <c r="AM243" t="str" cm="1">
        <f t="array" ref="AM243">_xlfn.IFS(S243&lt;=5000,"0-5k",S243&lt;=10000,"5k-10k",S243&lt;=15000,"10k-15k",TRUE,"15k+")</f>
        <v>0-5k</v>
      </c>
      <c r="AN243" t="str" cm="1">
        <f t="array" ref="AN243">_xlfn.IFS(AF243&lt;=10,"0-10",AF243&lt;=20,"10-20",AF243&lt;=30,"20-30",TRUE,"30+")</f>
        <v>0-10</v>
      </c>
      <c r="AO243" t="str" cm="1">
        <f t="array" ref="AO243">_xlfn.IFS(Y243=1,"Poor",Y243=2,"Average",Y243=3,"Good",TRUE,"Excellent")</f>
        <v>Good</v>
      </c>
      <c r="AP243" t="str" cm="1">
        <f t="array" ref="AP243">_xlfn.IFS(Q243=1,"Low",Q243=2,"Medium",Q243=3,"High",TRUE,"Very High")</f>
        <v>Very High</v>
      </c>
    </row>
    <row r="244" spans="1:42" x14ac:dyDescent="0.25">
      <c r="A244">
        <v>41</v>
      </c>
      <c r="B244" t="s">
        <v>42</v>
      </c>
      <c r="C244" t="s">
        <v>90</v>
      </c>
      <c r="D244">
        <v>1411</v>
      </c>
      <c r="E244" t="s">
        <v>43</v>
      </c>
      <c r="F244">
        <v>19</v>
      </c>
      <c r="G244">
        <v>2</v>
      </c>
      <c r="H244" t="s">
        <v>37</v>
      </c>
      <c r="I244">
        <v>1</v>
      </c>
      <c r="J244">
        <v>334</v>
      </c>
      <c r="K244">
        <v>3</v>
      </c>
      <c r="L244" t="s">
        <v>44</v>
      </c>
      <c r="M244">
        <v>36</v>
      </c>
      <c r="N244">
        <v>3</v>
      </c>
      <c r="O244">
        <v>2</v>
      </c>
      <c r="P244" t="s">
        <v>45</v>
      </c>
      <c r="Q244">
        <v>1</v>
      </c>
      <c r="R244" t="s">
        <v>50</v>
      </c>
      <c r="S244">
        <v>3072</v>
      </c>
      <c r="T244">
        <v>19877</v>
      </c>
      <c r="U244">
        <v>2</v>
      </c>
      <c r="V244" t="s">
        <v>41</v>
      </c>
      <c r="W244" t="s">
        <v>42</v>
      </c>
      <c r="X244">
        <v>16</v>
      </c>
      <c r="Y244">
        <v>3</v>
      </c>
      <c r="Z244">
        <v>1</v>
      </c>
      <c r="AA244">
        <v>80</v>
      </c>
      <c r="AB244">
        <v>2</v>
      </c>
      <c r="AC244">
        <v>17</v>
      </c>
      <c r="AD244">
        <v>2</v>
      </c>
      <c r="AE244">
        <v>2</v>
      </c>
      <c r="AF244">
        <v>1</v>
      </c>
      <c r="AG244">
        <v>0</v>
      </c>
      <c r="AH244">
        <v>0</v>
      </c>
      <c r="AI244">
        <v>0</v>
      </c>
      <c r="AJ244">
        <f t="shared" si="3"/>
        <v>0</v>
      </c>
      <c r="AK244" t="str" cm="1">
        <f t="array" ref="AK244">_xlfn.IFS(A244&lt;=30,"18-30",A244&lt;=45,"31-45",A244&lt;=60,"46-60",TRUE, "60+")</f>
        <v>31-45</v>
      </c>
      <c r="AL244" t="str" cm="1">
        <f t="array" ref="AL244">_xlfn.IFS(F244&lt;=10,"0-10",F244&lt;=20,"11-20",TRUE,"20+")</f>
        <v>11-20</v>
      </c>
      <c r="AM244" t="str" cm="1">
        <f t="array" ref="AM244">_xlfn.IFS(S244&lt;=5000,"0-5k",S244&lt;=10000,"5k-10k",S244&lt;=15000,"10k-15k",TRUE,"15k+")</f>
        <v>0-5k</v>
      </c>
      <c r="AN244" t="str" cm="1">
        <f t="array" ref="AN244">_xlfn.IFS(AF244&lt;=10,"0-10",AF244&lt;=20,"10-20",AF244&lt;=30,"20-30",TRUE,"30+")</f>
        <v>0-10</v>
      </c>
      <c r="AO244" t="str" cm="1">
        <f t="array" ref="AO244">_xlfn.IFS(Y244=1,"Poor",Y244=2,"Average",Y244=3,"Good",TRUE,"Excellent")</f>
        <v>Good</v>
      </c>
      <c r="AP244" t="str" cm="1">
        <f t="array" ref="AP244">_xlfn.IFS(Q244=1,"Low",Q244=2,"Medium",Q244=3,"High",TRUE,"Very High")</f>
        <v>Low</v>
      </c>
    </row>
    <row r="245" spans="1:42" x14ac:dyDescent="0.25">
      <c r="A245">
        <v>40</v>
      </c>
      <c r="B245" t="s">
        <v>42</v>
      </c>
      <c r="C245" t="s">
        <v>90</v>
      </c>
      <c r="D245">
        <v>1300</v>
      </c>
      <c r="E245" t="s">
        <v>43</v>
      </c>
      <c r="F245">
        <v>24</v>
      </c>
      <c r="G245">
        <v>2</v>
      </c>
      <c r="H245" t="s">
        <v>58</v>
      </c>
      <c r="I245">
        <v>1</v>
      </c>
      <c r="J245">
        <v>335</v>
      </c>
      <c r="K245">
        <v>1</v>
      </c>
      <c r="L245" t="s">
        <v>44</v>
      </c>
      <c r="M245">
        <v>62</v>
      </c>
      <c r="N245">
        <v>3</v>
      </c>
      <c r="O245">
        <v>2</v>
      </c>
      <c r="P245" t="s">
        <v>45</v>
      </c>
      <c r="Q245">
        <v>4</v>
      </c>
      <c r="R245" t="s">
        <v>50</v>
      </c>
      <c r="S245">
        <v>3319</v>
      </c>
      <c r="T245">
        <v>24447</v>
      </c>
      <c r="U245">
        <v>1</v>
      </c>
      <c r="V245" t="s">
        <v>41</v>
      </c>
      <c r="W245" t="s">
        <v>42</v>
      </c>
      <c r="X245">
        <v>17</v>
      </c>
      <c r="Y245">
        <v>3</v>
      </c>
      <c r="Z245">
        <v>1</v>
      </c>
      <c r="AA245">
        <v>80</v>
      </c>
      <c r="AB245">
        <v>2</v>
      </c>
      <c r="AC245">
        <v>9</v>
      </c>
      <c r="AD245">
        <v>3</v>
      </c>
      <c r="AE245">
        <v>3</v>
      </c>
      <c r="AF245">
        <v>9</v>
      </c>
      <c r="AG245">
        <v>8</v>
      </c>
      <c r="AH245">
        <v>4</v>
      </c>
      <c r="AI245">
        <v>7</v>
      </c>
      <c r="AJ245">
        <f t="shared" si="3"/>
        <v>0</v>
      </c>
      <c r="AK245" t="str" cm="1">
        <f t="array" ref="AK245">_xlfn.IFS(A245&lt;=30,"18-30",A245&lt;=45,"31-45",A245&lt;=60,"46-60",TRUE, "60+")</f>
        <v>31-45</v>
      </c>
      <c r="AL245" t="str" cm="1">
        <f t="array" ref="AL245">_xlfn.IFS(F245&lt;=10,"0-10",F245&lt;=20,"11-20",TRUE,"20+")</f>
        <v>20+</v>
      </c>
      <c r="AM245" t="str" cm="1">
        <f t="array" ref="AM245">_xlfn.IFS(S245&lt;=5000,"0-5k",S245&lt;=10000,"5k-10k",S245&lt;=15000,"10k-15k",TRUE,"15k+")</f>
        <v>0-5k</v>
      </c>
      <c r="AN245" t="str" cm="1">
        <f t="array" ref="AN245">_xlfn.IFS(AF245&lt;=10,"0-10",AF245&lt;=20,"10-20",AF245&lt;=30,"20-30",TRUE,"30+")</f>
        <v>0-10</v>
      </c>
      <c r="AO245" t="str" cm="1">
        <f t="array" ref="AO245">_xlfn.IFS(Y245=1,"Poor",Y245=2,"Average",Y245=3,"Good",TRUE,"Excellent")</f>
        <v>Good</v>
      </c>
      <c r="AP245" t="str" cm="1">
        <f t="array" ref="AP245">_xlfn.IFS(Q245=1,"Low",Q245=2,"Medium",Q245=3,"High",TRUE,"Very High")</f>
        <v>Very High</v>
      </c>
    </row>
    <row r="246" spans="1:42" x14ac:dyDescent="0.25">
      <c r="A246">
        <v>45</v>
      </c>
      <c r="B246" t="s">
        <v>42</v>
      </c>
      <c r="C246" t="s">
        <v>90</v>
      </c>
      <c r="D246">
        <v>252</v>
      </c>
      <c r="E246" t="s">
        <v>43</v>
      </c>
      <c r="F246">
        <v>1</v>
      </c>
      <c r="G246">
        <v>3</v>
      </c>
      <c r="H246" t="s">
        <v>47</v>
      </c>
      <c r="I246">
        <v>1</v>
      </c>
      <c r="J246">
        <v>336</v>
      </c>
      <c r="K246">
        <v>3</v>
      </c>
      <c r="L246" t="s">
        <v>44</v>
      </c>
      <c r="M246">
        <v>70</v>
      </c>
      <c r="N246">
        <v>4</v>
      </c>
      <c r="O246">
        <v>5</v>
      </c>
      <c r="P246" t="s">
        <v>54</v>
      </c>
      <c r="Q246">
        <v>4</v>
      </c>
      <c r="R246" t="s">
        <v>46</v>
      </c>
      <c r="S246">
        <v>19202</v>
      </c>
      <c r="T246">
        <v>15970</v>
      </c>
      <c r="U246">
        <v>0</v>
      </c>
      <c r="V246" t="s">
        <v>41</v>
      </c>
      <c r="W246" t="s">
        <v>42</v>
      </c>
      <c r="X246">
        <v>11</v>
      </c>
      <c r="Y246">
        <v>3</v>
      </c>
      <c r="Z246">
        <v>3</v>
      </c>
      <c r="AA246">
        <v>80</v>
      </c>
      <c r="AB246">
        <v>1</v>
      </c>
      <c r="AC246">
        <v>25</v>
      </c>
      <c r="AD246">
        <v>2</v>
      </c>
      <c r="AE246">
        <v>3</v>
      </c>
      <c r="AF246">
        <v>24</v>
      </c>
      <c r="AG246">
        <v>0</v>
      </c>
      <c r="AH246">
        <v>1</v>
      </c>
      <c r="AI246">
        <v>7</v>
      </c>
      <c r="AJ246">
        <f t="shared" si="3"/>
        <v>0</v>
      </c>
      <c r="AK246" t="str" cm="1">
        <f t="array" ref="AK246">_xlfn.IFS(A246&lt;=30,"18-30",A246&lt;=45,"31-45",A246&lt;=60,"46-60",TRUE, "60+")</f>
        <v>31-45</v>
      </c>
      <c r="AL246" t="str" cm="1">
        <f t="array" ref="AL246">_xlfn.IFS(F246&lt;=10,"0-10",F246&lt;=20,"11-20",TRUE,"20+")</f>
        <v>0-10</v>
      </c>
      <c r="AM246" t="str" cm="1">
        <f t="array" ref="AM246">_xlfn.IFS(S246&lt;=5000,"0-5k",S246&lt;=10000,"5k-10k",S246&lt;=15000,"10k-15k",TRUE,"15k+")</f>
        <v>15k+</v>
      </c>
      <c r="AN246" t="str" cm="1">
        <f t="array" ref="AN246">_xlfn.IFS(AF246&lt;=10,"0-10",AF246&lt;=20,"10-20",AF246&lt;=30,"20-30",TRUE,"30+")</f>
        <v>20-30</v>
      </c>
      <c r="AO246" t="str" cm="1">
        <f t="array" ref="AO246">_xlfn.IFS(Y246=1,"Poor",Y246=2,"Average",Y246=3,"Good",TRUE,"Excellent")</f>
        <v>Good</v>
      </c>
      <c r="AP246" t="str" cm="1">
        <f t="array" ref="AP246">_xlfn.IFS(Q246=1,"Low",Q246=2,"Medium",Q246=3,"High",TRUE,"Very High")</f>
        <v>Very High</v>
      </c>
    </row>
    <row r="247" spans="1:42" x14ac:dyDescent="0.25">
      <c r="A247">
        <v>31</v>
      </c>
      <c r="B247" t="s">
        <v>42</v>
      </c>
      <c r="C247" t="s">
        <v>91</v>
      </c>
      <c r="D247">
        <v>1327</v>
      </c>
      <c r="E247" t="s">
        <v>43</v>
      </c>
      <c r="F247">
        <v>3</v>
      </c>
      <c r="G247">
        <v>4</v>
      </c>
      <c r="H247" t="s">
        <v>49</v>
      </c>
      <c r="I247">
        <v>1</v>
      </c>
      <c r="J247">
        <v>337</v>
      </c>
      <c r="K247">
        <v>2</v>
      </c>
      <c r="L247" t="s">
        <v>44</v>
      </c>
      <c r="M247">
        <v>73</v>
      </c>
      <c r="N247">
        <v>3</v>
      </c>
      <c r="O247">
        <v>3</v>
      </c>
      <c r="P247" t="s">
        <v>56</v>
      </c>
      <c r="Q247">
        <v>3</v>
      </c>
      <c r="R247" t="s">
        <v>50</v>
      </c>
      <c r="S247">
        <v>13675</v>
      </c>
      <c r="T247">
        <v>13523</v>
      </c>
      <c r="U247">
        <v>9</v>
      </c>
      <c r="V247" t="s">
        <v>41</v>
      </c>
      <c r="W247" t="s">
        <v>42</v>
      </c>
      <c r="X247">
        <v>12</v>
      </c>
      <c r="Y247">
        <v>3</v>
      </c>
      <c r="Z247">
        <v>1</v>
      </c>
      <c r="AA247">
        <v>80</v>
      </c>
      <c r="AB247">
        <v>1</v>
      </c>
      <c r="AC247">
        <v>9</v>
      </c>
      <c r="AD247">
        <v>3</v>
      </c>
      <c r="AE247">
        <v>3</v>
      </c>
      <c r="AF247">
        <v>2</v>
      </c>
      <c r="AG247">
        <v>2</v>
      </c>
      <c r="AH247">
        <v>2</v>
      </c>
      <c r="AI247">
        <v>2</v>
      </c>
      <c r="AJ247">
        <f t="shared" si="3"/>
        <v>0</v>
      </c>
      <c r="AK247" t="str" cm="1">
        <f t="array" ref="AK247">_xlfn.IFS(A247&lt;=30,"18-30",A247&lt;=45,"31-45",A247&lt;=60,"46-60",TRUE, "60+")</f>
        <v>31-45</v>
      </c>
      <c r="AL247" t="str" cm="1">
        <f t="array" ref="AL247">_xlfn.IFS(F247&lt;=10,"0-10",F247&lt;=20,"11-20",TRUE,"20+")</f>
        <v>0-10</v>
      </c>
      <c r="AM247" t="str" cm="1">
        <f t="array" ref="AM247">_xlfn.IFS(S247&lt;=5000,"0-5k",S247&lt;=10000,"5k-10k",S247&lt;=15000,"10k-15k",TRUE,"15k+")</f>
        <v>10k-15k</v>
      </c>
      <c r="AN247" t="str" cm="1">
        <f t="array" ref="AN247">_xlfn.IFS(AF247&lt;=10,"0-10",AF247&lt;=20,"10-20",AF247&lt;=30,"20-30",TRUE,"30+")</f>
        <v>0-10</v>
      </c>
      <c r="AO247" t="str" cm="1">
        <f t="array" ref="AO247">_xlfn.IFS(Y247=1,"Poor",Y247=2,"Average",Y247=3,"Good",TRUE,"Excellent")</f>
        <v>Good</v>
      </c>
      <c r="AP247" t="str" cm="1">
        <f t="array" ref="AP247">_xlfn.IFS(Q247=1,"Low",Q247=2,"Medium",Q247=3,"High",TRUE,"Very High")</f>
        <v>High</v>
      </c>
    </row>
    <row r="248" spans="1:42" x14ac:dyDescent="0.25">
      <c r="A248">
        <v>33</v>
      </c>
      <c r="B248" t="s">
        <v>42</v>
      </c>
      <c r="C248" t="s">
        <v>90</v>
      </c>
      <c r="D248">
        <v>832</v>
      </c>
      <c r="E248" t="s">
        <v>43</v>
      </c>
      <c r="F248">
        <v>5</v>
      </c>
      <c r="G248">
        <v>4</v>
      </c>
      <c r="H248" t="s">
        <v>37</v>
      </c>
      <c r="I248">
        <v>1</v>
      </c>
      <c r="J248">
        <v>338</v>
      </c>
      <c r="K248">
        <v>3</v>
      </c>
      <c r="L248" t="s">
        <v>38</v>
      </c>
      <c r="M248">
        <v>63</v>
      </c>
      <c r="N248">
        <v>2</v>
      </c>
      <c r="O248">
        <v>1</v>
      </c>
      <c r="P248" t="s">
        <v>45</v>
      </c>
      <c r="Q248">
        <v>4</v>
      </c>
      <c r="R248" t="s">
        <v>46</v>
      </c>
      <c r="S248">
        <v>2911</v>
      </c>
      <c r="T248">
        <v>14776</v>
      </c>
      <c r="U248">
        <v>1</v>
      </c>
      <c r="V248" t="s">
        <v>41</v>
      </c>
      <c r="W248" t="s">
        <v>42</v>
      </c>
      <c r="X248">
        <v>13</v>
      </c>
      <c r="Y248">
        <v>3</v>
      </c>
      <c r="Z248">
        <v>3</v>
      </c>
      <c r="AA248">
        <v>80</v>
      </c>
      <c r="AB248">
        <v>1</v>
      </c>
      <c r="AC248">
        <v>2</v>
      </c>
      <c r="AD248">
        <v>2</v>
      </c>
      <c r="AE248">
        <v>2</v>
      </c>
      <c r="AF248">
        <v>2</v>
      </c>
      <c r="AG248">
        <v>2</v>
      </c>
      <c r="AH248">
        <v>0</v>
      </c>
      <c r="AI248">
        <v>2</v>
      </c>
      <c r="AJ248">
        <f t="shared" si="3"/>
        <v>0</v>
      </c>
      <c r="AK248" t="str" cm="1">
        <f t="array" ref="AK248">_xlfn.IFS(A248&lt;=30,"18-30",A248&lt;=45,"31-45",A248&lt;=60,"46-60",TRUE, "60+")</f>
        <v>31-45</v>
      </c>
      <c r="AL248" t="str" cm="1">
        <f t="array" ref="AL248">_xlfn.IFS(F248&lt;=10,"0-10",F248&lt;=20,"11-20",TRUE,"20+")</f>
        <v>0-10</v>
      </c>
      <c r="AM248" t="str" cm="1">
        <f t="array" ref="AM248">_xlfn.IFS(S248&lt;=5000,"0-5k",S248&lt;=10000,"5k-10k",S248&lt;=15000,"10k-15k",TRUE,"15k+")</f>
        <v>0-5k</v>
      </c>
      <c r="AN248" t="str" cm="1">
        <f t="array" ref="AN248">_xlfn.IFS(AF248&lt;=10,"0-10",AF248&lt;=20,"10-20",AF248&lt;=30,"20-30",TRUE,"30+")</f>
        <v>0-10</v>
      </c>
      <c r="AO248" t="str" cm="1">
        <f t="array" ref="AO248">_xlfn.IFS(Y248=1,"Poor",Y248=2,"Average",Y248=3,"Good",TRUE,"Excellent")</f>
        <v>Good</v>
      </c>
      <c r="AP248" t="str" cm="1">
        <f t="array" ref="AP248">_xlfn.IFS(Q248=1,"Low",Q248=2,"Medium",Q248=3,"High",TRUE,"Very High")</f>
        <v>Very High</v>
      </c>
    </row>
    <row r="249" spans="1:42" x14ac:dyDescent="0.25">
      <c r="A249">
        <v>34</v>
      </c>
      <c r="B249" t="s">
        <v>42</v>
      </c>
      <c r="C249" t="s">
        <v>90</v>
      </c>
      <c r="D249">
        <v>470</v>
      </c>
      <c r="E249" t="s">
        <v>43</v>
      </c>
      <c r="F249">
        <v>2</v>
      </c>
      <c r="G249">
        <v>4</v>
      </c>
      <c r="H249" t="s">
        <v>37</v>
      </c>
      <c r="I249">
        <v>1</v>
      </c>
      <c r="J249">
        <v>339</v>
      </c>
      <c r="K249">
        <v>4</v>
      </c>
      <c r="L249" t="s">
        <v>44</v>
      </c>
      <c r="M249">
        <v>84</v>
      </c>
      <c r="N249">
        <v>2</v>
      </c>
      <c r="O249">
        <v>2</v>
      </c>
      <c r="P249" t="s">
        <v>51</v>
      </c>
      <c r="Q249">
        <v>1</v>
      </c>
      <c r="R249" t="s">
        <v>46</v>
      </c>
      <c r="S249">
        <v>5957</v>
      </c>
      <c r="T249">
        <v>23687</v>
      </c>
      <c r="U249">
        <v>6</v>
      </c>
      <c r="V249" t="s">
        <v>41</v>
      </c>
      <c r="W249" t="s">
        <v>42</v>
      </c>
      <c r="X249">
        <v>13</v>
      </c>
      <c r="Y249">
        <v>3</v>
      </c>
      <c r="Z249">
        <v>2</v>
      </c>
      <c r="AA249">
        <v>80</v>
      </c>
      <c r="AB249">
        <v>1</v>
      </c>
      <c r="AC249">
        <v>13</v>
      </c>
      <c r="AD249">
        <v>3</v>
      </c>
      <c r="AE249">
        <v>3</v>
      </c>
      <c r="AF249">
        <v>11</v>
      </c>
      <c r="AG249">
        <v>9</v>
      </c>
      <c r="AH249">
        <v>5</v>
      </c>
      <c r="AI249">
        <v>9</v>
      </c>
      <c r="AJ249">
        <f t="shared" si="3"/>
        <v>0</v>
      </c>
      <c r="AK249" t="str" cm="1">
        <f t="array" ref="AK249">_xlfn.IFS(A249&lt;=30,"18-30",A249&lt;=45,"31-45",A249&lt;=60,"46-60",TRUE, "60+")</f>
        <v>31-45</v>
      </c>
      <c r="AL249" t="str" cm="1">
        <f t="array" ref="AL249">_xlfn.IFS(F249&lt;=10,"0-10",F249&lt;=20,"11-20",TRUE,"20+")</f>
        <v>0-10</v>
      </c>
      <c r="AM249" t="str" cm="1">
        <f t="array" ref="AM249">_xlfn.IFS(S249&lt;=5000,"0-5k",S249&lt;=10000,"5k-10k",S249&lt;=15000,"10k-15k",TRUE,"15k+")</f>
        <v>5k-10k</v>
      </c>
      <c r="AN249" t="str" cm="1">
        <f t="array" ref="AN249">_xlfn.IFS(AF249&lt;=10,"0-10",AF249&lt;=20,"10-20",AF249&lt;=30,"20-30",TRUE,"30+")</f>
        <v>10-20</v>
      </c>
      <c r="AO249" t="str" cm="1">
        <f t="array" ref="AO249">_xlfn.IFS(Y249=1,"Poor",Y249=2,"Average",Y249=3,"Good",TRUE,"Excellent")</f>
        <v>Good</v>
      </c>
      <c r="AP249" t="str" cm="1">
        <f t="array" ref="AP249">_xlfn.IFS(Q249=1,"Low",Q249=2,"Medium",Q249=3,"High",TRUE,"Very High")</f>
        <v>Low</v>
      </c>
    </row>
    <row r="250" spans="1:42" x14ac:dyDescent="0.25">
      <c r="A250">
        <v>37</v>
      </c>
      <c r="B250" t="s">
        <v>42</v>
      </c>
      <c r="C250" t="s">
        <v>90</v>
      </c>
      <c r="D250">
        <v>1017</v>
      </c>
      <c r="E250" t="s">
        <v>43</v>
      </c>
      <c r="F250">
        <v>1</v>
      </c>
      <c r="G250">
        <v>2</v>
      </c>
      <c r="H250" t="s">
        <v>49</v>
      </c>
      <c r="I250">
        <v>1</v>
      </c>
      <c r="J250">
        <v>340</v>
      </c>
      <c r="K250">
        <v>3</v>
      </c>
      <c r="L250" t="s">
        <v>38</v>
      </c>
      <c r="M250">
        <v>83</v>
      </c>
      <c r="N250">
        <v>2</v>
      </c>
      <c r="O250">
        <v>1</v>
      </c>
      <c r="P250" t="s">
        <v>45</v>
      </c>
      <c r="Q250">
        <v>1</v>
      </c>
      <c r="R250" t="s">
        <v>46</v>
      </c>
      <c r="S250">
        <v>3920</v>
      </c>
      <c r="T250">
        <v>18697</v>
      </c>
      <c r="U250">
        <v>2</v>
      </c>
      <c r="V250" t="s">
        <v>41</v>
      </c>
      <c r="W250" t="s">
        <v>42</v>
      </c>
      <c r="X250">
        <v>14</v>
      </c>
      <c r="Y250">
        <v>3</v>
      </c>
      <c r="Z250">
        <v>1</v>
      </c>
      <c r="AA250">
        <v>80</v>
      </c>
      <c r="AB250">
        <v>1</v>
      </c>
      <c r="AC250">
        <v>17</v>
      </c>
      <c r="AD250">
        <v>2</v>
      </c>
      <c r="AE250">
        <v>2</v>
      </c>
      <c r="AF250">
        <v>3</v>
      </c>
      <c r="AG250">
        <v>1</v>
      </c>
      <c r="AH250">
        <v>0</v>
      </c>
      <c r="AI250">
        <v>2</v>
      </c>
      <c r="AJ250">
        <f t="shared" si="3"/>
        <v>0</v>
      </c>
      <c r="AK250" t="str" cm="1">
        <f t="array" ref="AK250">_xlfn.IFS(A250&lt;=30,"18-30",A250&lt;=45,"31-45",A250&lt;=60,"46-60",TRUE, "60+")</f>
        <v>31-45</v>
      </c>
      <c r="AL250" t="str" cm="1">
        <f t="array" ref="AL250">_xlfn.IFS(F250&lt;=10,"0-10",F250&lt;=20,"11-20",TRUE,"20+")</f>
        <v>0-10</v>
      </c>
      <c r="AM250" t="str" cm="1">
        <f t="array" ref="AM250">_xlfn.IFS(S250&lt;=5000,"0-5k",S250&lt;=10000,"5k-10k",S250&lt;=15000,"10k-15k",TRUE,"15k+")</f>
        <v>0-5k</v>
      </c>
      <c r="AN250" t="str" cm="1">
        <f t="array" ref="AN250">_xlfn.IFS(AF250&lt;=10,"0-10",AF250&lt;=20,"10-20",AF250&lt;=30,"20-30",TRUE,"30+")</f>
        <v>0-10</v>
      </c>
      <c r="AO250" t="str" cm="1">
        <f t="array" ref="AO250">_xlfn.IFS(Y250=1,"Poor",Y250=2,"Average",Y250=3,"Good",TRUE,"Excellent")</f>
        <v>Good</v>
      </c>
      <c r="AP250" t="str" cm="1">
        <f t="array" ref="AP250">_xlfn.IFS(Q250=1,"Low",Q250=2,"Medium",Q250=3,"High",TRUE,"Very High")</f>
        <v>Low</v>
      </c>
    </row>
    <row r="251" spans="1:42" x14ac:dyDescent="0.25">
      <c r="A251">
        <v>45</v>
      </c>
      <c r="B251" t="s">
        <v>42</v>
      </c>
      <c r="C251" t="s">
        <v>91</v>
      </c>
      <c r="D251">
        <v>1199</v>
      </c>
      <c r="E251" t="s">
        <v>43</v>
      </c>
      <c r="F251">
        <v>7</v>
      </c>
      <c r="G251">
        <v>4</v>
      </c>
      <c r="H251" t="s">
        <v>37</v>
      </c>
      <c r="I251">
        <v>1</v>
      </c>
      <c r="J251">
        <v>341</v>
      </c>
      <c r="K251">
        <v>1</v>
      </c>
      <c r="L251" t="s">
        <v>44</v>
      </c>
      <c r="M251">
        <v>77</v>
      </c>
      <c r="N251">
        <v>4</v>
      </c>
      <c r="O251">
        <v>2</v>
      </c>
      <c r="P251" t="s">
        <v>51</v>
      </c>
      <c r="Q251">
        <v>3</v>
      </c>
      <c r="R251" t="s">
        <v>46</v>
      </c>
      <c r="S251">
        <v>6434</v>
      </c>
      <c r="T251">
        <v>5118</v>
      </c>
      <c r="U251">
        <v>4</v>
      </c>
      <c r="V251" t="s">
        <v>41</v>
      </c>
      <c r="W251" t="s">
        <v>42</v>
      </c>
      <c r="X251">
        <v>17</v>
      </c>
      <c r="Y251">
        <v>3</v>
      </c>
      <c r="Z251">
        <v>4</v>
      </c>
      <c r="AA251">
        <v>80</v>
      </c>
      <c r="AB251">
        <v>1</v>
      </c>
      <c r="AC251">
        <v>9</v>
      </c>
      <c r="AD251">
        <v>1</v>
      </c>
      <c r="AE251">
        <v>3</v>
      </c>
      <c r="AF251">
        <v>3</v>
      </c>
      <c r="AG251">
        <v>2</v>
      </c>
      <c r="AH251">
        <v>0</v>
      </c>
      <c r="AI251">
        <v>2</v>
      </c>
      <c r="AJ251">
        <f t="shared" si="3"/>
        <v>0</v>
      </c>
      <c r="AK251" t="str" cm="1">
        <f t="array" ref="AK251">_xlfn.IFS(A251&lt;=30,"18-30",A251&lt;=45,"31-45",A251&lt;=60,"46-60",TRUE, "60+")</f>
        <v>31-45</v>
      </c>
      <c r="AL251" t="str" cm="1">
        <f t="array" ref="AL251">_xlfn.IFS(F251&lt;=10,"0-10",F251&lt;=20,"11-20",TRUE,"20+")</f>
        <v>0-10</v>
      </c>
      <c r="AM251" t="str" cm="1">
        <f t="array" ref="AM251">_xlfn.IFS(S251&lt;=5000,"0-5k",S251&lt;=10000,"5k-10k",S251&lt;=15000,"10k-15k",TRUE,"15k+")</f>
        <v>5k-10k</v>
      </c>
      <c r="AN251" t="str" cm="1">
        <f t="array" ref="AN251">_xlfn.IFS(AF251&lt;=10,"0-10",AF251&lt;=20,"10-20",AF251&lt;=30,"20-30",TRUE,"30+")</f>
        <v>0-10</v>
      </c>
      <c r="AO251" t="str" cm="1">
        <f t="array" ref="AO251">_xlfn.IFS(Y251=1,"Poor",Y251=2,"Average",Y251=3,"Good",TRUE,"Excellent")</f>
        <v>Good</v>
      </c>
      <c r="AP251" t="str" cm="1">
        <f t="array" ref="AP251">_xlfn.IFS(Q251=1,"Low",Q251=2,"Medium",Q251=3,"High",TRUE,"Very High")</f>
        <v>High</v>
      </c>
    </row>
    <row r="252" spans="1:42" x14ac:dyDescent="0.25">
      <c r="A252">
        <v>37</v>
      </c>
      <c r="B252" t="s">
        <v>35</v>
      </c>
      <c r="C252" t="s">
        <v>91</v>
      </c>
      <c r="D252">
        <v>504</v>
      </c>
      <c r="E252" t="s">
        <v>43</v>
      </c>
      <c r="F252">
        <v>10</v>
      </c>
      <c r="G252">
        <v>3</v>
      </c>
      <c r="H252" t="s">
        <v>49</v>
      </c>
      <c r="I252">
        <v>1</v>
      </c>
      <c r="J252">
        <v>342</v>
      </c>
      <c r="K252">
        <v>1</v>
      </c>
      <c r="L252" t="s">
        <v>44</v>
      </c>
      <c r="M252">
        <v>61</v>
      </c>
      <c r="N252">
        <v>3</v>
      </c>
      <c r="O252">
        <v>3</v>
      </c>
      <c r="P252" t="s">
        <v>51</v>
      </c>
      <c r="Q252">
        <v>3</v>
      </c>
      <c r="R252" t="s">
        <v>50</v>
      </c>
      <c r="S252">
        <v>10048</v>
      </c>
      <c r="T252">
        <v>22573</v>
      </c>
      <c r="U252">
        <v>6</v>
      </c>
      <c r="V252" t="s">
        <v>41</v>
      </c>
      <c r="W252" t="s">
        <v>42</v>
      </c>
      <c r="X252">
        <v>11</v>
      </c>
      <c r="Y252">
        <v>3</v>
      </c>
      <c r="Z252">
        <v>2</v>
      </c>
      <c r="AA252">
        <v>80</v>
      </c>
      <c r="AB252">
        <v>2</v>
      </c>
      <c r="AC252">
        <v>17</v>
      </c>
      <c r="AD252">
        <v>5</v>
      </c>
      <c r="AE252">
        <v>3</v>
      </c>
      <c r="AF252">
        <v>1</v>
      </c>
      <c r="AG252">
        <v>0</v>
      </c>
      <c r="AH252">
        <v>0</v>
      </c>
      <c r="AI252">
        <v>0</v>
      </c>
      <c r="AJ252">
        <f t="shared" si="3"/>
        <v>1</v>
      </c>
      <c r="AK252" t="str" cm="1">
        <f t="array" ref="AK252">_xlfn.IFS(A252&lt;=30,"18-30",A252&lt;=45,"31-45",A252&lt;=60,"46-60",TRUE, "60+")</f>
        <v>31-45</v>
      </c>
      <c r="AL252" t="str" cm="1">
        <f t="array" ref="AL252">_xlfn.IFS(F252&lt;=10,"0-10",F252&lt;=20,"11-20",TRUE,"20+")</f>
        <v>0-10</v>
      </c>
      <c r="AM252" t="str" cm="1">
        <f t="array" ref="AM252">_xlfn.IFS(S252&lt;=5000,"0-5k",S252&lt;=10000,"5k-10k",S252&lt;=15000,"10k-15k",TRUE,"15k+")</f>
        <v>10k-15k</v>
      </c>
      <c r="AN252" t="str" cm="1">
        <f t="array" ref="AN252">_xlfn.IFS(AF252&lt;=10,"0-10",AF252&lt;=20,"10-20",AF252&lt;=30,"20-30",TRUE,"30+")</f>
        <v>0-10</v>
      </c>
      <c r="AO252" t="str" cm="1">
        <f t="array" ref="AO252">_xlfn.IFS(Y252=1,"Poor",Y252=2,"Average",Y252=3,"Good",TRUE,"Excellent")</f>
        <v>Good</v>
      </c>
      <c r="AP252" t="str" cm="1">
        <f t="array" ref="AP252">_xlfn.IFS(Q252=1,"Low",Q252=2,"Medium",Q252=3,"High",TRUE,"Very High")</f>
        <v>High</v>
      </c>
    </row>
    <row r="253" spans="1:42" x14ac:dyDescent="0.25">
      <c r="A253">
        <v>39</v>
      </c>
      <c r="B253" t="s">
        <v>42</v>
      </c>
      <c r="C253" t="s">
        <v>91</v>
      </c>
      <c r="D253">
        <v>505</v>
      </c>
      <c r="E253" t="s">
        <v>43</v>
      </c>
      <c r="F253">
        <v>2</v>
      </c>
      <c r="G253">
        <v>4</v>
      </c>
      <c r="H253" t="s">
        <v>58</v>
      </c>
      <c r="I253">
        <v>1</v>
      </c>
      <c r="J253">
        <v>343</v>
      </c>
      <c r="K253">
        <v>3</v>
      </c>
      <c r="L253" t="s">
        <v>38</v>
      </c>
      <c r="M253">
        <v>64</v>
      </c>
      <c r="N253">
        <v>3</v>
      </c>
      <c r="O253">
        <v>3</v>
      </c>
      <c r="P253" t="s">
        <v>52</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c r="AJ253">
        <f t="shared" si="3"/>
        <v>0</v>
      </c>
      <c r="AK253" t="str" cm="1">
        <f t="array" ref="AK253">_xlfn.IFS(A253&lt;=30,"18-30",A253&lt;=45,"31-45",A253&lt;=60,"46-60",TRUE, "60+")</f>
        <v>31-45</v>
      </c>
      <c r="AL253" t="str" cm="1">
        <f t="array" ref="AL253">_xlfn.IFS(F253&lt;=10,"0-10",F253&lt;=20,"11-20",TRUE,"20+")</f>
        <v>0-10</v>
      </c>
      <c r="AM253" t="str" cm="1">
        <f t="array" ref="AM253">_xlfn.IFS(S253&lt;=5000,"0-5k",S253&lt;=10000,"5k-10k",S253&lt;=15000,"10k-15k",TRUE,"15k+")</f>
        <v>10k-15k</v>
      </c>
      <c r="AN253" t="str" cm="1">
        <f t="array" ref="AN253">_xlfn.IFS(AF253&lt;=10,"0-10",AF253&lt;=20,"10-20",AF253&lt;=30,"20-30",TRUE,"30+")</f>
        <v>10-20</v>
      </c>
      <c r="AO253" t="str" cm="1">
        <f t="array" ref="AO253">_xlfn.IFS(Y253=1,"Poor",Y253=2,"Average",Y253=3,"Good",TRUE,"Excellent")</f>
        <v>Excellent</v>
      </c>
      <c r="AP253" t="str" cm="1">
        <f t="array" ref="AP253">_xlfn.IFS(Q253=1,"Low",Q253=2,"Medium",Q253=3,"High",TRUE,"Very High")</f>
        <v>High</v>
      </c>
    </row>
    <row r="254" spans="1:42" x14ac:dyDescent="0.25">
      <c r="A254">
        <v>29</v>
      </c>
      <c r="B254" t="s">
        <v>42</v>
      </c>
      <c r="C254" t="s">
        <v>90</v>
      </c>
      <c r="D254">
        <v>665</v>
      </c>
      <c r="E254" t="s">
        <v>43</v>
      </c>
      <c r="F254">
        <v>15</v>
      </c>
      <c r="G254">
        <v>3</v>
      </c>
      <c r="H254" t="s">
        <v>37</v>
      </c>
      <c r="I254">
        <v>1</v>
      </c>
      <c r="J254">
        <v>346</v>
      </c>
      <c r="K254">
        <v>3</v>
      </c>
      <c r="L254" t="s">
        <v>44</v>
      </c>
      <c r="M254">
        <v>60</v>
      </c>
      <c r="N254">
        <v>3</v>
      </c>
      <c r="O254">
        <v>1</v>
      </c>
      <c r="P254" t="s">
        <v>45</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c r="AJ254">
        <f t="shared" si="3"/>
        <v>0</v>
      </c>
      <c r="AK254" t="str" cm="1">
        <f t="array" ref="AK254">_xlfn.IFS(A254&lt;=30,"18-30",A254&lt;=45,"31-45",A254&lt;=60,"46-60",TRUE, "60+")</f>
        <v>18-30</v>
      </c>
      <c r="AL254" t="str" cm="1">
        <f t="array" ref="AL254">_xlfn.IFS(F254&lt;=10,"0-10",F254&lt;=20,"11-20",TRUE,"20+")</f>
        <v>11-20</v>
      </c>
      <c r="AM254" t="str" cm="1">
        <f t="array" ref="AM254">_xlfn.IFS(S254&lt;=5000,"0-5k",S254&lt;=10000,"5k-10k",S254&lt;=15000,"10k-15k",TRUE,"15k+")</f>
        <v>0-5k</v>
      </c>
      <c r="AN254" t="str" cm="1">
        <f t="array" ref="AN254">_xlfn.IFS(AF254&lt;=10,"0-10",AF254&lt;=20,"10-20",AF254&lt;=30,"20-30",TRUE,"30+")</f>
        <v>0-10</v>
      </c>
      <c r="AO254" t="str" cm="1">
        <f t="array" ref="AO254">_xlfn.IFS(Y254=1,"Poor",Y254=2,"Average",Y254=3,"Good",TRUE,"Excellent")</f>
        <v>Good</v>
      </c>
      <c r="AP254" t="str" cm="1">
        <f t="array" ref="AP254">_xlfn.IFS(Q254=1,"Low",Q254=2,"Medium",Q254=3,"High",TRUE,"Very High")</f>
        <v>Very High</v>
      </c>
    </row>
    <row r="255" spans="1:42" x14ac:dyDescent="0.25">
      <c r="A255">
        <v>42</v>
      </c>
      <c r="B255" t="s">
        <v>42</v>
      </c>
      <c r="C255" t="s">
        <v>90</v>
      </c>
      <c r="D255">
        <v>916</v>
      </c>
      <c r="E255" t="s">
        <v>43</v>
      </c>
      <c r="F255">
        <v>17</v>
      </c>
      <c r="G255">
        <v>2</v>
      </c>
      <c r="H255" t="s">
        <v>37</v>
      </c>
      <c r="I255">
        <v>1</v>
      </c>
      <c r="J255">
        <v>347</v>
      </c>
      <c r="K255">
        <v>4</v>
      </c>
      <c r="L255" t="s">
        <v>38</v>
      </c>
      <c r="M255">
        <v>82</v>
      </c>
      <c r="N255">
        <v>4</v>
      </c>
      <c r="O255">
        <v>2</v>
      </c>
      <c r="P255" t="s">
        <v>45</v>
      </c>
      <c r="Q255">
        <v>1</v>
      </c>
      <c r="R255" t="s">
        <v>40</v>
      </c>
      <c r="S255">
        <v>6545</v>
      </c>
      <c r="T255">
        <v>23016</v>
      </c>
      <c r="U255">
        <v>3</v>
      </c>
      <c r="V255" t="s">
        <v>41</v>
      </c>
      <c r="W255" t="s">
        <v>35</v>
      </c>
      <c r="X255">
        <v>13</v>
      </c>
      <c r="Y255">
        <v>3</v>
      </c>
      <c r="Z255">
        <v>3</v>
      </c>
      <c r="AA255">
        <v>80</v>
      </c>
      <c r="AB255">
        <v>0</v>
      </c>
      <c r="AC255">
        <v>10</v>
      </c>
      <c r="AD255">
        <v>1</v>
      </c>
      <c r="AE255">
        <v>3</v>
      </c>
      <c r="AF255">
        <v>3</v>
      </c>
      <c r="AG255">
        <v>2</v>
      </c>
      <c r="AH255">
        <v>0</v>
      </c>
      <c r="AI255">
        <v>2</v>
      </c>
      <c r="AJ255">
        <f t="shared" si="3"/>
        <v>0</v>
      </c>
      <c r="AK255" t="str" cm="1">
        <f t="array" ref="AK255">_xlfn.IFS(A255&lt;=30,"18-30",A255&lt;=45,"31-45",A255&lt;=60,"46-60",TRUE, "60+")</f>
        <v>31-45</v>
      </c>
      <c r="AL255" t="str" cm="1">
        <f t="array" ref="AL255">_xlfn.IFS(F255&lt;=10,"0-10",F255&lt;=20,"11-20",TRUE,"20+")</f>
        <v>11-20</v>
      </c>
      <c r="AM255" t="str" cm="1">
        <f t="array" ref="AM255">_xlfn.IFS(S255&lt;=5000,"0-5k",S255&lt;=10000,"5k-10k",S255&lt;=15000,"10k-15k",TRUE,"15k+")</f>
        <v>5k-10k</v>
      </c>
      <c r="AN255" t="str" cm="1">
        <f t="array" ref="AN255">_xlfn.IFS(AF255&lt;=10,"0-10",AF255&lt;=20,"10-20",AF255&lt;=30,"20-30",TRUE,"30+")</f>
        <v>0-10</v>
      </c>
      <c r="AO255" t="str" cm="1">
        <f t="array" ref="AO255">_xlfn.IFS(Y255=1,"Poor",Y255=2,"Average",Y255=3,"Good",TRUE,"Excellent")</f>
        <v>Good</v>
      </c>
      <c r="AP255" t="str" cm="1">
        <f t="array" ref="AP255">_xlfn.IFS(Q255=1,"Low",Q255=2,"Medium",Q255=3,"High",TRUE,"Very High")</f>
        <v>Low</v>
      </c>
    </row>
    <row r="256" spans="1:42" x14ac:dyDescent="0.25">
      <c r="A256">
        <v>29</v>
      </c>
      <c r="B256" t="s">
        <v>42</v>
      </c>
      <c r="C256" t="s">
        <v>90</v>
      </c>
      <c r="D256">
        <v>1247</v>
      </c>
      <c r="E256" t="s">
        <v>36</v>
      </c>
      <c r="F256">
        <v>20</v>
      </c>
      <c r="G256">
        <v>2</v>
      </c>
      <c r="H256" t="s">
        <v>57</v>
      </c>
      <c r="I256">
        <v>1</v>
      </c>
      <c r="J256">
        <v>349</v>
      </c>
      <c r="K256">
        <v>4</v>
      </c>
      <c r="L256" t="s">
        <v>44</v>
      </c>
      <c r="M256">
        <v>45</v>
      </c>
      <c r="N256">
        <v>3</v>
      </c>
      <c r="O256">
        <v>2</v>
      </c>
      <c r="P256" t="s">
        <v>39</v>
      </c>
      <c r="Q256">
        <v>4</v>
      </c>
      <c r="R256" t="s">
        <v>50</v>
      </c>
      <c r="S256">
        <v>6931</v>
      </c>
      <c r="T256">
        <v>10732</v>
      </c>
      <c r="U256">
        <v>2</v>
      </c>
      <c r="V256" t="s">
        <v>41</v>
      </c>
      <c r="W256" t="s">
        <v>42</v>
      </c>
      <c r="X256">
        <v>14</v>
      </c>
      <c r="Y256">
        <v>3</v>
      </c>
      <c r="Z256">
        <v>4</v>
      </c>
      <c r="AA256">
        <v>80</v>
      </c>
      <c r="AB256">
        <v>1</v>
      </c>
      <c r="AC256">
        <v>10</v>
      </c>
      <c r="AD256">
        <v>2</v>
      </c>
      <c r="AE256">
        <v>3</v>
      </c>
      <c r="AF256">
        <v>3</v>
      </c>
      <c r="AG256">
        <v>2</v>
      </c>
      <c r="AH256">
        <v>0</v>
      </c>
      <c r="AI256">
        <v>2</v>
      </c>
      <c r="AJ256">
        <f t="shared" si="3"/>
        <v>0</v>
      </c>
      <c r="AK256" t="str" cm="1">
        <f t="array" ref="AK256">_xlfn.IFS(A256&lt;=30,"18-30",A256&lt;=45,"31-45",A256&lt;=60,"46-60",TRUE, "60+")</f>
        <v>18-30</v>
      </c>
      <c r="AL256" t="str" cm="1">
        <f t="array" ref="AL256">_xlfn.IFS(F256&lt;=10,"0-10",F256&lt;=20,"11-20",TRUE,"20+")</f>
        <v>11-20</v>
      </c>
      <c r="AM256" t="str" cm="1">
        <f t="array" ref="AM256">_xlfn.IFS(S256&lt;=5000,"0-5k",S256&lt;=10000,"5k-10k",S256&lt;=15000,"10k-15k",TRUE,"15k+")</f>
        <v>5k-10k</v>
      </c>
      <c r="AN256" t="str" cm="1">
        <f t="array" ref="AN256">_xlfn.IFS(AF256&lt;=10,"0-10",AF256&lt;=20,"10-20",AF256&lt;=30,"20-30",TRUE,"30+")</f>
        <v>0-10</v>
      </c>
      <c r="AO256" t="str" cm="1">
        <f t="array" ref="AO256">_xlfn.IFS(Y256=1,"Poor",Y256=2,"Average",Y256=3,"Good",TRUE,"Excellent")</f>
        <v>Good</v>
      </c>
      <c r="AP256" t="str" cm="1">
        <f t="array" ref="AP256">_xlfn.IFS(Q256=1,"Low",Q256=2,"Medium",Q256=3,"High",TRUE,"Very High")</f>
        <v>Very High</v>
      </c>
    </row>
    <row r="257" spans="1:42" x14ac:dyDescent="0.25">
      <c r="A257">
        <v>25</v>
      </c>
      <c r="B257" t="s">
        <v>42</v>
      </c>
      <c r="C257" t="s">
        <v>90</v>
      </c>
      <c r="D257">
        <v>685</v>
      </c>
      <c r="E257" t="s">
        <v>43</v>
      </c>
      <c r="F257">
        <v>1</v>
      </c>
      <c r="G257">
        <v>3</v>
      </c>
      <c r="H257" t="s">
        <v>37</v>
      </c>
      <c r="I257">
        <v>1</v>
      </c>
      <c r="J257">
        <v>350</v>
      </c>
      <c r="K257">
        <v>1</v>
      </c>
      <c r="L257" t="s">
        <v>38</v>
      </c>
      <c r="M257">
        <v>62</v>
      </c>
      <c r="N257">
        <v>3</v>
      </c>
      <c r="O257">
        <v>2</v>
      </c>
      <c r="P257" t="s">
        <v>51</v>
      </c>
      <c r="Q257">
        <v>3</v>
      </c>
      <c r="R257" t="s">
        <v>46</v>
      </c>
      <c r="S257">
        <v>4898</v>
      </c>
      <c r="T257">
        <v>7505</v>
      </c>
      <c r="U257">
        <v>0</v>
      </c>
      <c r="V257" t="s">
        <v>41</v>
      </c>
      <c r="W257" t="s">
        <v>42</v>
      </c>
      <c r="X257">
        <v>12</v>
      </c>
      <c r="Y257">
        <v>3</v>
      </c>
      <c r="Z257">
        <v>4</v>
      </c>
      <c r="AA257">
        <v>80</v>
      </c>
      <c r="AB257">
        <v>2</v>
      </c>
      <c r="AC257">
        <v>5</v>
      </c>
      <c r="AD257">
        <v>3</v>
      </c>
      <c r="AE257">
        <v>3</v>
      </c>
      <c r="AF257">
        <v>4</v>
      </c>
      <c r="AG257">
        <v>2</v>
      </c>
      <c r="AH257">
        <v>1</v>
      </c>
      <c r="AI257">
        <v>2</v>
      </c>
      <c r="AJ257">
        <f t="shared" si="3"/>
        <v>0</v>
      </c>
      <c r="AK257" t="str" cm="1">
        <f t="array" ref="AK257">_xlfn.IFS(A257&lt;=30,"18-30",A257&lt;=45,"31-45",A257&lt;=60,"46-60",TRUE, "60+")</f>
        <v>18-30</v>
      </c>
      <c r="AL257" t="str" cm="1">
        <f t="array" ref="AL257">_xlfn.IFS(F257&lt;=10,"0-10",F257&lt;=20,"11-20",TRUE,"20+")</f>
        <v>0-10</v>
      </c>
      <c r="AM257" t="str" cm="1">
        <f t="array" ref="AM257">_xlfn.IFS(S257&lt;=5000,"0-5k",S257&lt;=10000,"5k-10k",S257&lt;=15000,"10k-15k",TRUE,"15k+")</f>
        <v>0-5k</v>
      </c>
      <c r="AN257" t="str" cm="1">
        <f t="array" ref="AN257">_xlfn.IFS(AF257&lt;=10,"0-10",AF257&lt;=20,"10-20",AF257&lt;=30,"20-30",TRUE,"30+")</f>
        <v>0-10</v>
      </c>
      <c r="AO257" t="str" cm="1">
        <f t="array" ref="AO257">_xlfn.IFS(Y257=1,"Poor",Y257=2,"Average",Y257=3,"Good",TRUE,"Excellent")</f>
        <v>Good</v>
      </c>
      <c r="AP257" t="str" cm="1">
        <f t="array" ref="AP257">_xlfn.IFS(Q257=1,"Low",Q257=2,"Medium",Q257=3,"High",TRUE,"Very High")</f>
        <v>High</v>
      </c>
    </row>
    <row r="258" spans="1:42" x14ac:dyDescent="0.25">
      <c r="A258">
        <v>42</v>
      </c>
      <c r="B258" t="s">
        <v>42</v>
      </c>
      <c r="C258" t="s">
        <v>90</v>
      </c>
      <c r="D258">
        <v>269</v>
      </c>
      <c r="E258" t="s">
        <v>43</v>
      </c>
      <c r="F258">
        <v>2</v>
      </c>
      <c r="G258">
        <v>3</v>
      </c>
      <c r="H258" t="s">
        <v>49</v>
      </c>
      <c r="I258">
        <v>1</v>
      </c>
      <c r="J258">
        <v>351</v>
      </c>
      <c r="K258">
        <v>4</v>
      </c>
      <c r="L258" t="s">
        <v>38</v>
      </c>
      <c r="M258">
        <v>56</v>
      </c>
      <c r="N258">
        <v>2</v>
      </c>
      <c r="O258">
        <v>1</v>
      </c>
      <c r="P258" t="s">
        <v>48</v>
      </c>
      <c r="Q258">
        <v>1</v>
      </c>
      <c r="R258" t="s">
        <v>50</v>
      </c>
      <c r="S258">
        <v>2593</v>
      </c>
      <c r="T258">
        <v>8007</v>
      </c>
      <c r="U258">
        <v>0</v>
      </c>
      <c r="V258" t="s">
        <v>41</v>
      </c>
      <c r="W258" t="s">
        <v>35</v>
      </c>
      <c r="X258">
        <v>11</v>
      </c>
      <c r="Y258">
        <v>3</v>
      </c>
      <c r="Z258">
        <v>3</v>
      </c>
      <c r="AA258">
        <v>80</v>
      </c>
      <c r="AB258">
        <v>1</v>
      </c>
      <c r="AC258">
        <v>10</v>
      </c>
      <c r="AD258">
        <v>4</v>
      </c>
      <c r="AE258">
        <v>3</v>
      </c>
      <c r="AF258">
        <v>9</v>
      </c>
      <c r="AG258">
        <v>6</v>
      </c>
      <c r="AH258">
        <v>7</v>
      </c>
      <c r="AI258">
        <v>8</v>
      </c>
      <c r="AJ258">
        <f t="shared" ref="AJ258:AJ321" si="4">IF(B258="yes",1,0)</f>
        <v>0</v>
      </c>
      <c r="AK258" t="str" cm="1">
        <f t="array" ref="AK258">_xlfn.IFS(A258&lt;=30,"18-30",A258&lt;=45,"31-45",A258&lt;=60,"46-60",TRUE, "60+")</f>
        <v>31-45</v>
      </c>
      <c r="AL258" t="str" cm="1">
        <f t="array" ref="AL258">_xlfn.IFS(F258&lt;=10,"0-10",F258&lt;=20,"11-20",TRUE,"20+")</f>
        <v>0-10</v>
      </c>
      <c r="AM258" t="str" cm="1">
        <f t="array" ref="AM258">_xlfn.IFS(S258&lt;=5000,"0-5k",S258&lt;=10000,"5k-10k",S258&lt;=15000,"10k-15k",TRUE,"15k+")</f>
        <v>0-5k</v>
      </c>
      <c r="AN258" t="str" cm="1">
        <f t="array" ref="AN258">_xlfn.IFS(AF258&lt;=10,"0-10",AF258&lt;=20,"10-20",AF258&lt;=30,"20-30",TRUE,"30+")</f>
        <v>0-10</v>
      </c>
      <c r="AO258" t="str" cm="1">
        <f t="array" ref="AO258">_xlfn.IFS(Y258=1,"Poor",Y258=2,"Average",Y258=3,"Good",TRUE,"Excellent")</f>
        <v>Good</v>
      </c>
      <c r="AP258" t="str" cm="1">
        <f t="array" ref="AP258">_xlfn.IFS(Q258=1,"Low",Q258=2,"Medium",Q258=3,"High",TRUE,"Very High")</f>
        <v>Low</v>
      </c>
    </row>
    <row r="259" spans="1:42" x14ac:dyDescent="0.25">
      <c r="A259">
        <v>40</v>
      </c>
      <c r="B259" t="s">
        <v>42</v>
      </c>
      <c r="C259" t="s">
        <v>90</v>
      </c>
      <c r="D259">
        <v>1416</v>
      </c>
      <c r="E259" t="s">
        <v>43</v>
      </c>
      <c r="F259">
        <v>2</v>
      </c>
      <c r="G259">
        <v>2</v>
      </c>
      <c r="H259" t="s">
        <v>49</v>
      </c>
      <c r="I259">
        <v>1</v>
      </c>
      <c r="J259">
        <v>352</v>
      </c>
      <c r="K259">
        <v>1</v>
      </c>
      <c r="L259" t="s">
        <v>44</v>
      </c>
      <c r="M259">
        <v>49</v>
      </c>
      <c r="N259">
        <v>3</v>
      </c>
      <c r="O259">
        <v>5</v>
      </c>
      <c r="P259" t="s">
        <v>56</v>
      </c>
      <c r="Q259">
        <v>3</v>
      </c>
      <c r="R259" t="s">
        <v>50</v>
      </c>
      <c r="S259">
        <v>19436</v>
      </c>
      <c r="T259">
        <v>5949</v>
      </c>
      <c r="U259">
        <v>0</v>
      </c>
      <c r="V259" t="s">
        <v>41</v>
      </c>
      <c r="W259" t="s">
        <v>42</v>
      </c>
      <c r="X259">
        <v>19</v>
      </c>
      <c r="Y259">
        <v>3</v>
      </c>
      <c r="Z259">
        <v>4</v>
      </c>
      <c r="AA259">
        <v>80</v>
      </c>
      <c r="AB259">
        <v>1</v>
      </c>
      <c r="AC259">
        <v>22</v>
      </c>
      <c r="AD259">
        <v>5</v>
      </c>
      <c r="AE259">
        <v>3</v>
      </c>
      <c r="AF259">
        <v>21</v>
      </c>
      <c r="AG259">
        <v>7</v>
      </c>
      <c r="AH259">
        <v>3</v>
      </c>
      <c r="AI259">
        <v>9</v>
      </c>
      <c r="AJ259">
        <f t="shared" si="4"/>
        <v>0</v>
      </c>
      <c r="AK259" t="str" cm="1">
        <f t="array" ref="AK259">_xlfn.IFS(A259&lt;=30,"18-30",A259&lt;=45,"31-45",A259&lt;=60,"46-60",TRUE, "60+")</f>
        <v>31-45</v>
      </c>
      <c r="AL259" t="str" cm="1">
        <f t="array" ref="AL259">_xlfn.IFS(F259&lt;=10,"0-10",F259&lt;=20,"11-20",TRUE,"20+")</f>
        <v>0-10</v>
      </c>
      <c r="AM259" t="str" cm="1">
        <f t="array" ref="AM259">_xlfn.IFS(S259&lt;=5000,"0-5k",S259&lt;=10000,"5k-10k",S259&lt;=15000,"10k-15k",TRUE,"15k+")</f>
        <v>15k+</v>
      </c>
      <c r="AN259" t="str" cm="1">
        <f t="array" ref="AN259">_xlfn.IFS(AF259&lt;=10,"0-10",AF259&lt;=20,"10-20",AF259&lt;=30,"20-30",TRUE,"30+")</f>
        <v>20-30</v>
      </c>
      <c r="AO259" t="str" cm="1">
        <f t="array" ref="AO259">_xlfn.IFS(Y259=1,"Poor",Y259=2,"Average",Y259=3,"Good",TRUE,"Excellent")</f>
        <v>Good</v>
      </c>
      <c r="AP259" t="str" cm="1">
        <f t="array" ref="AP259">_xlfn.IFS(Q259=1,"Low",Q259=2,"Medium",Q259=3,"High",TRUE,"Very High")</f>
        <v>High</v>
      </c>
    </row>
    <row r="260" spans="1:42" x14ac:dyDescent="0.25">
      <c r="A260">
        <v>51</v>
      </c>
      <c r="B260" t="s">
        <v>42</v>
      </c>
      <c r="C260" t="s">
        <v>90</v>
      </c>
      <c r="D260">
        <v>833</v>
      </c>
      <c r="E260" t="s">
        <v>43</v>
      </c>
      <c r="F260">
        <v>1</v>
      </c>
      <c r="G260">
        <v>3</v>
      </c>
      <c r="H260" t="s">
        <v>37</v>
      </c>
      <c r="I260">
        <v>1</v>
      </c>
      <c r="J260">
        <v>353</v>
      </c>
      <c r="K260">
        <v>3</v>
      </c>
      <c r="L260" t="s">
        <v>44</v>
      </c>
      <c r="M260">
        <v>96</v>
      </c>
      <c r="N260">
        <v>3</v>
      </c>
      <c r="O260">
        <v>1</v>
      </c>
      <c r="P260" t="s">
        <v>45</v>
      </c>
      <c r="Q260">
        <v>4</v>
      </c>
      <c r="R260" t="s">
        <v>46</v>
      </c>
      <c r="S260">
        <v>2723</v>
      </c>
      <c r="T260">
        <v>23231</v>
      </c>
      <c r="U260">
        <v>1</v>
      </c>
      <c r="V260" t="s">
        <v>41</v>
      </c>
      <c r="W260" t="s">
        <v>42</v>
      </c>
      <c r="X260">
        <v>11</v>
      </c>
      <c r="Y260">
        <v>3</v>
      </c>
      <c r="Z260">
        <v>2</v>
      </c>
      <c r="AA260">
        <v>80</v>
      </c>
      <c r="AB260">
        <v>0</v>
      </c>
      <c r="AC260">
        <v>1</v>
      </c>
      <c r="AD260">
        <v>0</v>
      </c>
      <c r="AE260">
        <v>2</v>
      </c>
      <c r="AF260">
        <v>1</v>
      </c>
      <c r="AG260">
        <v>0</v>
      </c>
      <c r="AH260">
        <v>0</v>
      </c>
      <c r="AI260">
        <v>0</v>
      </c>
      <c r="AJ260">
        <f t="shared" si="4"/>
        <v>0</v>
      </c>
      <c r="AK260" t="str" cm="1">
        <f t="array" ref="AK260">_xlfn.IFS(A260&lt;=30,"18-30",A260&lt;=45,"31-45",A260&lt;=60,"46-60",TRUE, "60+")</f>
        <v>46-60</v>
      </c>
      <c r="AL260" t="str" cm="1">
        <f t="array" ref="AL260">_xlfn.IFS(F260&lt;=10,"0-10",F260&lt;=20,"11-20",TRUE,"20+")</f>
        <v>0-10</v>
      </c>
      <c r="AM260" t="str" cm="1">
        <f t="array" ref="AM260">_xlfn.IFS(S260&lt;=5000,"0-5k",S260&lt;=10000,"5k-10k",S260&lt;=15000,"10k-15k",TRUE,"15k+")</f>
        <v>0-5k</v>
      </c>
      <c r="AN260" t="str" cm="1">
        <f t="array" ref="AN260">_xlfn.IFS(AF260&lt;=10,"0-10",AF260&lt;=20,"10-20",AF260&lt;=30,"20-30",TRUE,"30+")</f>
        <v>0-10</v>
      </c>
      <c r="AO260" t="str" cm="1">
        <f t="array" ref="AO260">_xlfn.IFS(Y260=1,"Poor",Y260=2,"Average",Y260=3,"Good",TRUE,"Excellent")</f>
        <v>Good</v>
      </c>
      <c r="AP260" t="str" cm="1">
        <f t="array" ref="AP260">_xlfn.IFS(Q260=1,"Low",Q260=2,"Medium",Q260=3,"High",TRUE,"Very High")</f>
        <v>Very High</v>
      </c>
    </row>
    <row r="261" spans="1:42" x14ac:dyDescent="0.25">
      <c r="A261">
        <v>31</v>
      </c>
      <c r="B261" t="s">
        <v>35</v>
      </c>
      <c r="C261" t="s">
        <v>91</v>
      </c>
      <c r="D261">
        <v>307</v>
      </c>
      <c r="E261" t="s">
        <v>43</v>
      </c>
      <c r="F261">
        <v>29</v>
      </c>
      <c r="G261">
        <v>2</v>
      </c>
      <c r="H261" t="s">
        <v>49</v>
      </c>
      <c r="I261">
        <v>1</v>
      </c>
      <c r="J261">
        <v>355</v>
      </c>
      <c r="K261">
        <v>3</v>
      </c>
      <c r="L261" t="s">
        <v>44</v>
      </c>
      <c r="M261">
        <v>71</v>
      </c>
      <c r="N261">
        <v>2</v>
      </c>
      <c r="O261">
        <v>1</v>
      </c>
      <c r="P261" t="s">
        <v>48</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c r="AJ261">
        <f t="shared" si="4"/>
        <v>1</v>
      </c>
      <c r="AK261" t="str" cm="1">
        <f t="array" ref="AK261">_xlfn.IFS(A261&lt;=30,"18-30",A261&lt;=45,"31-45",A261&lt;=60,"46-60",TRUE, "60+")</f>
        <v>31-45</v>
      </c>
      <c r="AL261" t="str" cm="1">
        <f t="array" ref="AL261">_xlfn.IFS(F261&lt;=10,"0-10",F261&lt;=20,"11-20",TRUE,"20+")</f>
        <v>20+</v>
      </c>
      <c r="AM261" t="str" cm="1">
        <f t="array" ref="AM261">_xlfn.IFS(S261&lt;=5000,"0-5k",S261&lt;=10000,"5k-10k",S261&lt;=15000,"10k-15k",TRUE,"15k+")</f>
        <v>0-5k</v>
      </c>
      <c r="AN261" t="str" cm="1">
        <f t="array" ref="AN261">_xlfn.IFS(AF261&lt;=10,"0-10",AF261&lt;=20,"10-20",AF261&lt;=30,"20-30",TRUE,"30+")</f>
        <v>0-10</v>
      </c>
      <c r="AO261" t="str" cm="1">
        <f t="array" ref="AO261">_xlfn.IFS(Y261=1,"Poor",Y261=2,"Average",Y261=3,"Good",TRUE,"Excellent")</f>
        <v>Good</v>
      </c>
      <c r="AP261" t="str" cm="1">
        <f t="array" ref="AP261">_xlfn.IFS(Q261=1,"Low",Q261=2,"Medium",Q261=3,"High",TRUE,"Very High")</f>
        <v>Medium</v>
      </c>
    </row>
    <row r="262" spans="1:42" x14ac:dyDescent="0.25">
      <c r="A262">
        <v>32</v>
      </c>
      <c r="B262" t="s">
        <v>42</v>
      </c>
      <c r="C262" t="s">
        <v>91</v>
      </c>
      <c r="D262">
        <v>1311</v>
      </c>
      <c r="E262" t="s">
        <v>43</v>
      </c>
      <c r="F262">
        <v>7</v>
      </c>
      <c r="G262">
        <v>3</v>
      </c>
      <c r="H262" t="s">
        <v>37</v>
      </c>
      <c r="I262">
        <v>1</v>
      </c>
      <c r="J262">
        <v>359</v>
      </c>
      <c r="K262">
        <v>2</v>
      </c>
      <c r="L262" t="s">
        <v>44</v>
      </c>
      <c r="M262">
        <v>100</v>
      </c>
      <c r="N262">
        <v>4</v>
      </c>
      <c r="O262">
        <v>1</v>
      </c>
      <c r="P262" t="s">
        <v>48</v>
      </c>
      <c r="Q262">
        <v>2</v>
      </c>
      <c r="R262" t="s">
        <v>46</v>
      </c>
      <c r="S262">
        <v>2794</v>
      </c>
      <c r="T262">
        <v>26062</v>
      </c>
      <c r="U262">
        <v>1</v>
      </c>
      <c r="V262" t="s">
        <v>41</v>
      </c>
      <c r="W262" t="s">
        <v>42</v>
      </c>
      <c r="X262">
        <v>20</v>
      </c>
      <c r="Y262">
        <v>4</v>
      </c>
      <c r="Z262">
        <v>3</v>
      </c>
      <c r="AA262">
        <v>80</v>
      </c>
      <c r="AB262">
        <v>0</v>
      </c>
      <c r="AC262">
        <v>5</v>
      </c>
      <c r="AD262">
        <v>3</v>
      </c>
      <c r="AE262">
        <v>1</v>
      </c>
      <c r="AF262">
        <v>5</v>
      </c>
      <c r="AG262">
        <v>1</v>
      </c>
      <c r="AH262">
        <v>0</v>
      </c>
      <c r="AI262">
        <v>3</v>
      </c>
      <c r="AJ262">
        <f t="shared" si="4"/>
        <v>0</v>
      </c>
      <c r="AK262" t="str" cm="1">
        <f t="array" ref="AK262">_xlfn.IFS(A262&lt;=30,"18-30",A262&lt;=45,"31-45",A262&lt;=60,"46-60",TRUE, "60+")</f>
        <v>31-45</v>
      </c>
      <c r="AL262" t="str" cm="1">
        <f t="array" ref="AL262">_xlfn.IFS(F262&lt;=10,"0-10",F262&lt;=20,"11-20",TRUE,"20+")</f>
        <v>0-10</v>
      </c>
      <c r="AM262" t="str" cm="1">
        <f t="array" ref="AM262">_xlfn.IFS(S262&lt;=5000,"0-5k",S262&lt;=10000,"5k-10k",S262&lt;=15000,"10k-15k",TRUE,"15k+")</f>
        <v>0-5k</v>
      </c>
      <c r="AN262" t="str" cm="1">
        <f t="array" ref="AN262">_xlfn.IFS(AF262&lt;=10,"0-10",AF262&lt;=20,"10-20",AF262&lt;=30,"20-30",TRUE,"30+")</f>
        <v>0-10</v>
      </c>
      <c r="AO262" t="str" cm="1">
        <f t="array" ref="AO262">_xlfn.IFS(Y262=1,"Poor",Y262=2,"Average",Y262=3,"Good",TRUE,"Excellent")</f>
        <v>Excellent</v>
      </c>
      <c r="AP262" t="str" cm="1">
        <f t="array" ref="AP262">_xlfn.IFS(Q262=1,"Low",Q262=2,"Medium",Q262=3,"High",TRUE,"Very High")</f>
        <v>Medium</v>
      </c>
    </row>
    <row r="263" spans="1:42" x14ac:dyDescent="0.25">
      <c r="A263">
        <v>38</v>
      </c>
      <c r="B263" t="s">
        <v>42</v>
      </c>
      <c r="C263" t="s">
        <v>53</v>
      </c>
      <c r="D263">
        <v>1327</v>
      </c>
      <c r="E263" t="s">
        <v>36</v>
      </c>
      <c r="F263">
        <v>2</v>
      </c>
      <c r="G263">
        <v>2</v>
      </c>
      <c r="H263" t="s">
        <v>37</v>
      </c>
      <c r="I263">
        <v>1</v>
      </c>
      <c r="J263">
        <v>361</v>
      </c>
      <c r="K263">
        <v>4</v>
      </c>
      <c r="L263" t="s">
        <v>44</v>
      </c>
      <c r="M263">
        <v>39</v>
      </c>
      <c r="N263">
        <v>2</v>
      </c>
      <c r="O263">
        <v>2</v>
      </c>
      <c r="P263" t="s">
        <v>39</v>
      </c>
      <c r="Q263">
        <v>4</v>
      </c>
      <c r="R263" t="s">
        <v>46</v>
      </c>
      <c r="S263">
        <v>5249</v>
      </c>
      <c r="T263">
        <v>19682</v>
      </c>
      <c r="U263">
        <v>3</v>
      </c>
      <c r="V263" t="s">
        <v>41</v>
      </c>
      <c r="W263" t="s">
        <v>42</v>
      </c>
      <c r="X263">
        <v>18</v>
      </c>
      <c r="Y263">
        <v>3</v>
      </c>
      <c r="Z263">
        <v>4</v>
      </c>
      <c r="AA263">
        <v>80</v>
      </c>
      <c r="AB263">
        <v>1</v>
      </c>
      <c r="AC263">
        <v>13</v>
      </c>
      <c r="AD263">
        <v>0</v>
      </c>
      <c r="AE263">
        <v>3</v>
      </c>
      <c r="AF263">
        <v>8</v>
      </c>
      <c r="AG263">
        <v>7</v>
      </c>
      <c r="AH263">
        <v>7</v>
      </c>
      <c r="AI263">
        <v>5</v>
      </c>
      <c r="AJ263">
        <f t="shared" si="4"/>
        <v>0</v>
      </c>
      <c r="AK263" t="str" cm="1">
        <f t="array" ref="AK263">_xlfn.IFS(A263&lt;=30,"18-30",A263&lt;=45,"31-45",A263&lt;=60,"46-60",TRUE, "60+")</f>
        <v>31-45</v>
      </c>
      <c r="AL263" t="str" cm="1">
        <f t="array" ref="AL263">_xlfn.IFS(F263&lt;=10,"0-10",F263&lt;=20,"11-20",TRUE,"20+")</f>
        <v>0-10</v>
      </c>
      <c r="AM263" t="str" cm="1">
        <f t="array" ref="AM263">_xlfn.IFS(S263&lt;=5000,"0-5k",S263&lt;=10000,"5k-10k",S263&lt;=15000,"10k-15k",TRUE,"15k+")</f>
        <v>5k-10k</v>
      </c>
      <c r="AN263" t="str" cm="1">
        <f t="array" ref="AN263">_xlfn.IFS(AF263&lt;=10,"0-10",AF263&lt;=20,"10-20",AF263&lt;=30,"20-30",TRUE,"30+")</f>
        <v>0-10</v>
      </c>
      <c r="AO263" t="str" cm="1">
        <f t="array" ref="AO263">_xlfn.IFS(Y263=1,"Poor",Y263=2,"Average",Y263=3,"Good",TRUE,"Excellent")</f>
        <v>Good</v>
      </c>
      <c r="AP263" t="str" cm="1">
        <f t="array" ref="AP263">_xlfn.IFS(Q263=1,"Low",Q263=2,"Medium",Q263=3,"High",TRUE,"Very High")</f>
        <v>Very High</v>
      </c>
    </row>
    <row r="264" spans="1:42" x14ac:dyDescent="0.25">
      <c r="A264">
        <v>32</v>
      </c>
      <c r="B264" t="s">
        <v>42</v>
      </c>
      <c r="C264" t="s">
        <v>90</v>
      </c>
      <c r="D264">
        <v>128</v>
      </c>
      <c r="E264" t="s">
        <v>43</v>
      </c>
      <c r="F264">
        <v>2</v>
      </c>
      <c r="G264">
        <v>1</v>
      </c>
      <c r="H264" t="s">
        <v>58</v>
      </c>
      <c r="I264">
        <v>1</v>
      </c>
      <c r="J264">
        <v>362</v>
      </c>
      <c r="K264">
        <v>4</v>
      </c>
      <c r="L264" t="s">
        <v>44</v>
      </c>
      <c r="M264">
        <v>84</v>
      </c>
      <c r="N264">
        <v>2</v>
      </c>
      <c r="O264">
        <v>2</v>
      </c>
      <c r="P264" t="s">
        <v>48</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c r="AJ264">
        <f t="shared" si="4"/>
        <v>0</v>
      </c>
      <c r="AK264" t="str" cm="1">
        <f t="array" ref="AK264">_xlfn.IFS(A264&lt;=30,"18-30",A264&lt;=45,"31-45",A264&lt;=60,"46-60",TRUE, "60+")</f>
        <v>31-45</v>
      </c>
      <c r="AL264" t="str" cm="1">
        <f t="array" ref="AL264">_xlfn.IFS(F264&lt;=10,"0-10",F264&lt;=20,"11-20",TRUE,"20+")</f>
        <v>0-10</v>
      </c>
      <c r="AM264" t="str" cm="1">
        <f t="array" ref="AM264">_xlfn.IFS(S264&lt;=5000,"0-5k",S264&lt;=10000,"5k-10k",S264&lt;=15000,"10k-15k",TRUE,"15k+")</f>
        <v>0-5k</v>
      </c>
      <c r="AN264" t="str" cm="1">
        <f t="array" ref="AN264">_xlfn.IFS(AF264&lt;=10,"0-10",AF264&lt;=20,"10-20",AF264&lt;=30,"20-30",TRUE,"30+")</f>
        <v>0-10</v>
      </c>
      <c r="AO264" t="str" cm="1">
        <f t="array" ref="AO264">_xlfn.IFS(Y264=1,"Poor",Y264=2,"Average",Y264=3,"Good",TRUE,"Excellent")</f>
        <v>Good</v>
      </c>
      <c r="AP264" t="str" cm="1">
        <f t="array" ref="AP264">_xlfn.IFS(Q264=1,"Low",Q264=2,"Medium",Q264=3,"High",TRUE,"Very High")</f>
        <v>Low</v>
      </c>
    </row>
    <row r="265" spans="1:42" x14ac:dyDescent="0.25">
      <c r="A265">
        <v>46</v>
      </c>
      <c r="B265" t="s">
        <v>42</v>
      </c>
      <c r="C265" t="s">
        <v>90</v>
      </c>
      <c r="D265">
        <v>488</v>
      </c>
      <c r="E265" t="s">
        <v>36</v>
      </c>
      <c r="F265">
        <v>2</v>
      </c>
      <c r="G265">
        <v>3</v>
      </c>
      <c r="H265" t="s">
        <v>58</v>
      </c>
      <c r="I265">
        <v>1</v>
      </c>
      <c r="J265">
        <v>363</v>
      </c>
      <c r="K265">
        <v>3</v>
      </c>
      <c r="L265" t="s">
        <v>38</v>
      </c>
      <c r="M265">
        <v>75</v>
      </c>
      <c r="N265">
        <v>1</v>
      </c>
      <c r="O265">
        <v>4</v>
      </c>
      <c r="P265" t="s">
        <v>54</v>
      </c>
      <c r="Q265">
        <v>2</v>
      </c>
      <c r="R265" t="s">
        <v>46</v>
      </c>
      <c r="S265">
        <v>16872</v>
      </c>
      <c r="T265">
        <v>14977</v>
      </c>
      <c r="U265">
        <v>3</v>
      </c>
      <c r="V265" t="s">
        <v>41</v>
      </c>
      <c r="W265" t="s">
        <v>35</v>
      </c>
      <c r="X265">
        <v>12</v>
      </c>
      <c r="Y265">
        <v>3</v>
      </c>
      <c r="Z265">
        <v>2</v>
      </c>
      <c r="AA265">
        <v>80</v>
      </c>
      <c r="AB265">
        <v>1</v>
      </c>
      <c r="AC265">
        <v>28</v>
      </c>
      <c r="AD265">
        <v>2</v>
      </c>
      <c r="AE265">
        <v>2</v>
      </c>
      <c r="AF265">
        <v>7</v>
      </c>
      <c r="AG265">
        <v>7</v>
      </c>
      <c r="AH265">
        <v>7</v>
      </c>
      <c r="AI265">
        <v>7</v>
      </c>
      <c r="AJ265">
        <f t="shared" si="4"/>
        <v>0</v>
      </c>
      <c r="AK265" t="str" cm="1">
        <f t="array" ref="AK265">_xlfn.IFS(A265&lt;=30,"18-30",A265&lt;=45,"31-45",A265&lt;=60,"46-60",TRUE, "60+")</f>
        <v>46-60</v>
      </c>
      <c r="AL265" t="str" cm="1">
        <f t="array" ref="AL265">_xlfn.IFS(F265&lt;=10,"0-10",F265&lt;=20,"11-20",TRUE,"20+")</f>
        <v>0-10</v>
      </c>
      <c r="AM265" t="str" cm="1">
        <f t="array" ref="AM265">_xlfn.IFS(S265&lt;=5000,"0-5k",S265&lt;=10000,"5k-10k",S265&lt;=15000,"10k-15k",TRUE,"15k+")</f>
        <v>15k+</v>
      </c>
      <c r="AN265" t="str" cm="1">
        <f t="array" ref="AN265">_xlfn.IFS(AF265&lt;=10,"0-10",AF265&lt;=20,"10-20",AF265&lt;=30,"20-30",TRUE,"30+")</f>
        <v>0-10</v>
      </c>
      <c r="AO265" t="str" cm="1">
        <f t="array" ref="AO265">_xlfn.IFS(Y265=1,"Poor",Y265=2,"Average",Y265=3,"Good",TRUE,"Excellent")</f>
        <v>Good</v>
      </c>
      <c r="AP265" t="str" cm="1">
        <f t="array" ref="AP265">_xlfn.IFS(Q265=1,"Low",Q265=2,"Medium",Q265=3,"High",TRUE,"Very High")</f>
        <v>Medium</v>
      </c>
    </row>
    <row r="266" spans="1:42" x14ac:dyDescent="0.25">
      <c r="A266">
        <v>28</v>
      </c>
      <c r="B266" t="s">
        <v>35</v>
      </c>
      <c r="C266" t="s">
        <v>90</v>
      </c>
      <c r="D266">
        <v>529</v>
      </c>
      <c r="E266" t="s">
        <v>43</v>
      </c>
      <c r="F266">
        <v>2</v>
      </c>
      <c r="G266">
        <v>4</v>
      </c>
      <c r="H266" t="s">
        <v>37</v>
      </c>
      <c r="I266">
        <v>1</v>
      </c>
      <c r="J266">
        <v>364</v>
      </c>
      <c r="K266">
        <v>1</v>
      </c>
      <c r="L266" t="s">
        <v>44</v>
      </c>
      <c r="M266">
        <v>79</v>
      </c>
      <c r="N266">
        <v>3</v>
      </c>
      <c r="O266">
        <v>1</v>
      </c>
      <c r="P266" t="s">
        <v>48</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c r="AJ266">
        <f t="shared" si="4"/>
        <v>1</v>
      </c>
      <c r="AK266" t="str" cm="1">
        <f t="array" ref="AK266">_xlfn.IFS(A266&lt;=30,"18-30",A266&lt;=45,"31-45",A266&lt;=60,"46-60",TRUE, "60+")</f>
        <v>18-30</v>
      </c>
      <c r="AL266" t="str" cm="1">
        <f t="array" ref="AL266">_xlfn.IFS(F266&lt;=10,"0-10",F266&lt;=20,"11-20",TRUE,"20+")</f>
        <v>0-10</v>
      </c>
      <c r="AM266" t="str" cm="1">
        <f t="array" ref="AM266">_xlfn.IFS(S266&lt;=5000,"0-5k",S266&lt;=10000,"5k-10k",S266&lt;=15000,"10k-15k",TRUE,"15k+")</f>
        <v>0-5k</v>
      </c>
      <c r="AN266" t="str" cm="1">
        <f t="array" ref="AN266">_xlfn.IFS(AF266&lt;=10,"0-10",AF266&lt;=20,"10-20",AF266&lt;=30,"20-30",TRUE,"30+")</f>
        <v>0-10</v>
      </c>
      <c r="AO266" t="str" cm="1">
        <f t="array" ref="AO266">_xlfn.IFS(Y266=1,"Poor",Y266=2,"Average",Y266=3,"Good",TRUE,"Excellent")</f>
        <v>Good</v>
      </c>
      <c r="AP266" t="str" cm="1">
        <f t="array" ref="AP266">_xlfn.IFS(Q266=1,"Low",Q266=2,"Medium",Q266=3,"High",TRUE,"Very High")</f>
        <v>High</v>
      </c>
    </row>
    <row r="267" spans="1:42" x14ac:dyDescent="0.25">
      <c r="A267">
        <v>29</v>
      </c>
      <c r="B267" t="s">
        <v>42</v>
      </c>
      <c r="C267" t="s">
        <v>90</v>
      </c>
      <c r="D267">
        <v>1210</v>
      </c>
      <c r="E267" t="s">
        <v>36</v>
      </c>
      <c r="F267">
        <v>2</v>
      </c>
      <c r="G267">
        <v>3</v>
      </c>
      <c r="H267" t="s">
        <v>49</v>
      </c>
      <c r="I267">
        <v>1</v>
      </c>
      <c r="J267">
        <v>366</v>
      </c>
      <c r="K267">
        <v>1</v>
      </c>
      <c r="L267" t="s">
        <v>44</v>
      </c>
      <c r="M267">
        <v>78</v>
      </c>
      <c r="N267">
        <v>2</v>
      </c>
      <c r="O267">
        <v>2</v>
      </c>
      <c r="P267" t="s">
        <v>39</v>
      </c>
      <c r="Q267">
        <v>2</v>
      </c>
      <c r="R267" t="s">
        <v>46</v>
      </c>
      <c r="S267">
        <v>6644</v>
      </c>
      <c r="T267">
        <v>3687</v>
      </c>
      <c r="U267">
        <v>2</v>
      </c>
      <c r="V267" t="s">
        <v>41</v>
      </c>
      <c r="W267" t="s">
        <v>42</v>
      </c>
      <c r="X267">
        <v>19</v>
      </c>
      <c r="Y267">
        <v>3</v>
      </c>
      <c r="Z267">
        <v>2</v>
      </c>
      <c r="AA267">
        <v>80</v>
      </c>
      <c r="AB267">
        <v>2</v>
      </c>
      <c r="AC267">
        <v>10</v>
      </c>
      <c r="AD267">
        <v>2</v>
      </c>
      <c r="AE267">
        <v>3</v>
      </c>
      <c r="AF267">
        <v>0</v>
      </c>
      <c r="AG267">
        <v>0</v>
      </c>
      <c r="AH267">
        <v>0</v>
      </c>
      <c r="AI267">
        <v>0</v>
      </c>
      <c r="AJ267">
        <f t="shared" si="4"/>
        <v>0</v>
      </c>
      <c r="AK267" t="str" cm="1">
        <f t="array" ref="AK267">_xlfn.IFS(A267&lt;=30,"18-30",A267&lt;=45,"31-45",A267&lt;=60,"46-60",TRUE, "60+")</f>
        <v>18-30</v>
      </c>
      <c r="AL267" t="str" cm="1">
        <f t="array" ref="AL267">_xlfn.IFS(F267&lt;=10,"0-10",F267&lt;=20,"11-20",TRUE,"20+")</f>
        <v>0-10</v>
      </c>
      <c r="AM267" t="str" cm="1">
        <f t="array" ref="AM267">_xlfn.IFS(S267&lt;=5000,"0-5k",S267&lt;=10000,"5k-10k",S267&lt;=15000,"10k-15k",TRUE,"15k+")</f>
        <v>5k-10k</v>
      </c>
      <c r="AN267" t="str" cm="1">
        <f t="array" ref="AN267">_xlfn.IFS(AF267&lt;=10,"0-10",AF267&lt;=20,"10-20",AF267&lt;=30,"20-30",TRUE,"30+")</f>
        <v>0-10</v>
      </c>
      <c r="AO267" t="str" cm="1">
        <f t="array" ref="AO267">_xlfn.IFS(Y267=1,"Poor",Y267=2,"Average",Y267=3,"Good",TRUE,"Excellent")</f>
        <v>Good</v>
      </c>
      <c r="AP267" t="str" cm="1">
        <f t="array" ref="AP267">_xlfn.IFS(Q267=1,"Low",Q267=2,"Medium",Q267=3,"High",TRUE,"Very High")</f>
        <v>Medium</v>
      </c>
    </row>
    <row r="268" spans="1:42" x14ac:dyDescent="0.25">
      <c r="A268">
        <v>31</v>
      </c>
      <c r="B268" t="s">
        <v>42</v>
      </c>
      <c r="C268" t="s">
        <v>90</v>
      </c>
      <c r="D268">
        <v>1463</v>
      </c>
      <c r="E268" t="s">
        <v>43</v>
      </c>
      <c r="F268">
        <v>23</v>
      </c>
      <c r="G268">
        <v>3</v>
      </c>
      <c r="H268" t="s">
        <v>49</v>
      </c>
      <c r="I268">
        <v>1</v>
      </c>
      <c r="J268">
        <v>367</v>
      </c>
      <c r="K268">
        <v>2</v>
      </c>
      <c r="L268" t="s">
        <v>44</v>
      </c>
      <c r="M268">
        <v>64</v>
      </c>
      <c r="N268">
        <v>2</v>
      </c>
      <c r="O268">
        <v>2</v>
      </c>
      <c r="P268" t="s">
        <v>52</v>
      </c>
      <c r="Q268">
        <v>4</v>
      </c>
      <c r="R268" t="s">
        <v>46</v>
      </c>
      <c r="S268">
        <v>5582</v>
      </c>
      <c r="T268">
        <v>14408</v>
      </c>
      <c r="U268">
        <v>0</v>
      </c>
      <c r="V268" t="s">
        <v>41</v>
      </c>
      <c r="W268" t="s">
        <v>42</v>
      </c>
      <c r="X268">
        <v>21</v>
      </c>
      <c r="Y268">
        <v>4</v>
      </c>
      <c r="Z268">
        <v>2</v>
      </c>
      <c r="AA268">
        <v>80</v>
      </c>
      <c r="AB268">
        <v>1</v>
      </c>
      <c r="AC268">
        <v>10</v>
      </c>
      <c r="AD268">
        <v>2</v>
      </c>
      <c r="AE268">
        <v>3</v>
      </c>
      <c r="AF268">
        <v>9</v>
      </c>
      <c r="AG268">
        <v>0</v>
      </c>
      <c r="AH268">
        <v>7</v>
      </c>
      <c r="AI268">
        <v>8</v>
      </c>
      <c r="AJ268">
        <f t="shared" si="4"/>
        <v>0</v>
      </c>
      <c r="AK268" t="str" cm="1">
        <f t="array" ref="AK268">_xlfn.IFS(A268&lt;=30,"18-30",A268&lt;=45,"31-45",A268&lt;=60,"46-60",TRUE, "60+")</f>
        <v>31-45</v>
      </c>
      <c r="AL268" t="str" cm="1">
        <f t="array" ref="AL268">_xlfn.IFS(F268&lt;=10,"0-10",F268&lt;=20,"11-20",TRUE,"20+")</f>
        <v>20+</v>
      </c>
      <c r="AM268" t="str" cm="1">
        <f t="array" ref="AM268">_xlfn.IFS(S268&lt;=5000,"0-5k",S268&lt;=10000,"5k-10k",S268&lt;=15000,"10k-15k",TRUE,"15k+")</f>
        <v>5k-10k</v>
      </c>
      <c r="AN268" t="str" cm="1">
        <f t="array" ref="AN268">_xlfn.IFS(AF268&lt;=10,"0-10",AF268&lt;=20,"10-20",AF268&lt;=30,"20-30",TRUE,"30+")</f>
        <v>0-10</v>
      </c>
      <c r="AO268" t="str" cm="1">
        <f t="array" ref="AO268">_xlfn.IFS(Y268=1,"Poor",Y268=2,"Average",Y268=3,"Good",TRUE,"Excellent")</f>
        <v>Excellent</v>
      </c>
      <c r="AP268" t="str" cm="1">
        <f t="array" ref="AP268">_xlfn.IFS(Q268=1,"Low",Q268=2,"Medium",Q268=3,"High",TRUE,"Very High")</f>
        <v>Very High</v>
      </c>
    </row>
    <row r="269" spans="1:42" x14ac:dyDescent="0.25">
      <c r="A269">
        <v>25</v>
      </c>
      <c r="B269" t="s">
        <v>42</v>
      </c>
      <c r="C269" t="s">
        <v>53</v>
      </c>
      <c r="D269">
        <v>675</v>
      </c>
      <c r="E269" t="s">
        <v>43</v>
      </c>
      <c r="F269">
        <v>5</v>
      </c>
      <c r="G269">
        <v>2</v>
      </c>
      <c r="H269" t="s">
        <v>37</v>
      </c>
      <c r="I269">
        <v>1</v>
      </c>
      <c r="J269">
        <v>369</v>
      </c>
      <c r="K269">
        <v>2</v>
      </c>
      <c r="L269" t="s">
        <v>44</v>
      </c>
      <c r="M269">
        <v>85</v>
      </c>
      <c r="N269">
        <v>4</v>
      </c>
      <c r="O269">
        <v>2</v>
      </c>
      <c r="P269" t="s">
        <v>52</v>
      </c>
      <c r="Q269">
        <v>1</v>
      </c>
      <c r="R269" t="s">
        <v>50</v>
      </c>
      <c r="S269">
        <v>4000</v>
      </c>
      <c r="T269">
        <v>18384</v>
      </c>
      <c r="U269">
        <v>1</v>
      </c>
      <c r="V269" t="s">
        <v>41</v>
      </c>
      <c r="W269" t="s">
        <v>42</v>
      </c>
      <c r="X269">
        <v>12</v>
      </c>
      <c r="Y269">
        <v>3</v>
      </c>
      <c r="Z269">
        <v>4</v>
      </c>
      <c r="AA269">
        <v>80</v>
      </c>
      <c r="AB269">
        <v>2</v>
      </c>
      <c r="AC269">
        <v>6</v>
      </c>
      <c r="AD269">
        <v>2</v>
      </c>
      <c r="AE269">
        <v>3</v>
      </c>
      <c r="AF269">
        <v>6</v>
      </c>
      <c r="AG269">
        <v>3</v>
      </c>
      <c r="AH269">
        <v>1</v>
      </c>
      <c r="AI269">
        <v>5</v>
      </c>
      <c r="AJ269">
        <f t="shared" si="4"/>
        <v>0</v>
      </c>
      <c r="AK269" t="str" cm="1">
        <f t="array" ref="AK269">_xlfn.IFS(A269&lt;=30,"18-30",A269&lt;=45,"31-45",A269&lt;=60,"46-60",TRUE, "60+")</f>
        <v>18-30</v>
      </c>
      <c r="AL269" t="str" cm="1">
        <f t="array" ref="AL269">_xlfn.IFS(F269&lt;=10,"0-10",F269&lt;=20,"11-20",TRUE,"20+")</f>
        <v>0-10</v>
      </c>
      <c r="AM269" t="str" cm="1">
        <f t="array" ref="AM269">_xlfn.IFS(S269&lt;=5000,"0-5k",S269&lt;=10000,"5k-10k",S269&lt;=15000,"10k-15k",TRUE,"15k+")</f>
        <v>0-5k</v>
      </c>
      <c r="AN269" t="str" cm="1">
        <f t="array" ref="AN269">_xlfn.IFS(AF269&lt;=10,"0-10",AF269&lt;=20,"10-20",AF269&lt;=30,"20-30",TRUE,"30+")</f>
        <v>0-10</v>
      </c>
      <c r="AO269" t="str" cm="1">
        <f t="array" ref="AO269">_xlfn.IFS(Y269=1,"Poor",Y269=2,"Average",Y269=3,"Good",TRUE,"Excellent")</f>
        <v>Good</v>
      </c>
      <c r="AP269" t="str" cm="1">
        <f t="array" ref="AP269">_xlfn.IFS(Q269=1,"Low",Q269=2,"Medium",Q269=3,"High",TRUE,"Very High")</f>
        <v>Low</v>
      </c>
    </row>
    <row r="270" spans="1:42" x14ac:dyDescent="0.25">
      <c r="A270">
        <v>45</v>
      </c>
      <c r="B270" t="s">
        <v>42</v>
      </c>
      <c r="C270" t="s">
        <v>90</v>
      </c>
      <c r="D270">
        <v>1385</v>
      </c>
      <c r="E270" t="s">
        <v>43</v>
      </c>
      <c r="F270">
        <v>20</v>
      </c>
      <c r="G270">
        <v>2</v>
      </c>
      <c r="H270" t="s">
        <v>49</v>
      </c>
      <c r="I270">
        <v>1</v>
      </c>
      <c r="J270">
        <v>372</v>
      </c>
      <c r="K270">
        <v>3</v>
      </c>
      <c r="L270" t="s">
        <v>44</v>
      </c>
      <c r="M270">
        <v>79</v>
      </c>
      <c r="N270">
        <v>3</v>
      </c>
      <c r="O270">
        <v>4</v>
      </c>
      <c r="P270" t="s">
        <v>52</v>
      </c>
      <c r="Q270">
        <v>4</v>
      </c>
      <c r="R270" t="s">
        <v>46</v>
      </c>
      <c r="S270">
        <v>13496</v>
      </c>
      <c r="T270">
        <v>7501</v>
      </c>
      <c r="U270">
        <v>0</v>
      </c>
      <c r="V270" t="s">
        <v>41</v>
      </c>
      <c r="W270" t="s">
        <v>35</v>
      </c>
      <c r="X270">
        <v>14</v>
      </c>
      <c r="Y270">
        <v>3</v>
      </c>
      <c r="Z270">
        <v>2</v>
      </c>
      <c r="AA270">
        <v>80</v>
      </c>
      <c r="AB270">
        <v>0</v>
      </c>
      <c r="AC270">
        <v>21</v>
      </c>
      <c r="AD270">
        <v>2</v>
      </c>
      <c r="AE270">
        <v>3</v>
      </c>
      <c r="AF270">
        <v>20</v>
      </c>
      <c r="AG270">
        <v>7</v>
      </c>
      <c r="AH270">
        <v>4</v>
      </c>
      <c r="AI270">
        <v>10</v>
      </c>
      <c r="AJ270">
        <f t="shared" si="4"/>
        <v>0</v>
      </c>
      <c r="AK270" t="str" cm="1">
        <f t="array" ref="AK270">_xlfn.IFS(A270&lt;=30,"18-30",A270&lt;=45,"31-45",A270&lt;=60,"46-60",TRUE, "60+")</f>
        <v>31-45</v>
      </c>
      <c r="AL270" t="str" cm="1">
        <f t="array" ref="AL270">_xlfn.IFS(F270&lt;=10,"0-10",F270&lt;=20,"11-20",TRUE,"20+")</f>
        <v>11-20</v>
      </c>
      <c r="AM270" t="str" cm="1">
        <f t="array" ref="AM270">_xlfn.IFS(S270&lt;=5000,"0-5k",S270&lt;=10000,"5k-10k",S270&lt;=15000,"10k-15k",TRUE,"15k+")</f>
        <v>10k-15k</v>
      </c>
      <c r="AN270" t="str" cm="1">
        <f t="array" ref="AN270">_xlfn.IFS(AF270&lt;=10,"0-10",AF270&lt;=20,"10-20",AF270&lt;=30,"20-30",TRUE,"30+")</f>
        <v>10-20</v>
      </c>
      <c r="AO270" t="str" cm="1">
        <f t="array" ref="AO270">_xlfn.IFS(Y270=1,"Poor",Y270=2,"Average",Y270=3,"Good",TRUE,"Excellent")</f>
        <v>Good</v>
      </c>
      <c r="AP270" t="str" cm="1">
        <f t="array" ref="AP270">_xlfn.IFS(Q270=1,"Low",Q270=2,"Medium",Q270=3,"High",TRUE,"Very High")</f>
        <v>Very High</v>
      </c>
    </row>
    <row r="271" spans="1:42" x14ac:dyDescent="0.25">
      <c r="A271">
        <v>36</v>
      </c>
      <c r="B271" t="s">
        <v>42</v>
      </c>
      <c r="C271" t="s">
        <v>90</v>
      </c>
      <c r="D271">
        <v>1403</v>
      </c>
      <c r="E271" t="s">
        <v>43</v>
      </c>
      <c r="F271">
        <v>6</v>
      </c>
      <c r="G271">
        <v>3</v>
      </c>
      <c r="H271" t="s">
        <v>37</v>
      </c>
      <c r="I271">
        <v>1</v>
      </c>
      <c r="J271">
        <v>373</v>
      </c>
      <c r="K271">
        <v>4</v>
      </c>
      <c r="L271" t="s">
        <v>44</v>
      </c>
      <c r="M271">
        <v>47</v>
      </c>
      <c r="N271">
        <v>3</v>
      </c>
      <c r="O271">
        <v>1</v>
      </c>
      <c r="P271" t="s">
        <v>48</v>
      </c>
      <c r="Q271">
        <v>4</v>
      </c>
      <c r="R271" t="s">
        <v>46</v>
      </c>
      <c r="S271">
        <v>3210</v>
      </c>
      <c r="T271">
        <v>20251</v>
      </c>
      <c r="U271">
        <v>0</v>
      </c>
      <c r="V271" t="s">
        <v>41</v>
      </c>
      <c r="W271" t="s">
        <v>42</v>
      </c>
      <c r="X271">
        <v>11</v>
      </c>
      <c r="Y271">
        <v>3</v>
      </c>
      <c r="Z271">
        <v>3</v>
      </c>
      <c r="AA271">
        <v>80</v>
      </c>
      <c r="AB271">
        <v>1</v>
      </c>
      <c r="AC271">
        <v>16</v>
      </c>
      <c r="AD271">
        <v>4</v>
      </c>
      <c r="AE271">
        <v>3</v>
      </c>
      <c r="AF271">
        <v>15</v>
      </c>
      <c r="AG271">
        <v>13</v>
      </c>
      <c r="AH271">
        <v>10</v>
      </c>
      <c r="AI271">
        <v>11</v>
      </c>
      <c r="AJ271">
        <f t="shared" si="4"/>
        <v>0</v>
      </c>
      <c r="AK271" t="str" cm="1">
        <f t="array" ref="AK271">_xlfn.IFS(A271&lt;=30,"18-30",A271&lt;=45,"31-45",A271&lt;=60,"46-60",TRUE, "60+")</f>
        <v>31-45</v>
      </c>
      <c r="AL271" t="str" cm="1">
        <f t="array" ref="AL271">_xlfn.IFS(F271&lt;=10,"0-10",F271&lt;=20,"11-20",TRUE,"20+")</f>
        <v>0-10</v>
      </c>
      <c r="AM271" t="str" cm="1">
        <f t="array" ref="AM271">_xlfn.IFS(S271&lt;=5000,"0-5k",S271&lt;=10000,"5k-10k",S271&lt;=15000,"10k-15k",TRUE,"15k+")</f>
        <v>0-5k</v>
      </c>
      <c r="AN271" t="str" cm="1">
        <f t="array" ref="AN271">_xlfn.IFS(AF271&lt;=10,"0-10",AF271&lt;=20,"10-20",AF271&lt;=30,"20-30",TRUE,"30+")</f>
        <v>10-20</v>
      </c>
      <c r="AO271" t="str" cm="1">
        <f t="array" ref="AO271">_xlfn.IFS(Y271=1,"Poor",Y271=2,"Average",Y271=3,"Good",TRUE,"Excellent")</f>
        <v>Good</v>
      </c>
      <c r="AP271" t="str" cm="1">
        <f t="array" ref="AP271">_xlfn.IFS(Q271=1,"Low",Q271=2,"Medium",Q271=3,"High",TRUE,"Very High")</f>
        <v>Very High</v>
      </c>
    </row>
    <row r="272" spans="1:42" x14ac:dyDescent="0.25">
      <c r="A272">
        <v>55</v>
      </c>
      <c r="B272" t="s">
        <v>42</v>
      </c>
      <c r="C272" t="s">
        <v>90</v>
      </c>
      <c r="D272">
        <v>452</v>
      </c>
      <c r="E272" t="s">
        <v>43</v>
      </c>
      <c r="F272">
        <v>1</v>
      </c>
      <c r="G272">
        <v>3</v>
      </c>
      <c r="H272" t="s">
        <v>49</v>
      </c>
      <c r="I272">
        <v>1</v>
      </c>
      <c r="J272">
        <v>374</v>
      </c>
      <c r="K272">
        <v>4</v>
      </c>
      <c r="L272" t="s">
        <v>44</v>
      </c>
      <c r="M272">
        <v>81</v>
      </c>
      <c r="N272">
        <v>3</v>
      </c>
      <c r="O272">
        <v>5</v>
      </c>
      <c r="P272" t="s">
        <v>54</v>
      </c>
      <c r="Q272">
        <v>1</v>
      </c>
      <c r="R272" t="s">
        <v>40</v>
      </c>
      <c r="S272">
        <v>19045</v>
      </c>
      <c r="T272">
        <v>18938</v>
      </c>
      <c r="U272">
        <v>0</v>
      </c>
      <c r="V272" t="s">
        <v>41</v>
      </c>
      <c r="W272" t="s">
        <v>35</v>
      </c>
      <c r="X272">
        <v>14</v>
      </c>
      <c r="Y272">
        <v>3</v>
      </c>
      <c r="Z272">
        <v>3</v>
      </c>
      <c r="AA272">
        <v>80</v>
      </c>
      <c r="AB272">
        <v>0</v>
      </c>
      <c r="AC272">
        <v>37</v>
      </c>
      <c r="AD272">
        <v>2</v>
      </c>
      <c r="AE272">
        <v>3</v>
      </c>
      <c r="AF272">
        <v>36</v>
      </c>
      <c r="AG272">
        <v>10</v>
      </c>
      <c r="AH272">
        <v>4</v>
      </c>
      <c r="AI272">
        <v>13</v>
      </c>
      <c r="AJ272">
        <f t="shared" si="4"/>
        <v>0</v>
      </c>
      <c r="AK272" t="str" cm="1">
        <f t="array" ref="AK272">_xlfn.IFS(A272&lt;=30,"18-30",A272&lt;=45,"31-45",A272&lt;=60,"46-60",TRUE, "60+")</f>
        <v>46-60</v>
      </c>
      <c r="AL272" t="str" cm="1">
        <f t="array" ref="AL272">_xlfn.IFS(F272&lt;=10,"0-10",F272&lt;=20,"11-20",TRUE,"20+")</f>
        <v>0-10</v>
      </c>
      <c r="AM272" t="str" cm="1">
        <f t="array" ref="AM272">_xlfn.IFS(S272&lt;=5000,"0-5k",S272&lt;=10000,"5k-10k",S272&lt;=15000,"10k-15k",TRUE,"15k+")</f>
        <v>15k+</v>
      </c>
      <c r="AN272" t="str" cm="1">
        <f t="array" ref="AN272">_xlfn.IFS(AF272&lt;=10,"0-10",AF272&lt;=20,"10-20",AF272&lt;=30,"20-30",TRUE,"30+")</f>
        <v>30+</v>
      </c>
      <c r="AO272" t="str" cm="1">
        <f t="array" ref="AO272">_xlfn.IFS(Y272=1,"Poor",Y272=2,"Average",Y272=3,"Good",TRUE,"Excellent")</f>
        <v>Good</v>
      </c>
      <c r="AP272" t="str" cm="1">
        <f t="array" ref="AP272">_xlfn.IFS(Q272=1,"Low",Q272=2,"Medium",Q272=3,"High",TRUE,"Very High")</f>
        <v>Low</v>
      </c>
    </row>
    <row r="273" spans="1:42" x14ac:dyDescent="0.25">
      <c r="A273">
        <v>47</v>
      </c>
      <c r="B273" t="s">
        <v>35</v>
      </c>
      <c r="C273" t="s">
        <v>53</v>
      </c>
      <c r="D273">
        <v>666</v>
      </c>
      <c r="E273" t="s">
        <v>43</v>
      </c>
      <c r="F273">
        <v>29</v>
      </c>
      <c r="G273">
        <v>4</v>
      </c>
      <c r="H273" t="s">
        <v>37</v>
      </c>
      <c r="I273">
        <v>1</v>
      </c>
      <c r="J273">
        <v>376</v>
      </c>
      <c r="K273">
        <v>1</v>
      </c>
      <c r="L273" t="s">
        <v>44</v>
      </c>
      <c r="M273">
        <v>88</v>
      </c>
      <c r="N273">
        <v>3</v>
      </c>
      <c r="O273">
        <v>3</v>
      </c>
      <c r="P273" t="s">
        <v>54</v>
      </c>
      <c r="Q273">
        <v>2</v>
      </c>
      <c r="R273" t="s">
        <v>46</v>
      </c>
      <c r="S273">
        <v>11849</v>
      </c>
      <c r="T273">
        <v>10268</v>
      </c>
      <c r="U273">
        <v>1</v>
      </c>
      <c r="V273" t="s">
        <v>41</v>
      </c>
      <c r="W273" t="s">
        <v>35</v>
      </c>
      <c r="X273">
        <v>12</v>
      </c>
      <c r="Y273">
        <v>3</v>
      </c>
      <c r="Z273">
        <v>4</v>
      </c>
      <c r="AA273">
        <v>80</v>
      </c>
      <c r="AB273">
        <v>1</v>
      </c>
      <c r="AC273">
        <v>10</v>
      </c>
      <c r="AD273">
        <v>2</v>
      </c>
      <c r="AE273">
        <v>2</v>
      </c>
      <c r="AF273">
        <v>10</v>
      </c>
      <c r="AG273">
        <v>7</v>
      </c>
      <c r="AH273">
        <v>9</v>
      </c>
      <c r="AI273">
        <v>9</v>
      </c>
      <c r="AJ273">
        <f t="shared" si="4"/>
        <v>1</v>
      </c>
      <c r="AK273" t="str" cm="1">
        <f t="array" ref="AK273">_xlfn.IFS(A273&lt;=30,"18-30",A273&lt;=45,"31-45",A273&lt;=60,"46-60",TRUE, "60+")</f>
        <v>46-60</v>
      </c>
      <c r="AL273" t="str" cm="1">
        <f t="array" ref="AL273">_xlfn.IFS(F273&lt;=10,"0-10",F273&lt;=20,"11-20",TRUE,"20+")</f>
        <v>20+</v>
      </c>
      <c r="AM273" t="str" cm="1">
        <f t="array" ref="AM273">_xlfn.IFS(S273&lt;=5000,"0-5k",S273&lt;=10000,"5k-10k",S273&lt;=15000,"10k-15k",TRUE,"15k+")</f>
        <v>10k-15k</v>
      </c>
      <c r="AN273" t="str" cm="1">
        <f t="array" ref="AN273">_xlfn.IFS(AF273&lt;=10,"0-10",AF273&lt;=20,"10-20",AF273&lt;=30,"20-30",TRUE,"30+")</f>
        <v>0-10</v>
      </c>
      <c r="AO273" t="str" cm="1">
        <f t="array" ref="AO273">_xlfn.IFS(Y273=1,"Poor",Y273=2,"Average",Y273=3,"Good",TRUE,"Excellent")</f>
        <v>Good</v>
      </c>
      <c r="AP273" t="str" cm="1">
        <f t="array" ref="AP273">_xlfn.IFS(Q273=1,"Low",Q273=2,"Medium",Q273=3,"High",TRUE,"Very High")</f>
        <v>Medium</v>
      </c>
    </row>
    <row r="274" spans="1:42" x14ac:dyDescent="0.25">
      <c r="A274">
        <v>28</v>
      </c>
      <c r="B274" t="s">
        <v>42</v>
      </c>
      <c r="C274" t="s">
        <v>90</v>
      </c>
      <c r="D274">
        <v>1158</v>
      </c>
      <c r="E274" t="s">
        <v>43</v>
      </c>
      <c r="F274">
        <v>9</v>
      </c>
      <c r="G274">
        <v>3</v>
      </c>
      <c r="H274" t="s">
        <v>49</v>
      </c>
      <c r="I274">
        <v>1</v>
      </c>
      <c r="J274">
        <v>377</v>
      </c>
      <c r="K274">
        <v>4</v>
      </c>
      <c r="L274" t="s">
        <v>44</v>
      </c>
      <c r="M274">
        <v>94</v>
      </c>
      <c r="N274">
        <v>3</v>
      </c>
      <c r="O274">
        <v>1</v>
      </c>
      <c r="P274" t="s">
        <v>45</v>
      </c>
      <c r="Q274">
        <v>4</v>
      </c>
      <c r="R274" t="s">
        <v>46</v>
      </c>
      <c r="S274">
        <v>2070</v>
      </c>
      <c r="T274">
        <v>2613</v>
      </c>
      <c r="U274">
        <v>1</v>
      </c>
      <c r="V274" t="s">
        <v>41</v>
      </c>
      <c r="W274" t="s">
        <v>42</v>
      </c>
      <c r="X274">
        <v>23</v>
      </c>
      <c r="Y274">
        <v>4</v>
      </c>
      <c r="Z274">
        <v>4</v>
      </c>
      <c r="AA274">
        <v>80</v>
      </c>
      <c r="AB274">
        <v>1</v>
      </c>
      <c r="AC274">
        <v>5</v>
      </c>
      <c r="AD274">
        <v>3</v>
      </c>
      <c r="AE274">
        <v>2</v>
      </c>
      <c r="AF274">
        <v>5</v>
      </c>
      <c r="AG274">
        <v>2</v>
      </c>
      <c r="AH274">
        <v>0</v>
      </c>
      <c r="AI274">
        <v>4</v>
      </c>
      <c r="AJ274">
        <f t="shared" si="4"/>
        <v>0</v>
      </c>
      <c r="AK274" t="str" cm="1">
        <f t="array" ref="AK274">_xlfn.IFS(A274&lt;=30,"18-30",A274&lt;=45,"31-45",A274&lt;=60,"46-60",TRUE, "60+")</f>
        <v>18-30</v>
      </c>
      <c r="AL274" t="str" cm="1">
        <f t="array" ref="AL274">_xlfn.IFS(F274&lt;=10,"0-10",F274&lt;=20,"11-20",TRUE,"20+")</f>
        <v>0-10</v>
      </c>
      <c r="AM274" t="str" cm="1">
        <f t="array" ref="AM274">_xlfn.IFS(S274&lt;=5000,"0-5k",S274&lt;=10000,"5k-10k",S274&lt;=15000,"10k-15k",TRUE,"15k+")</f>
        <v>0-5k</v>
      </c>
      <c r="AN274" t="str" cm="1">
        <f t="array" ref="AN274">_xlfn.IFS(AF274&lt;=10,"0-10",AF274&lt;=20,"10-20",AF274&lt;=30,"20-30",TRUE,"30+")</f>
        <v>0-10</v>
      </c>
      <c r="AO274" t="str" cm="1">
        <f t="array" ref="AO274">_xlfn.IFS(Y274=1,"Poor",Y274=2,"Average",Y274=3,"Good",TRUE,"Excellent")</f>
        <v>Excellent</v>
      </c>
      <c r="AP274" t="str" cm="1">
        <f t="array" ref="AP274">_xlfn.IFS(Q274=1,"Low",Q274=2,"Medium",Q274=3,"High",TRUE,"Very High")</f>
        <v>Very High</v>
      </c>
    </row>
    <row r="275" spans="1:42" x14ac:dyDescent="0.25">
      <c r="A275">
        <v>37</v>
      </c>
      <c r="B275" t="s">
        <v>42</v>
      </c>
      <c r="C275" t="s">
        <v>90</v>
      </c>
      <c r="D275">
        <v>228</v>
      </c>
      <c r="E275" t="s">
        <v>36</v>
      </c>
      <c r="F275">
        <v>6</v>
      </c>
      <c r="G275">
        <v>4</v>
      </c>
      <c r="H275" t="s">
        <v>49</v>
      </c>
      <c r="I275">
        <v>1</v>
      </c>
      <c r="J275">
        <v>378</v>
      </c>
      <c r="K275">
        <v>3</v>
      </c>
      <c r="L275" t="s">
        <v>44</v>
      </c>
      <c r="M275">
        <v>98</v>
      </c>
      <c r="N275">
        <v>3</v>
      </c>
      <c r="O275">
        <v>2</v>
      </c>
      <c r="P275" t="s">
        <v>39</v>
      </c>
      <c r="Q275">
        <v>4</v>
      </c>
      <c r="R275" t="s">
        <v>46</v>
      </c>
      <c r="S275">
        <v>6502</v>
      </c>
      <c r="T275">
        <v>22825</v>
      </c>
      <c r="U275">
        <v>4</v>
      </c>
      <c r="V275" t="s">
        <v>41</v>
      </c>
      <c r="W275" t="s">
        <v>42</v>
      </c>
      <c r="X275">
        <v>14</v>
      </c>
      <c r="Y275">
        <v>3</v>
      </c>
      <c r="Z275">
        <v>2</v>
      </c>
      <c r="AA275">
        <v>80</v>
      </c>
      <c r="AB275">
        <v>1</v>
      </c>
      <c r="AC275">
        <v>7</v>
      </c>
      <c r="AD275">
        <v>5</v>
      </c>
      <c r="AE275">
        <v>4</v>
      </c>
      <c r="AF275">
        <v>5</v>
      </c>
      <c r="AG275">
        <v>4</v>
      </c>
      <c r="AH275">
        <v>0</v>
      </c>
      <c r="AI275">
        <v>1</v>
      </c>
      <c r="AJ275">
        <f t="shared" si="4"/>
        <v>0</v>
      </c>
      <c r="AK275" t="str" cm="1">
        <f t="array" ref="AK275">_xlfn.IFS(A275&lt;=30,"18-30",A275&lt;=45,"31-45",A275&lt;=60,"46-60",TRUE, "60+")</f>
        <v>31-45</v>
      </c>
      <c r="AL275" t="str" cm="1">
        <f t="array" ref="AL275">_xlfn.IFS(F275&lt;=10,"0-10",F275&lt;=20,"11-20",TRUE,"20+")</f>
        <v>0-10</v>
      </c>
      <c r="AM275" t="str" cm="1">
        <f t="array" ref="AM275">_xlfn.IFS(S275&lt;=5000,"0-5k",S275&lt;=10000,"5k-10k",S275&lt;=15000,"10k-15k",TRUE,"15k+")</f>
        <v>5k-10k</v>
      </c>
      <c r="AN275" t="str" cm="1">
        <f t="array" ref="AN275">_xlfn.IFS(AF275&lt;=10,"0-10",AF275&lt;=20,"10-20",AF275&lt;=30,"20-30",TRUE,"30+")</f>
        <v>0-10</v>
      </c>
      <c r="AO275" t="str" cm="1">
        <f t="array" ref="AO275">_xlfn.IFS(Y275=1,"Poor",Y275=2,"Average",Y275=3,"Good",TRUE,"Excellent")</f>
        <v>Good</v>
      </c>
      <c r="AP275" t="str" cm="1">
        <f t="array" ref="AP275">_xlfn.IFS(Q275=1,"Low",Q275=2,"Medium",Q275=3,"High",TRUE,"Very High")</f>
        <v>Very High</v>
      </c>
    </row>
    <row r="276" spans="1:42" x14ac:dyDescent="0.25">
      <c r="A276">
        <v>21</v>
      </c>
      <c r="B276" t="s">
        <v>42</v>
      </c>
      <c r="C276" t="s">
        <v>90</v>
      </c>
      <c r="D276">
        <v>996</v>
      </c>
      <c r="E276" t="s">
        <v>43</v>
      </c>
      <c r="F276">
        <v>3</v>
      </c>
      <c r="G276">
        <v>2</v>
      </c>
      <c r="H276" t="s">
        <v>49</v>
      </c>
      <c r="I276">
        <v>1</v>
      </c>
      <c r="J276">
        <v>379</v>
      </c>
      <c r="K276">
        <v>4</v>
      </c>
      <c r="L276" t="s">
        <v>44</v>
      </c>
      <c r="M276">
        <v>100</v>
      </c>
      <c r="N276">
        <v>2</v>
      </c>
      <c r="O276">
        <v>1</v>
      </c>
      <c r="P276" t="s">
        <v>45</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c r="AJ276">
        <f t="shared" si="4"/>
        <v>0</v>
      </c>
      <c r="AK276" t="str" cm="1">
        <f t="array" ref="AK276">_xlfn.IFS(A276&lt;=30,"18-30",A276&lt;=45,"31-45",A276&lt;=60,"46-60",TRUE, "60+")</f>
        <v>18-30</v>
      </c>
      <c r="AL276" t="str" cm="1">
        <f t="array" ref="AL276">_xlfn.IFS(F276&lt;=10,"0-10",F276&lt;=20,"11-20",TRUE,"20+")</f>
        <v>0-10</v>
      </c>
      <c r="AM276" t="str" cm="1">
        <f t="array" ref="AM276">_xlfn.IFS(S276&lt;=5000,"0-5k",S276&lt;=10000,"5k-10k",S276&lt;=15000,"10k-15k",TRUE,"15k+")</f>
        <v>0-5k</v>
      </c>
      <c r="AN276" t="str" cm="1">
        <f t="array" ref="AN276">_xlfn.IFS(AF276&lt;=10,"0-10",AF276&lt;=20,"10-20",AF276&lt;=30,"20-30",TRUE,"30+")</f>
        <v>0-10</v>
      </c>
      <c r="AO276" t="str" cm="1">
        <f t="array" ref="AO276">_xlfn.IFS(Y276=1,"Poor",Y276=2,"Average",Y276=3,"Good",TRUE,"Excellent")</f>
        <v>Good</v>
      </c>
      <c r="AP276" t="str" cm="1">
        <f t="array" ref="AP276">_xlfn.IFS(Q276=1,"Low",Q276=2,"Medium",Q276=3,"High",TRUE,"Very High")</f>
        <v>High</v>
      </c>
    </row>
    <row r="277" spans="1:42" x14ac:dyDescent="0.25">
      <c r="A277">
        <v>37</v>
      </c>
      <c r="B277" t="s">
        <v>42</v>
      </c>
      <c r="C277" t="s">
        <v>53</v>
      </c>
      <c r="D277">
        <v>728</v>
      </c>
      <c r="E277" t="s">
        <v>43</v>
      </c>
      <c r="F277">
        <v>1</v>
      </c>
      <c r="G277">
        <v>4</v>
      </c>
      <c r="H277" t="s">
        <v>49</v>
      </c>
      <c r="I277">
        <v>1</v>
      </c>
      <c r="J277">
        <v>380</v>
      </c>
      <c r="K277">
        <v>1</v>
      </c>
      <c r="L277" t="s">
        <v>38</v>
      </c>
      <c r="M277">
        <v>80</v>
      </c>
      <c r="N277">
        <v>3</v>
      </c>
      <c r="O277">
        <v>3</v>
      </c>
      <c r="P277" t="s">
        <v>56</v>
      </c>
      <c r="Q277">
        <v>4</v>
      </c>
      <c r="R277" t="s">
        <v>50</v>
      </c>
      <c r="S277">
        <v>13603</v>
      </c>
      <c r="T277">
        <v>11677</v>
      </c>
      <c r="U277">
        <v>2</v>
      </c>
      <c r="V277" t="s">
        <v>41</v>
      </c>
      <c r="W277" t="s">
        <v>35</v>
      </c>
      <c r="X277">
        <v>18</v>
      </c>
      <c r="Y277">
        <v>3</v>
      </c>
      <c r="Z277">
        <v>1</v>
      </c>
      <c r="AA277">
        <v>80</v>
      </c>
      <c r="AB277">
        <v>2</v>
      </c>
      <c r="AC277">
        <v>15</v>
      </c>
      <c r="AD277">
        <v>2</v>
      </c>
      <c r="AE277">
        <v>3</v>
      </c>
      <c r="AF277">
        <v>5</v>
      </c>
      <c r="AG277">
        <v>2</v>
      </c>
      <c r="AH277">
        <v>0</v>
      </c>
      <c r="AI277">
        <v>2</v>
      </c>
      <c r="AJ277">
        <f t="shared" si="4"/>
        <v>0</v>
      </c>
      <c r="AK277" t="str" cm="1">
        <f t="array" ref="AK277">_xlfn.IFS(A277&lt;=30,"18-30",A277&lt;=45,"31-45",A277&lt;=60,"46-60",TRUE, "60+")</f>
        <v>31-45</v>
      </c>
      <c r="AL277" t="str" cm="1">
        <f t="array" ref="AL277">_xlfn.IFS(F277&lt;=10,"0-10",F277&lt;=20,"11-20",TRUE,"20+")</f>
        <v>0-10</v>
      </c>
      <c r="AM277" t="str" cm="1">
        <f t="array" ref="AM277">_xlfn.IFS(S277&lt;=5000,"0-5k",S277&lt;=10000,"5k-10k",S277&lt;=15000,"10k-15k",TRUE,"15k+")</f>
        <v>10k-15k</v>
      </c>
      <c r="AN277" t="str" cm="1">
        <f t="array" ref="AN277">_xlfn.IFS(AF277&lt;=10,"0-10",AF277&lt;=20,"10-20",AF277&lt;=30,"20-30",TRUE,"30+")</f>
        <v>0-10</v>
      </c>
      <c r="AO277" t="str" cm="1">
        <f t="array" ref="AO277">_xlfn.IFS(Y277=1,"Poor",Y277=2,"Average",Y277=3,"Good",TRUE,"Excellent")</f>
        <v>Good</v>
      </c>
      <c r="AP277" t="str" cm="1">
        <f t="array" ref="AP277">_xlfn.IFS(Q277=1,"Low",Q277=2,"Medium",Q277=3,"High",TRUE,"Very High")</f>
        <v>Very High</v>
      </c>
    </row>
    <row r="278" spans="1:42" x14ac:dyDescent="0.25">
      <c r="A278">
        <v>35</v>
      </c>
      <c r="B278" t="s">
        <v>42</v>
      </c>
      <c r="C278" t="s">
        <v>90</v>
      </c>
      <c r="D278">
        <v>1315</v>
      </c>
      <c r="E278" t="s">
        <v>43</v>
      </c>
      <c r="F278">
        <v>22</v>
      </c>
      <c r="G278">
        <v>3</v>
      </c>
      <c r="H278" t="s">
        <v>37</v>
      </c>
      <c r="I278">
        <v>1</v>
      </c>
      <c r="J278">
        <v>381</v>
      </c>
      <c r="K278">
        <v>2</v>
      </c>
      <c r="L278" t="s">
        <v>38</v>
      </c>
      <c r="M278">
        <v>71</v>
      </c>
      <c r="N278">
        <v>4</v>
      </c>
      <c r="O278">
        <v>3</v>
      </c>
      <c r="P278" t="s">
        <v>54</v>
      </c>
      <c r="Q278">
        <v>2</v>
      </c>
      <c r="R278" t="s">
        <v>50</v>
      </c>
      <c r="S278">
        <v>11996</v>
      </c>
      <c r="T278">
        <v>19100</v>
      </c>
      <c r="U278">
        <v>7</v>
      </c>
      <c r="V278" t="s">
        <v>41</v>
      </c>
      <c r="W278" t="s">
        <v>42</v>
      </c>
      <c r="X278">
        <v>18</v>
      </c>
      <c r="Y278">
        <v>3</v>
      </c>
      <c r="Z278">
        <v>2</v>
      </c>
      <c r="AA278">
        <v>80</v>
      </c>
      <c r="AB278">
        <v>1</v>
      </c>
      <c r="AC278">
        <v>10</v>
      </c>
      <c r="AD278">
        <v>6</v>
      </c>
      <c r="AE278">
        <v>2</v>
      </c>
      <c r="AF278">
        <v>7</v>
      </c>
      <c r="AG278">
        <v>7</v>
      </c>
      <c r="AH278">
        <v>6</v>
      </c>
      <c r="AI278">
        <v>2</v>
      </c>
      <c r="AJ278">
        <f t="shared" si="4"/>
        <v>0</v>
      </c>
      <c r="AK278" t="str" cm="1">
        <f t="array" ref="AK278">_xlfn.IFS(A278&lt;=30,"18-30",A278&lt;=45,"31-45",A278&lt;=60,"46-60",TRUE, "60+")</f>
        <v>31-45</v>
      </c>
      <c r="AL278" t="str" cm="1">
        <f t="array" ref="AL278">_xlfn.IFS(F278&lt;=10,"0-10",F278&lt;=20,"11-20",TRUE,"20+")</f>
        <v>20+</v>
      </c>
      <c r="AM278" t="str" cm="1">
        <f t="array" ref="AM278">_xlfn.IFS(S278&lt;=5000,"0-5k",S278&lt;=10000,"5k-10k",S278&lt;=15000,"10k-15k",TRUE,"15k+")</f>
        <v>10k-15k</v>
      </c>
      <c r="AN278" t="str" cm="1">
        <f t="array" ref="AN278">_xlfn.IFS(AF278&lt;=10,"0-10",AF278&lt;=20,"10-20",AF278&lt;=30,"20-30",TRUE,"30+")</f>
        <v>0-10</v>
      </c>
      <c r="AO278" t="str" cm="1">
        <f t="array" ref="AO278">_xlfn.IFS(Y278=1,"Poor",Y278=2,"Average",Y278=3,"Good",TRUE,"Excellent")</f>
        <v>Good</v>
      </c>
      <c r="AP278" t="str" cm="1">
        <f t="array" ref="AP278">_xlfn.IFS(Q278=1,"Low",Q278=2,"Medium",Q278=3,"High",TRUE,"Very High")</f>
        <v>Medium</v>
      </c>
    </row>
    <row r="279" spans="1:42" x14ac:dyDescent="0.25">
      <c r="A279">
        <v>38</v>
      </c>
      <c r="B279" t="s">
        <v>42</v>
      </c>
      <c r="C279" t="s">
        <v>90</v>
      </c>
      <c r="D279">
        <v>322</v>
      </c>
      <c r="E279" t="s">
        <v>36</v>
      </c>
      <c r="F279">
        <v>7</v>
      </c>
      <c r="G279">
        <v>2</v>
      </c>
      <c r="H279" t="s">
        <v>49</v>
      </c>
      <c r="I279">
        <v>1</v>
      </c>
      <c r="J279">
        <v>382</v>
      </c>
      <c r="K279">
        <v>1</v>
      </c>
      <c r="L279" t="s">
        <v>38</v>
      </c>
      <c r="M279">
        <v>44</v>
      </c>
      <c r="N279">
        <v>4</v>
      </c>
      <c r="O279">
        <v>2</v>
      </c>
      <c r="P279" t="s">
        <v>39</v>
      </c>
      <c r="Q279">
        <v>1</v>
      </c>
      <c r="R279" t="s">
        <v>50</v>
      </c>
      <c r="S279">
        <v>5605</v>
      </c>
      <c r="T279">
        <v>19191</v>
      </c>
      <c r="U279">
        <v>1</v>
      </c>
      <c r="V279" t="s">
        <v>41</v>
      </c>
      <c r="W279" t="s">
        <v>35</v>
      </c>
      <c r="X279">
        <v>24</v>
      </c>
      <c r="Y279">
        <v>4</v>
      </c>
      <c r="Z279">
        <v>3</v>
      </c>
      <c r="AA279">
        <v>80</v>
      </c>
      <c r="AB279">
        <v>1</v>
      </c>
      <c r="AC279">
        <v>8</v>
      </c>
      <c r="AD279">
        <v>3</v>
      </c>
      <c r="AE279">
        <v>3</v>
      </c>
      <c r="AF279">
        <v>8</v>
      </c>
      <c r="AG279">
        <v>0</v>
      </c>
      <c r="AH279">
        <v>7</v>
      </c>
      <c r="AI279">
        <v>7</v>
      </c>
      <c r="AJ279">
        <f t="shared" si="4"/>
        <v>0</v>
      </c>
      <c r="AK279" t="str" cm="1">
        <f t="array" ref="AK279">_xlfn.IFS(A279&lt;=30,"18-30",A279&lt;=45,"31-45",A279&lt;=60,"46-60",TRUE, "60+")</f>
        <v>31-45</v>
      </c>
      <c r="AL279" t="str" cm="1">
        <f t="array" ref="AL279">_xlfn.IFS(F279&lt;=10,"0-10",F279&lt;=20,"11-20",TRUE,"20+")</f>
        <v>0-10</v>
      </c>
      <c r="AM279" t="str" cm="1">
        <f t="array" ref="AM279">_xlfn.IFS(S279&lt;=5000,"0-5k",S279&lt;=10000,"5k-10k",S279&lt;=15000,"10k-15k",TRUE,"15k+")</f>
        <v>5k-10k</v>
      </c>
      <c r="AN279" t="str" cm="1">
        <f t="array" ref="AN279">_xlfn.IFS(AF279&lt;=10,"0-10",AF279&lt;=20,"10-20",AF279&lt;=30,"20-30",TRUE,"30+")</f>
        <v>0-10</v>
      </c>
      <c r="AO279" t="str" cm="1">
        <f t="array" ref="AO279">_xlfn.IFS(Y279=1,"Poor",Y279=2,"Average",Y279=3,"Good",TRUE,"Excellent")</f>
        <v>Excellent</v>
      </c>
      <c r="AP279" t="str" cm="1">
        <f t="array" ref="AP279">_xlfn.IFS(Q279=1,"Low",Q279=2,"Medium",Q279=3,"High",TRUE,"Very High")</f>
        <v>Low</v>
      </c>
    </row>
    <row r="280" spans="1:42" x14ac:dyDescent="0.25">
      <c r="A280">
        <v>26</v>
      </c>
      <c r="B280" t="s">
        <v>42</v>
      </c>
      <c r="C280" t="s">
        <v>91</v>
      </c>
      <c r="D280">
        <v>1479</v>
      </c>
      <c r="E280" t="s">
        <v>43</v>
      </c>
      <c r="F280">
        <v>1</v>
      </c>
      <c r="G280">
        <v>3</v>
      </c>
      <c r="H280" t="s">
        <v>37</v>
      </c>
      <c r="I280">
        <v>1</v>
      </c>
      <c r="J280">
        <v>384</v>
      </c>
      <c r="K280">
        <v>3</v>
      </c>
      <c r="L280" t="s">
        <v>38</v>
      </c>
      <c r="M280">
        <v>84</v>
      </c>
      <c r="N280">
        <v>3</v>
      </c>
      <c r="O280">
        <v>2</v>
      </c>
      <c r="P280" t="s">
        <v>51</v>
      </c>
      <c r="Q280">
        <v>2</v>
      </c>
      <c r="R280" t="s">
        <v>50</v>
      </c>
      <c r="S280">
        <v>6397</v>
      </c>
      <c r="T280">
        <v>26767</v>
      </c>
      <c r="U280">
        <v>1</v>
      </c>
      <c r="V280" t="s">
        <v>41</v>
      </c>
      <c r="W280" t="s">
        <v>42</v>
      </c>
      <c r="X280">
        <v>20</v>
      </c>
      <c r="Y280">
        <v>4</v>
      </c>
      <c r="Z280">
        <v>1</v>
      </c>
      <c r="AA280">
        <v>80</v>
      </c>
      <c r="AB280">
        <v>1</v>
      </c>
      <c r="AC280">
        <v>6</v>
      </c>
      <c r="AD280">
        <v>6</v>
      </c>
      <c r="AE280">
        <v>1</v>
      </c>
      <c r="AF280">
        <v>6</v>
      </c>
      <c r="AG280">
        <v>5</v>
      </c>
      <c r="AH280">
        <v>1</v>
      </c>
      <c r="AI280">
        <v>4</v>
      </c>
      <c r="AJ280">
        <f t="shared" si="4"/>
        <v>0</v>
      </c>
      <c r="AK280" t="str" cm="1">
        <f t="array" ref="AK280">_xlfn.IFS(A280&lt;=30,"18-30",A280&lt;=45,"31-45",A280&lt;=60,"46-60",TRUE, "60+")</f>
        <v>18-30</v>
      </c>
      <c r="AL280" t="str" cm="1">
        <f t="array" ref="AL280">_xlfn.IFS(F280&lt;=10,"0-10",F280&lt;=20,"11-20",TRUE,"20+")</f>
        <v>0-10</v>
      </c>
      <c r="AM280" t="str" cm="1">
        <f t="array" ref="AM280">_xlfn.IFS(S280&lt;=5000,"0-5k",S280&lt;=10000,"5k-10k",S280&lt;=15000,"10k-15k",TRUE,"15k+")</f>
        <v>5k-10k</v>
      </c>
      <c r="AN280" t="str" cm="1">
        <f t="array" ref="AN280">_xlfn.IFS(AF280&lt;=10,"0-10",AF280&lt;=20,"10-20",AF280&lt;=30,"20-30",TRUE,"30+")</f>
        <v>0-10</v>
      </c>
      <c r="AO280" t="str" cm="1">
        <f t="array" ref="AO280">_xlfn.IFS(Y280=1,"Poor",Y280=2,"Average",Y280=3,"Good",TRUE,"Excellent")</f>
        <v>Excellent</v>
      </c>
      <c r="AP280" t="str" cm="1">
        <f t="array" ref="AP280">_xlfn.IFS(Q280=1,"Low",Q280=2,"Medium",Q280=3,"High",TRUE,"Very High")</f>
        <v>Medium</v>
      </c>
    </row>
    <row r="281" spans="1:42" x14ac:dyDescent="0.25">
      <c r="A281">
        <v>50</v>
      </c>
      <c r="B281" t="s">
        <v>42</v>
      </c>
      <c r="C281" t="s">
        <v>90</v>
      </c>
      <c r="D281">
        <v>797</v>
      </c>
      <c r="E281" t="s">
        <v>43</v>
      </c>
      <c r="F281">
        <v>4</v>
      </c>
      <c r="G281">
        <v>1</v>
      </c>
      <c r="H281" t="s">
        <v>37</v>
      </c>
      <c r="I281">
        <v>1</v>
      </c>
      <c r="J281">
        <v>385</v>
      </c>
      <c r="K281">
        <v>1</v>
      </c>
      <c r="L281" t="s">
        <v>44</v>
      </c>
      <c r="M281">
        <v>96</v>
      </c>
      <c r="N281">
        <v>3</v>
      </c>
      <c r="O281">
        <v>5</v>
      </c>
      <c r="P281" t="s">
        <v>56</v>
      </c>
      <c r="Q281">
        <v>2</v>
      </c>
      <c r="R281" t="s">
        <v>50</v>
      </c>
      <c r="S281">
        <v>19144</v>
      </c>
      <c r="T281">
        <v>15815</v>
      </c>
      <c r="U281">
        <v>3</v>
      </c>
      <c r="V281" t="s">
        <v>41</v>
      </c>
      <c r="W281" t="s">
        <v>42</v>
      </c>
      <c r="X281">
        <v>14</v>
      </c>
      <c r="Y281">
        <v>3</v>
      </c>
      <c r="Z281">
        <v>1</v>
      </c>
      <c r="AA281">
        <v>80</v>
      </c>
      <c r="AB281">
        <v>2</v>
      </c>
      <c r="AC281">
        <v>28</v>
      </c>
      <c r="AD281">
        <v>4</v>
      </c>
      <c r="AE281">
        <v>2</v>
      </c>
      <c r="AF281">
        <v>10</v>
      </c>
      <c r="AG281">
        <v>4</v>
      </c>
      <c r="AH281">
        <v>1</v>
      </c>
      <c r="AI281">
        <v>6</v>
      </c>
      <c r="AJ281">
        <f t="shared" si="4"/>
        <v>0</v>
      </c>
      <c r="AK281" t="str" cm="1">
        <f t="array" ref="AK281">_xlfn.IFS(A281&lt;=30,"18-30",A281&lt;=45,"31-45",A281&lt;=60,"46-60",TRUE, "60+")</f>
        <v>46-60</v>
      </c>
      <c r="AL281" t="str" cm="1">
        <f t="array" ref="AL281">_xlfn.IFS(F281&lt;=10,"0-10",F281&lt;=20,"11-20",TRUE,"20+")</f>
        <v>0-10</v>
      </c>
      <c r="AM281" t="str" cm="1">
        <f t="array" ref="AM281">_xlfn.IFS(S281&lt;=5000,"0-5k",S281&lt;=10000,"5k-10k",S281&lt;=15000,"10k-15k",TRUE,"15k+")</f>
        <v>15k+</v>
      </c>
      <c r="AN281" t="str" cm="1">
        <f t="array" ref="AN281">_xlfn.IFS(AF281&lt;=10,"0-10",AF281&lt;=20,"10-20",AF281&lt;=30,"20-30",TRUE,"30+")</f>
        <v>0-10</v>
      </c>
      <c r="AO281" t="str" cm="1">
        <f t="array" ref="AO281">_xlfn.IFS(Y281=1,"Poor",Y281=2,"Average",Y281=3,"Good",TRUE,"Excellent")</f>
        <v>Good</v>
      </c>
      <c r="AP281" t="str" cm="1">
        <f t="array" ref="AP281">_xlfn.IFS(Q281=1,"Low",Q281=2,"Medium",Q281=3,"High",TRUE,"Very High")</f>
        <v>Medium</v>
      </c>
    </row>
    <row r="282" spans="1:42" x14ac:dyDescent="0.25">
      <c r="A282">
        <v>53</v>
      </c>
      <c r="B282" t="s">
        <v>42</v>
      </c>
      <c r="C282" t="s">
        <v>90</v>
      </c>
      <c r="D282">
        <v>1070</v>
      </c>
      <c r="E282" t="s">
        <v>43</v>
      </c>
      <c r="F282">
        <v>3</v>
      </c>
      <c r="G282">
        <v>4</v>
      </c>
      <c r="H282" t="s">
        <v>49</v>
      </c>
      <c r="I282">
        <v>1</v>
      </c>
      <c r="J282">
        <v>386</v>
      </c>
      <c r="K282">
        <v>3</v>
      </c>
      <c r="L282" t="s">
        <v>44</v>
      </c>
      <c r="M282">
        <v>45</v>
      </c>
      <c r="N282">
        <v>3</v>
      </c>
      <c r="O282">
        <v>4</v>
      </c>
      <c r="P282" t="s">
        <v>56</v>
      </c>
      <c r="Q282">
        <v>3</v>
      </c>
      <c r="R282" t="s">
        <v>46</v>
      </c>
      <c r="S282">
        <v>17584</v>
      </c>
      <c r="T282">
        <v>21016</v>
      </c>
      <c r="U282">
        <v>3</v>
      </c>
      <c r="V282" t="s">
        <v>41</v>
      </c>
      <c r="W282" t="s">
        <v>35</v>
      </c>
      <c r="X282">
        <v>16</v>
      </c>
      <c r="Y282">
        <v>3</v>
      </c>
      <c r="Z282">
        <v>4</v>
      </c>
      <c r="AA282">
        <v>80</v>
      </c>
      <c r="AB282">
        <v>3</v>
      </c>
      <c r="AC282">
        <v>21</v>
      </c>
      <c r="AD282">
        <v>5</v>
      </c>
      <c r="AE282">
        <v>2</v>
      </c>
      <c r="AF282">
        <v>5</v>
      </c>
      <c r="AG282">
        <v>3</v>
      </c>
      <c r="AH282">
        <v>1</v>
      </c>
      <c r="AI282">
        <v>3</v>
      </c>
      <c r="AJ282">
        <f t="shared" si="4"/>
        <v>0</v>
      </c>
      <c r="AK282" t="str" cm="1">
        <f t="array" ref="AK282">_xlfn.IFS(A282&lt;=30,"18-30",A282&lt;=45,"31-45",A282&lt;=60,"46-60",TRUE, "60+")</f>
        <v>46-60</v>
      </c>
      <c r="AL282" t="str" cm="1">
        <f t="array" ref="AL282">_xlfn.IFS(F282&lt;=10,"0-10",F282&lt;=20,"11-20",TRUE,"20+")</f>
        <v>0-10</v>
      </c>
      <c r="AM282" t="str" cm="1">
        <f t="array" ref="AM282">_xlfn.IFS(S282&lt;=5000,"0-5k",S282&lt;=10000,"5k-10k",S282&lt;=15000,"10k-15k",TRUE,"15k+")</f>
        <v>15k+</v>
      </c>
      <c r="AN282" t="str" cm="1">
        <f t="array" ref="AN282">_xlfn.IFS(AF282&lt;=10,"0-10",AF282&lt;=20,"10-20",AF282&lt;=30,"20-30",TRUE,"30+")</f>
        <v>0-10</v>
      </c>
      <c r="AO282" t="str" cm="1">
        <f t="array" ref="AO282">_xlfn.IFS(Y282=1,"Poor",Y282=2,"Average",Y282=3,"Good",TRUE,"Excellent")</f>
        <v>Good</v>
      </c>
      <c r="AP282" t="str" cm="1">
        <f t="array" ref="AP282">_xlfn.IFS(Q282=1,"Low",Q282=2,"Medium",Q282=3,"High",TRUE,"Very High")</f>
        <v>High</v>
      </c>
    </row>
    <row r="283" spans="1:42" x14ac:dyDescent="0.25">
      <c r="A283">
        <v>42</v>
      </c>
      <c r="B283" t="s">
        <v>42</v>
      </c>
      <c r="C283" t="s">
        <v>90</v>
      </c>
      <c r="D283">
        <v>635</v>
      </c>
      <c r="E283" t="s">
        <v>36</v>
      </c>
      <c r="F283">
        <v>1</v>
      </c>
      <c r="G283">
        <v>1</v>
      </c>
      <c r="H283" t="s">
        <v>37</v>
      </c>
      <c r="I283">
        <v>1</v>
      </c>
      <c r="J283">
        <v>387</v>
      </c>
      <c r="K283">
        <v>2</v>
      </c>
      <c r="L283" t="s">
        <v>44</v>
      </c>
      <c r="M283">
        <v>99</v>
      </c>
      <c r="N283">
        <v>3</v>
      </c>
      <c r="O283">
        <v>2</v>
      </c>
      <c r="P283" t="s">
        <v>39</v>
      </c>
      <c r="Q283">
        <v>3</v>
      </c>
      <c r="R283" t="s">
        <v>46</v>
      </c>
      <c r="S283">
        <v>4907</v>
      </c>
      <c r="T283">
        <v>24532</v>
      </c>
      <c r="U283">
        <v>1</v>
      </c>
      <c r="V283" t="s">
        <v>41</v>
      </c>
      <c r="W283" t="s">
        <v>42</v>
      </c>
      <c r="X283">
        <v>25</v>
      </c>
      <c r="Y283">
        <v>4</v>
      </c>
      <c r="Z283">
        <v>3</v>
      </c>
      <c r="AA283">
        <v>80</v>
      </c>
      <c r="AB283">
        <v>0</v>
      </c>
      <c r="AC283">
        <v>20</v>
      </c>
      <c r="AD283">
        <v>3</v>
      </c>
      <c r="AE283">
        <v>3</v>
      </c>
      <c r="AF283">
        <v>20</v>
      </c>
      <c r="AG283">
        <v>16</v>
      </c>
      <c r="AH283">
        <v>11</v>
      </c>
      <c r="AI283">
        <v>6</v>
      </c>
      <c r="AJ283">
        <f t="shared" si="4"/>
        <v>0</v>
      </c>
      <c r="AK283" t="str" cm="1">
        <f t="array" ref="AK283">_xlfn.IFS(A283&lt;=30,"18-30",A283&lt;=45,"31-45",A283&lt;=60,"46-60",TRUE, "60+")</f>
        <v>31-45</v>
      </c>
      <c r="AL283" t="str" cm="1">
        <f t="array" ref="AL283">_xlfn.IFS(F283&lt;=10,"0-10",F283&lt;=20,"11-20",TRUE,"20+")</f>
        <v>0-10</v>
      </c>
      <c r="AM283" t="str" cm="1">
        <f t="array" ref="AM283">_xlfn.IFS(S283&lt;=5000,"0-5k",S283&lt;=10000,"5k-10k",S283&lt;=15000,"10k-15k",TRUE,"15k+")</f>
        <v>0-5k</v>
      </c>
      <c r="AN283" t="str" cm="1">
        <f t="array" ref="AN283">_xlfn.IFS(AF283&lt;=10,"0-10",AF283&lt;=20,"10-20",AF283&lt;=30,"20-30",TRUE,"30+")</f>
        <v>10-20</v>
      </c>
      <c r="AO283" t="str" cm="1">
        <f t="array" ref="AO283">_xlfn.IFS(Y283=1,"Poor",Y283=2,"Average",Y283=3,"Good",TRUE,"Excellent")</f>
        <v>Excellent</v>
      </c>
      <c r="AP283" t="str" cm="1">
        <f t="array" ref="AP283">_xlfn.IFS(Q283=1,"Low",Q283=2,"Medium",Q283=3,"High",TRUE,"Very High")</f>
        <v>High</v>
      </c>
    </row>
    <row r="284" spans="1:42" x14ac:dyDescent="0.25">
      <c r="A284">
        <v>29</v>
      </c>
      <c r="B284" t="s">
        <v>42</v>
      </c>
      <c r="C284" t="s">
        <v>91</v>
      </c>
      <c r="D284">
        <v>442</v>
      </c>
      <c r="E284" t="s">
        <v>36</v>
      </c>
      <c r="F284">
        <v>2</v>
      </c>
      <c r="G284">
        <v>2</v>
      </c>
      <c r="H284" t="s">
        <v>37</v>
      </c>
      <c r="I284">
        <v>1</v>
      </c>
      <c r="J284">
        <v>388</v>
      </c>
      <c r="K284">
        <v>2</v>
      </c>
      <c r="L284" t="s">
        <v>44</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c r="AJ284">
        <f t="shared" si="4"/>
        <v>0</v>
      </c>
      <c r="AK284" t="str" cm="1">
        <f t="array" ref="AK284">_xlfn.IFS(A284&lt;=30,"18-30",A284&lt;=45,"31-45",A284&lt;=60,"46-60",TRUE, "60+")</f>
        <v>18-30</v>
      </c>
      <c r="AL284" t="str" cm="1">
        <f t="array" ref="AL284">_xlfn.IFS(F284&lt;=10,"0-10",F284&lt;=20,"11-20",TRUE,"20+")</f>
        <v>0-10</v>
      </c>
      <c r="AM284" t="str" cm="1">
        <f t="array" ref="AM284">_xlfn.IFS(S284&lt;=5000,"0-5k",S284&lt;=10000,"5k-10k",S284&lt;=15000,"10k-15k",TRUE,"15k+")</f>
        <v>0-5k</v>
      </c>
      <c r="AN284" t="str" cm="1">
        <f t="array" ref="AN284">_xlfn.IFS(AF284&lt;=10,"0-10",AF284&lt;=20,"10-20",AF284&lt;=30,"20-30",TRUE,"30+")</f>
        <v>0-10</v>
      </c>
      <c r="AO284" t="str" cm="1">
        <f t="array" ref="AO284">_xlfn.IFS(Y284=1,"Poor",Y284=2,"Average",Y284=3,"Good",TRUE,"Excellent")</f>
        <v>Good</v>
      </c>
      <c r="AP284" t="str" cm="1">
        <f t="array" ref="AP284">_xlfn.IFS(Q284=1,"Low",Q284=2,"Medium",Q284=3,"High",TRUE,"Very High")</f>
        <v>Very High</v>
      </c>
    </row>
    <row r="285" spans="1:42" x14ac:dyDescent="0.25">
      <c r="A285">
        <v>55</v>
      </c>
      <c r="B285" t="s">
        <v>42</v>
      </c>
      <c r="C285" t="s">
        <v>90</v>
      </c>
      <c r="D285">
        <v>147</v>
      </c>
      <c r="E285" t="s">
        <v>43</v>
      </c>
      <c r="F285">
        <v>20</v>
      </c>
      <c r="G285">
        <v>2</v>
      </c>
      <c r="H285" t="s">
        <v>58</v>
      </c>
      <c r="I285">
        <v>1</v>
      </c>
      <c r="J285">
        <v>389</v>
      </c>
      <c r="K285">
        <v>2</v>
      </c>
      <c r="L285" t="s">
        <v>44</v>
      </c>
      <c r="M285">
        <v>37</v>
      </c>
      <c r="N285">
        <v>3</v>
      </c>
      <c r="O285">
        <v>2</v>
      </c>
      <c r="P285" t="s">
        <v>48</v>
      </c>
      <c r="Q285">
        <v>4</v>
      </c>
      <c r="R285" t="s">
        <v>46</v>
      </c>
      <c r="S285">
        <v>5415</v>
      </c>
      <c r="T285">
        <v>15972</v>
      </c>
      <c r="U285">
        <v>3</v>
      </c>
      <c r="V285" t="s">
        <v>41</v>
      </c>
      <c r="W285" t="s">
        <v>35</v>
      </c>
      <c r="X285">
        <v>19</v>
      </c>
      <c r="Y285">
        <v>3</v>
      </c>
      <c r="Z285">
        <v>4</v>
      </c>
      <c r="AA285">
        <v>80</v>
      </c>
      <c r="AB285">
        <v>1</v>
      </c>
      <c r="AC285">
        <v>12</v>
      </c>
      <c r="AD285">
        <v>4</v>
      </c>
      <c r="AE285">
        <v>3</v>
      </c>
      <c r="AF285">
        <v>10</v>
      </c>
      <c r="AG285">
        <v>7</v>
      </c>
      <c r="AH285">
        <v>0</v>
      </c>
      <c r="AI285">
        <v>8</v>
      </c>
      <c r="AJ285">
        <f t="shared" si="4"/>
        <v>0</v>
      </c>
      <c r="AK285" t="str" cm="1">
        <f t="array" ref="AK285">_xlfn.IFS(A285&lt;=30,"18-30",A285&lt;=45,"31-45",A285&lt;=60,"46-60",TRUE, "60+")</f>
        <v>46-60</v>
      </c>
      <c r="AL285" t="str" cm="1">
        <f t="array" ref="AL285">_xlfn.IFS(F285&lt;=10,"0-10",F285&lt;=20,"11-20",TRUE,"20+")</f>
        <v>11-20</v>
      </c>
      <c r="AM285" t="str" cm="1">
        <f t="array" ref="AM285">_xlfn.IFS(S285&lt;=5000,"0-5k",S285&lt;=10000,"5k-10k",S285&lt;=15000,"10k-15k",TRUE,"15k+")</f>
        <v>5k-10k</v>
      </c>
      <c r="AN285" t="str" cm="1">
        <f t="array" ref="AN285">_xlfn.IFS(AF285&lt;=10,"0-10",AF285&lt;=20,"10-20",AF285&lt;=30,"20-30",TRUE,"30+")</f>
        <v>0-10</v>
      </c>
      <c r="AO285" t="str" cm="1">
        <f t="array" ref="AO285">_xlfn.IFS(Y285=1,"Poor",Y285=2,"Average",Y285=3,"Good",TRUE,"Excellent")</f>
        <v>Good</v>
      </c>
      <c r="AP285" t="str" cm="1">
        <f t="array" ref="AP285">_xlfn.IFS(Q285=1,"Low",Q285=2,"Medium",Q285=3,"High",TRUE,"Very High")</f>
        <v>Very High</v>
      </c>
    </row>
    <row r="286" spans="1:42" x14ac:dyDescent="0.25">
      <c r="A286">
        <v>26</v>
      </c>
      <c r="B286" t="s">
        <v>42</v>
      </c>
      <c r="C286" t="s">
        <v>91</v>
      </c>
      <c r="D286">
        <v>496</v>
      </c>
      <c r="E286" t="s">
        <v>43</v>
      </c>
      <c r="F286">
        <v>11</v>
      </c>
      <c r="G286">
        <v>2</v>
      </c>
      <c r="H286" t="s">
        <v>49</v>
      </c>
      <c r="I286">
        <v>1</v>
      </c>
      <c r="J286">
        <v>390</v>
      </c>
      <c r="K286">
        <v>1</v>
      </c>
      <c r="L286" t="s">
        <v>44</v>
      </c>
      <c r="M286">
        <v>60</v>
      </c>
      <c r="N286">
        <v>3</v>
      </c>
      <c r="O286">
        <v>2</v>
      </c>
      <c r="P286" t="s">
        <v>52</v>
      </c>
      <c r="Q286">
        <v>1</v>
      </c>
      <c r="R286" t="s">
        <v>46</v>
      </c>
      <c r="S286">
        <v>4741</v>
      </c>
      <c r="T286">
        <v>22722</v>
      </c>
      <c r="U286">
        <v>1</v>
      </c>
      <c r="V286" t="s">
        <v>41</v>
      </c>
      <c r="W286" t="s">
        <v>35</v>
      </c>
      <c r="X286">
        <v>13</v>
      </c>
      <c r="Y286">
        <v>3</v>
      </c>
      <c r="Z286">
        <v>3</v>
      </c>
      <c r="AA286">
        <v>80</v>
      </c>
      <c r="AB286">
        <v>1</v>
      </c>
      <c r="AC286">
        <v>5</v>
      </c>
      <c r="AD286">
        <v>3</v>
      </c>
      <c r="AE286">
        <v>3</v>
      </c>
      <c r="AF286">
        <v>5</v>
      </c>
      <c r="AG286">
        <v>3</v>
      </c>
      <c r="AH286">
        <v>3</v>
      </c>
      <c r="AI286">
        <v>3</v>
      </c>
      <c r="AJ286">
        <f t="shared" si="4"/>
        <v>0</v>
      </c>
      <c r="AK286" t="str" cm="1">
        <f t="array" ref="AK286">_xlfn.IFS(A286&lt;=30,"18-30",A286&lt;=45,"31-45",A286&lt;=60,"46-60",TRUE, "60+")</f>
        <v>18-30</v>
      </c>
      <c r="AL286" t="str" cm="1">
        <f t="array" ref="AL286">_xlfn.IFS(F286&lt;=10,"0-10",F286&lt;=20,"11-20",TRUE,"20+")</f>
        <v>11-20</v>
      </c>
      <c r="AM286" t="str" cm="1">
        <f t="array" ref="AM286">_xlfn.IFS(S286&lt;=5000,"0-5k",S286&lt;=10000,"5k-10k",S286&lt;=15000,"10k-15k",TRUE,"15k+")</f>
        <v>0-5k</v>
      </c>
      <c r="AN286" t="str" cm="1">
        <f t="array" ref="AN286">_xlfn.IFS(AF286&lt;=10,"0-10",AF286&lt;=20,"10-20",AF286&lt;=30,"20-30",TRUE,"30+")</f>
        <v>0-10</v>
      </c>
      <c r="AO286" t="str" cm="1">
        <f t="array" ref="AO286">_xlfn.IFS(Y286=1,"Poor",Y286=2,"Average",Y286=3,"Good",TRUE,"Excellent")</f>
        <v>Good</v>
      </c>
      <c r="AP286" t="str" cm="1">
        <f t="array" ref="AP286">_xlfn.IFS(Q286=1,"Low",Q286=2,"Medium",Q286=3,"High",TRUE,"Very High")</f>
        <v>Low</v>
      </c>
    </row>
    <row r="287" spans="1:42" x14ac:dyDescent="0.25">
      <c r="A287">
        <v>37</v>
      </c>
      <c r="B287" t="s">
        <v>42</v>
      </c>
      <c r="C287" t="s">
        <v>90</v>
      </c>
      <c r="D287">
        <v>1372</v>
      </c>
      <c r="E287" t="s">
        <v>43</v>
      </c>
      <c r="F287">
        <v>1</v>
      </c>
      <c r="G287">
        <v>3</v>
      </c>
      <c r="H287" t="s">
        <v>37</v>
      </c>
      <c r="I287">
        <v>1</v>
      </c>
      <c r="J287">
        <v>391</v>
      </c>
      <c r="K287">
        <v>4</v>
      </c>
      <c r="L287" t="s">
        <v>38</v>
      </c>
      <c r="M287">
        <v>42</v>
      </c>
      <c r="N287">
        <v>3</v>
      </c>
      <c r="O287">
        <v>1</v>
      </c>
      <c r="P287" t="s">
        <v>45</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c r="AJ287">
        <f t="shared" si="4"/>
        <v>0</v>
      </c>
      <c r="AK287" t="str" cm="1">
        <f t="array" ref="AK287">_xlfn.IFS(A287&lt;=30,"18-30",A287&lt;=45,"31-45",A287&lt;=60,"46-60",TRUE, "60+")</f>
        <v>31-45</v>
      </c>
      <c r="AL287" t="str" cm="1">
        <f t="array" ref="AL287">_xlfn.IFS(F287&lt;=10,"0-10",F287&lt;=20,"11-20",TRUE,"20+")</f>
        <v>0-10</v>
      </c>
      <c r="AM287" t="str" cm="1">
        <f t="array" ref="AM287">_xlfn.IFS(S287&lt;=5000,"0-5k",S287&lt;=10000,"5k-10k",S287&lt;=15000,"10k-15k",TRUE,"15k+")</f>
        <v>0-5k</v>
      </c>
      <c r="AN287" t="str" cm="1">
        <f t="array" ref="AN287">_xlfn.IFS(AF287&lt;=10,"0-10",AF287&lt;=20,"10-20",AF287&lt;=30,"20-30",TRUE,"30+")</f>
        <v>10-20</v>
      </c>
      <c r="AO287" t="str" cm="1">
        <f t="array" ref="AO287">_xlfn.IFS(Y287=1,"Poor",Y287=2,"Average",Y287=3,"Good",TRUE,"Excellent")</f>
        <v>Good</v>
      </c>
      <c r="AP287" t="str" cm="1">
        <f t="array" ref="AP287">_xlfn.IFS(Q287=1,"Low",Q287=2,"Medium",Q287=3,"High",TRUE,"Very High")</f>
        <v>Very High</v>
      </c>
    </row>
    <row r="288" spans="1:42" x14ac:dyDescent="0.25">
      <c r="A288">
        <v>44</v>
      </c>
      <c r="B288" t="s">
        <v>35</v>
      </c>
      <c r="C288" t="s">
        <v>91</v>
      </c>
      <c r="D288">
        <v>920</v>
      </c>
      <c r="E288" t="s">
        <v>43</v>
      </c>
      <c r="F288">
        <v>24</v>
      </c>
      <c r="G288">
        <v>3</v>
      </c>
      <c r="H288" t="s">
        <v>37</v>
      </c>
      <c r="I288">
        <v>1</v>
      </c>
      <c r="J288">
        <v>392</v>
      </c>
      <c r="K288">
        <v>4</v>
      </c>
      <c r="L288" t="s">
        <v>44</v>
      </c>
      <c r="M288">
        <v>43</v>
      </c>
      <c r="N288">
        <v>3</v>
      </c>
      <c r="O288">
        <v>1</v>
      </c>
      <c r="P288" t="s">
        <v>48</v>
      </c>
      <c r="Q288">
        <v>3</v>
      </c>
      <c r="R288" t="s">
        <v>50</v>
      </c>
      <c r="S288">
        <v>3161</v>
      </c>
      <c r="T288">
        <v>19920</v>
      </c>
      <c r="U288">
        <v>3</v>
      </c>
      <c r="V288" t="s">
        <v>41</v>
      </c>
      <c r="W288" t="s">
        <v>35</v>
      </c>
      <c r="X288">
        <v>22</v>
      </c>
      <c r="Y288">
        <v>4</v>
      </c>
      <c r="Z288">
        <v>4</v>
      </c>
      <c r="AA288">
        <v>80</v>
      </c>
      <c r="AB288">
        <v>1</v>
      </c>
      <c r="AC288">
        <v>19</v>
      </c>
      <c r="AD288">
        <v>0</v>
      </c>
      <c r="AE288">
        <v>1</v>
      </c>
      <c r="AF288">
        <v>1</v>
      </c>
      <c r="AG288">
        <v>0</v>
      </c>
      <c r="AH288">
        <v>0</v>
      </c>
      <c r="AI288">
        <v>0</v>
      </c>
      <c r="AJ288">
        <f t="shared" si="4"/>
        <v>1</v>
      </c>
      <c r="AK288" t="str" cm="1">
        <f t="array" ref="AK288">_xlfn.IFS(A288&lt;=30,"18-30",A288&lt;=45,"31-45",A288&lt;=60,"46-60",TRUE, "60+")</f>
        <v>31-45</v>
      </c>
      <c r="AL288" t="str" cm="1">
        <f t="array" ref="AL288">_xlfn.IFS(F288&lt;=10,"0-10",F288&lt;=20,"11-20",TRUE,"20+")</f>
        <v>20+</v>
      </c>
      <c r="AM288" t="str" cm="1">
        <f t="array" ref="AM288">_xlfn.IFS(S288&lt;=5000,"0-5k",S288&lt;=10000,"5k-10k",S288&lt;=15000,"10k-15k",TRUE,"15k+")</f>
        <v>0-5k</v>
      </c>
      <c r="AN288" t="str" cm="1">
        <f t="array" ref="AN288">_xlfn.IFS(AF288&lt;=10,"0-10",AF288&lt;=20,"10-20",AF288&lt;=30,"20-30",TRUE,"30+")</f>
        <v>0-10</v>
      </c>
      <c r="AO288" t="str" cm="1">
        <f t="array" ref="AO288">_xlfn.IFS(Y288=1,"Poor",Y288=2,"Average",Y288=3,"Good",TRUE,"Excellent")</f>
        <v>Excellent</v>
      </c>
      <c r="AP288" t="str" cm="1">
        <f t="array" ref="AP288">_xlfn.IFS(Q288=1,"Low",Q288=2,"Medium",Q288=3,"High",TRUE,"Very High")</f>
        <v>High</v>
      </c>
    </row>
    <row r="289" spans="1:42" x14ac:dyDescent="0.25">
      <c r="A289">
        <v>38</v>
      </c>
      <c r="B289" t="s">
        <v>42</v>
      </c>
      <c r="C289" t="s">
        <v>90</v>
      </c>
      <c r="D289">
        <v>688</v>
      </c>
      <c r="E289" t="s">
        <v>43</v>
      </c>
      <c r="F289">
        <v>23</v>
      </c>
      <c r="G289">
        <v>4</v>
      </c>
      <c r="H289" t="s">
        <v>37</v>
      </c>
      <c r="I289">
        <v>1</v>
      </c>
      <c r="J289">
        <v>393</v>
      </c>
      <c r="K289">
        <v>4</v>
      </c>
      <c r="L289" t="s">
        <v>44</v>
      </c>
      <c r="M289">
        <v>82</v>
      </c>
      <c r="N289">
        <v>3</v>
      </c>
      <c r="O289">
        <v>2</v>
      </c>
      <c r="P289" t="s">
        <v>52</v>
      </c>
      <c r="Q289">
        <v>4</v>
      </c>
      <c r="R289" t="s">
        <v>50</v>
      </c>
      <c r="S289">
        <v>5745</v>
      </c>
      <c r="T289">
        <v>18899</v>
      </c>
      <c r="U289">
        <v>9</v>
      </c>
      <c r="V289" t="s">
        <v>41</v>
      </c>
      <c r="W289" t="s">
        <v>42</v>
      </c>
      <c r="X289">
        <v>14</v>
      </c>
      <c r="Y289">
        <v>3</v>
      </c>
      <c r="Z289">
        <v>2</v>
      </c>
      <c r="AA289">
        <v>80</v>
      </c>
      <c r="AB289">
        <v>1</v>
      </c>
      <c r="AC289">
        <v>10</v>
      </c>
      <c r="AD289">
        <v>2</v>
      </c>
      <c r="AE289">
        <v>3</v>
      </c>
      <c r="AF289">
        <v>2</v>
      </c>
      <c r="AG289">
        <v>2</v>
      </c>
      <c r="AH289">
        <v>1</v>
      </c>
      <c r="AI289">
        <v>2</v>
      </c>
      <c r="AJ289">
        <f t="shared" si="4"/>
        <v>0</v>
      </c>
      <c r="AK289" t="str" cm="1">
        <f t="array" ref="AK289">_xlfn.IFS(A289&lt;=30,"18-30",A289&lt;=45,"31-45",A289&lt;=60,"46-60",TRUE, "60+")</f>
        <v>31-45</v>
      </c>
      <c r="AL289" t="str" cm="1">
        <f t="array" ref="AL289">_xlfn.IFS(F289&lt;=10,"0-10",F289&lt;=20,"11-20",TRUE,"20+")</f>
        <v>20+</v>
      </c>
      <c r="AM289" t="str" cm="1">
        <f t="array" ref="AM289">_xlfn.IFS(S289&lt;=5000,"0-5k",S289&lt;=10000,"5k-10k",S289&lt;=15000,"10k-15k",TRUE,"15k+")</f>
        <v>5k-10k</v>
      </c>
      <c r="AN289" t="str" cm="1">
        <f t="array" ref="AN289">_xlfn.IFS(AF289&lt;=10,"0-10",AF289&lt;=20,"10-20",AF289&lt;=30,"20-30",TRUE,"30+")</f>
        <v>0-10</v>
      </c>
      <c r="AO289" t="str" cm="1">
        <f t="array" ref="AO289">_xlfn.IFS(Y289=1,"Poor",Y289=2,"Average",Y289=3,"Good",TRUE,"Excellent")</f>
        <v>Good</v>
      </c>
      <c r="AP289" t="str" cm="1">
        <f t="array" ref="AP289">_xlfn.IFS(Q289=1,"Low",Q289=2,"Medium",Q289=3,"High",TRUE,"Very High")</f>
        <v>Very High</v>
      </c>
    </row>
    <row r="290" spans="1:42" x14ac:dyDescent="0.25">
      <c r="A290">
        <v>26</v>
      </c>
      <c r="B290" t="s">
        <v>35</v>
      </c>
      <c r="C290" t="s">
        <v>90</v>
      </c>
      <c r="D290">
        <v>1449</v>
      </c>
      <c r="E290" t="s">
        <v>43</v>
      </c>
      <c r="F290">
        <v>16</v>
      </c>
      <c r="G290">
        <v>4</v>
      </c>
      <c r="H290" t="s">
        <v>49</v>
      </c>
      <c r="I290">
        <v>1</v>
      </c>
      <c r="J290">
        <v>394</v>
      </c>
      <c r="K290">
        <v>1</v>
      </c>
      <c r="L290" t="s">
        <v>44</v>
      </c>
      <c r="M290">
        <v>45</v>
      </c>
      <c r="N290">
        <v>3</v>
      </c>
      <c r="O290">
        <v>1</v>
      </c>
      <c r="P290" t="s">
        <v>48</v>
      </c>
      <c r="Q290">
        <v>2</v>
      </c>
      <c r="R290" t="s">
        <v>50</v>
      </c>
      <c r="S290">
        <v>2373</v>
      </c>
      <c r="T290">
        <v>14180</v>
      </c>
      <c r="U290">
        <v>2</v>
      </c>
      <c r="V290" t="s">
        <v>41</v>
      </c>
      <c r="W290" t="s">
        <v>35</v>
      </c>
      <c r="X290">
        <v>13</v>
      </c>
      <c r="Y290">
        <v>3</v>
      </c>
      <c r="Z290">
        <v>4</v>
      </c>
      <c r="AA290">
        <v>80</v>
      </c>
      <c r="AB290">
        <v>1</v>
      </c>
      <c r="AC290">
        <v>5</v>
      </c>
      <c r="AD290">
        <v>2</v>
      </c>
      <c r="AE290">
        <v>3</v>
      </c>
      <c r="AF290">
        <v>3</v>
      </c>
      <c r="AG290">
        <v>2</v>
      </c>
      <c r="AH290">
        <v>0</v>
      </c>
      <c r="AI290">
        <v>2</v>
      </c>
      <c r="AJ290">
        <f t="shared" si="4"/>
        <v>1</v>
      </c>
      <c r="AK290" t="str" cm="1">
        <f t="array" ref="AK290">_xlfn.IFS(A290&lt;=30,"18-30",A290&lt;=45,"31-45",A290&lt;=60,"46-60",TRUE, "60+")</f>
        <v>18-30</v>
      </c>
      <c r="AL290" t="str" cm="1">
        <f t="array" ref="AL290">_xlfn.IFS(F290&lt;=10,"0-10",F290&lt;=20,"11-20",TRUE,"20+")</f>
        <v>11-20</v>
      </c>
      <c r="AM290" t="str" cm="1">
        <f t="array" ref="AM290">_xlfn.IFS(S290&lt;=5000,"0-5k",S290&lt;=10000,"5k-10k",S290&lt;=15000,"10k-15k",TRUE,"15k+")</f>
        <v>0-5k</v>
      </c>
      <c r="AN290" t="str" cm="1">
        <f t="array" ref="AN290">_xlfn.IFS(AF290&lt;=10,"0-10",AF290&lt;=20,"10-20",AF290&lt;=30,"20-30",TRUE,"30+")</f>
        <v>0-10</v>
      </c>
      <c r="AO290" t="str" cm="1">
        <f t="array" ref="AO290">_xlfn.IFS(Y290=1,"Poor",Y290=2,"Average",Y290=3,"Good",TRUE,"Excellent")</f>
        <v>Good</v>
      </c>
      <c r="AP290" t="str" cm="1">
        <f t="array" ref="AP290">_xlfn.IFS(Q290=1,"Low",Q290=2,"Medium",Q290=3,"High",TRUE,"Very High")</f>
        <v>Medium</v>
      </c>
    </row>
    <row r="291" spans="1:42" x14ac:dyDescent="0.25">
      <c r="A291">
        <v>28</v>
      </c>
      <c r="B291" t="s">
        <v>42</v>
      </c>
      <c r="C291" t="s">
        <v>90</v>
      </c>
      <c r="D291">
        <v>1117</v>
      </c>
      <c r="E291" t="s">
        <v>43</v>
      </c>
      <c r="F291">
        <v>8</v>
      </c>
      <c r="G291">
        <v>2</v>
      </c>
      <c r="H291" t="s">
        <v>37</v>
      </c>
      <c r="I291">
        <v>1</v>
      </c>
      <c r="J291">
        <v>395</v>
      </c>
      <c r="K291">
        <v>4</v>
      </c>
      <c r="L291" t="s">
        <v>38</v>
      </c>
      <c r="M291">
        <v>66</v>
      </c>
      <c r="N291">
        <v>3</v>
      </c>
      <c r="O291">
        <v>1</v>
      </c>
      <c r="P291" t="s">
        <v>45</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c r="AJ291">
        <f t="shared" si="4"/>
        <v>0</v>
      </c>
      <c r="AK291" t="str" cm="1">
        <f t="array" ref="AK291">_xlfn.IFS(A291&lt;=30,"18-30",A291&lt;=45,"31-45",A291&lt;=60,"46-60",TRUE, "60+")</f>
        <v>18-30</v>
      </c>
      <c r="AL291" t="str" cm="1">
        <f t="array" ref="AL291">_xlfn.IFS(F291&lt;=10,"0-10",F291&lt;=20,"11-20",TRUE,"20+")</f>
        <v>0-10</v>
      </c>
      <c r="AM291" t="str" cm="1">
        <f t="array" ref="AM291">_xlfn.IFS(S291&lt;=5000,"0-5k",S291&lt;=10000,"5k-10k",S291&lt;=15000,"10k-15k",TRUE,"15k+")</f>
        <v>0-5k</v>
      </c>
      <c r="AN291" t="str" cm="1">
        <f t="array" ref="AN291">_xlfn.IFS(AF291&lt;=10,"0-10",AF291&lt;=20,"10-20",AF291&lt;=30,"20-30",TRUE,"30+")</f>
        <v>0-10</v>
      </c>
      <c r="AO291" t="str" cm="1">
        <f t="array" ref="AO291">_xlfn.IFS(Y291=1,"Poor",Y291=2,"Average",Y291=3,"Good",TRUE,"Excellent")</f>
        <v>Excellent</v>
      </c>
      <c r="AP291" t="str" cm="1">
        <f t="array" ref="AP291">_xlfn.IFS(Q291=1,"Low",Q291=2,"Medium",Q291=3,"High",TRUE,"Very High")</f>
        <v>Very High</v>
      </c>
    </row>
    <row r="292" spans="1:42" x14ac:dyDescent="0.25">
      <c r="A292">
        <v>49</v>
      </c>
      <c r="B292" t="s">
        <v>42</v>
      </c>
      <c r="C292" t="s">
        <v>91</v>
      </c>
      <c r="D292">
        <v>636</v>
      </c>
      <c r="E292" t="s">
        <v>43</v>
      </c>
      <c r="F292">
        <v>10</v>
      </c>
      <c r="G292">
        <v>4</v>
      </c>
      <c r="H292" t="s">
        <v>37</v>
      </c>
      <c r="I292">
        <v>1</v>
      </c>
      <c r="J292">
        <v>396</v>
      </c>
      <c r="K292">
        <v>3</v>
      </c>
      <c r="L292" t="s">
        <v>38</v>
      </c>
      <c r="M292">
        <v>35</v>
      </c>
      <c r="N292">
        <v>3</v>
      </c>
      <c r="O292">
        <v>5</v>
      </c>
      <c r="P292" t="s">
        <v>56</v>
      </c>
      <c r="Q292">
        <v>1</v>
      </c>
      <c r="R292" t="s">
        <v>40</v>
      </c>
      <c r="S292">
        <v>18665</v>
      </c>
      <c r="T292">
        <v>25594</v>
      </c>
      <c r="U292">
        <v>9</v>
      </c>
      <c r="V292" t="s">
        <v>41</v>
      </c>
      <c r="W292" t="s">
        <v>35</v>
      </c>
      <c r="X292">
        <v>11</v>
      </c>
      <c r="Y292">
        <v>3</v>
      </c>
      <c r="Z292">
        <v>4</v>
      </c>
      <c r="AA292">
        <v>80</v>
      </c>
      <c r="AB292">
        <v>0</v>
      </c>
      <c r="AC292">
        <v>22</v>
      </c>
      <c r="AD292">
        <v>4</v>
      </c>
      <c r="AE292">
        <v>3</v>
      </c>
      <c r="AF292">
        <v>3</v>
      </c>
      <c r="AG292">
        <v>2</v>
      </c>
      <c r="AH292">
        <v>1</v>
      </c>
      <c r="AI292">
        <v>2</v>
      </c>
      <c r="AJ292">
        <f t="shared" si="4"/>
        <v>0</v>
      </c>
      <c r="AK292" t="str" cm="1">
        <f t="array" ref="AK292">_xlfn.IFS(A292&lt;=30,"18-30",A292&lt;=45,"31-45",A292&lt;=60,"46-60",TRUE, "60+")</f>
        <v>46-60</v>
      </c>
      <c r="AL292" t="str" cm="1">
        <f t="array" ref="AL292">_xlfn.IFS(F292&lt;=10,"0-10",F292&lt;=20,"11-20",TRUE,"20+")</f>
        <v>0-10</v>
      </c>
      <c r="AM292" t="str" cm="1">
        <f t="array" ref="AM292">_xlfn.IFS(S292&lt;=5000,"0-5k",S292&lt;=10000,"5k-10k",S292&lt;=15000,"10k-15k",TRUE,"15k+")</f>
        <v>15k+</v>
      </c>
      <c r="AN292" t="str" cm="1">
        <f t="array" ref="AN292">_xlfn.IFS(AF292&lt;=10,"0-10",AF292&lt;=20,"10-20",AF292&lt;=30,"20-30",TRUE,"30+")</f>
        <v>0-10</v>
      </c>
      <c r="AO292" t="str" cm="1">
        <f t="array" ref="AO292">_xlfn.IFS(Y292=1,"Poor",Y292=2,"Average",Y292=3,"Good",TRUE,"Excellent")</f>
        <v>Good</v>
      </c>
      <c r="AP292" t="str" cm="1">
        <f t="array" ref="AP292">_xlfn.IFS(Q292=1,"Low",Q292=2,"Medium",Q292=3,"High",TRUE,"Very High")</f>
        <v>Low</v>
      </c>
    </row>
    <row r="293" spans="1:42" x14ac:dyDescent="0.25">
      <c r="A293">
        <v>36</v>
      </c>
      <c r="B293" t="s">
        <v>42</v>
      </c>
      <c r="C293" t="s">
        <v>90</v>
      </c>
      <c r="D293">
        <v>506</v>
      </c>
      <c r="E293" t="s">
        <v>43</v>
      </c>
      <c r="F293">
        <v>3</v>
      </c>
      <c r="G293">
        <v>3</v>
      </c>
      <c r="H293" t="s">
        <v>58</v>
      </c>
      <c r="I293">
        <v>1</v>
      </c>
      <c r="J293">
        <v>397</v>
      </c>
      <c r="K293">
        <v>3</v>
      </c>
      <c r="L293" t="s">
        <v>44</v>
      </c>
      <c r="M293">
        <v>30</v>
      </c>
      <c r="N293">
        <v>3</v>
      </c>
      <c r="O293">
        <v>2</v>
      </c>
      <c r="P293" t="s">
        <v>45</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c r="AJ293">
        <f t="shared" si="4"/>
        <v>0</v>
      </c>
      <c r="AK293" t="str" cm="1">
        <f t="array" ref="AK293">_xlfn.IFS(A293&lt;=30,"18-30",A293&lt;=45,"31-45",A293&lt;=60,"46-60",TRUE, "60+")</f>
        <v>31-45</v>
      </c>
      <c r="AL293" t="str" cm="1">
        <f t="array" ref="AL293">_xlfn.IFS(F293&lt;=10,"0-10",F293&lt;=20,"11-20",TRUE,"20+")</f>
        <v>0-10</v>
      </c>
      <c r="AM293" t="str" cm="1">
        <f t="array" ref="AM293">_xlfn.IFS(S293&lt;=5000,"0-5k",S293&lt;=10000,"5k-10k",S293&lt;=15000,"10k-15k",TRUE,"15k+")</f>
        <v>0-5k</v>
      </c>
      <c r="AN293" t="str" cm="1">
        <f t="array" ref="AN293">_xlfn.IFS(AF293&lt;=10,"0-10",AF293&lt;=20,"10-20",AF293&lt;=30,"20-30",TRUE,"30+")</f>
        <v>0-10</v>
      </c>
      <c r="AO293" t="str" cm="1">
        <f t="array" ref="AO293">_xlfn.IFS(Y293=1,"Poor",Y293=2,"Average",Y293=3,"Good",TRUE,"Excellent")</f>
        <v>Good</v>
      </c>
      <c r="AP293" t="str" cm="1">
        <f t="array" ref="AP293">_xlfn.IFS(Q293=1,"Low",Q293=2,"Medium",Q293=3,"High",TRUE,"Very High")</f>
        <v>Medium</v>
      </c>
    </row>
    <row r="294" spans="1:42" x14ac:dyDescent="0.25">
      <c r="A294">
        <v>31</v>
      </c>
      <c r="B294" t="s">
        <v>42</v>
      </c>
      <c r="C294" t="s">
        <v>91</v>
      </c>
      <c r="D294">
        <v>444</v>
      </c>
      <c r="E294" t="s">
        <v>36</v>
      </c>
      <c r="F294">
        <v>5</v>
      </c>
      <c r="G294">
        <v>3</v>
      </c>
      <c r="H294" t="s">
        <v>57</v>
      </c>
      <c r="I294">
        <v>1</v>
      </c>
      <c r="J294">
        <v>399</v>
      </c>
      <c r="K294">
        <v>4</v>
      </c>
      <c r="L294" t="s">
        <v>38</v>
      </c>
      <c r="M294">
        <v>84</v>
      </c>
      <c r="N294">
        <v>3</v>
      </c>
      <c r="O294">
        <v>1</v>
      </c>
      <c r="P294" t="s">
        <v>55</v>
      </c>
      <c r="Q294">
        <v>2</v>
      </c>
      <c r="R294" t="s">
        <v>50</v>
      </c>
      <c r="S294">
        <v>2789</v>
      </c>
      <c r="T294">
        <v>3909</v>
      </c>
      <c r="U294">
        <v>1</v>
      </c>
      <c r="V294" t="s">
        <v>41</v>
      </c>
      <c r="W294" t="s">
        <v>42</v>
      </c>
      <c r="X294">
        <v>11</v>
      </c>
      <c r="Y294">
        <v>3</v>
      </c>
      <c r="Z294">
        <v>3</v>
      </c>
      <c r="AA294">
        <v>80</v>
      </c>
      <c r="AB294">
        <v>1</v>
      </c>
      <c r="AC294">
        <v>2</v>
      </c>
      <c r="AD294">
        <v>5</v>
      </c>
      <c r="AE294">
        <v>2</v>
      </c>
      <c r="AF294">
        <v>2</v>
      </c>
      <c r="AG294">
        <v>2</v>
      </c>
      <c r="AH294">
        <v>2</v>
      </c>
      <c r="AI294">
        <v>2</v>
      </c>
      <c r="AJ294">
        <f t="shared" si="4"/>
        <v>0</v>
      </c>
      <c r="AK294" t="str" cm="1">
        <f t="array" ref="AK294">_xlfn.IFS(A294&lt;=30,"18-30",A294&lt;=45,"31-45",A294&lt;=60,"46-60",TRUE, "60+")</f>
        <v>31-45</v>
      </c>
      <c r="AL294" t="str" cm="1">
        <f t="array" ref="AL294">_xlfn.IFS(F294&lt;=10,"0-10",F294&lt;=20,"11-20",TRUE,"20+")</f>
        <v>0-10</v>
      </c>
      <c r="AM294" t="str" cm="1">
        <f t="array" ref="AM294">_xlfn.IFS(S294&lt;=5000,"0-5k",S294&lt;=10000,"5k-10k",S294&lt;=15000,"10k-15k",TRUE,"15k+")</f>
        <v>0-5k</v>
      </c>
      <c r="AN294" t="str" cm="1">
        <f t="array" ref="AN294">_xlfn.IFS(AF294&lt;=10,"0-10",AF294&lt;=20,"10-20",AF294&lt;=30,"20-30",TRUE,"30+")</f>
        <v>0-10</v>
      </c>
      <c r="AO294" t="str" cm="1">
        <f t="array" ref="AO294">_xlfn.IFS(Y294=1,"Poor",Y294=2,"Average",Y294=3,"Good",TRUE,"Excellent")</f>
        <v>Good</v>
      </c>
      <c r="AP294" t="str" cm="1">
        <f t="array" ref="AP294">_xlfn.IFS(Q294=1,"Low",Q294=2,"Medium",Q294=3,"High",TRUE,"Very High")</f>
        <v>Medium</v>
      </c>
    </row>
    <row r="295" spans="1:42" x14ac:dyDescent="0.25">
      <c r="A295">
        <v>26</v>
      </c>
      <c r="B295" t="s">
        <v>35</v>
      </c>
      <c r="C295" t="s">
        <v>90</v>
      </c>
      <c r="D295">
        <v>950</v>
      </c>
      <c r="E295" t="s">
        <v>36</v>
      </c>
      <c r="F295">
        <v>4</v>
      </c>
      <c r="G295">
        <v>4</v>
      </c>
      <c r="H295" t="s">
        <v>57</v>
      </c>
      <c r="I295">
        <v>1</v>
      </c>
      <c r="J295">
        <v>401</v>
      </c>
      <c r="K295">
        <v>4</v>
      </c>
      <c r="L295" t="s">
        <v>44</v>
      </c>
      <c r="M295">
        <v>48</v>
      </c>
      <c r="N295">
        <v>2</v>
      </c>
      <c r="O295">
        <v>2</v>
      </c>
      <c r="P295" t="s">
        <v>39</v>
      </c>
      <c r="Q295">
        <v>4</v>
      </c>
      <c r="R295" t="s">
        <v>40</v>
      </c>
      <c r="S295">
        <v>5828</v>
      </c>
      <c r="T295">
        <v>8450</v>
      </c>
      <c r="U295">
        <v>1</v>
      </c>
      <c r="V295" t="s">
        <v>41</v>
      </c>
      <c r="W295" t="s">
        <v>35</v>
      </c>
      <c r="X295">
        <v>12</v>
      </c>
      <c r="Y295">
        <v>3</v>
      </c>
      <c r="Z295">
        <v>2</v>
      </c>
      <c r="AA295">
        <v>80</v>
      </c>
      <c r="AB295">
        <v>0</v>
      </c>
      <c r="AC295">
        <v>8</v>
      </c>
      <c r="AD295">
        <v>0</v>
      </c>
      <c r="AE295">
        <v>3</v>
      </c>
      <c r="AF295">
        <v>8</v>
      </c>
      <c r="AG295">
        <v>7</v>
      </c>
      <c r="AH295">
        <v>7</v>
      </c>
      <c r="AI295">
        <v>4</v>
      </c>
      <c r="AJ295">
        <f t="shared" si="4"/>
        <v>1</v>
      </c>
      <c r="AK295" t="str" cm="1">
        <f t="array" ref="AK295">_xlfn.IFS(A295&lt;=30,"18-30",A295&lt;=45,"31-45",A295&lt;=60,"46-60",TRUE, "60+")</f>
        <v>18-30</v>
      </c>
      <c r="AL295" t="str" cm="1">
        <f t="array" ref="AL295">_xlfn.IFS(F295&lt;=10,"0-10",F295&lt;=20,"11-20",TRUE,"20+")</f>
        <v>0-10</v>
      </c>
      <c r="AM295" t="str" cm="1">
        <f t="array" ref="AM295">_xlfn.IFS(S295&lt;=5000,"0-5k",S295&lt;=10000,"5k-10k",S295&lt;=15000,"10k-15k",TRUE,"15k+")</f>
        <v>5k-10k</v>
      </c>
      <c r="AN295" t="str" cm="1">
        <f t="array" ref="AN295">_xlfn.IFS(AF295&lt;=10,"0-10",AF295&lt;=20,"10-20",AF295&lt;=30,"20-30",TRUE,"30+")</f>
        <v>0-10</v>
      </c>
      <c r="AO295" t="str" cm="1">
        <f t="array" ref="AO295">_xlfn.IFS(Y295=1,"Poor",Y295=2,"Average",Y295=3,"Good",TRUE,"Excellent")</f>
        <v>Good</v>
      </c>
      <c r="AP295" t="str" cm="1">
        <f t="array" ref="AP295">_xlfn.IFS(Q295=1,"Low",Q295=2,"Medium",Q295=3,"High",TRUE,"Very High")</f>
        <v>Very High</v>
      </c>
    </row>
    <row r="296" spans="1:42" x14ac:dyDescent="0.25">
      <c r="A296">
        <v>37</v>
      </c>
      <c r="B296" t="s">
        <v>42</v>
      </c>
      <c r="C296" t="s">
        <v>91</v>
      </c>
      <c r="D296">
        <v>889</v>
      </c>
      <c r="E296" t="s">
        <v>43</v>
      </c>
      <c r="F296">
        <v>9</v>
      </c>
      <c r="G296">
        <v>3</v>
      </c>
      <c r="H296" t="s">
        <v>49</v>
      </c>
      <c r="I296">
        <v>1</v>
      </c>
      <c r="J296">
        <v>403</v>
      </c>
      <c r="K296">
        <v>2</v>
      </c>
      <c r="L296" t="s">
        <v>44</v>
      </c>
      <c r="M296">
        <v>53</v>
      </c>
      <c r="N296">
        <v>3</v>
      </c>
      <c r="O296">
        <v>1</v>
      </c>
      <c r="P296" t="s">
        <v>45</v>
      </c>
      <c r="Q296">
        <v>4</v>
      </c>
      <c r="R296" t="s">
        <v>46</v>
      </c>
      <c r="S296">
        <v>2326</v>
      </c>
      <c r="T296">
        <v>11411</v>
      </c>
      <c r="U296">
        <v>1</v>
      </c>
      <c r="V296" t="s">
        <v>41</v>
      </c>
      <c r="W296" t="s">
        <v>35</v>
      </c>
      <c r="X296">
        <v>12</v>
      </c>
      <c r="Y296">
        <v>3</v>
      </c>
      <c r="Z296">
        <v>3</v>
      </c>
      <c r="AA296">
        <v>80</v>
      </c>
      <c r="AB296">
        <v>3</v>
      </c>
      <c r="AC296">
        <v>4</v>
      </c>
      <c r="AD296">
        <v>3</v>
      </c>
      <c r="AE296">
        <v>2</v>
      </c>
      <c r="AF296">
        <v>4</v>
      </c>
      <c r="AG296">
        <v>2</v>
      </c>
      <c r="AH296">
        <v>1</v>
      </c>
      <c r="AI296">
        <v>2</v>
      </c>
      <c r="AJ296">
        <f t="shared" si="4"/>
        <v>0</v>
      </c>
      <c r="AK296" t="str" cm="1">
        <f t="array" ref="AK296">_xlfn.IFS(A296&lt;=30,"18-30",A296&lt;=45,"31-45",A296&lt;=60,"46-60",TRUE, "60+")</f>
        <v>31-45</v>
      </c>
      <c r="AL296" t="str" cm="1">
        <f t="array" ref="AL296">_xlfn.IFS(F296&lt;=10,"0-10",F296&lt;=20,"11-20",TRUE,"20+")</f>
        <v>0-10</v>
      </c>
      <c r="AM296" t="str" cm="1">
        <f t="array" ref="AM296">_xlfn.IFS(S296&lt;=5000,"0-5k",S296&lt;=10000,"5k-10k",S296&lt;=15000,"10k-15k",TRUE,"15k+")</f>
        <v>0-5k</v>
      </c>
      <c r="AN296" t="str" cm="1">
        <f t="array" ref="AN296">_xlfn.IFS(AF296&lt;=10,"0-10",AF296&lt;=20,"10-20",AF296&lt;=30,"20-30",TRUE,"30+")</f>
        <v>0-10</v>
      </c>
      <c r="AO296" t="str" cm="1">
        <f t="array" ref="AO296">_xlfn.IFS(Y296=1,"Poor",Y296=2,"Average",Y296=3,"Good",TRUE,"Excellent")</f>
        <v>Good</v>
      </c>
      <c r="AP296" t="str" cm="1">
        <f t="array" ref="AP296">_xlfn.IFS(Q296=1,"Low",Q296=2,"Medium",Q296=3,"High",TRUE,"Very High")</f>
        <v>Very High</v>
      </c>
    </row>
    <row r="297" spans="1:42" x14ac:dyDescent="0.25">
      <c r="A297">
        <v>42</v>
      </c>
      <c r="B297" t="s">
        <v>42</v>
      </c>
      <c r="C297" t="s">
        <v>91</v>
      </c>
      <c r="D297">
        <v>555</v>
      </c>
      <c r="E297" t="s">
        <v>36</v>
      </c>
      <c r="F297">
        <v>26</v>
      </c>
      <c r="G297">
        <v>3</v>
      </c>
      <c r="H297" t="s">
        <v>57</v>
      </c>
      <c r="I297">
        <v>1</v>
      </c>
      <c r="J297">
        <v>404</v>
      </c>
      <c r="K297">
        <v>3</v>
      </c>
      <c r="L297" t="s">
        <v>38</v>
      </c>
      <c r="M297">
        <v>77</v>
      </c>
      <c r="N297">
        <v>3</v>
      </c>
      <c r="O297">
        <v>4</v>
      </c>
      <c r="P297" t="s">
        <v>39</v>
      </c>
      <c r="Q297">
        <v>2</v>
      </c>
      <c r="R297" t="s">
        <v>46</v>
      </c>
      <c r="S297">
        <v>13525</v>
      </c>
      <c r="T297">
        <v>14864</v>
      </c>
      <c r="U297">
        <v>5</v>
      </c>
      <c r="V297" t="s">
        <v>41</v>
      </c>
      <c r="W297" t="s">
        <v>42</v>
      </c>
      <c r="X297">
        <v>14</v>
      </c>
      <c r="Y297">
        <v>3</v>
      </c>
      <c r="Z297">
        <v>4</v>
      </c>
      <c r="AA297">
        <v>80</v>
      </c>
      <c r="AB297">
        <v>1</v>
      </c>
      <c r="AC297">
        <v>23</v>
      </c>
      <c r="AD297">
        <v>2</v>
      </c>
      <c r="AE297">
        <v>4</v>
      </c>
      <c r="AF297">
        <v>20</v>
      </c>
      <c r="AG297">
        <v>4</v>
      </c>
      <c r="AH297">
        <v>4</v>
      </c>
      <c r="AI297">
        <v>8</v>
      </c>
      <c r="AJ297">
        <f t="shared" si="4"/>
        <v>0</v>
      </c>
      <c r="AK297" t="str" cm="1">
        <f t="array" ref="AK297">_xlfn.IFS(A297&lt;=30,"18-30",A297&lt;=45,"31-45",A297&lt;=60,"46-60",TRUE, "60+")</f>
        <v>31-45</v>
      </c>
      <c r="AL297" t="str" cm="1">
        <f t="array" ref="AL297">_xlfn.IFS(F297&lt;=10,"0-10",F297&lt;=20,"11-20",TRUE,"20+")</f>
        <v>20+</v>
      </c>
      <c r="AM297" t="str" cm="1">
        <f t="array" ref="AM297">_xlfn.IFS(S297&lt;=5000,"0-5k",S297&lt;=10000,"5k-10k",S297&lt;=15000,"10k-15k",TRUE,"15k+")</f>
        <v>10k-15k</v>
      </c>
      <c r="AN297" t="str" cm="1">
        <f t="array" ref="AN297">_xlfn.IFS(AF297&lt;=10,"0-10",AF297&lt;=20,"10-20",AF297&lt;=30,"20-30",TRUE,"30+")</f>
        <v>10-20</v>
      </c>
      <c r="AO297" t="str" cm="1">
        <f t="array" ref="AO297">_xlfn.IFS(Y297=1,"Poor",Y297=2,"Average",Y297=3,"Good",TRUE,"Excellent")</f>
        <v>Good</v>
      </c>
      <c r="AP297" t="str" cm="1">
        <f t="array" ref="AP297">_xlfn.IFS(Q297=1,"Low",Q297=2,"Medium",Q297=3,"High",TRUE,"Very High")</f>
        <v>Medium</v>
      </c>
    </row>
    <row r="298" spans="1:42" x14ac:dyDescent="0.25">
      <c r="A298">
        <v>18</v>
      </c>
      <c r="B298" t="s">
        <v>35</v>
      </c>
      <c r="C298" t="s">
        <v>90</v>
      </c>
      <c r="D298">
        <v>230</v>
      </c>
      <c r="E298" t="s">
        <v>43</v>
      </c>
      <c r="F298">
        <v>3</v>
      </c>
      <c r="G298">
        <v>3</v>
      </c>
      <c r="H298" t="s">
        <v>37</v>
      </c>
      <c r="I298">
        <v>1</v>
      </c>
      <c r="J298">
        <v>405</v>
      </c>
      <c r="K298">
        <v>3</v>
      </c>
      <c r="L298" t="s">
        <v>44</v>
      </c>
      <c r="M298">
        <v>54</v>
      </c>
      <c r="N298">
        <v>3</v>
      </c>
      <c r="O298">
        <v>1</v>
      </c>
      <c r="P298" t="s">
        <v>48</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c r="AJ298">
        <f t="shared" si="4"/>
        <v>1</v>
      </c>
      <c r="AK298" t="str" cm="1">
        <f t="array" ref="AK298">_xlfn.IFS(A298&lt;=30,"18-30",A298&lt;=45,"31-45",A298&lt;=60,"46-60",TRUE, "60+")</f>
        <v>18-30</v>
      </c>
      <c r="AL298" t="str" cm="1">
        <f t="array" ref="AL298">_xlfn.IFS(F298&lt;=10,"0-10",F298&lt;=20,"11-20",TRUE,"20+")</f>
        <v>0-10</v>
      </c>
      <c r="AM298" t="str" cm="1">
        <f t="array" ref="AM298">_xlfn.IFS(S298&lt;=5000,"0-5k",S298&lt;=10000,"5k-10k",S298&lt;=15000,"10k-15k",TRUE,"15k+")</f>
        <v>0-5k</v>
      </c>
      <c r="AN298" t="str" cm="1">
        <f t="array" ref="AN298">_xlfn.IFS(AF298&lt;=10,"0-10",AF298&lt;=20,"10-20",AF298&lt;=30,"20-30",TRUE,"30+")</f>
        <v>0-10</v>
      </c>
      <c r="AO298" t="str" cm="1">
        <f t="array" ref="AO298">_xlfn.IFS(Y298=1,"Poor",Y298=2,"Average",Y298=3,"Good",TRUE,"Excellent")</f>
        <v>Good</v>
      </c>
      <c r="AP298" t="str" cm="1">
        <f t="array" ref="AP298">_xlfn.IFS(Q298=1,"Low",Q298=2,"Medium",Q298=3,"High",TRUE,"Very High")</f>
        <v>High</v>
      </c>
    </row>
    <row r="299" spans="1:42" x14ac:dyDescent="0.25">
      <c r="A299">
        <v>35</v>
      </c>
      <c r="B299" t="s">
        <v>42</v>
      </c>
      <c r="C299" t="s">
        <v>90</v>
      </c>
      <c r="D299">
        <v>1232</v>
      </c>
      <c r="E299" t="s">
        <v>36</v>
      </c>
      <c r="F299">
        <v>16</v>
      </c>
      <c r="G299">
        <v>3</v>
      </c>
      <c r="H299" t="s">
        <v>57</v>
      </c>
      <c r="I299">
        <v>1</v>
      </c>
      <c r="J299">
        <v>406</v>
      </c>
      <c r="K299">
        <v>3</v>
      </c>
      <c r="L299" t="s">
        <v>44</v>
      </c>
      <c r="M299">
        <v>96</v>
      </c>
      <c r="N299">
        <v>3</v>
      </c>
      <c r="O299">
        <v>3</v>
      </c>
      <c r="P299" t="s">
        <v>39</v>
      </c>
      <c r="Q299">
        <v>2</v>
      </c>
      <c r="R299" t="s">
        <v>46</v>
      </c>
      <c r="S299">
        <v>8020</v>
      </c>
      <c r="T299">
        <v>5100</v>
      </c>
      <c r="U299">
        <v>0</v>
      </c>
      <c r="V299" t="s">
        <v>41</v>
      </c>
      <c r="W299" t="s">
        <v>42</v>
      </c>
      <c r="X299">
        <v>15</v>
      </c>
      <c r="Y299">
        <v>3</v>
      </c>
      <c r="Z299">
        <v>3</v>
      </c>
      <c r="AA299">
        <v>80</v>
      </c>
      <c r="AB299">
        <v>2</v>
      </c>
      <c r="AC299">
        <v>12</v>
      </c>
      <c r="AD299">
        <v>3</v>
      </c>
      <c r="AE299">
        <v>2</v>
      </c>
      <c r="AF299">
        <v>11</v>
      </c>
      <c r="AG299">
        <v>9</v>
      </c>
      <c r="AH299">
        <v>6</v>
      </c>
      <c r="AI299">
        <v>9</v>
      </c>
      <c r="AJ299">
        <f t="shared" si="4"/>
        <v>0</v>
      </c>
      <c r="AK299" t="str" cm="1">
        <f t="array" ref="AK299">_xlfn.IFS(A299&lt;=30,"18-30",A299&lt;=45,"31-45",A299&lt;=60,"46-60",TRUE, "60+")</f>
        <v>31-45</v>
      </c>
      <c r="AL299" t="str" cm="1">
        <f t="array" ref="AL299">_xlfn.IFS(F299&lt;=10,"0-10",F299&lt;=20,"11-20",TRUE,"20+")</f>
        <v>11-20</v>
      </c>
      <c r="AM299" t="str" cm="1">
        <f t="array" ref="AM299">_xlfn.IFS(S299&lt;=5000,"0-5k",S299&lt;=10000,"5k-10k",S299&lt;=15000,"10k-15k",TRUE,"15k+")</f>
        <v>5k-10k</v>
      </c>
      <c r="AN299" t="str" cm="1">
        <f t="array" ref="AN299">_xlfn.IFS(AF299&lt;=10,"0-10",AF299&lt;=20,"10-20",AF299&lt;=30,"20-30",TRUE,"30+")</f>
        <v>10-20</v>
      </c>
      <c r="AO299" t="str" cm="1">
        <f t="array" ref="AO299">_xlfn.IFS(Y299=1,"Poor",Y299=2,"Average",Y299=3,"Good",TRUE,"Excellent")</f>
        <v>Good</v>
      </c>
      <c r="AP299" t="str" cm="1">
        <f t="array" ref="AP299">_xlfn.IFS(Q299=1,"Low",Q299=2,"Medium",Q299=3,"High",TRUE,"Very High")</f>
        <v>Medium</v>
      </c>
    </row>
    <row r="300" spans="1:42" x14ac:dyDescent="0.25">
      <c r="A300">
        <v>36</v>
      </c>
      <c r="B300" t="s">
        <v>42</v>
      </c>
      <c r="C300" t="s">
        <v>91</v>
      </c>
      <c r="D300">
        <v>566</v>
      </c>
      <c r="E300" t="s">
        <v>43</v>
      </c>
      <c r="F300">
        <v>18</v>
      </c>
      <c r="G300">
        <v>4</v>
      </c>
      <c r="H300" t="s">
        <v>37</v>
      </c>
      <c r="I300">
        <v>1</v>
      </c>
      <c r="J300">
        <v>407</v>
      </c>
      <c r="K300">
        <v>3</v>
      </c>
      <c r="L300" t="s">
        <v>44</v>
      </c>
      <c r="M300">
        <v>81</v>
      </c>
      <c r="N300">
        <v>4</v>
      </c>
      <c r="O300">
        <v>1</v>
      </c>
      <c r="P300" t="s">
        <v>48</v>
      </c>
      <c r="Q300">
        <v>4</v>
      </c>
      <c r="R300" t="s">
        <v>46</v>
      </c>
      <c r="S300">
        <v>3688</v>
      </c>
      <c r="T300">
        <v>7122</v>
      </c>
      <c r="U300">
        <v>4</v>
      </c>
      <c r="V300" t="s">
        <v>41</v>
      </c>
      <c r="W300" t="s">
        <v>42</v>
      </c>
      <c r="X300">
        <v>18</v>
      </c>
      <c r="Y300">
        <v>3</v>
      </c>
      <c r="Z300">
        <v>4</v>
      </c>
      <c r="AA300">
        <v>80</v>
      </c>
      <c r="AB300">
        <v>2</v>
      </c>
      <c r="AC300">
        <v>4</v>
      </c>
      <c r="AD300">
        <v>2</v>
      </c>
      <c r="AE300">
        <v>3</v>
      </c>
      <c r="AF300">
        <v>1</v>
      </c>
      <c r="AG300">
        <v>0</v>
      </c>
      <c r="AH300">
        <v>0</v>
      </c>
      <c r="AI300">
        <v>0</v>
      </c>
      <c r="AJ300">
        <f t="shared" si="4"/>
        <v>0</v>
      </c>
      <c r="AK300" t="str" cm="1">
        <f t="array" ref="AK300">_xlfn.IFS(A300&lt;=30,"18-30",A300&lt;=45,"31-45",A300&lt;=60,"46-60",TRUE, "60+")</f>
        <v>31-45</v>
      </c>
      <c r="AL300" t="str" cm="1">
        <f t="array" ref="AL300">_xlfn.IFS(F300&lt;=10,"0-10",F300&lt;=20,"11-20",TRUE,"20+")</f>
        <v>11-20</v>
      </c>
      <c r="AM300" t="str" cm="1">
        <f t="array" ref="AM300">_xlfn.IFS(S300&lt;=5000,"0-5k",S300&lt;=10000,"5k-10k",S300&lt;=15000,"10k-15k",TRUE,"15k+")</f>
        <v>0-5k</v>
      </c>
      <c r="AN300" t="str" cm="1">
        <f t="array" ref="AN300">_xlfn.IFS(AF300&lt;=10,"0-10",AF300&lt;=20,"10-20",AF300&lt;=30,"20-30",TRUE,"30+")</f>
        <v>0-10</v>
      </c>
      <c r="AO300" t="str" cm="1">
        <f t="array" ref="AO300">_xlfn.IFS(Y300=1,"Poor",Y300=2,"Average",Y300=3,"Good",TRUE,"Excellent")</f>
        <v>Good</v>
      </c>
      <c r="AP300" t="str" cm="1">
        <f t="array" ref="AP300">_xlfn.IFS(Q300=1,"Low",Q300=2,"Medium",Q300=3,"High",TRUE,"Very High")</f>
        <v>Very High</v>
      </c>
    </row>
    <row r="301" spans="1:42" x14ac:dyDescent="0.25">
      <c r="A301">
        <v>51</v>
      </c>
      <c r="B301" t="s">
        <v>42</v>
      </c>
      <c r="C301" t="s">
        <v>90</v>
      </c>
      <c r="D301">
        <v>1302</v>
      </c>
      <c r="E301" t="s">
        <v>43</v>
      </c>
      <c r="F301">
        <v>2</v>
      </c>
      <c r="G301">
        <v>3</v>
      </c>
      <c r="H301" t="s">
        <v>49</v>
      </c>
      <c r="I301">
        <v>1</v>
      </c>
      <c r="J301">
        <v>408</v>
      </c>
      <c r="K301">
        <v>4</v>
      </c>
      <c r="L301" t="s">
        <v>44</v>
      </c>
      <c r="M301">
        <v>84</v>
      </c>
      <c r="N301">
        <v>1</v>
      </c>
      <c r="O301">
        <v>2</v>
      </c>
      <c r="P301" t="s">
        <v>51</v>
      </c>
      <c r="Q301">
        <v>2</v>
      </c>
      <c r="R301" t="s">
        <v>50</v>
      </c>
      <c r="S301">
        <v>5482</v>
      </c>
      <c r="T301">
        <v>16321</v>
      </c>
      <c r="U301">
        <v>5</v>
      </c>
      <c r="V301" t="s">
        <v>41</v>
      </c>
      <c r="W301" t="s">
        <v>42</v>
      </c>
      <c r="X301">
        <v>18</v>
      </c>
      <c r="Y301">
        <v>3</v>
      </c>
      <c r="Z301">
        <v>4</v>
      </c>
      <c r="AA301">
        <v>80</v>
      </c>
      <c r="AB301">
        <v>1</v>
      </c>
      <c r="AC301">
        <v>13</v>
      </c>
      <c r="AD301">
        <v>3</v>
      </c>
      <c r="AE301">
        <v>3</v>
      </c>
      <c r="AF301">
        <v>4</v>
      </c>
      <c r="AG301">
        <v>1</v>
      </c>
      <c r="AH301">
        <v>1</v>
      </c>
      <c r="AI301">
        <v>2</v>
      </c>
      <c r="AJ301">
        <f t="shared" si="4"/>
        <v>0</v>
      </c>
      <c r="AK301" t="str" cm="1">
        <f t="array" ref="AK301">_xlfn.IFS(A301&lt;=30,"18-30",A301&lt;=45,"31-45",A301&lt;=60,"46-60",TRUE, "60+")</f>
        <v>46-60</v>
      </c>
      <c r="AL301" t="str" cm="1">
        <f t="array" ref="AL301">_xlfn.IFS(F301&lt;=10,"0-10",F301&lt;=20,"11-20",TRUE,"20+")</f>
        <v>0-10</v>
      </c>
      <c r="AM301" t="str" cm="1">
        <f t="array" ref="AM301">_xlfn.IFS(S301&lt;=5000,"0-5k",S301&lt;=10000,"5k-10k",S301&lt;=15000,"10k-15k",TRUE,"15k+")</f>
        <v>5k-10k</v>
      </c>
      <c r="AN301" t="str" cm="1">
        <f t="array" ref="AN301">_xlfn.IFS(AF301&lt;=10,"0-10",AF301&lt;=20,"10-20",AF301&lt;=30,"20-30",TRUE,"30+")</f>
        <v>0-10</v>
      </c>
      <c r="AO301" t="str" cm="1">
        <f t="array" ref="AO301">_xlfn.IFS(Y301=1,"Poor",Y301=2,"Average",Y301=3,"Good",TRUE,"Excellent")</f>
        <v>Good</v>
      </c>
      <c r="AP301" t="str" cm="1">
        <f t="array" ref="AP301">_xlfn.IFS(Q301=1,"Low",Q301=2,"Medium",Q301=3,"High",TRUE,"Very High")</f>
        <v>Medium</v>
      </c>
    </row>
    <row r="302" spans="1:42" x14ac:dyDescent="0.25">
      <c r="A302">
        <v>41</v>
      </c>
      <c r="B302" t="s">
        <v>42</v>
      </c>
      <c r="C302" t="s">
        <v>90</v>
      </c>
      <c r="D302">
        <v>334</v>
      </c>
      <c r="E302" t="s">
        <v>36</v>
      </c>
      <c r="F302">
        <v>2</v>
      </c>
      <c r="G302">
        <v>4</v>
      </c>
      <c r="H302" t="s">
        <v>37</v>
      </c>
      <c r="I302">
        <v>1</v>
      </c>
      <c r="J302">
        <v>410</v>
      </c>
      <c r="K302">
        <v>4</v>
      </c>
      <c r="L302" t="s">
        <v>44</v>
      </c>
      <c r="M302">
        <v>88</v>
      </c>
      <c r="N302">
        <v>3</v>
      </c>
      <c r="O302">
        <v>4</v>
      </c>
      <c r="P302" t="s">
        <v>54</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c r="AJ302">
        <f t="shared" si="4"/>
        <v>0</v>
      </c>
      <c r="AK302" t="str" cm="1">
        <f t="array" ref="AK302">_xlfn.IFS(A302&lt;=30,"18-30",A302&lt;=45,"31-45",A302&lt;=60,"46-60",TRUE, "60+")</f>
        <v>31-45</v>
      </c>
      <c r="AL302" t="str" cm="1">
        <f t="array" ref="AL302">_xlfn.IFS(F302&lt;=10,"0-10",F302&lt;=20,"11-20",TRUE,"20+")</f>
        <v>0-10</v>
      </c>
      <c r="AM302" t="str" cm="1">
        <f t="array" ref="AM302">_xlfn.IFS(S302&lt;=5000,"0-5k",S302&lt;=10000,"5k-10k",S302&lt;=15000,"10k-15k",TRUE,"15k+")</f>
        <v>15k+</v>
      </c>
      <c r="AN302" t="str" cm="1">
        <f t="array" ref="AN302">_xlfn.IFS(AF302&lt;=10,"0-10",AF302&lt;=20,"10-20",AF302&lt;=30,"20-30",TRUE,"30+")</f>
        <v>20-30</v>
      </c>
      <c r="AO302" t="str" cm="1">
        <f t="array" ref="AO302">_xlfn.IFS(Y302=1,"Poor",Y302=2,"Average",Y302=3,"Good",TRUE,"Excellent")</f>
        <v>Good</v>
      </c>
      <c r="AP302" t="str" cm="1">
        <f t="array" ref="AP302">_xlfn.IFS(Q302=1,"Low",Q302=2,"Medium",Q302=3,"High",TRUE,"Very High")</f>
        <v>Medium</v>
      </c>
    </row>
    <row r="303" spans="1:42" x14ac:dyDescent="0.25">
      <c r="A303">
        <v>18</v>
      </c>
      <c r="B303" t="s">
        <v>42</v>
      </c>
      <c r="C303" t="s">
        <v>90</v>
      </c>
      <c r="D303">
        <v>812</v>
      </c>
      <c r="E303" t="s">
        <v>36</v>
      </c>
      <c r="F303">
        <v>10</v>
      </c>
      <c r="G303">
        <v>3</v>
      </c>
      <c r="H303" t="s">
        <v>49</v>
      </c>
      <c r="I303">
        <v>1</v>
      </c>
      <c r="J303">
        <v>411</v>
      </c>
      <c r="K303">
        <v>4</v>
      </c>
      <c r="L303" t="s">
        <v>38</v>
      </c>
      <c r="M303">
        <v>69</v>
      </c>
      <c r="N303">
        <v>2</v>
      </c>
      <c r="O303">
        <v>1</v>
      </c>
      <c r="P303" t="s">
        <v>55</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c r="AJ303">
        <f t="shared" si="4"/>
        <v>0</v>
      </c>
      <c r="AK303" t="str" cm="1">
        <f t="array" ref="AK303">_xlfn.IFS(A303&lt;=30,"18-30",A303&lt;=45,"31-45",A303&lt;=60,"46-60",TRUE, "60+")</f>
        <v>18-30</v>
      </c>
      <c r="AL303" t="str" cm="1">
        <f t="array" ref="AL303">_xlfn.IFS(F303&lt;=10,"0-10",F303&lt;=20,"11-20",TRUE,"20+")</f>
        <v>0-10</v>
      </c>
      <c r="AM303" t="str" cm="1">
        <f t="array" ref="AM303">_xlfn.IFS(S303&lt;=5000,"0-5k",S303&lt;=10000,"5k-10k",S303&lt;=15000,"10k-15k",TRUE,"15k+")</f>
        <v>0-5k</v>
      </c>
      <c r="AN303" t="str" cm="1">
        <f t="array" ref="AN303">_xlfn.IFS(AF303&lt;=10,"0-10",AF303&lt;=20,"10-20",AF303&lt;=30,"20-30",TRUE,"30+")</f>
        <v>0-10</v>
      </c>
      <c r="AO303" t="str" cm="1">
        <f t="array" ref="AO303">_xlfn.IFS(Y303=1,"Poor",Y303=2,"Average",Y303=3,"Good",TRUE,"Excellent")</f>
        <v>Good</v>
      </c>
      <c r="AP303" t="str" cm="1">
        <f t="array" ref="AP303">_xlfn.IFS(Q303=1,"Low",Q303=2,"Medium",Q303=3,"High",TRUE,"Very High")</f>
        <v>High</v>
      </c>
    </row>
    <row r="304" spans="1:42" x14ac:dyDescent="0.25">
      <c r="A304">
        <v>28</v>
      </c>
      <c r="B304" t="s">
        <v>42</v>
      </c>
      <c r="C304" t="s">
        <v>90</v>
      </c>
      <c r="D304">
        <v>1476</v>
      </c>
      <c r="E304" t="s">
        <v>43</v>
      </c>
      <c r="F304">
        <v>16</v>
      </c>
      <c r="G304">
        <v>2</v>
      </c>
      <c r="H304" t="s">
        <v>49</v>
      </c>
      <c r="I304">
        <v>1</v>
      </c>
      <c r="J304">
        <v>412</v>
      </c>
      <c r="K304">
        <v>2</v>
      </c>
      <c r="L304" t="s">
        <v>44</v>
      </c>
      <c r="M304">
        <v>68</v>
      </c>
      <c r="N304">
        <v>4</v>
      </c>
      <c r="O304">
        <v>2</v>
      </c>
      <c r="P304" t="s">
        <v>52</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c r="AJ304">
        <f t="shared" si="4"/>
        <v>0</v>
      </c>
      <c r="AK304" t="str" cm="1">
        <f t="array" ref="AK304">_xlfn.IFS(A304&lt;=30,"18-30",A304&lt;=45,"31-45",A304&lt;=60,"46-60",TRUE, "60+")</f>
        <v>18-30</v>
      </c>
      <c r="AL304" t="str" cm="1">
        <f t="array" ref="AL304">_xlfn.IFS(F304&lt;=10,"0-10",F304&lt;=20,"11-20",TRUE,"20+")</f>
        <v>11-20</v>
      </c>
      <c r="AM304" t="str" cm="1">
        <f t="array" ref="AM304">_xlfn.IFS(S304&lt;=5000,"0-5k",S304&lt;=10000,"5k-10k",S304&lt;=15000,"10k-15k",TRUE,"15k+")</f>
        <v>5k-10k</v>
      </c>
      <c r="AN304" t="str" cm="1">
        <f t="array" ref="AN304">_xlfn.IFS(AF304&lt;=10,"0-10",AF304&lt;=20,"10-20",AF304&lt;=30,"20-30",TRUE,"30+")</f>
        <v>0-10</v>
      </c>
      <c r="AO304" t="str" cm="1">
        <f t="array" ref="AO304">_xlfn.IFS(Y304=1,"Poor",Y304=2,"Average",Y304=3,"Good",TRUE,"Excellent")</f>
        <v>Good</v>
      </c>
      <c r="AP304" t="str" cm="1">
        <f t="array" ref="AP304">_xlfn.IFS(Q304=1,"Low",Q304=2,"Medium",Q304=3,"High",TRUE,"Very High")</f>
        <v>Low</v>
      </c>
    </row>
    <row r="305" spans="1:42" x14ac:dyDescent="0.25">
      <c r="A305">
        <v>31</v>
      </c>
      <c r="B305" t="s">
        <v>42</v>
      </c>
      <c r="C305" t="s">
        <v>90</v>
      </c>
      <c r="D305">
        <v>218</v>
      </c>
      <c r="E305" t="s">
        <v>36</v>
      </c>
      <c r="F305">
        <v>7</v>
      </c>
      <c r="G305">
        <v>3</v>
      </c>
      <c r="H305" t="s">
        <v>58</v>
      </c>
      <c r="I305">
        <v>1</v>
      </c>
      <c r="J305">
        <v>416</v>
      </c>
      <c r="K305">
        <v>2</v>
      </c>
      <c r="L305" t="s">
        <v>44</v>
      </c>
      <c r="M305">
        <v>100</v>
      </c>
      <c r="N305">
        <v>4</v>
      </c>
      <c r="O305">
        <v>2</v>
      </c>
      <c r="P305" t="s">
        <v>39</v>
      </c>
      <c r="Q305">
        <v>4</v>
      </c>
      <c r="R305" t="s">
        <v>46</v>
      </c>
      <c r="S305">
        <v>6929</v>
      </c>
      <c r="T305">
        <v>12241</v>
      </c>
      <c r="U305">
        <v>4</v>
      </c>
      <c r="V305" t="s">
        <v>41</v>
      </c>
      <c r="W305" t="s">
        <v>42</v>
      </c>
      <c r="X305">
        <v>11</v>
      </c>
      <c r="Y305">
        <v>3</v>
      </c>
      <c r="Z305">
        <v>2</v>
      </c>
      <c r="AA305">
        <v>80</v>
      </c>
      <c r="AB305">
        <v>1</v>
      </c>
      <c r="AC305">
        <v>10</v>
      </c>
      <c r="AD305">
        <v>3</v>
      </c>
      <c r="AE305">
        <v>2</v>
      </c>
      <c r="AF305">
        <v>8</v>
      </c>
      <c r="AG305">
        <v>7</v>
      </c>
      <c r="AH305">
        <v>7</v>
      </c>
      <c r="AI305">
        <v>7</v>
      </c>
      <c r="AJ305">
        <f t="shared" si="4"/>
        <v>0</v>
      </c>
      <c r="AK305" t="str" cm="1">
        <f t="array" ref="AK305">_xlfn.IFS(A305&lt;=30,"18-30",A305&lt;=45,"31-45",A305&lt;=60,"46-60",TRUE, "60+")</f>
        <v>31-45</v>
      </c>
      <c r="AL305" t="str" cm="1">
        <f t="array" ref="AL305">_xlfn.IFS(F305&lt;=10,"0-10",F305&lt;=20,"11-20",TRUE,"20+")</f>
        <v>0-10</v>
      </c>
      <c r="AM305" t="str" cm="1">
        <f t="array" ref="AM305">_xlfn.IFS(S305&lt;=5000,"0-5k",S305&lt;=10000,"5k-10k",S305&lt;=15000,"10k-15k",TRUE,"15k+")</f>
        <v>5k-10k</v>
      </c>
      <c r="AN305" t="str" cm="1">
        <f t="array" ref="AN305">_xlfn.IFS(AF305&lt;=10,"0-10",AF305&lt;=20,"10-20",AF305&lt;=30,"20-30",TRUE,"30+")</f>
        <v>0-10</v>
      </c>
      <c r="AO305" t="str" cm="1">
        <f t="array" ref="AO305">_xlfn.IFS(Y305=1,"Poor",Y305=2,"Average",Y305=3,"Good",TRUE,"Excellent")</f>
        <v>Good</v>
      </c>
      <c r="AP305" t="str" cm="1">
        <f t="array" ref="AP305">_xlfn.IFS(Q305=1,"Low",Q305=2,"Medium",Q305=3,"High",TRUE,"Very High")</f>
        <v>Very High</v>
      </c>
    </row>
    <row r="306" spans="1:42" x14ac:dyDescent="0.25">
      <c r="A306">
        <v>39</v>
      </c>
      <c r="B306" t="s">
        <v>42</v>
      </c>
      <c r="C306" t="s">
        <v>90</v>
      </c>
      <c r="D306">
        <v>1132</v>
      </c>
      <c r="E306" t="s">
        <v>43</v>
      </c>
      <c r="F306">
        <v>1</v>
      </c>
      <c r="G306">
        <v>3</v>
      </c>
      <c r="H306" t="s">
        <v>49</v>
      </c>
      <c r="I306">
        <v>1</v>
      </c>
      <c r="J306">
        <v>417</v>
      </c>
      <c r="K306">
        <v>3</v>
      </c>
      <c r="L306" t="s">
        <v>44</v>
      </c>
      <c r="M306">
        <v>48</v>
      </c>
      <c r="N306">
        <v>4</v>
      </c>
      <c r="O306">
        <v>3</v>
      </c>
      <c r="P306" t="s">
        <v>52</v>
      </c>
      <c r="Q306">
        <v>4</v>
      </c>
      <c r="R306" t="s">
        <v>50</v>
      </c>
      <c r="S306">
        <v>9613</v>
      </c>
      <c r="T306">
        <v>10942</v>
      </c>
      <c r="U306">
        <v>0</v>
      </c>
      <c r="V306" t="s">
        <v>41</v>
      </c>
      <c r="W306" t="s">
        <v>42</v>
      </c>
      <c r="X306">
        <v>17</v>
      </c>
      <c r="Y306">
        <v>3</v>
      </c>
      <c r="Z306">
        <v>1</v>
      </c>
      <c r="AA306">
        <v>80</v>
      </c>
      <c r="AB306">
        <v>3</v>
      </c>
      <c r="AC306">
        <v>19</v>
      </c>
      <c r="AD306">
        <v>5</v>
      </c>
      <c r="AE306">
        <v>2</v>
      </c>
      <c r="AF306">
        <v>18</v>
      </c>
      <c r="AG306">
        <v>10</v>
      </c>
      <c r="AH306">
        <v>3</v>
      </c>
      <c r="AI306">
        <v>7</v>
      </c>
      <c r="AJ306">
        <f t="shared" si="4"/>
        <v>0</v>
      </c>
      <c r="AK306" t="str" cm="1">
        <f t="array" ref="AK306">_xlfn.IFS(A306&lt;=30,"18-30",A306&lt;=45,"31-45",A306&lt;=60,"46-60",TRUE, "60+")</f>
        <v>31-45</v>
      </c>
      <c r="AL306" t="str" cm="1">
        <f t="array" ref="AL306">_xlfn.IFS(F306&lt;=10,"0-10",F306&lt;=20,"11-20",TRUE,"20+")</f>
        <v>0-10</v>
      </c>
      <c r="AM306" t="str" cm="1">
        <f t="array" ref="AM306">_xlfn.IFS(S306&lt;=5000,"0-5k",S306&lt;=10000,"5k-10k",S306&lt;=15000,"10k-15k",TRUE,"15k+")</f>
        <v>5k-10k</v>
      </c>
      <c r="AN306" t="str" cm="1">
        <f t="array" ref="AN306">_xlfn.IFS(AF306&lt;=10,"0-10",AF306&lt;=20,"10-20",AF306&lt;=30,"20-30",TRUE,"30+")</f>
        <v>10-20</v>
      </c>
      <c r="AO306" t="str" cm="1">
        <f t="array" ref="AO306">_xlfn.IFS(Y306=1,"Poor",Y306=2,"Average",Y306=3,"Good",TRUE,"Excellent")</f>
        <v>Good</v>
      </c>
      <c r="AP306" t="str" cm="1">
        <f t="array" ref="AP306">_xlfn.IFS(Q306=1,"Low",Q306=2,"Medium",Q306=3,"High",TRUE,"Very High")</f>
        <v>Very High</v>
      </c>
    </row>
    <row r="307" spans="1:42" x14ac:dyDescent="0.25">
      <c r="A307">
        <v>36</v>
      </c>
      <c r="B307" t="s">
        <v>42</v>
      </c>
      <c r="C307" t="s">
        <v>53</v>
      </c>
      <c r="D307">
        <v>1105</v>
      </c>
      <c r="E307" t="s">
        <v>43</v>
      </c>
      <c r="F307">
        <v>24</v>
      </c>
      <c r="G307">
        <v>4</v>
      </c>
      <c r="H307" t="s">
        <v>37</v>
      </c>
      <c r="I307">
        <v>1</v>
      </c>
      <c r="J307">
        <v>419</v>
      </c>
      <c r="K307">
        <v>2</v>
      </c>
      <c r="L307" t="s">
        <v>38</v>
      </c>
      <c r="M307">
        <v>47</v>
      </c>
      <c r="N307">
        <v>3</v>
      </c>
      <c r="O307">
        <v>2</v>
      </c>
      <c r="P307" t="s">
        <v>48</v>
      </c>
      <c r="Q307">
        <v>2</v>
      </c>
      <c r="R307" t="s">
        <v>46</v>
      </c>
      <c r="S307">
        <v>5674</v>
      </c>
      <c r="T307">
        <v>6927</v>
      </c>
      <c r="U307">
        <v>7</v>
      </c>
      <c r="V307" t="s">
        <v>41</v>
      </c>
      <c r="W307" t="s">
        <v>42</v>
      </c>
      <c r="X307">
        <v>15</v>
      </c>
      <c r="Y307">
        <v>3</v>
      </c>
      <c r="Z307">
        <v>3</v>
      </c>
      <c r="AA307">
        <v>80</v>
      </c>
      <c r="AB307">
        <v>1</v>
      </c>
      <c r="AC307">
        <v>11</v>
      </c>
      <c r="AD307">
        <v>3</v>
      </c>
      <c r="AE307">
        <v>3</v>
      </c>
      <c r="AF307">
        <v>9</v>
      </c>
      <c r="AG307">
        <v>8</v>
      </c>
      <c r="AH307">
        <v>0</v>
      </c>
      <c r="AI307">
        <v>8</v>
      </c>
      <c r="AJ307">
        <f t="shared" si="4"/>
        <v>0</v>
      </c>
      <c r="AK307" t="str" cm="1">
        <f t="array" ref="AK307">_xlfn.IFS(A307&lt;=30,"18-30",A307&lt;=45,"31-45",A307&lt;=60,"46-60",TRUE, "60+")</f>
        <v>31-45</v>
      </c>
      <c r="AL307" t="str" cm="1">
        <f t="array" ref="AL307">_xlfn.IFS(F307&lt;=10,"0-10",F307&lt;=20,"11-20",TRUE,"20+")</f>
        <v>20+</v>
      </c>
      <c r="AM307" t="str" cm="1">
        <f t="array" ref="AM307">_xlfn.IFS(S307&lt;=5000,"0-5k",S307&lt;=10000,"5k-10k",S307&lt;=15000,"10k-15k",TRUE,"15k+")</f>
        <v>5k-10k</v>
      </c>
      <c r="AN307" t="str" cm="1">
        <f t="array" ref="AN307">_xlfn.IFS(AF307&lt;=10,"0-10",AF307&lt;=20,"10-20",AF307&lt;=30,"20-30",TRUE,"30+")</f>
        <v>0-10</v>
      </c>
      <c r="AO307" t="str" cm="1">
        <f t="array" ref="AO307">_xlfn.IFS(Y307=1,"Poor",Y307=2,"Average",Y307=3,"Good",TRUE,"Excellent")</f>
        <v>Good</v>
      </c>
      <c r="AP307" t="str" cm="1">
        <f t="array" ref="AP307">_xlfn.IFS(Q307=1,"Low",Q307=2,"Medium",Q307=3,"High",TRUE,"Very High")</f>
        <v>Medium</v>
      </c>
    </row>
    <row r="308" spans="1:42" x14ac:dyDescent="0.25">
      <c r="A308">
        <v>32</v>
      </c>
      <c r="B308" t="s">
        <v>42</v>
      </c>
      <c r="C308" t="s">
        <v>90</v>
      </c>
      <c r="D308">
        <v>906</v>
      </c>
      <c r="E308" t="s">
        <v>36</v>
      </c>
      <c r="F308">
        <v>7</v>
      </c>
      <c r="G308">
        <v>3</v>
      </c>
      <c r="H308" t="s">
        <v>37</v>
      </c>
      <c r="I308">
        <v>1</v>
      </c>
      <c r="J308">
        <v>420</v>
      </c>
      <c r="K308">
        <v>4</v>
      </c>
      <c r="L308" t="s">
        <v>44</v>
      </c>
      <c r="M308">
        <v>91</v>
      </c>
      <c r="N308">
        <v>2</v>
      </c>
      <c r="O308">
        <v>2</v>
      </c>
      <c r="P308" t="s">
        <v>39</v>
      </c>
      <c r="Q308">
        <v>3</v>
      </c>
      <c r="R308" t="s">
        <v>46</v>
      </c>
      <c r="S308">
        <v>5484</v>
      </c>
      <c r="T308">
        <v>16985</v>
      </c>
      <c r="U308">
        <v>1</v>
      </c>
      <c r="V308" t="s">
        <v>41</v>
      </c>
      <c r="W308" t="s">
        <v>42</v>
      </c>
      <c r="X308">
        <v>14</v>
      </c>
      <c r="Y308">
        <v>3</v>
      </c>
      <c r="Z308">
        <v>3</v>
      </c>
      <c r="AA308">
        <v>80</v>
      </c>
      <c r="AB308">
        <v>1</v>
      </c>
      <c r="AC308">
        <v>13</v>
      </c>
      <c r="AD308">
        <v>3</v>
      </c>
      <c r="AE308">
        <v>2</v>
      </c>
      <c r="AF308">
        <v>13</v>
      </c>
      <c r="AG308">
        <v>8</v>
      </c>
      <c r="AH308">
        <v>4</v>
      </c>
      <c r="AI308">
        <v>8</v>
      </c>
      <c r="AJ308">
        <f t="shared" si="4"/>
        <v>0</v>
      </c>
      <c r="AK308" t="str" cm="1">
        <f t="array" ref="AK308">_xlfn.IFS(A308&lt;=30,"18-30",A308&lt;=45,"31-45",A308&lt;=60,"46-60",TRUE, "60+")</f>
        <v>31-45</v>
      </c>
      <c r="AL308" t="str" cm="1">
        <f t="array" ref="AL308">_xlfn.IFS(F308&lt;=10,"0-10",F308&lt;=20,"11-20",TRUE,"20+")</f>
        <v>0-10</v>
      </c>
      <c r="AM308" t="str" cm="1">
        <f t="array" ref="AM308">_xlfn.IFS(S308&lt;=5000,"0-5k",S308&lt;=10000,"5k-10k",S308&lt;=15000,"10k-15k",TRUE,"15k+")</f>
        <v>5k-10k</v>
      </c>
      <c r="AN308" t="str" cm="1">
        <f t="array" ref="AN308">_xlfn.IFS(AF308&lt;=10,"0-10",AF308&lt;=20,"10-20",AF308&lt;=30,"20-30",TRUE,"30+")</f>
        <v>10-20</v>
      </c>
      <c r="AO308" t="str" cm="1">
        <f t="array" ref="AO308">_xlfn.IFS(Y308=1,"Poor",Y308=2,"Average",Y308=3,"Good",TRUE,"Excellent")</f>
        <v>Good</v>
      </c>
      <c r="AP308" t="str" cm="1">
        <f t="array" ref="AP308">_xlfn.IFS(Q308=1,"Low",Q308=2,"Medium",Q308=3,"High",TRUE,"Very High")</f>
        <v>High</v>
      </c>
    </row>
    <row r="309" spans="1:42" x14ac:dyDescent="0.25">
      <c r="A309">
        <v>38</v>
      </c>
      <c r="B309" t="s">
        <v>42</v>
      </c>
      <c r="C309" t="s">
        <v>90</v>
      </c>
      <c r="D309">
        <v>849</v>
      </c>
      <c r="E309" t="s">
        <v>43</v>
      </c>
      <c r="F309">
        <v>25</v>
      </c>
      <c r="G309">
        <v>2</v>
      </c>
      <c r="H309" t="s">
        <v>37</v>
      </c>
      <c r="I309">
        <v>1</v>
      </c>
      <c r="J309">
        <v>421</v>
      </c>
      <c r="K309">
        <v>1</v>
      </c>
      <c r="L309" t="s">
        <v>38</v>
      </c>
      <c r="M309">
        <v>81</v>
      </c>
      <c r="N309">
        <v>2</v>
      </c>
      <c r="O309">
        <v>3</v>
      </c>
      <c r="P309" t="s">
        <v>56</v>
      </c>
      <c r="Q309">
        <v>2</v>
      </c>
      <c r="R309" t="s">
        <v>46</v>
      </c>
      <c r="S309">
        <v>12061</v>
      </c>
      <c r="T309">
        <v>26707</v>
      </c>
      <c r="U309">
        <v>3</v>
      </c>
      <c r="V309" t="s">
        <v>41</v>
      </c>
      <c r="W309" t="s">
        <v>42</v>
      </c>
      <c r="X309">
        <v>17</v>
      </c>
      <c r="Y309">
        <v>3</v>
      </c>
      <c r="Z309">
        <v>3</v>
      </c>
      <c r="AA309">
        <v>80</v>
      </c>
      <c r="AB309">
        <v>1</v>
      </c>
      <c r="AC309">
        <v>19</v>
      </c>
      <c r="AD309">
        <v>2</v>
      </c>
      <c r="AE309">
        <v>3</v>
      </c>
      <c r="AF309">
        <v>10</v>
      </c>
      <c r="AG309">
        <v>8</v>
      </c>
      <c r="AH309">
        <v>0</v>
      </c>
      <c r="AI309">
        <v>1</v>
      </c>
      <c r="AJ309">
        <f t="shared" si="4"/>
        <v>0</v>
      </c>
      <c r="AK309" t="str" cm="1">
        <f t="array" ref="AK309">_xlfn.IFS(A309&lt;=30,"18-30",A309&lt;=45,"31-45",A309&lt;=60,"46-60",TRUE, "60+")</f>
        <v>31-45</v>
      </c>
      <c r="AL309" t="str" cm="1">
        <f t="array" ref="AL309">_xlfn.IFS(F309&lt;=10,"0-10",F309&lt;=20,"11-20",TRUE,"20+")</f>
        <v>20+</v>
      </c>
      <c r="AM309" t="str" cm="1">
        <f t="array" ref="AM309">_xlfn.IFS(S309&lt;=5000,"0-5k",S309&lt;=10000,"5k-10k",S309&lt;=15000,"10k-15k",TRUE,"15k+")</f>
        <v>10k-15k</v>
      </c>
      <c r="AN309" t="str" cm="1">
        <f t="array" ref="AN309">_xlfn.IFS(AF309&lt;=10,"0-10",AF309&lt;=20,"10-20",AF309&lt;=30,"20-30",TRUE,"30+")</f>
        <v>0-10</v>
      </c>
      <c r="AO309" t="str" cm="1">
        <f t="array" ref="AO309">_xlfn.IFS(Y309=1,"Poor",Y309=2,"Average",Y309=3,"Good",TRUE,"Excellent")</f>
        <v>Good</v>
      </c>
      <c r="AP309" t="str" cm="1">
        <f t="array" ref="AP309">_xlfn.IFS(Q309=1,"Low",Q309=2,"Medium",Q309=3,"High",TRUE,"Very High")</f>
        <v>Medium</v>
      </c>
    </row>
    <row r="310" spans="1:42" x14ac:dyDescent="0.25">
      <c r="A310">
        <v>58</v>
      </c>
      <c r="B310" t="s">
        <v>42</v>
      </c>
      <c r="C310" t="s">
        <v>53</v>
      </c>
      <c r="D310">
        <v>390</v>
      </c>
      <c r="E310" t="s">
        <v>43</v>
      </c>
      <c r="F310">
        <v>1</v>
      </c>
      <c r="G310">
        <v>4</v>
      </c>
      <c r="H310" t="s">
        <v>37</v>
      </c>
      <c r="I310">
        <v>1</v>
      </c>
      <c r="J310">
        <v>422</v>
      </c>
      <c r="K310">
        <v>4</v>
      </c>
      <c r="L310" t="s">
        <v>44</v>
      </c>
      <c r="M310">
        <v>32</v>
      </c>
      <c r="N310">
        <v>1</v>
      </c>
      <c r="O310">
        <v>2</v>
      </c>
      <c r="P310" t="s">
        <v>52</v>
      </c>
      <c r="Q310">
        <v>3</v>
      </c>
      <c r="R310" t="s">
        <v>50</v>
      </c>
      <c r="S310">
        <v>5660</v>
      </c>
      <c r="T310">
        <v>17056</v>
      </c>
      <c r="U310">
        <v>2</v>
      </c>
      <c r="V310" t="s">
        <v>41</v>
      </c>
      <c r="W310" t="s">
        <v>35</v>
      </c>
      <c r="X310">
        <v>13</v>
      </c>
      <c r="Y310">
        <v>3</v>
      </c>
      <c r="Z310">
        <v>4</v>
      </c>
      <c r="AA310">
        <v>80</v>
      </c>
      <c r="AB310">
        <v>1</v>
      </c>
      <c r="AC310">
        <v>12</v>
      </c>
      <c r="AD310">
        <v>2</v>
      </c>
      <c r="AE310">
        <v>3</v>
      </c>
      <c r="AF310">
        <v>5</v>
      </c>
      <c r="AG310">
        <v>3</v>
      </c>
      <c r="AH310">
        <v>1</v>
      </c>
      <c r="AI310">
        <v>2</v>
      </c>
      <c r="AJ310">
        <f t="shared" si="4"/>
        <v>0</v>
      </c>
      <c r="AK310" t="str" cm="1">
        <f t="array" ref="AK310">_xlfn.IFS(A310&lt;=30,"18-30",A310&lt;=45,"31-45",A310&lt;=60,"46-60",TRUE, "60+")</f>
        <v>46-60</v>
      </c>
      <c r="AL310" t="str" cm="1">
        <f t="array" ref="AL310">_xlfn.IFS(F310&lt;=10,"0-10",F310&lt;=20,"11-20",TRUE,"20+")</f>
        <v>0-10</v>
      </c>
      <c r="AM310" t="str" cm="1">
        <f t="array" ref="AM310">_xlfn.IFS(S310&lt;=5000,"0-5k",S310&lt;=10000,"5k-10k",S310&lt;=15000,"10k-15k",TRUE,"15k+")</f>
        <v>5k-10k</v>
      </c>
      <c r="AN310" t="str" cm="1">
        <f t="array" ref="AN310">_xlfn.IFS(AF310&lt;=10,"0-10",AF310&lt;=20,"10-20",AF310&lt;=30,"20-30",TRUE,"30+")</f>
        <v>0-10</v>
      </c>
      <c r="AO310" t="str" cm="1">
        <f t="array" ref="AO310">_xlfn.IFS(Y310=1,"Poor",Y310=2,"Average",Y310=3,"Good",TRUE,"Excellent")</f>
        <v>Good</v>
      </c>
      <c r="AP310" t="str" cm="1">
        <f t="array" ref="AP310">_xlfn.IFS(Q310=1,"Low",Q310=2,"Medium",Q310=3,"High",TRUE,"Very High")</f>
        <v>High</v>
      </c>
    </row>
    <row r="311" spans="1:42" x14ac:dyDescent="0.25">
      <c r="A311">
        <v>31</v>
      </c>
      <c r="B311" t="s">
        <v>42</v>
      </c>
      <c r="C311" t="s">
        <v>90</v>
      </c>
      <c r="D311">
        <v>691</v>
      </c>
      <c r="E311" t="s">
        <v>43</v>
      </c>
      <c r="F311">
        <v>5</v>
      </c>
      <c r="G311">
        <v>4</v>
      </c>
      <c r="H311" t="s">
        <v>58</v>
      </c>
      <c r="I311">
        <v>1</v>
      </c>
      <c r="J311">
        <v>423</v>
      </c>
      <c r="K311">
        <v>3</v>
      </c>
      <c r="L311" t="s">
        <v>44</v>
      </c>
      <c r="M311">
        <v>86</v>
      </c>
      <c r="N311">
        <v>3</v>
      </c>
      <c r="O311">
        <v>1</v>
      </c>
      <c r="P311" t="s">
        <v>45</v>
      </c>
      <c r="Q311">
        <v>4</v>
      </c>
      <c r="R311" t="s">
        <v>46</v>
      </c>
      <c r="S311">
        <v>4821</v>
      </c>
      <c r="T311">
        <v>10077</v>
      </c>
      <c r="U311">
        <v>0</v>
      </c>
      <c r="V311" t="s">
        <v>41</v>
      </c>
      <c r="W311" t="s">
        <v>35</v>
      </c>
      <c r="X311">
        <v>12</v>
      </c>
      <c r="Y311">
        <v>3</v>
      </c>
      <c r="Z311">
        <v>3</v>
      </c>
      <c r="AA311">
        <v>80</v>
      </c>
      <c r="AB311">
        <v>1</v>
      </c>
      <c r="AC311">
        <v>6</v>
      </c>
      <c r="AD311">
        <v>4</v>
      </c>
      <c r="AE311">
        <v>3</v>
      </c>
      <c r="AF311">
        <v>5</v>
      </c>
      <c r="AG311">
        <v>2</v>
      </c>
      <c r="AH311">
        <v>0</v>
      </c>
      <c r="AI311">
        <v>3</v>
      </c>
      <c r="AJ311">
        <f t="shared" si="4"/>
        <v>0</v>
      </c>
      <c r="AK311" t="str" cm="1">
        <f t="array" ref="AK311">_xlfn.IFS(A311&lt;=30,"18-30",A311&lt;=45,"31-45",A311&lt;=60,"46-60",TRUE, "60+")</f>
        <v>31-45</v>
      </c>
      <c r="AL311" t="str" cm="1">
        <f t="array" ref="AL311">_xlfn.IFS(F311&lt;=10,"0-10",F311&lt;=20,"11-20",TRUE,"20+")</f>
        <v>0-10</v>
      </c>
      <c r="AM311" t="str" cm="1">
        <f t="array" ref="AM311">_xlfn.IFS(S311&lt;=5000,"0-5k",S311&lt;=10000,"5k-10k",S311&lt;=15000,"10k-15k",TRUE,"15k+")</f>
        <v>0-5k</v>
      </c>
      <c r="AN311" t="str" cm="1">
        <f t="array" ref="AN311">_xlfn.IFS(AF311&lt;=10,"0-10",AF311&lt;=20,"10-20",AF311&lt;=30,"20-30",TRUE,"30+")</f>
        <v>0-10</v>
      </c>
      <c r="AO311" t="str" cm="1">
        <f t="array" ref="AO311">_xlfn.IFS(Y311=1,"Poor",Y311=2,"Average",Y311=3,"Good",TRUE,"Excellent")</f>
        <v>Good</v>
      </c>
      <c r="AP311" t="str" cm="1">
        <f t="array" ref="AP311">_xlfn.IFS(Q311=1,"Low",Q311=2,"Medium",Q311=3,"High",TRUE,"Very High")</f>
        <v>Very High</v>
      </c>
    </row>
    <row r="312" spans="1:42" x14ac:dyDescent="0.25">
      <c r="A312">
        <v>31</v>
      </c>
      <c r="B312" t="s">
        <v>42</v>
      </c>
      <c r="C312" t="s">
        <v>90</v>
      </c>
      <c r="D312">
        <v>106</v>
      </c>
      <c r="E312" t="s">
        <v>59</v>
      </c>
      <c r="F312">
        <v>2</v>
      </c>
      <c r="G312">
        <v>3</v>
      </c>
      <c r="H312" t="s">
        <v>59</v>
      </c>
      <c r="I312">
        <v>1</v>
      </c>
      <c r="J312">
        <v>424</v>
      </c>
      <c r="K312">
        <v>1</v>
      </c>
      <c r="L312" t="s">
        <v>44</v>
      </c>
      <c r="M312">
        <v>62</v>
      </c>
      <c r="N312">
        <v>2</v>
      </c>
      <c r="O312">
        <v>2</v>
      </c>
      <c r="P312" t="s">
        <v>59</v>
      </c>
      <c r="Q312">
        <v>1</v>
      </c>
      <c r="R312" t="s">
        <v>46</v>
      </c>
      <c r="S312">
        <v>6410</v>
      </c>
      <c r="T312">
        <v>17822</v>
      </c>
      <c r="U312">
        <v>3</v>
      </c>
      <c r="V312" t="s">
        <v>41</v>
      </c>
      <c r="W312" t="s">
        <v>42</v>
      </c>
      <c r="X312">
        <v>12</v>
      </c>
      <c r="Y312">
        <v>3</v>
      </c>
      <c r="Z312">
        <v>4</v>
      </c>
      <c r="AA312">
        <v>80</v>
      </c>
      <c r="AB312">
        <v>0</v>
      </c>
      <c r="AC312">
        <v>9</v>
      </c>
      <c r="AD312">
        <v>1</v>
      </c>
      <c r="AE312">
        <v>3</v>
      </c>
      <c r="AF312">
        <v>2</v>
      </c>
      <c r="AG312">
        <v>2</v>
      </c>
      <c r="AH312">
        <v>1</v>
      </c>
      <c r="AI312">
        <v>0</v>
      </c>
      <c r="AJ312">
        <f t="shared" si="4"/>
        <v>0</v>
      </c>
      <c r="AK312" t="str" cm="1">
        <f t="array" ref="AK312">_xlfn.IFS(A312&lt;=30,"18-30",A312&lt;=45,"31-45",A312&lt;=60,"46-60",TRUE, "60+")</f>
        <v>31-45</v>
      </c>
      <c r="AL312" t="str" cm="1">
        <f t="array" ref="AL312">_xlfn.IFS(F312&lt;=10,"0-10",F312&lt;=20,"11-20",TRUE,"20+")</f>
        <v>0-10</v>
      </c>
      <c r="AM312" t="str" cm="1">
        <f t="array" ref="AM312">_xlfn.IFS(S312&lt;=5000,"0-5k",S312&lt;=10000,"5k-10k",S312&lt;=15000,"10k-15k",TRUE,"15k+")</f>
        <v>5k-10k</v>
      </c>
      <c r="AN312" t="str" cm="1">
        <f t="array" ref="AN312">_xlfn.IFS(AF312&lt;=10,"0-10",AF312&lt;=20,"10-20",AF312&lt;=30,"20-30",TRUE,"30+")</f>
        <v>0-10</v>
      </c>
      <c r="AO312" t="str" cm="1">
        <f t="array" ref="AO312">_xlfn.IFS(Y312=1,"Poor",Y312=2,"Average",Y312=3,"Good",TRUE,"Excellent")</f>
        <v>Good</v>
      </c>
      <c r="AP312" t="str" cm="1">
        <f t="array" ref="AP312">_xlfn.IFS(Q312=1,"Low",Q312=2,"Medium",Q312=3,"High",TRUE,"Very High")</f>
        <v>Low</v>
      </c>
    </row>
    <row r="313" spans="1:42" x14ac:dyDescent="0.25">
      <c r="A313">
        <v>45</v>
      </c>
      <c r="B313" t="s">
        <v>42</v>
      </c>
      <c r="C313" t="s">
        <v>91</v>
      </c>
      <c r="D313">
        <v>1249</v>
      </c>
      <c r="E313" t="s">
        <v>43</v>
      </c>
      <c r="F313">
        <v>7</v>
      </c>
      <c r="G313">
        <v>3</v>
      </c>
      <c r="H313" t="s">
        <v>37</v>
      </c>
      <c r="I313">
        <v>1</v>
      </c>
      <c r="J313">
        <v>425</v>
      </c>
      <c r="K313">
        <v>1</v>
      </c>
      <c r="L313" t="s">
        <v>44</v>
      </c>
      <c r="M313">
        <v>97</v>
      </c>
      <c r="N313">
        <v>3</v>
      </c>
      <c r="O313">
        <v>3</v>
      </c>
      <c r="P313" t="s">
        <v>48</v>
      </c>
      <c r="Q313">
        <v>1</v>
      </c>
      <c r="R313" t="s">
        <v>50</v>
      </c>
      <c r="S313">
        <v>5210</v>
      </c>
      <c r="T313">
        <v>20308</v>
      </c>
      <c r="U313">
        <v>1</v>
      </c>
      <c r="V313" t="s">
        <v>41</v>
      </c>
      <c r="W313" t="s">
        <v>42</v>
      </c>
      <c r="X313">
        <v>18</v>
      </c>
      <c r="Y313">
        <v>3</v>
      </c>
      <c r="Z313">
        <v>1</v>
      </c>
      <c r="AA313">
        <v>80</v>
      </c>
      <c r="AB313">
        <v>1</v>
      </c>
      <c r="AC313">
        <v>24</v>
      </c>
      <c r="AD313">
        <v>2</v>
      </c>
      <c r="AE313">
        <v>3</v>
      </c>
      <c r="AF313">
        <v>24</v>
      </c>
      <c r="AG313">
        <v>9</v>
      </c>
      <c r="AH313">
        <v>9</v>
      </c>
      <c r="AI313">
        <v>11</v>
      </c>
      <c r="AJ313">
        <f t="shared" si="4"/>
        <v>0</v>
      </c>
      <c r="AK313" t="str" cm="1">
        <f t="array" ref="AK313">_xlfn.IFS(A313&lt;=30,"18-30",A313&lt;=45,"31-45",A313&lt;=60,"46-60",TRUE, "60+")</f>
        <v>31-45</v>
      </c>
      <c r="AL313" t="str" cm="1">
        <f t="array" ref="AL313">_xlfn.IFS(F313&lt;=10,"0-10",F313&lt;=20,"11-20",TRUE,"20+")</f>
        <v>0-10</v>
      </c>
      <c r="AM313" t="str" cm="1">
        <f t="array" ref="AM313">_xlfn.IFS(S313&lt;=5000,"0-5k",S313&lt;=10000,"5k-10k",S313&lt;=15000,"10k-15k",TRUE,"15k+")</f>
        <v>5k-10k</v>
      </c>
      <c r="AN313" t="str" cm="1">
        <f t="array" ref="AN313">_xlfn.IFS(AF313&lt;=10,"0-10",AF313&lt;=20,"10-20",AF313&lt;=30,"20-30",TRUE,"30+")</f>
        <v>20-30</v>
      </c>
      <c r="AO313" t="str" cm="1">
        <f t="array" ref="AO313">_xlfn.IFS(Y313=1,"Poor",Y313=2,"Average",Y313=3,"Good",TRUE,"Excellent")</f>
        <v>Good</v>
      </c>
      <c r="AP313" t="str" cm="1">
        <f t="array" ref="AP313">_xlfn.IFS(Q313=1,"Low",Q313=2,"Medium",Q313=3,"High",TRUE,"Very High")</f>
        <v>Low</v>
      </c>
    </row>
    <row r="314" spans="1:42" x14ac:dyDescent="0.25">
      <c r="A314">
        <v>31</v>
      </c>
      <c r="B314" t="s">
        <v>42</v>
      </c>
      <c r="C314" t="s">
        <v>90</v>
      </c>
      <c r="D314">
        <v>192</v>
      </c>
      <c r="E314" t="s">
        <v>43</v>
      </c>
      <c r="F314">
        <v>2</v>
      </c>
      <c r="G314">
        <v>4</v>
      </c>
      <c r="H314" t="s">
        <v>37</v>
      </c>
      <c r="I314">
        <v>1</v>
      </c>
      <c r="J314">
        <v>426</v>
      </c>
      <c r="K314">
        <v>3</v>
      </c>
      <c r="L314" t="s">
        <v>44</v>
      </c>
      <c r="M314">
        <v>32</v>
      </c>
      <c r="N314">
        <v>3</v>
      </c>
      <c r="O314">
        <v>1</v>
      </c>
      <c r="P314" t="s">
        <v>45</v>
      </c>
      <c r="Q314">
        <v>4</v>
      </c>
      <c r="R314" t="s">
        <v>50</v>
      </c>
      <c r="S314">
        <v>2695</v>
      </c>
      <c r="T314">
        <v>7747</v>
      </c>
      <c r="U314">
        <v>0</v>
      </c>
      <c r="V314" t="s">
        <v>41</v>
      </c>
      <c r="W314" t="s">
        <v>35</v>
      </c>
      <c r="X314">
        <v>18</v>
      </c>
      <c r="Y314">
        <v>3</v>
      </c>
      <c r="Z314">
        <v>2</v>
      </c>
      <c r="AA314">
        <v>80</v>
      </c>
      <c r="AB314">
        <v>1</v>
      </c>
      <c r="AC314">
        <v>3</v>
      </c>
      <c r="AD314">
        <v>2</v>
      </c>
      <c r="AE314">
        <v>1</v>
      </c>
      <c r="AF314">
        <v>2</v>
      </c>
      <c r="AG314">
        <v>2</v>
      </c>
      <c r="AH314">
        <v>2</v>
      </c>
      <c r="AI314">
        <v>2</v>
      </c>
      <c r="AJ314">
        <f t="shared" si="4"/>
        <v>0</v>
      </c>
      <c r="AK314" t="str" cm="1">
        <f t="array" ref="AK314">_xlfn.IFS(A314&lt;=30,"18-30",A314&lt;=45,"31-45",A314&lt;=60,"46-60",TRUE, "60+")</f>
        <v>31-45</v>
      </c>
      <c r="AL314" t="str" cm="1">
        <f t="array" ref="AL314">_xlfn.IFS(F314&lt;=10,"0-10",F314&lt;=20,"11-20",TRUE,"20+")</f>
        <v>0-10</v>
      </c>
      <c r="AM314" t="str" cm="1">
        <f t="array" ref="AM314">_xlfn.IFS(S314&lt;=5000,"0-5k",S314&lt;=10000,"5k-10k",S314&lt;=15000,"10k-15k",TRUE,"15k+")</f>
        <v>0-5k</v>
      </c>
      <c r="AN314" t="str" cm="1">
        <f t="array" ref="AN314">_xlfn.IFS(AF314&lt;=10,"0-10",AF314&lt;=20,"10-20",AF314&lt;=30,"20-30",TRUE,"30+")</f>
        <v>0-10</v>
      </c>
      <c r="AO314" t="str" cm="1">
        <f t="array" ref="AO314">_xlfn.IFS(Y314=1,"Poor",Y314=2,"Average",Y314=3,"Good",TRUE,"Excellent")</f>
        <v>Good</v>
      </c>
      <c r="AP314" t="str" cm="1">
        <f t="array" ref="AP314">_xlfn.IFS(Q314=1,"Low",Q314=2,"Medium",Q314=3,"High",TRUE,"Very High")</f>
        <v>Very High</v>
      </c>
    </row>
    <row r="315" spans="1:42" x14ac:dyDescent="0.25">
      <c r="A315">
        <v>33</v>
      </c>
      <c r="B315" t="s">
        <v>42</v>
      </c>
      <c r="C315" t="s">
        <v>91</v>
      </c>
      <c r="D315">
        <v>553</v>
      </c>
      <c r="E315" t="s">
        <v>43</v>
      </c>
      <c r="F315">
        <v>5</v>
      </c>
      <c r="G315">
        <v>4</v>
      </c>
      <c r="H315" t="s">
        <v>37</v>
      </c>
      <c r="I315">
        <v>1</v>
      </c>
      <c r="J315">
        <v>428</v>
      </c>
      <c r="K315">
        <v>4</v>
      </c>
      <c r="L315" t="s">
        <v>38</v>
      </c>
      <c r="M315">
        <v>74</v>
      </c>
      <c r="N315">
        <v>3</v>
      </c>
      <c r="O315">
        <v>3</v>
      </c>
      <c r="P315" t="s">
        <v>54</v>
      </c>
      <c r="Q315">
        <v>2</v>
      </c>
      <c r="R315" t="s">
        <v>46</v>
      </c>
      <c r="S315">
        <v>11878</v>
      </c>
      <c r="T315">
        <v>23364</v>
      </c>
      <c r="U315">
        <v>6</v>
      </c>
      <c r="V315" t="s">
        <v>41</v>
      </c>
      <c r="W315" t="s">
        <v>42</v>
      </c>
      <c r="X315">
        <v>11</v>
      </c>
      <c r="Y315">
        <v>3</v>
      </c>
      <c r="Z315">
        <v>2</v>
      </c>
      <c r="AA315">
        <v>80</v>
      </c>
      <c r="AB315">
        <v>2</v>
      </c>
      <c r="AC315">
        <v>12</v>
      </c>
      <c r="AD315">
        <v>2</v>
      </c>
      <c r="AE315">
        <v>3</v>
      </c>
      <c r="AF315">
        <v>10</v>
      </c>
      <c r="AG315">
        <v>6</v>
      </c>
      <c r="AH315">
        <v>8</v>
      </c>
      <c r="AI315">
        <v>8</v>
      </c>
      <c r="AJ315">
        <f t="shared" si="4"/>
        <v>0</v>
      </c>
      <c r="AK315" t="str" cm="1">
        <f t="array" ref="AK315">_xlfn.IFS(A315&lt;=30,"18-30",A315&lt;=45,"31-45",A315&lt;=60,"46-60",TRUE, "60+")</f>
        <v>31-45</v>
      </c>
      <c r="AL315" t="str" cm="1">
        <f t="array" ref="AL315">_xlfn.IFS(F315&lt;=10,"0-10",F315&lt;=20,"11-20",TRUE,"20+")</f>
        <v>0-10</v>
      </c>
      <c r="AM315" t="str" cm="1">
        <f t="array" ref="AM315">_xlfn.IFS(S315&lt;=5000,"0-5k",S315&lt;=10000,"5k-10k",S315&lt;=15000,"10k-15k",TRUE,"15k+")</f>
        <v>10k-15k</v>
      </c>
      <c r="AN315" t="str" cm="1">
        <f t="array" ref="AN315">_xlfn.IFS(AF315&lt;=10,"0-10",AF315&lt;=20,"10-20",AF315&lt;=30,"20-30",TRUE,"30+")</f>
        <v>0-10</v>
      </c>
      <c r="AO315" t="str" cm="1">
        <f t="array" ref="AO315">_xlfn.IFS(Y315=1,"Poor",Y315=2,"Average",Y315=3,"Good",TRUE,"Excellent")</f>
        <v>Good</v>
      </c>
      <c r="AP315" t="str" cm="1">
        <f t="array" ref="AP315">_xlfn.IFS(Q315=1,"Low",Q315=2,"Medium",Q315=3,"High",TRUE,"Very High")</f>
        <v>Medium</v>
      </c>
    </row>
    <row r="316" spans="1:42" x14ac:dyDescent="0.25">
      <c r="A316">
        <v>39</v>
      </c>
      <c r="B316" t="s">
        <v>42</v>
      </c>
      <c r="C316" t="s">
        <v>90</v>
      </c>
      <c r="D316">
        <v>117</v>
      </c>
      <c r="E316" t="s">
        <v>43</v>
      </c>
      <c r="F316">
        <v>10</v>
      </c>
      <c r="G316">
        <v>1</v>
      </c>
      <c r="H316" t="s">
        <v>49</v>
      </c>
      <c r="I316">
        <v>1</v>
      </c>
      <c r="J316">
        <v>429</v>
      </c>
      <c r="K316">
        <v>3</v>
      </c>
      <c r="L316" t="s">
        <v>44</v>
      </c>
      <c r="M316">
        <v>99</v>
      </c>
      <c r="N316">
        <v>3</v>
      </c>
      <c r="O316">
        <v>4</v>
      </c>
      <c r="P316" t="s">
        <v>54</v>
      </c>
      <c r="Q316">
        <v>1</v>
      </c>
      <c r="R316" t="s">
        <v>46</v>
      </c>
      <c r="S316">
        <v>17068</v>
      </c>
      <c r="T316">
        <v>5355</v>
      </c>
      <c r="U316">
        <v>1</v>
      </c>
      <c r="V316" t="s">
        <v>41</v>
      </c>
      <c r="W316" t="s">
        <v>35</v>
      </c>
      <c r="X316">
        <v>14</v>
      </c>
      <c r="Y316">
        <v>3</v>
      </c>
      <c r="Z316">
        <v>4</v>
      </c>
      <c r="AA316">
        <v>80</v>
      </c>
      <c r="AB316">
        <v>0</v>
      </c>
      <c r="AC316">
        <v>21</v>
      </c>
      <c r="AD316">
        <v>3</v>
      </c>
      <c r="AE316">
        <v>3</v>
      </c>
      <c r="AF316">
        <v>21</v>
      </c>
      <c r="AG316">
        <v>9</v>
      </c>
      <c r="AH316">
        <v>11</v>
      </c>
      <c r="AI316">
        <v>10</v>
      </c>
      <c r="AJ316">
        <f t="shared" si="4"/>
        <v>0</v>
      </c>
      <c r="AK316" t="str" cm="1">
        <f t="array" ref="AK316">_xlfn.IFS(A316&lt;=30,"18-30",A316&lt;=45,"31-45",A316&lt;=60,"46-60",TRUE, "60+")</f>
        <v>31-45</v>
      </c>
      <c r="AL316" t="str" cm="1">
        <f t="array" ref="AL316">_xlfn.IFS(F316&lt;=10,"0-10",F316&lt;=20,"11-20",TRUE,"20+")</f>
        <v>0-10</v>
      </c>
      <c r="AM316" t="str" cm="1">
        <f t="array" ref="AM316">_xlfn.IFS(S316&lt;=5000,"0-5k",S316&lt;=10000,"5k-10k",S316&lt;=15000,"10k-15k",TRUE,"15k+")</f>
        <v>15k+</v>
      </c>
      <c r="AN316" t="str" cm="1">
        <f t="array" ref="AN316">_xlfn.IFS(AF316&lt;=10,"0-10",AF316&lt;=20,"10-20",AF316&lt;=30,"20-30",TRUE,"30+")</f>
        <v>20-30</v>
      </c>
      <c r="AO316" t="str" cm="1">
        <f t="array" ref="AO316">_xlfn.IFS(Y316=1,"Poor",Y316=2,"Average",Y316=3,"Good",TRUE,"Excellent")</f>
        <v>Good</v>
      </c>
      <c r="AP316" t="str" cm="1">
        <f t="array" ref="AP316">_xlfn.IFS(Q316=1,"Low",Q316=2,"Medium",Q316=3,"High",TRUE,"Very High")</f>
        <v>Low</v>
      </c>
    </row>
    <row r="317" spans="1:42" x14ac:dyDescent="0.25">
      <c r="A317">
        <v>43</v>
      </c>
      <c r="B317" t="s">
        <v>42</v>
      </c>
      <c r="C317" t="s">
        <v>91</v>
      </c>
      <c r="D317">
        <v>185</v>
      </c>
      <c r="E317" t="s">
        <v>43</v>
      </c>
      <c r="F317">
        <v>10</v>
      </c>
      <c r="G317">
        <v>4</v>
      </c>
      <c r="H317" t="s">
        <v>37</v>
      </c>
      <c r="I317">
        <v>1</v>
      </c>
      <c r="J317">
        <v>430</v>
      </c>
      <c r="K317">
        <v>3</v>
      </c>
      <c r="L317" t="s">
        <v>38</v>
      </c>
      <c r="M317">
        <v>33</v>
      </c>
      <c r="N317">
        <v>3</v>
      </c>
      <c r="O317">
        <v>1</v>
      </c>
      <c r="P317" t="s">
        <v>48</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c r="AJ317">
        <f t="shared" si="4"/>
        <v>0</v>
      </c>
      <c r="AK317" t="str" cm="1">
        <f t="array" ref="AK317">_xlfn.IFS(A317&lt;=30,"18-30",A317&lt;=45,"31-45",A317&lt;=60,"46-60",TRUE, "60+")</f>
        <v>31-45</v>
      </c>
      <c r="AL317" t="str" cm="1">
        <f t="array" ref="AL317">_xlfn.IFS(F317&lt;=10,"0-10",F317&lt;=20,"11-20",TRUE,"20+")</f>
        <v>0-10</v>
      </c>
      <c r="AM317" t="str" cm="1">
        <f t="array" ref="AM317">_xlfn.IFS(S317&lt;=5000,"0-5k",S317&lt;=10000,"5k-10k",S317&lt;=15000,"10k-15k",TRUE,"15k+")</f>
        <v>0-5k</v>
      </c>
      <c r="AN317" t="str" cm="1">
        <f t="array" ref="AN317">_xlfn.IFS(AF317&lt;=10,"0-10",AF317&lt;=20,"10-20",AF317&lt;=30,"20-30",TRUE,"30+")</f>
        <v>0-10</v>
      </c>
      <c r="AO317" t="str" cm="1">
        <f t="array" ref="AO317">_xlfn.IFS(Y317=1,"Poor",Y317=2,"Average",Y317=3,"Good",TRUE,"Excellent")</f>
        <v>Good</v>
      </c>
      <c r="AP317" t="str" cm="1">
        <f t="array" ref="AP317">_xlfn.IFS(Q317=1,"Low",Q317=2,"Medium",Q317=3,"High",TRUE,"Very High")</f>
        <v>Very High</v>
      </c>
    </row>
    <row r="318" spans="1:42" x14ac:dyDescent="0.25">
      <c r="A318">
        <v>49</v>
      </c>
      <c r="B318" t="s">
        <v>42</v>
      </c>
      <c r="C318" t="s">
        <v>90</v>
      </c>
      <c r="D318">
        <v>1091</v>
      </c>
      <c r="E318" t="s">
        <v>43</v>
      </c>
      <c r="F318">
        <v>1</v>
      </c>
      <c r="G318">
        <v>2</v>
      </c>
      <c r="H318" t="s">
        <v>58</v>
      </c>
      <c r="I318">
        <v>1</v>
      </c>
      <c r="J318">
        <v>431</v>
      </c>
      <c r="K318">
        <v>3</v>
      </c>
      <c r="L318" t="s">
        <v>38</v>
      </c>
      <c r="M318">
        <v>90</v>
      </c>
      <c r="N318">
        <v>2</v>
      </c>
      <c r="O318">
        <v>4</v>
      </c>
      <c r="P318" t="s">
        <v>52</v>
      </c>
      <c r="Q318">
        <v>3</v>
      </c>
      <c r="R318" t="s">
        <v>40</v>
      </c>
      <c r="S318">
        <v>13964</v>
      </c>
      <c r="T318">
        <v>17810</v>
      </c>
      <c r="U318">
        <v>7</v>
      </c>
      <c r="V318" t="s">
        <v>41</v>
      </c>
      <c r="W318" t="s">
        <v>35</v>
      </c>
      <c r="X318">
        <v>12</v>
      </c>
      <c r="Y318">
        <v>3</v>
      </c>
      <c r="Z318">
        <v>4</v>
      </c>
      <c r="AA318">
        <v>80</v>
      </c>
      <c r="AB318">
        <v>0</v>
      </c>
      <c r="AC318">
        <v>25</v>
      </c>
      <c r="AD318">
        <v>2</v>
      </c>
      <c r="AE318">
        <v>3</v>
      </c>
      <c r="AF318">
        <v>7</v>
      </c>
      <c r="AG318">
        <v>1</v>
      </c>
      <c r="AH318">
        <v>0</v>
      </c>
      <c r="AI318">
        <v>7</v>
      </c>
      <c r="AJ318">
        <f t="shared" si="4"/>
        <v>0</v>
      </c>
      <c r="AK318" t="str" cm="1">
        <f t="array" ref="AK318">_xlfn.IFS(A318&lt;=30,"18-30",A318&lt;=45,"31-45",A318&lt;=60,"46-60",TRUE, "60+")</f>
        <v>46-60</v>
      </c>
      <c r="AL318" t="str" cm="1">
        <f t="array" ref="AL318">_xlfn.IFS(F318&lt;=10,"0-10",F318&lt;=20,"11-20",TRUE,"20+")</f>
        <v>0-10</v>
      </c>
      <c r="AM318" t="str" cm="1">
        <f t="array" ref="AM318">_xlfn.IFS(S318&lt;=5000,"0-5k",S318&lt;=10000,"5k-10k",S318&lt;=15000,"10k-15k",TRUE,"15k+")</f>
        <v>10k-15k</v>
      </c>
      <c r="AN318" t="str" cm="1">
        <f t="array" ref="AN318">_xlfn.IFS(AF318&lt;=10,"0-10",AF318&lt;=20,"10-20",AF318&lt;=30,"20-30",TRUE,"30+")</f>
        <v>0-10</v>
      </c>
      <c r="AO318" t="str" cm="1">
        <f t="array" ref="AO318">_xlfn.IFS(Y318=1,"Poor",Y318=2,"Average",Y318=3,"Good",TRUE,"Excellent")</f>
        <v>Good</v>
      </c>
      <c r="AP318" t="str" cm="1">
        <f t="array" ref="AP318">_xlfn.IFS(Q318=1,"Low",Q318=2,"Medium",Q318=3,"High",TRUE,"Very High")</f>
        <v>High</v>
      </c>
    </row>
    <row r="319" spans="1:42" x14ac:dyDescent="0.25">
      <c r="A319">
        <v>52</v>
      </c>
      <c r="B319" t="s">
        <v>35</v>
      </c>
      <c r="C319" t="s">
        <v>90</v>
      </c>
      <c r="D319">
        <v>723</v>
      </c>
      <c r="E319" t="s">
        <v>43</v>
      </c>
      <c r="F319">
        <v>8</v>
      </c>
      <c r="G319">
        <v>4</v>
      </c>
      <c r="H319" t="s">
        <v>49</v>
      </c>
      <c r="I319">
        <v>1</v>
      </c>
      <c r="J319">
        <v>433</v>
      </c>
      <c r="K319">
        <v>3</v>
      </c>
      <c r="L319" t="s">
        <v>44</v>
      </c>
      <c r="M319">
        <v>85</v>
      </c>
      <c r="N319">
        <v>2</v>
      </c>
      <c r="O319">
        <v>2</v>
      </c>
      <c r="P319" t="s">
        <v>45</v>
      </c>
      <c r="Q319">
        <v>2</v>
      </c>
      <c r="R319" t="s">
        <v>46</v>
      </c>
      <c r="S319">
        <v>4941</v>
      </c>
      <c r="T319">
        <v>17747</v>
      </c>
      <c r="U319">
        <v>2</v>
      </c>
      <c r="V319" t="s">
        <v>41</v>
      </c>
      <c r="W319" t="s">
        <v>42</v>
      </c>
      <c r="X319">
        <v>15</v>
      </c>
      <c r="Y319">
        <v>3</v>
      </c>
      <c r="Z319">
        <v>1</v>
      </c>
      <c r="AA319">
        <v>80</v>
      </c>
      <c r="AB319">
        <v>0</v>
      </c>
      <c r="AC319">
        <v>11</v>
      </c>
      <c r="AD319">
        <v>3</v>
      </c>
      <c r="AE319">
        <v>2</v>
      </c>
      <c r="AF319">
        <v>8</v>
      </c>
      <c r="AG319">
        <v>2</v>
      </c>
      <c r="AH319">
        <v>7</v>
      </c>
      <c r="AI319">
        <v>7</v>
      </c>
      <c r="AJ319">
        <f t="shared" si="4"/>
        <v>1</v>
      </c>
      <c r="AK319" t="str" cm="1">
        <f t="array" ref="AK319">_xlfn.IFS(A319&lt;=30,"18-30",A319&lt;=45,"31-45",A319&lt;=60,"46-60",TRUE, "60+")</f>
        <v>46-60</v>
      </c>
      <c r="AL319" t="str" cm="1">
        <f t="array" ref="AL319">_xlfn.IFS(F319&lt;=10,"0-10",F319&lt;=20,"11-20",TRUE,"20+")</f>
        <v>0-10</v>
      </c>
      <c r="AM319" t="str" cm="1">
        <f t="array" ref="AM319">_xlfn.IFS(S319&lt;=5000,"0-5k",S319&lt;=10000,"5k-10k",S319&lt;=15000,"10k-15k",TRUE,"15k+")</f>
        <v>0-5k</v>
      </c>
      <c r="AN319" t="str" cm="1">
        <f t="array" ref="AN319">_xlfn.IFS(AF319&lt;=10,"0-10",AF319&lt;=20,"10-20",AF319&lt;=30,"20-30",TRUE,"30+")</f>
        <v>0-10</v>
      </c>
      <c r="AO319" t="str" cm="1">
        <f t="array" ref="AO319">_xlfn.IFS(Y319=1,"Poor",Y319=2,"Average",Y319=3,"Good",TRUE,"Excellent")</f>
        <v>Good</v>
      </c>
      <c r="AP319" t="str" cm="1">
        <f t="array" ref="AP319">_xlfn.IFS(Q319=1,"Low",Q319=2,"Medium",Q319=3,"High",TRUE,"Very High")</f>
        <v>Medium</v>
      </c>
    </row>
    <row r="320" spans="1:42" x14ac:dyDescent="0.25">
      <c r="A320">
        <v>27</v>
      </c>
      <c r="B320" t="s">
        <v>42</v>
      </c>
      <c r="C320" t="s">
        <v>90</v>
      </c>
      <c r="D320">
        <v>1220</v>
      </c>
      <c r="E320" t="s">
        <v>43</v>
      </c>
      <c r="F320">
        <v>5</v>
      </c>
      <c r="G320">
        <v>3</v>
      </c>
      <c r="H320" t="s">
        <v>37</v>
      </c>
      <c r="I320">
        <v>1</v>
      </c>
      <c r="J320">
        <v>434</v>
      </c>
      <c r="K320">
        <v>3</v>
      </c>
      <c r="L320" t="s">
        <v>38</v>
      </c>
      <c r="M320">
        <v>85</v>
      </c>
      <c r="N320">
        <v>3</v>
      </c>
      <c r="O320">
        <v>1</v>
      </c>
      <c r="P320" t="s">
        <v>45</v>
      </c>
      <c r="Q320">
        <v>2</v>
      </c>
      <c r="R320" t="s">
        <v>40</v>
      </c>
      <c r="S320">
        <v>2478</v>
      </c>
      <c r="T320">
        <v>20938</v>
      </c>
      <c r="U320">
        <v>1</v>
      </c>
      <c r="V320" t="s">
        <v>41</v>
      </c>
      <c r="W320" t="s">
        <v>35</v>
      </c>
      <c r="X320">
        <v>12</v>
      </c>
      <c r="Y320">
        <v>3</v>
      </c>
      <c r="Z320">
        <v>2</v>
      </c>
      <c r="AA320">
        <v>80</v>
      </c>
      <c r="AB320">
        <v>0</v>
      </c>
      <c r="AC320">
        <v>4</v>
      </c>
      <c r="AD320">
        <v>2</v>
      </c>
      <c r="AE320">
        <v>2</v>
      </c>
      <c r="AF320">
        <v>4</v>
      </c>
      <c r="AG320">
        <v>3</v>
      </c>
      <c r="AH320">
        <v>1</v>
      </c>
      <c r="AI320">
        <v>2</v>
      </c>
      <c r="AJ320">
        <f t="shared" si="4"/>
        <v>0</v>
      </c>
      <c r="AK320" t="str" cm="1">
        <f t="array" ref="AK320">_xlfn.IFS(A320&lt;=30,"18-30",A320&lt;=45,"31-45",A320&lt;=60,"46-60",TRUE, "60+")</f>
        <v>18-30</v>
      </c>
      <c r="AL320" t="str" cm="1">
        <f t="array" ref="AL320">_xlfn.IFS(F320&lt;=10,"0-10",F320&lt;=20,"11-20",TRUE,"20+")</f>
        <v>0-10</v>
      </c>
      <c r="AM320" t="str" cm="1">
        <f t="array" ref="AM320">_xlfn.IFS(S320&lt;=5000,"0-5k",S320&lt;=10000,"5k-10k",S320&lt;=15000,"10k-15k",TRUE,"15k+")</f>
        <v>0-5k</v>
      </c>
      <c r="AN320" t="str" cm="1">
        <f t="array" ref="AN320">_xlfn.IFS(AF320&lt;=10,"0-10",AF320&lt;=20,"10-20",AF320&lt;=30,"20-30",TRUE,"30+")</f>
        <v>0-10</v>
      </c>
      <c r="AO320" t="str" cm="1">
        <f t="array" ref="AO320">_xlfn.IFS(Y320=1,"Poor",Y320=2,"Average",Y320=3,"Good",TRUE,"Excellent")</f>
        <v>Good</v>
      </c>
      <c r="AP320" t="str" cm="1">
        <f t="array" ref="AP320">_xlfn.IFS(Q320=1,"Low",Q320=2,"Medium",Q320=3,"High",TRUE,"Very High")</f>
        <v>Medium</v>
      </c>
    </row>
    <row r="321" spans="1:42" x14ac:dyDescent="0.25">
      <c r="A321">
        <v>32</v>
      </c>
      <c r="B321" t="s">
        <v>42</v>
      </c>
      <c r="C321" t="s">
        <v>90</v>
      </c>
      <c r="D321">
        <v>588</v>
      </c>
      <c r="E321" t="s">
        <v>36</v>
      </c>
      <c r="F321">
        <v>8</v>
      </c>
      <c r="G321">
        <v>2</v>
      </c>
      <c r="H321" t="s">
        <v>58</v>
      </c>
      <c r="I321">
        <v>1</v>
      </c>
      <c r="J321">
        <v>436</v>
      </c>
      <c r="K321">
        <v>3</v>
      </c>
      <c r="L321" t="s">
        <v>38</v>
      </c>
      <c r="M321">
        <v>65</v>
      </c>
      <c r="N321">
        <v>2</v>
      </c>
      <c r="O321">
        <v>2</v>
      </c>
      <c r="P321" t="s">
        <v>39</v>
      </c>
      <c r="Q321">
        <v>2</v>
      </c>
      <c r="R321" t="s">
        <v>46</v>
      </c>
      <c r="S321">
        <v>5228</v>
      </c>
      <c r="T321">
        <v>24624</v>
      </c>
      <c r="U321">
        <v>1</v>
      </c>
      <c r="V321" t="s">
        <v>41</v>
      </c>
      <c r="W321" t="s">
        <v>35</v>
      </c>
      <c r="X321">
        <v>11</v>
      </c>
      <c r="Y321">
        <v>3</v>
      </c>
      <c r="Z321">
        <v>4</v>
      </c>
      <c r="AA321">
        <v>80</v>
      </c>
      <c r="AB321">
        <v>0</v>
      </c>
      <c r="AC321">
        <v>13</v>
      </c>
      <c r="AD321">
        <v>2</v>
      </c>
      <c r="AE321">
        <v>3</v>
      </c>
      <c r="AF321">
        <v>13</v>
      </c>
      <c r="AG321">
        <v>12</v>
      </c>
      <c r="AH321">
        <v>11</v>
      </c>
      <c r="AI321">
        <v>9</v>
      </c>
      <c r="AJ321">
        <f t="shared" si="4"/>
        <v>0</v>
      </c>
      <c r="AK321" t="str" cm="1">
        <f t="array" ref="AK321">_xlfn.IFS(A321&lt;=30,"18-30",A321&lt;=45,"31-45",A321&lt;=60,"46-60",TRUE, "60+")</f>
        <v>31-45</v>
      </c>
      <c r="AL321" t="str" cm="1">
        <f t="array" ref="AL321">_xlfn.IFS(F321&lt;=10,"0-10",F321&lt;=20,"11-20",TRUE,"20+")</f>
        <v>0-10</v>
      </c>
      <c r="AM321" t="str" cm="1">
        <f t="array" ref="AM321">_xlfn.IFS(S321&lt;=5000,"0-5k",S321&lt;=10000,"5k-10k",S321&lt;=15000,"10k-15k",TRUE,"15k+")</f>
        <v>5k-10k</v>
      </c>
      <c r="AN321" t="str" cm="1">
        <f t="array" ref="AN321">_xlfn.IFS(AF321&lt;=10,"0-10",AF321&lt;=20,"10-20",AF321&lt;=30,"20-30",TRUE,"30+")</f>
        <v>10-20</v>
      </c>
      <c r="AO321" t="str" cm="1">
        <f t="array" ref="AO321">_xlfn.IFS(Y321=1,"Poor",Y321=2,"Average",Y321=3,"Good",TRUE,"Excellent")</f>
        <v>Good</v>
      </c>
      <c r="AP321" t="str" cm="1">
        <f t="array" ref="AP321">_xlfn.IFS(Q321=1,"Low",Q321=2,"Medium",Q321=3,"High",TRUE,"Very High")</f>
        <v>Medium</v>
      </c>
    </row>
    <row r="322" spans="1:42" x14ac:dyDescent="0.25">
      <c r="A322">
        <v>27</v>
      </c>
      <c r="B322" t="s">
        <v>42</v>
      </c>
      <c r="C322" t="s">
        <v>90</v>
      </c>
      <c r="D322">
        <v>1377</v>
      </c>
      <c r="E322" t="s">
        <v>36</v>
      </c>
      <c r="F322">
        <v>2</v>
      </c>
      <c r="G322">
        <v>3</v>
      </c>
      <c r="H322" t="s">
        <v>37</v>
      </c>
      <c r="I322">
        <v>1</v>
      </c>
      <c r="J322">
        <v>437</v>
      </c>
      <c r="K322">
        <v>4</v>
      </c>
      <c r="L322" t="s">
        <v>44</v>
      </c>
      <c r="M322">
        <v>74</v>
      </c>
      <c r="N322">
        <v>3</v>
      </c>
      <c r="O322">
        <v>2</v>
      </c>
      <c r="P322" t="s">
        <v>39</v>
      </c>
      <c r="Q322">
        <v>3</v>
      </c>
      <c r="R322" t="s">
        <v>40</v>
      </c>
      <c r="S322">
        <v>4478</v>
      </c>
      <c r="T322">
        <v>5242</v>
      </c>
      <c r="U322">
        <v>1</v>
      </c>
      <c r="V322" t="s">
        <v>41</v>
      </c>
      <c r="W322" t="s">
        <v>35</v>
      </c>
      <c r="X322">
        <v>11</v>
      </c>
      <c r="Y322">
        <v>3</v>
      </c>
      <c r="Z322">
        <v>1</v>
      </c>
      <c r="AA322">
        <v>80</v>
      </c>
      <c r="AB322">
        <v>0</v>
      </c>
      <c r="AC322">
        <v>5</v>
      </c>
      <c r="AD322">
        <v>3</v>
      </c>
      <c r="AE322">
        <v>3</v>
      </c>
      <c r="AF322">
        <v>5</v>
      </c>
      <c r="AG322">
        <v>4</v>
      </c>
      <c r="AH322">
        <v>0</v>
      </c>
      <c r="AI322">
        <v>4</v>
      </c>
      <c r="AJ322">
        <f t="shared" ref="AJ322:AJ385" si="5">IF(B322="yes",1,0)</f>
        <v>0</v>
      </c>
      <c r="AK322" t="str" cm="1">
        <f t="array" ref="AK322">_xlfn.IFS(A322&lt;=30,"18-30",A322&lt;=45,"31-45",A322&lt;=60,"46-60",TRUE, "60+")</f>
        <v>18-30</v>
      </c>
      <c r="AL322" t="str" cm="1">
        <f t="array" ref="AL322">_xlfn.IFS(F322&lt;=10,"0-10",F322&lt;=20,"11-20",TRUE,"20+")</f>
        <v>0-10</v>
      </c>
      <c r="AM322" t="str" cm="1">
        <f t="array" ref="AM322">_xlfn.IFS(S322&lt;=5000,"0-5k",S322&lt;=10000,"5k-10k",S322&lt;=15000,"10k-15k",TRUE,"15k+")</f>
        <v>0-5k</v>
      </c>
      <c r="AN322" t="str" cm="1">
        <f t="array" ref="AN322">_xlfn.IFS(AF322&lt;=10,"0-10",AF322&lt;=20,"10-20",AF322&lt;=30,"20-30",TRUE,"30+")</f>
        <v>0-10</v>
      </c>
      <c r="AO322" t="str" cm="1">
        <f t="array" ref="AO322">_xlfn.IFS(Y322=1,"Poor",Y322=2,"Average",Y322=3,"Good",TRUE,"Excellent")</f>
        <v>Good</v>
      </c>
      <c r="AP322" t="str" cm="1">
        <f t="array" ref="AP322">_xlfn.IFS(Q322=1,"Low",Q322=2,"Medium",Q322=3,"High",TRUE,"Very High")</f>
        <v>High</v>
      </c>
    </row>
    <row r="323" spans="1:42" x14ac:dyDescent="0.25">
      <c r="A323">
        <v>31</v>
      </c>
      <c r="B323" t="s">
        <v>42</v>
      </c>
      <c r="C323" t="s">
        <v>90</v>
      </c>
      <c r="D323">
        <v>691</v>
      </c>
      <c r="E323" t="s">
        <v>36</v>
      </c>
      <c r="F323">
        <v>7</v>
      </c>
      <c r="G323">
        <v>3</v>
      </c>
      <c r="H323" t="s">
        <v>57</v>
      </c>
      <c r="I323">
        <v>1</v>
      </c>
      <c r="J323">
        <v>438</v>
      </c>
      <c r="K323">
        <v>4</v>
      </c>
      <c r="L323" t="s">
        <v>44</v>
      </c>
      <c r="M323">
        <v>73</v>
      </c>
      <c r="N323">
        <v>3</v>
      </c>
      <c r="O323">
        <v>2</v>
      </c>
      <c r="P323" t="s">
        <v>39</v>
      </c>
      <c r="Q323">
        <v>4</v>
      </c>
      <c r="R323" t="s">
        <v>50</v>
      </c>
      <c r="S323">
        <v>7547</v>
      </c>
      <c r="T323">
        <v>7143</v>
      </c>
      <c r="U323">
        <v>4</v>
      </c>
      <c r="V323" t="s">
        <v>41</v>
      </c>
      <c r="W323" t="s">
        <v>42</v>
      </c>
      <c r="X323">
        <v>12</v>
      </c>
      <c r="Y323">
        <v>3</v>
      </c>
      <c r="Z323">
        <v>4</v>
      </c>
      <c r="AA323">
        <v>80</v>
      </c>
      <c r="AB323">
        <v>3</v>
      </c>
      <c r="AC323">
        <v>13</v>
      </c>
      <c r="AD323">
        <v>3</v>
      </c>
      <c r="AE323">
        <v>3</v>
      </c>
      <c r="AF323">
        <v>7</v>
      </c>
      <c r="AG323">
        <v>7</v>
      </c>
      <c r="AH323">
        <v>1</v>
      </c>
      <c r="AI323">
        <v>7</v>
      </c>
      <c r="AJ323">
        <f t="shared" si="5"/>
        <v>0</v>
      </c>
      <c r="AK323" t="str" cm="1">
        <f t="array" ref="AK323">_xlfn.IFS(A323&lt;=30,"18-30",A323&lt;=45,"31-45",A323&lt;=60,"46-60",TRUE, "60+")</f>
        <v>31-45</v>
      </c>
      <c r="AL323" t="str" cm="1">
        <f t="array" ref="AL323">_xlfn.IFS(F323&lt;=10,"0-10",F323&lt;=20,"11-20",TRUE,"20+")</f>
        <v>0-10</v>
      </c>
      <c r="AM323" t="str" cm="1">
        <f t="array" ref="AM323">_xlfn.IFS(S323&lt;=5000,"0-5k",S323&lt;=10000,"5k-10k",S323&lt;=15000,"10k-15k",TRUE,"15k+")</f>
        <v>5k-10k</v>
      </c>
      <c r="AN323" t="str" cm="1">
        <f t="array" ref="AN323">_xlfn.IFS(AF323&lt;=10,"0-10",AF323&lt;=20,"10-20",AF323&lt;=30,"20-30",TRUE,"30+")</f>
        <v>0-10</v>
      </c>
      <c r="AO323" t="str" cm="1">
        <f t="array" ref="AO323">_xlfn.IFS(Y323=1,"Poor",Y323=2,"Average",Y323=3,"Good",TRUE,"Excellent")</f>
        <v>Good</v>
      </c>
      <c r="AP323" t="str" cm="1">
        <f t="array" ref="AP323">_xlfn.IFS(Q323=1,"Low",Q323=2,"Medium",Q323=3,"High",TRUE,"Very High")</f>
        <v>Very High</v>
      </c>
    </row>
    <row r="324" spans="1:42" x14ac:dyDescent="0.25">
      <c r="A324">
        <v>32</v>
      </c>
      <c r="B324" t="s">
        <v>42</v>
      </c>
      <c r="C324" t="s">
        <v>90</v>
      </c>
      <c r="D324">
        <v>1018</v>
      </c>
      <c r="E324" t="s">
        <v>43</v>
      </c>
      <c r="F324">
        <v>2</v>
      </c>
      <c r="G324">
        <v>4</v>
      </c>
      <c r="H324" t="s">
        <v>49</v>
      </c>
      <c r="I324">
        <v>1</v>
      </c>
      <c r="J324">
        <v>439</v>
      </c>
      <c r="K324">
        <v>1</v>
      </c>
      <c r="L324" t="s">
        <v>38</v>
      </c>
      <c r="M324">
        <v>74</v>
      </c>
      <c r="N324">
        <v>4</v>
      </c>
      <c r="O324">
        <v>2</v>
      </c>
      <c r="P324" t="s">
        <v>45</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c r="AJ324">
        <f t="shared" si="5"/>
        <v>0</v>
      </c>
      <c r="AK324" t="str" cm="1">
        <f t="array" ref="AK324">_xlfn.IFS(A324&lt;=30,"18-30",A324&lt;=45,"31-45",A324&lt;=60,"46-60",TRUE, "60+")</f>
        <v>31-45</v>
      </c>
      <c r="AL324" t="str" cm="1">
        <f t="array" ref="AL324">_xlfn.IFS(F324&lt;=10,"0-10",F324&lt;=20,"11-20",TRUE,"20+")</f>
        <v>0-10</v>
      </c>
      <c r="AM324" t="str" cm="1">
        <f t="array" ref="AM324">_xlfn.IFS(S324&lt;=5000,"0-5k",S324&lt;=10000,"5k-10k",S324&lt;=15000,"10k-15k",TRUE,"15k+")</f>
        <v>5k-10k</v>
      </c>
      <c r="AN324" t="str" cm="1">
        <f t="array" ref="AN324">_xlfn.IFS(AF324&lt;=10,"0-10",AF324&lt;=20,"10-20",AF324&lt;=30,"20-30",TRUE,"30+")</f>
        <v>0-10</v>
      </c>
      <c r="AO324" t="str" cm="1">
        <f t="array" ref="AO324">_xlfn.IFS(Y324=1,"Poor",Y324=2,"Average",Y324=3,"Good",TRUE,"Excellent")</f>
        <v>Good</v>
      </c>
      <c r="AP324" t="str" cm="1">
        <f t="array" ref="AP324">_xlfn.IFS(Q324=1,"Low",Q324=2,"Medium",Q324=3,"High",TRUE,"Very High")</f>
        <v>Very High</v>
      </c>
    </row>
    <row r="325" spans="1:42" x14ac:dyDescent="0.25">
      <c r="A325">
        <v>28</v>
      </c>
      <c r="B325" t="s">
        <v>35</v>
      </c>
      <c r="C325" t="s">
        <v>90</v>
      </c>
      <c r="D325">
        <v>1157</v>
      </c>
      <c r="E325" t="s">
        <v>43</v>
      </c>
      <c r="F325">
        <v>2</v>
      </c>
      <c r="G325">
        <v>4</v>
      </c>
      <c r="H325" t="s">
        <v>49</v>
      </c>
      <c r="I325">
        <v>1</v>
      </c>
      <c r="J325">
        <v>440</v>
      </c>
      <c r="K325">
        <v>1</v>
      </c>
      <c r="L325" t="s">
        <v>44</v>
      </c>
      <c r="M325">
        <v>84</v>
      </c>
      <c r="N325">
        <v>1</v>
      </c>
      <c r="O325">
        <v>1</v>
      </c>
      <c r="P325" t="s">
        <v>45</v>
      </c>
      <c r="Q325">
        <v>4</v>
      </c>
      <c r="R325" t="s">
        <v>46</v>
      </c>
      <c r="S325">
        <v>3464</v>
      </c>
      <c r="T325">
        <v>24737</v>
      </c>
      <c r="U325">
        <v>5</v>
      </c>
      <c r="V325" t="s">
        <v>41</v>
      </c>
      <c r="W325" t="s">
        <v>35</v>
      </c>
      <c r="X325">
        <v>13</v>
      </c>
      <c r="Y325">
        <v>3</v>
      </c>
      <c r="Z325">
        <v>4</v>
      </c>
      <c r="AA325">
        <v>80</v>
      </c>
      <c r="AB325">
        <v>0</v>
      </c>
      <c r="AC325">
        <v>5</v>
      </c>
      <c r="AD325">
        <v>4</v>
      </c>
      <c r="AE325">
        <v>2</v>
      </c>
      <c r="AF325">
        <v>3</v>
      </c>
      <c r="AG325">
        <v>2</v>
      </c>
      <c r="AH325">
        <v>2</v>
      </c>
      <c r="AI325">
        <v>2</v>
      </c>
      <c r="AJ325">
        <f t="shared" si="5"/>
        <v>1</v>
      </c>
      <c r="AK325" t="str" cm="1">
        <f t="array" ref="AK325">_xlfn.IFS(A325&lt;=30,"18-30",A325&lt;=45,"31-45",A325&lt;=60,"46-60",TRUE, "60+")</f>
        <v>18-30</v>
      </c>
      <c r="AL325" t="str" cm="1">
        <f t="array" ref="AL325">_xlfn.IFS(F325&lt;=10,"0-10",F325&lt;=20,"11-20",TRUE,"20+")</f>
        <v>0-10</v>
      </c>
      <c r="AM325" t="str" cm="1">
        <f t="array" ref="AM325">_xlfn.IFS(S325&lt;=5000,"0-5k",S325&lt;=10000,"5k-10k",S325&lt;=15000,"10k-15k",TRUE,"15k+")</f>
        <v>0-5k</v>
      </c>
      <c r="AN325" t="str" cm="1">
        <f t="array" ref="AN325">_xlfn.IFS(AF325&lt;=10,"0-10",AF325&lt;=20,"10-20",AF325&lt;=30,"20-30",TRUE,"30+")</f>
        <v>0-10</v>
      </c>
      <c r="AO325" t="str" cm="1">
        <f t="array" ref="AO325">_xlfn.IFS(Y325=1,"Poor",Y325=2,"Average",Y325=3,"Good",TRUE,"Excellent")</f>
        <v>Good</v>
      </c>
      <c r="AP325" t="str" cm="1">
        <f t="array" ref="AP325">_xlfn.IFS(Q325=1,"Low",Q325=2,"Medium",Q325=3,"High",TRUE,"Very High")</f>
        <v>Very High</v>
      </c>
    </row>
    <row r="326" spans="1:42" x14ac:dyDescent="0.25">
      <c r="A326">
        <v>30</v>
      </c>
      <c r="B326" t="s">
        <v>42</v>
      </c>
      <c r="C326" t="s">
        <v>90</v>
      </c>
      <c r="D326">
        <v>1275</v>
      </c>
      <c r="E326" t="s">
        <v>43</v>
      </c>
      <c r="F326">
        <v>28</v>
      </c>
      <c r="G326">
        <v>2</v>
      </c>
      <c r="H326" t="s">
        <v>49</v>
      </c>
      <c r="I326">
        <v>1</v>
      </c>
      <c r="J326">
        <v>441</v>
      </c>
      <c r="K326">
        <v>4</v>
      </c>
      <c r="L326" t="s">
        <v>38</v>
      </c>
      <c r="M326">
        <v>64</v>
      </c>
      <c r="N326">
        <v>3</v>
      </c>
      <c r="O326">
        <v>2</v>
      </c>
      <c r="P326" t="s">
        <v>45</v>
      </c>
      <c r="Q326">
        <v>4</v>
      </c>
      <c r="R326" t="s">
        <v>46</v>
      </c>
      <c r="S326">
        <v>5775</v>
      </c>
      <c r="T326">
        <v>11934</v>
      </c>
      <c r="U326">
        <v>1</v>
      </c>
      <c r="V326" t="s">
        <v>41</v>
      </c>
      <c r="W326" t="s">
        <v>42</v>
      </c>
      <c r="X326">
        <v>13</v>
      </c>
      <c r="Y326">
        <v>3</v>
      </c>
      <c r="Z326">
        <v>4</v>
      </c>
      <c r="AA326">
        <v>80</v>
      </c>
      <c r="AB326">
        <v>2</v>
      </c>
      <c r="AC326">
        <v>11</v>
      </c>
      <c r="AD326">
        <v>2</v>
      </c>
      <c r="AE326">
        <v>3</v>
      </c>
      <c r="AF326">
        <v>10</v>
      </c>
      <c r="AG326">
        <v>8</v>
      </c>
      <c r="AH326">
        <v>1</v>
      </c>
      <c r="AI326">
        <v>9</v>
      </c>
      <c r="AJ326">
        <f t="shared" si="5"/>
        <v>0</v>
      </c>
      <c r="AK326" t="str" cm="1">
        <f t="array" ref="AK326">_xlfn.IFS(A326&lt;=30,"18-30",A326&lt;=45,"31-45",A326&lt;=60,"46-60",TRUE, "60+")</f>
        <v>18-30</v>
      </c>
      <c r="AL326" t="str" cm="1">
        <f t="array" ref="AL326">_xlfn.IFS(F326&lt;=10,"0-10",F326&lt;=20,"11-20",TRUE,"20+")</f>
        <v>20+</v>
      </c>
      <c r="AM326" t="str" cm="1">
        <f t="array" ref="AM326">_xlfn.IFS(S326&lt;=5000,"0-5k",S326&lt;=10000,"5k-10k",S326&lt;=15000,"10k-15k",TRUE,"15k+")</f>
        <v>5k-10k</v>
      </c>
      <c r="AN326" t="str" cm="1">
        <f t="array" ref="AN326">_xlfn.IFS(AF326&lt;=10,"0-10",AF326&lt;=20,"10-20",AF326&lt;=30,"20-30",TRUE,"30+")</f>
        <v>0-10</v>
      </c>
      <c r="AO326" t="str" cm="1">
        <f t="array" ref="AO326">_xlfn.IFS(Y326=1,"Poor",Y326=2,"Average",Y326=3,"Good",TRUE,"Excellent")</f>
        <v>Good</v>
      </c>
      <c r="AP326" t="str" cm="1">
        <f t="array" ref="AP326">_xlfn.IFS(Q326=1,"Low",Q326=2,"Medium",Q326=3,"High",TRUE,"Very High")</f>
        <v>Very High</v>
      </c>
    </row>
    <row r="327" spans="1:42" x14ac:dyDescent="0.25">
      <c r="A327">
        <v>31</v>
      </c>
      <c r="B327" t="s">
        <v>42</v>
      </c>
      <c r="C327" t="s">
        <v>91</v>
      </c>
      <c r="D327">
        <v>798</v>
      </c>
      <c r="E327" t="s">
        <v>43</v>
      </c>
      <c r="F327">
        <v>7</v>
      </c>
      <c r="G327">
        <v>2</v>
      </c>
      <c r="H327" t="s">
        <v>37</v>
      </c>
      <c r="I327">
        <v>1</v>
      </c>
      <c r="J327">
        <v>442</v>
      </c>
      <c r="K327">
        <v>3</v>
      </c>
      <c r="L327" t="s">
        <v>38</v>
      </c>
      <c r="M327">
        <v>48</v>
      </c>
      <c r="N327">
        <v>2</v>
      </c>
      <c r="O327">
        <v>3</v>
      </c>
      <c r="P327" t="s">
        <v>51</v>
      </c>
      <c r="Q327">
        <v>3</v>
      </c>
      <c r="R327" t="s">
        <v>46</v>
      </c>
      <c r="S327">
        <v>8943</v>
      </c>
      <c r="T327">
        <v>14034</v>
      </c>
      <c r="U327">
        <v>1</v>
      </c>
      <c r="V327" t="s">
        <v>41</v>
      </c>
      <c r="W327" t="s">
        <v>42</v>
      </c>
      <c r="X327">
        <v>24</v>
      </c>
      <c r="Y327">
        <v>4</v>
      </c>
      <c r="Z327">
        <v>1</v>
      </c>
      <c r="AA327">
        <v>80</v>
      </c>
      <c r="AB327">
        <v>1</v>
      </c>
      <c r="AC327">
        <v>10</v>
      </c>
      <c r="AD327">
        <v>2</v>
      </c>
      <c r="AE327">
        <v>3</v>
      </c>
      <c r="AF327">
        <v>10</v>
      </c>
      <c r="AG327">
        <v>9</v>
      </c>
      <c r="AH327">
        <v>8</v>
      </c>
      <c r="AI327">
        <v>9</v>
      </c>
      <c r="AJ327">
        <f t="shared" si="5"/>
        <v>0</v>
      </c>
      <c r="AK327" t="str" cm="1">
        <f t="array" ref="AK327">_xlfn.IFS(A327&lt;=30,"18-30",A327&lt;=45,"31-45",A327&lt;=60,"46-60",TRUE, "60+")</f>
        <v>31-45</v>
      </c>
      <c r="AL327" t="str" cm="1">
        <f t="array" ref="AL327">_xlfn.IFS(F327&lt;=10,"0-10",F327&lt;=20,"11-20",TRUE,"20+")</f>
        <v>0-10</v>
      </c>
      <c r="AM327" t="str" cm="1">
        <f t="array" ref="AM327">_xlfn.IFS(S327&lt;=5000,"0-5k",S327&lt;=10000,"5k-10k",S327&lt;=15000,"10k-15k",TRUE,"15k+")</f>
        <v>5k-10k</v>
      </c>
      <c r="AN327" t="str" cm="1">
        <f t="array" ref="AN327">_xlfn.IFS(AF327&lt;=10,"0-10",AF327&lt;=20,"10-20",AF327&lt;=30,"20-30",TRUE,"30+")</f>
        <v>0-10</v>
      </c>
      <c r="AO327" t="str" cm="1">
        <f t="array" ref="AO327">_xlfn.IFS(Y327=1,"Poor",Y327=2,"Average",Y327=3,"Good",TRUE,"Excellent")</f>
        <v>Excellent</v>
      </c>
      <c r="AP327" t="str" cm="1">
        <f t="array" ref="AP327">_xlfn.IFS(Q327=1,"Low",Q327=2,"Medium",Q327=3,"High",TRUE,"Very High")</f>
        <v>High</v>
      </c>
    </row>
    <row r="328" spans="1:42" x14ac:dyDescent="0.25">
      <c r="A328">
        <v>39</v>
      </c>
      <c r="B328" t="s">
        <v>42</v>
      </c>
      <c r="C328" t="s">
        <v>91</v>
      </c>
      <c r="D328">
        <v>672</v>
      </c>
      <c r="E328" t="s">
        <v>43</v>
      </c>
      <c r="F328">
        <v>7</v>
      </c>
      <c r="G328">
        <v>2</v>
      </c>
      <c r="H328" t="s">
        <v>49</v>
      </c>
      <c r="I328">
        <v>1</v>
      </c>
      <c r="J328">
        <v>444</v>
      </c>
      <c r="K328">
        <v>3</v>
      </c>
      <c r="L328" t="s">
        <v>44</v>
      </c>
      <c r="M328">
        <v>54</v>
      </c>
      <c r="N328">
        <v>2</v>
      </c>
      <c r="O328">
        <v>5</v>
      </c>
      <c r="P328" t="s">
        <v>54</v>
      </c>
      <c r="Q328">
        <v>4</v>
      </c>
      <c r="R328" t="s">
        <v>46</v>
      </c>
      <c r="S328">
        <v>19272</v>
      </c>
      <c r="T328">
        <v>21141</v>
      </c>
      <c r="U328">
        <v>1</v>
      </c>
      <c r="V328" t="s">
        <v>41</v>
      </c>
      <c r="W328" t="s">
        <v>42</v>
      </c>
      <c r="X328">
        <v>15</v>
      </c>
      <c r="Y328">
        <v>3</v>
      </c>
      <c r="Z328">
        <v>1</v>
      </c>
      <c r="AA328">
        <v>80</v>
      </c>
      <c r="AB328">
        <v>1</v>
      </c>
      <c r="AC328">
        <v>21</v>
      </c>
      <c r="AD328">
        <v>2</v>
      </c>
      <c r="AE328">
        <v>3</v>
      </c>
      <c r="AF328">
        <v>21</v>
      </c>
      <c r="AG328">
        <v>9</v>
      </c>
      <c r="AH328">
        <v>13</v>
      </c>
      <c r="AI328">
        <v>3</v>
      </c>
      <c r="AJ328">
        <f t="shared" si="5"/>
        <v>0</v>
      </c>
      <c r="AK328" t="str" cm="1">
        <f t="array" ref="AK328">_xlfn.IFS(A328&lt;=30,"18-30",A328&lt;=45,"31-45",A328&lt;=60,"46-60",TRUE, "60+")</f>
        <v>31-45</v>
      </c>
      <c r="AL328" t="str" cm="1">
        <f t="array" ref="AL328">_xlfn.IFS(F328&lt;=10,"0-10",F328&lt;=20,"11-20",TRUE,"20+")</f>
        <v>0-10</v>
      </c>
      <c r="AM328" t="str" cm="1">
        <f t="array" ref="AM328">_xlfn.IFS(S328&lt;=5000,"0-5k",S328&lt;=10000,"5k-10k",S328&lt;=15000,"10k-15k",TRUE,"15k+")</f>
        <v>15k+</v>
      </c>
      <c r="AN328" t="str" cm="1">
        <f t="array" ref="AN328">_xlfn.IFS(AF328&lt;=10,"0-10",AF328&lt;=20,"10-20",AF328&lt;=30,"20-30",TRUE,"30+")</f>
        <v>20-30</v>
      </c>
      <c r="AO328" t="str" cm="1">
        <f t="array" ref="AO328">_xlfn.IFS(Y328=1,"Poor",Y328=2,"Average",Y328=3,"Good",TRUE,"Excellent")</f>
        <v>Good</v>
      </c>
      <c r="AP328" t="str" cm="1">
        <f t="array" ref="AP328">_xlfn.IFS(Q328=1,"Low",Q328=2,"Medium",Q328=3,"High",TRUE,"Very High")</f>
        <v>Very High</v>
      </c>
    </row>
    <row r="329" spans="1:42" x14ac:dyDescent="0.25">
      <c r="A329">
        <v>39</v>
      </c>
      <c r="B329" t="s">
        <v>35</v>
      </c>
      <c r="C329" t="s">
        <v>90</v>
      </c>
      <c r="D329">
        <v>1162</v>
      </c>
      <c r="E329" t="s">
        <v>36</v>
      </c>
      <c r="F329">
        <v>3</v>
      </c>
      <c r="G329">
        <v>2</v>
      </c>
      <c r="H329" t="s">
        <v>49</v>
      </c>
      <c r="I329">
        <v>1</v>
      </c>
      <c r="J329">
        <v>445</v>
      </c>
      <c r="K329">
        <v>4</v>
      </c>
      <c r="L329" t="s">
        <v>38</v>
      </c>
      <c r="M329">
        <v>41</v>
      </c>
      <c r="N329">
        <v>3</v>
      </c>
      <c r="O329">
        <v>2</v>
      </c>
      <c r="P329" t="s">
        <v>39</v>
      </c>
      <c r="Q329">
        <v>3</v>
      </c>
      <c r="R329" t="s">
        <v>46</v>
      </c>
      <c r="S329">
        <v>5238</v>
      </c>
      <c r="T329">
        <v>17778</v>
      </c>
      <c r="U329">
        <v>4</v>
      </c>
      <c r="V329" t="s">
        <v>41</v>
      </c>
      <c r="W329" t="s">
        <v>35</v>
      </c>
      <c r="X329">
        <v>18</v>
      </c>
      <c r="Y329">
        <v>3</v>
      </c>
      <c r="Z329">
        <v>1</v>
      </c>
      <c r="AA329">
        <v>80</v>
      </c>
      <c r="AB329">
        <v>0</v>
      </c>
      <c r="AC329">
        <v>12</v>
      </c>
      <c r="AD329">
        <v>3</v>
      </c>
      <c r="AE329">
        <v>2</v>
      </c>
      <c r="AF329">
        <v>1</v>
      </c>
      <c r="AG329">
        <v>0</v>
      </c>
      <c r="AH329">
        <v>0</v>
      </c>
      <c r="AI329">
        <v>0</v>
      </c>
      <c r="AJ329">
        <f t="shared" si="5"/>
        <v>1</v>
      </c>
      <c r="AK329" t="str" cm="1">
        <f t="array" ref="AK329">_xlfn.IFS(A329&lt;=30,"18-30",A329&lt;=45,"31-45",A329&lt;=60,"46-60",TRUE, "60+")</f>
        <v>31-45</v>
      </c>
      <c r="AL329" t="str" cm="1">
        <f t="array" ref="AL329">_xlfn.IFS(F329&lt;=10,"0-10",F329&lt;=20,"11-20",TRUE,"20+")</f>
        <v>0-10</v>
      </c>
      <c r="AM329" t="str" cm="1">
        <f t="array" ref="AM329">_xlfn.IFS(S329&lt;=5000,"0-5k",S329&lt;=10000,"5k-10k",S329&lt;=15000,"10k-15k",TRUE,"15k+")</f>
        <v>5k-10k</v>
      </c>
      <c r="AN329" t="str" cm="1">
        <f t="array" ref="AN329">_xlfn.IFS(AF329&lt;=10,"0-10",AF329&lt;=20,"10-20",AF329&lt;=30,"20-30",TRUE,"30+")</f>
        <v>0-10</v>
      </c>
      <c r="AO329" t="str" cm="1">
        <f t="array" ref="AO329">_xlfn.IFS(Y329=1,"Poor",Y329=2,"Average",Y329=3,"Good",TRUE,"Excellent")</f>
        <v>Good</v>
      </c>
      <c r="AP329" t="str" cm="1">
        <f t="array" ref="AP329">_xlfn.IFS(Q329=1,"Low",Q329=2,"Medium",Q329=3,"High",TRUE,"Very High")</f>
        <v>High</v>
      </c>
    </row>
    <row r="330" spans="1:42" x14ac:dyDescent="0.25">
      <c r="A330">
        <v>33</v>
      </c>
      <c r="B330" t="s">
        <v>42</v>
      </c>
      <c r="C330" t="s">
        <v>91</v>
      </c>
      <c r="D330">
        <v>508</v>
      </c>
      <c r="E330" t="s">
        <v>36</v>
      </c>
      <c r="F330">
        <v>10</v>
      </c>
      <c r="G330">
        <v>3</v>
      </c>
      <c r="H330" t="s">
        <v>57</v>
      </c>
      <c r="I330">
        <v>1</v>
      </c>
      <c r="J330">
        <v>446</v>
      </c>
      <c r="K330">
        <v>2</v>
      </c>
      <c r="L330" t="s">
        <v>44</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c r="AJ330">
        <f t="shared" si="5"/>
        <v>0</v>
      </c>
      <c r="AK330" t="str" cm="1">
        <f t="array" ref="AK330">_xlfn.IFS(A330&lt;=30,"18-30",A330&lt;=45,"31-45",A330&lt;=60,"46-60",TRUE, "60+")</f>
        <v>31-45</v>
      </c>
      <c r="AL330" t="str" cm="1">
        <f t="array" ref="AL330">_xlfn.IFS(F330&lt;=10,"0-10",F330&lt;=20,"11-20",TRUE,"20+")</f>
        <v>0-10</v>
      </c>
      <c r="AM330" t="str" cm="1">
        <f t="array" ref="AM330">_xlfn.IFS(S330&lt;=5000,"0-5k",S330&lt;=10000,"5k-10k",S330&lt;=15000,"10k-15k",TRUE,"15k+")</f>
        <v>0-5k</v>
      </c>
      <c r="AN330" t="str" cm="1">
        <f t="array" ref="AN330">_xlfn.IFS(AF330&lt;=10,"0-10",AF330&lt;=20,"10-20",AF330&lt;=30,"20-30",TRUE,"30+")</f>
        <v>0-10</v>
      </c>
      <c r="AO330" t="str" cm="1">
        <f t="array" ref="AO330">_xlfn.IFS(Y330=1,"Poor",Y330=2,"Average",Y330=3,"Good",TRUE,"Excellent")</f>
        <v>Good</v>
      </c>
      <c r="AP330" t="str" cm="1">
        <f t="array" ref="AP330">_xlfn.IFS(Q330=1,"Low",Q330=2,"Medium",Q330=3,"High",TRUE,"Very High")</f>
        <v>Very High</v>
      </c>
    </row>
    <row r="331" spans="1:42" x14ac:dyDescent="0.25">
      <c r="A331">
        <v>47</v>
      </c>
      <c r="B331" t="s">
        <v>42</v>
      </c>
      <c r="C331" t="s">
        <v>90</v>
      </c>
      <c r="D331">
        <v>1482</v>
      </c>
      <c r="E331" t="s">
        <v>43</v>
      </c>
      <c r="F331">
        <v>5</v>
      </c>
      <c r="G331">
        <v>5</v>
      </c>
      <c r="H331" t="s">
        <v>37</v>
      </c>
      <c r="I331">
        <v>1</v>
      </c>
      <c r="J331">
        <v>447</v>
      </c>
      <c r="K331">
        <v>4</v>
      </c>
      <c r="L331" t="s">
        <v>44</v>
      </c>
      <c r="M331">
        <v>42</v>
      </c>
      <c r="N331">
        <v>3</v>
      </c>
      <c r="O331">
        <v>5</v>
      </c>
      <c r="P331" t="s">
        <v>56</v>
      </c>
      <c r="Q331">
        <v>3</v>
      </c>
      <c r="R331" t="s">
        <v>46</v>
      </c>
      <c r="S331">
        <v>18300</v>
      </c>
      <c r="T331">
        <v>16375</v>
      </c>
      <c r="U331">
        <v>4</v>
      </c>
      <c r="V331" t="s">
        <v>41</v>
      </c>
      <c r="W331" t="s">
        <v>42</v>
      </c>
      <c r="X331">
        <v>11</v>
      </c>
      <c r="Y331">
        <v>3</v>
      </c>
      <c r="Z331">
        <v>2</v>
      </c>
      <c r="AA331">
        <v>80</v>
      </c>
      <c r="AB331">
        <v>1</v>
      </c>
      <c r="AC331">
        <v>21</v>
      </c>
      <c r="AD331">
        <v>2</v>
      </c>
      <c r="AE331">
        <v>3</v>
      </c>
      <c r="AF331">
        <v>3</v>
      </c>
      <c r="AG331">
        <v>2</v>
      </c>
      <c r="AH331">
        <v>1</v>
      </c>
      <c r="AI331">
        <v>1</v>
      </c>
      <c r="AJ331">
        <f t="shared" si="5"/>
        <v>0</v>
      </c>
      <c r="AK331" t="str" cm="1">
        <f t="array" ref="AK331">_xlfn.IFS(A331&lt;=30,"18-30",A331&lt;=45,"31-45",A331&lt;=60,"46-60",TRUE, "60+")</f>
        <v>46-60</v>
      </c>
      <c r="AL331" t="str" cm="1">
        <f t="array" ref="AL331">_xlfn.IFS(F331&lt;=10,"0-10",F331&lt;=20,"11-20",TRUE,"20+")</f>
        <v>0-10</v>
      </c>
      <c r="AM331" t="str" cm="1">
        <f t="array" ref="AM331">_xlfn.IFS(S331&lt;=5000,"0-5k",S331&lt;=10000,"5k-10k",S331&lt;=15000,"10k-15k",TRUE,"15k+")</f>
        <v>15k+</v>
      </c>
      <c r="AN331" t="str" cm="1">
        <f t="array" ref="AN331">_xlfn.IFS(AF331&lt;=10,"0-10",AF331&lt;=20,"10-20",AF331&lt;=30,"20-30",TRUE,"30+")</f>
        <v>0-10</v>
      </c>
      <c r="AO331" t="str" cm="1">
        <f t="array" ref="AO331">_xlfn.IFS(Y331=1,"Poor",Y331=2,"Average",Y331=3,"Good",TRUE,"Excellent")</f>
        <v>Good</v>
      </c>
      <c r="AP331" t="str" cm="1">
        <f t="array" ref="AP331">_xlfn.IFS(Q331=1,"Low",Q331=2,"Medium",Q331=3,"High",TRUE,"Very High")</f>
        <v>High</v>
      </c>
    </row>
    <row r="332" spans="1:42" x14ac:dyDescent="0.25">
      <c r="A332">
        <v>43</v>
      </c>
      <c r="B332" t="s">
        <v>42</v>
      </c>
      <c r="C332" t="s">
        <v>91</v>
      </c>
      <c r="D332">
        <v>559</v>
      </c>
      <c r="E332" t="s">
        <v>43</v>
      </c>
      <c r="F332">
        <v>10</v>
      </c>
      <c r="G332">
        <v>4</v>
      </c>
      <c r="H332" t="s">
        <v>37</v>
      </c>
      <c r="I332">
        <v>1</v>
      </c>
      <c r="J332">
        <v>448</v>
      </c>
      <c r="K332">
        <v>3</v>
      </c>
      <c r="L332" t="s">
        <v>38</v>
      </c>
      <c r="M332">
        <v>82</v>
      </c>
      <c r="N332">
        <v>2</v>
      </c>
      <c r="O332">
        <v>2</v>
      </c>
      <c r="P332" t="s">
        <v>48</v>
      </c>
      <c r="Q332">
        <v>3</v>
      </c>
      <c r="R332" t="s">
        <v>50</v>
      </c>
      <c r="S332">
        <v>5257</v>
      </c>
      <c r="T332">
        <v>6227</v>
      </c>
      <c r="U332">
        <v>1</v>
      </c>
      <c r="V332" t="s">
        <v>41</v>
      </c>
      <c r="W332" t="s">
        <v>42</v>
      </c>
      <c r="X332">
        <v>11</v>
      </c>
      <c r="Y332">
        <v>3</v>
      </c>
      <c r="Z332">
        <v>2</v>
      </c>
      <c r="AA332">
        <v>80</v>
      </c>
      <c r="AB332">
        <v>1</v>
      </c>
      <c r="AC332">
        <v>9</v>
      </c>
      <c r="AD332">
        <v>3</v>
      </c>
      <c r="AE332">
        <v>4</v>
      </c>
      <c r="AF332">
        <v>9</v>
      </c>
      <c r="AG332">
        <v>7</v>
      </c>
      <c r="AH332">
        <v>0</v>
      </c>
      <c r="AI332">
        <v>0</v>
      </c>
      <c r="AJ332">
        <f t="shared" si="5"/>
        <v>0</v>
      </c>
      <c r="AK332" t="str" cm="1">
        <f t="array" ref="AK332">_xlfn.IFS(A332&lt;=30,"18-30",A332&lt;=45,"31-45",A332&lt;=60,"46-60",TRUE, "60+")</f>
        <v>31-45</v>
      </c>
      <c r="AL332" t="str" cm="1">
        <f t="array" ref="AL332">_xlfn.IFS(F332&lt;=10,"0-10",F332&lt;=20,"11-20",TRUE,"20+")</f>
        <v>0-10</v>
      </c>
      <c r="AM332" t="str" cm="1">
        <f t="array" ref="AM332">_xlfn.IFS(S332&lt;=5000,"0-5k",S332&lt;=10000,"5k-10k",S332&lt;=15000,"10k-15k",TRUE,"15k+")</f>
        <v>5k-10k</v>
      </c>
      <c r="AN332" t="str" cm="1">
        <f t="array" ref="AN332">_xlfn.IFS(AF332&lt;=10,"0-10",AF332&lt;=20,"10-20",AF332&lt;=30,"20-30",TRUE,"30+")</f>
        <v>0-10</v>
      </c>
      <c r="AO332" t="str" cm="1">
        <f t="array" ref="AO332">_xlfn.IFS(Y332=1,"Poor",Y332=2,"Average",Y332=3,"Good",TRUE,"Excellent")</f>
        <v>Good</v>
      </c>
      <c r="AP332" t="str" cm="1">
        <f t="array" ref="AP332">_xlfn.IFS(Q332=1,"Low",Q332=2,"Medium",Q332=3,"High",TRUE,"Very High")</f>
        <v>High</v>
      </c>
    </row>
    <row r="333" spans="1:42" x14ac:dyDescent="0.25">
      <c r="A333">
        <v>27</v>
      </c>
      <c r="B333" t="s">
        <v>42</v>
      </c>
      <c r="C333" t="s">
        <v>53</v>
      </c>
      <c r="D333">
        <v>210</v>
      </c>
      <c r="E333" t="s">
        <v>36</v>
      </c>
      <c r="F333">
        <v>1</v>
      </c>
      <c r="G333">
        <v>1</v>
      </c>
      <c r="H333" t="s">
        <v>57</v>
      </c>
      <c r="I333">
        <v>1</v>
      </c>
      <c r="J333">
        <v>449</v>
      </c>
      <c r="K333">
        <v>3</v>
      </c>
      <c r="L333" t="s">
        <v>44</v>
      </c>
      <c r="M333">
        <v>73</v>
      </c>
      <c r="N333">
        <v>3</v>
      </c>
      <c r="O333">
        <v>2</v>
      </c>
      <c r="P333" t="s">
        <v>39</v>
      </c>
      <c r="Q333">
        <v>2</v>
      </c>
      <c r="R333" t="s">
        <v>46</v>
      </c>
      <c r="S333">
        <v>6349</v>
      </c>
      <c r="T333">
        <v>22107</v>
      </c>
      <c r="U333">
        <v>0</v>
      </c>
      <c r="V333" t="s">
        <v>41</v>
      </c>
      <c r="W333" t="s">
        <v>35</v>
      </c>
      <c r="X333">
        <v>13</v>
      </c>
      <c r="Y333">
        <v>3</v>
      </c>
      <c r="Z333">
        <v>4</v>
      </c>
      <c r="AA333">
        <v>80</v>
      </c>
      <c r="AB333">
        <v>1</v>
      </c>
      <c r="AC333">
        <v>6</v>
      </c>
      <c r="AD333">
        <v>0</v>
      </c>
      <c r="AE333">
        <v>3</v>
      </c>
      <c r="AF333">
        <v>5</v>
      </c>
      <c r="AG333">
        <v>4</v>
      </c>
      <c r="AH333">
        <v>1</v>
      </c>
      <c r="AI333">
        <v>4</v>
      </c>
      <c r="AJ333">
        <f t="shared" si="5"/>
        <v>0</v>
      </c>
      <c r="AK333" t="str" cm="1">
        <f t="array" ref="AK333">_xlfn.IFS(A333&lt;=30,"18-30",A333&lt;=45,"31-45",A333&lt;=60,"46-60",TRUE, "60+")</f>
        <v>18-30</v>
      </c>
      <c r="AL333" t="str" cm="1">
        <f t="array" ref="AL333">_xlfn.IFS(F333&lt;=10,"0-10",F333&lt;=20,"11-20",TRUE,"20+")</f>
        <v>0-10</v>
      </c>
      <c r="AM333" t="str" cm="1">
        <f t="array" ref="AM333">_xlfn.IFS(S333&lt;=5000,"0-5k",S333&lt;=10000,"5k-10k",S333&lt;=15000,"10k-15k",TRUE,"15k+")</f>
        <v>5k-10k</v>
      </c>
      <c r="AN333" t="str" cm="1">
        <f t="array" ref="AN333">_xlfn.IFS(AF333&lt;=10,"0-10",AF333&lt;=20,"10-20",AF333&lt;=30,"20-30",TRUE,"30+")</f>
        <v>0-10</v>
      </c>
      <c r="AO333" t="str" cm="1">
        <f t="array" ref="AO333">_xlfn.IFS(Y333=1,"Poor",Y333=2,"Average",Y333=3,"Good",TRUE,"Excellent")</f>
        <v>Good</v>
      </c>
      <c r="AP333" t="str" cm="1">
        <f t="array" ref="AP333">_xlfn.IFS(Q333=1,"Low",Q333=2,"Medium",Q333=3,"High",TRUE,"Very High")</f>
        <v>Medium</v>
      </c>
    </row>
    <row r="334" spans="1:42" x14ac:dyDescent="0.25">
      <c r="A334">
        <v>54</v>
      </c>
      <c r="B334" t="s">
        <v>42</v>
      </c>
      <c r="C334" t="s">
        <v>91</v>
      </c>
      <c r="D334">
        <v>928</v>
      </c>
      <c r="E334" t="s">
        <v>43</v>
      </c>
      <c r="F334">
        <v>20</v>
      </c>
      <c r="G334">
        <v>4</v>
      </c>
      <c r="H334" t="s">
        <v>37</v>
      </c>
      <c r="I334">
        <v>1</v>
      </c>
      <c r="J334">
        <v>450</v>
      </c>
      <c r="K334">
        <v>4</v>
      </c>
      <c r="L334" t="s">
        <v>38</v>
      </c>
      <c r="M334">
        <v>31</v>
      </c>
      <c r="N334">
        <v>3</v>
      </c>
      <c r="O334">
        <v>2</v>
      </c>
      <c r="P334" t="s">
        <v>45</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c r="AJ334">
        <f t="shared" si="5"/>
        <v>0</v>
      </c>
      <c r="AK334" t="str" cm="1">
        <f t="array" ref="AK334">_xlfn.IFS(A334&lt;=30,"18-30",A334&lt;=45,"31-45",A334&lt;=60,"46-60",TRUE, "60+")</f>
        <v>46-60</v>
      </c>
      <c r="AL334" t="str" cm="1">
        <f t="array" ref="AL334">_xlfn.IFS(F334&lt;=10,"0-10",F334&lt;=20,"11-20",TRUE,"20+")</f>
        <v>11-20</v>
      </c>
      <c r="AM334" t="str" cm="1">
        <f t="array" ref="AM334">_xlfn.IFS(S334&lt;=5000,"0-5k",S334&lt;=10000,"5k-10k",S334&lt;=15000,"10k-15k",TRUE,"15k+")</f>
        <v>0-5k</v>
      </c>
      <c r="AN334" t="str" cm="1">
        <f t="array" ref="AN334">_xlfn.IFS(AF334&lt;=10,"0-10",AF334&lt;=20,"10-20",AF334&lt;=30,"20-30",TRUE,"30+")</f>
        <v>0-10</v>
      </c>
      <c r="AO334" t="str" cm="1">
        <f t="array" ref="AO334">_xlfn.IFS(Y334=1,"Poor",Y334=2,"Average",Y334=3,"Good",TRUE,"Excellent")</f>
        <v>Good</v>
      </c>
      <c r="AP334" t="str" cm="1">
        <f t="array" ref="AP334">_xlfn.IFS(Q334=1,"Low",Q334=2,"Medium",Q334=3,"High",TRUE,"Very High")</f>
        <v>High</v>
      </c>
    </row>
    <row r="335" spans="1:42" x14ac:dyDescent="0.25">
      <c r="A335">
        <v>43</v>
      </c>
      <c r="B335" t="s">
        <v>42</v>
      </c>
      <c r="C335" t="s">
        <v>90</v>
      </c>
      <c r="D335">
        <v>1001</v>
      </c>
      <c r="E335" t="s">
        <v>43</v>
      </c>
      <c r="F335">
        <v>7</v>
      </c>
      <c r="G335">
        <v>3</v>
      </c>
      <c r="H335" t="s">
        <v>37</v>
      </c>
      <c r="I335">
        <v>1</v>
      </c>
      <c r="J335">
        <v>451</v>
      </c>
      <c r="K335">
        <v>3</v>
      </c>
      <c r="L335" t="s">
        <v>38</v>
      </c>
      <c r="M335">
        <v>43</v>
      </c>
      <c r="N335">
        <v>3</v>
      </c>
      <c r="O335">
        <v>3</v>
      </c>
      <c r="P335" t="s">
        <v>52</v>
      </c>
      <c r="Q335">
        <v>1</v>
      </c>
      <c r="R335" t="s">
        <v>46</v>
      </c>
      <c r="S335">
        <v>9985</v>
      </c>
      <c r="T335">
        <v>9262</v>
      </c>
      <c r="U335">
        <v>8</v>
      </c>
      <c r="V335" t="s">
        <v>41</v>
      </c>
      <c r="W335" t="s">
        <v>42</v>
      </c>
      <c r="X335">
        <v>16</v>
      </c>
      <c r="Y335">
        <v>3</v>
      </c>
      <c r="Z335">
        <v>1</v>
      </c>
      <c r="AA335">
        <v>80</v>
      </c>
      <c r="AB335">
        <v>1</v>
      </c>
      <c r="AC335">
        <v>10</v>
      </c>
      <c r="AD335">
        <v>1</v>
      </c>
      <c r="AE335">
        <v>2</v>
      </c>
      <c r="AF335">
        <v>1</v>
      </c>
      <c r="AG335">
        <v>0</v>
      </c>
      <c r="AH335">
        <v>0</v>
      </c>
      <c r="AI335">
        <v>0</v>
      </c>
      <c r="AJ335">
        <f t="shared" si="5"/>
        <v>0</v>
      </c>
      <c r="AK335" t="str" cm="1">
        <f t="array" ref="AK335">_xlfn.IFS(A335&lt;=30,"18-30",A335&lt;=45,"31-45",A335&lt;=60,"46-60",TRUE, "60+")</f>
        <v>31-45</v>
      </c>
      <c r="AL335" t="str" cm="1">
        <f t="array" ref="AL335">_xlfn.IFS(F335&lt;=10,"0-10",F335&lt;=20,"11-20",TRUE,"20+")</f>
        <v>0-10</v>
      </c>
      <c r="AM335" t="str" cm="1">
        <f t="array" ref="AM335">_xlfn.IFS(S335&lt;=5000,"0-5k",S335&lt;=10000,"5k-10k",S335&lt;=15000,"10k-15k",TRUE,"15k+")</f>
        <v>5k-10k</v>
      </c>
      <c r="AN335" t="str" cm="1">
        <f t="array" ref="AN335">_xlfn.IFS(AF335&lt;=10,"0-10",AF335&lt;=20,"10-20",AF335&lt;=30,"20-30",TRUE,"30+")</f>
        <v>0-10</v>
      </c>
      <c r="AO335" t="str" cm="1">
        <f t="array" ref="AO335">_xlfn.IFS(Y335=1,"Poor",Y335=2,"Average",Y335=3,"Good",TRUE,"Excellent")</f>
        <v>Good</v>
      </c>
      <c r="AP335" t="str" cm="1">
        <f t="array" ref="AP335">_xlfn.IFS(Q335=1,"Low",Q335=2,"Medium",Q335=3,"High",TRUE,"Very High")</f>
        <v>Low</v>
      </c>
    </row>
    <row r="336" spans="1:42" x14ac:dyDescent="0.25">
      <c r="A336">
        <v>45</v>
      </c>
      <c r="B336" t="s">
        <v>42</v>
      </c>
      <c r="C336" t="s">
        <v>90</v>
      </c>
      <c r="D336">
        <v>549</v>
      </c>
      <c r="E336" t="s">
        <v>43</v>
      </c>
      <c r="F336">
        <v>8</v>
      </c>
      <c r="G336">
        <v>4</v>
      </c>
      <c r="H336" t="s">
        <v>47</v>
      </c>
      <c r="I336">
        <v>1</v>
      </c>
      <c r="J336">
        <v>452</v>
      </c>
      <c r="K336">
        <v>4</v>
      </c>
      <c r="L336" t="s">
        <v>44</v>
      </c>
      <c r="M336">
        <v>75</v>
      </c>
      <c r="N336">
        <v>3</v>
      </c>
      <c r="O336">
        <v>2</v>
      </c>
      <c r="P336" t="s">
        <v>45</v>
      </c>
      <c r="Q336">
        <v>4</v>
      </c>
      <c r="R336" t="s">
        <v>46</v>
      </c>
      <c r="S336">
        <v>3697</v>
      </c>
      <c r="T336">
        <v>9278</v>
      </c>
      <c r="U336">
        <v>9</v>
      </c>
      <c r="V336" t="s">
        <v>41</v>
      </c>
      <c r="W336" t="s">
        <v>42</v>
      </c>
      <c r="X336">
        <v>14</v>
      </c>
      <c r="Y336">
        <v>3</v>
      </c>
      <c r="Z336">
        <v>1</v>
      </c>
      <c r="AA336">
        <v>80</v>
      </c>
      <c r="AB336">
        <v>2</v>
      </c>
      <c r="AC336">
        <v>12</v>
      </c>
      <c r="AD336">
        <v>3</v>
      </c>
      <c r="AE336">
        <v>3</v>
      </c>
      <c r="AF336">
        <v>10</v>
      </c>
      <c r="AG336">
        <v>9</v>
      </c>
      <c r="AH336">
        <v>9</v>
      </c>
      <c r="AI336">
        <v>8</v>
      </c>
      <c r="AJ336">
        <f t="shared" si="5"/>
        <v>0</v>
      </c>
      <c r="AK336" t="str" cm="1">
        <f t="array" ref="AK336">_xlfn.IFS(A336&lt;=30,"18-30",A336&lt;=45,"31-45",A336&lt;=60,"46-60",TRUE, "60+")</f>
        <v>31-45</v>
      </c>
      <c r="AL336" t="str" cm="1">
        <f t="array" ref="AL336">_xlfn.IFS(F336&lt;=10,"0-10",F336&lt;=20,"11-20",TRUE,"20+")</f>
        <v>0-10</v>
      </c>
      <c r="AM336" t="str" cm="1">
        <f t="array" ref="AM336">_xlfn.IFS(S336&lt;=5000,"0-5k",S336&lt;=10000,"5k-10k",S336&lt;=15000,"10k-15k",TRUE,"15k+")</f>
        <v>0-5k</v>
      </c>
      <c r="AN336" t="str" cm="1">
        <f t="array" ref="AN336">_xlfn.IFS(AF336&lt;=10,"0-10",AF336&lt;=20,"10-20",AF336&lt;=30,"20-30",TRUE,"30+")</f>
        <v>0-10</v>
      </c>
      <c r="AO336" t="str" cm="1">
        <f t="array" ref="AO336">_xlfn.IFS(Y336=1,"Poor",Y336=2,"Average",Y336=3,"Good",TRUE,"Excellent")</f>
        <v>Good</v>
      </c>
      <c r="AP336" t="str" cm="1">
        <f t="array" ref="AP336">_xlfn.IFS(Q336=1,"Low",Q336=2,"Medium",Q336=3,"High",TRUE,"Very High")</f>
        <v>Very High</v>
      </c>
    </row>
    <row r="337" spans="1:42" x14ac:dyDescent="0.25">
      <c r="A337">
        <v>40</v>
      </c>
      <c r="B337" t="s">
        <v>42</v>
      </c>
      <c r="C337" t="s">
        <v>90</v>
      </c>
      <c r="D337">
        <v>1124</v>
      </c>
      <c r="E337" t="s">
        <v>36</v>
      </c>
      <c r="F337">
        <v>1</v>
      </c>
      <c r="G337">
        <v>2</v>
      </c>
      <c r="H337" t="s">
        <v>49</v>
      </c>
      <c r="I337">
        <v>1</v>
      </c>
      <c r="J337">
        <v>453</v>
      </c>
      <c r="K337">
        <v>2</v>
      </c>
      <c r="L337" t="s">
        <v>44</v>
      </c>
      <c r="M337">
        <v>57</v>
      </c>
      <c r="N337">
        <v>1</v>
      </c>
      <c r="O337">
        <v>2</v>
      </c>
      <c r="P337" t="s">
        <v>39</v>
      </c>
      <c r="Q337">
        <v>4</v>
      </c>
      <c r="R337" t="s">
        <v>46</v>
      </c>
      <c r="S337">
        <v>7457</v>
      </c>
      <c r="T337">
        <v>13273</v>
      </c>
      <c r="U337">
        <v>2</v>
      </c>
      <c r="V337" t="s">
        <v>41</v>
      </c>
      <c r="W337" t="s">
        <v>35</v>
      </c>
      <c r="X337">
        <v>22</v>
      </c>
      <c r="Y337">
        <v>4</v>
      </c>
      <c r="Z337">
        <v>3</v>
      </c>
      <c r="AA337">
        <v>80</v>
      </c>
      <c r="AB337">
        <v>3</v>
      </c>
      <c r="AC337">
        <v>6</v>
      </c>
      <c r="AD337">
        <v>2</v>
      </c>
      <c r="AE337">
        <v>2</v>
      </c>
      <c r="AF337">
        <v>4</v>
      </c>
      <c r="AG337">
        <v>3</v>
      </c>
      <c r="AH337">
        <v>0</v>
      </c>
      <c r="AI337">
        <v>2</v>
      </c>
      <c r="AJ337">
        <f t="shared" si="5"/>
        <v>0</v>
      </c>
      <c r="AK337" t="str" cm="1">
        <f t="array" ref="AK337">_xlfn.IFS(A337&lt;=30,"18-30",A337&lt;=45,"31-45",A337&lt;=60,"46-60",TRUE, "60+")</f>
        <v>31-45</v>
      </c>
      <c r="AL337" t="str" cm="1">
        <f t="array" ref="AL337">_xlfn.IFS(F337&lt;=10,"0-10",F337&lt;=20,"11-20",TRUE,"20+")</f>
        <v>0-10</v>
      </c>
      <c r="AM337" t="str" cm="1">
        <f t="array" ref="AM337">_xlfn.IFS(S337&lt;=5000,"0-5k",S337&lt;=10000,"5k-10k",S337&lt;=15000,"10k-15k",TRUE,"15k+")</f>
        <v>5k-10k</v>
      </c>
      <c r="AN337" t="str" cm="1">
        <f t="array" ref="AN337">_xlfn.IFS(AF337&lt;=10,"0-10",AF337&lt;=20,"10-20",AF337&lt;=30,"20-30",TRUE,"30+")</f>
        <v>0-10</v>
      </c>
      <c r="AO337" t="str" cm="1">
        <f t="array" ref="AO337">_xlfn.IFS(Y337=1,"Poor",Y337=2,"Average",Y337=3,"Good",TRUE,"Excellent")</f>
        <v>Excellent</v>
      </c>
      <c r="AP337" t="str" cm="1">
        <f t="array" ref="AP337">_xlfn.IFS(Q337=1,"Low",Q337=2,"Medium",Q337=3,"High",TRUE,"Very High")</f>
        <v>Very High</v>
      </c>
    </row>
    <row r="338" spans="1:42" x14ac:dyDescent="0.25">
      <c r="A338">
        <v>29</v>
      </c>
      <c r="B338" t="s">
        <v>35</v>
      </c>
      <c r="C338" t="s">
        <v>90</v>
      </c>
      <c r="D338">
        <v>318</v>
      </c>
      <c r="E338" t="s">
        <v>43</v>
      </c>
      <c r="F338">
        <v>8</v>
      </c>
      <c r="G338">
        <v>4</v>
      </c>
      <c r="H338" t="s">
        <v>47</v>
      </c>
      <c r="I338">
        <v>1</v>
      </c>
      <c r="J338">
        <v>454</v>
      </c>
      <c r="K338">
        <v>2</v>
      </c>
      <c r="L338" t="s">
        <v>44</v>
      </c>
      <c r="M338">
        <v>77</v>
      </c>
      <c r="N338">
        <v>1</v>
      </c>
      <c r="O338">
        <v>1</v>
      </c>
      <c r="P338" t="s">
        <v>48</v>
      </c>
      <c r="Q338">
        <v>1</v>
      </c>
      <c r="R338" t="s">
        <v>46</v>
      </c>
      <c r="S338">
        <v>2119</v>
      </c>
      <c r="T338">
        <v>4759</v>
      </c>
      <c r="U338">
        <v>1</v>
      </c>
      <c r="V338" t="s">
        <v>41</v>
      </c>
      <c r="W338" t="s">
        <v>35</v>
      </c>
      <c r="X338">
        <v>11</v>
      </c>
      <c r="Y338">
        <v>3</v>
      </c>
      <c r="Z338">
        <v>4</v>
      </c>
      <c r="AA338">
        <v>80</v>
      </c>
      <c r="AB338">
        <v>0</v>
      </c>
      <c r="AC338">
        <v>7</v>
      </c>
      <c r="AD338">
        <v>4</v>
      </c>
      <c r="AE338">
        <v>2</v>
      </c>
      <c r="AF338">
        <v>7</v>
      </c>
      <c r="AG338">
        <v>7</v>
      </c>
      <c r="AH338">
        <v>0</v>
      </c>
      <c r="AI338">
        <v>7</v>
      </c>
      <c r="AJ338">
        <f t="shared" si="5"/>
        <v>1</v>
      </c>
      <c r="AK338" t="str" cm="1">
        <f t="array" ref="AK338">_xlfn.IFS(A338&lt;=30,"18-30",A338&lt;=45,"31-45",A338&lt;=60,"46-60",TRUE, "60+")</f>
        <v>18-30</v>
      </c>
      <c r="AL338" t="str" cm="1">
        <f t="array" ref="AL338">_xlfn.IFS(F338&lt;=10,"0-10",F338&lt;=20,"11-20",TRUE,"20+")</f>
        <v>0-10</v>
      </c>
      <c r="AM338" t="str" cm="1">
        <f t="array" ref="AM338">_xlfn.IFS(S338&lt;=5000,"0-5k",S338&lt;=10000,"5k-10k",S338&lt;=15000,"10k-15k",TRUE,"15k+")</f>
        <v>0-5k</v>
      </c>
      <c r="AN338" t="str" cm="1">
        <f t="array" ref="AN338">_xlfn.IFS(AF338&lt;=10,"0-10",AF338&lt;=20,"10-20",AF338&lt;=30,"20-30",TRUE,"30+")</f>
        <v>0-10</v>
      </c>
      <c r="AO338" t="str" cm="1">
        <f t="array" ref="AO338">_xlfn.IFS(Y338=1,"Poor",Y338=2,"Average",Y338=3,"Good",TRUE,"Excellent")</f>
        <v>Good</v>
      </c>
      <c r="AP338" t="str" cm="1">
        <f t="array" ref="AP338">_xlfn.IFS(Q338=1,"Low",Q338=2,"Medium",Q338=3,"High",TRUE,"Very High")</f>
        <v>Low</v>
      </c>
    </row>
    <row r="339" spans="1:42" x14ac:dyDescent="0.25">
      <c r="A339">
        <v>29</v>
      </c>
      <c r="B339" t="s">
        <v>42</v>
      </c>
      <c r="C339" t="s">
        <v>90</v>
      </c>
      <c r="D339">
        <v>738</v>
      </c>
      <c r="E339" t="s">
        <v>43</v>
      </c>
      <c r="F339">
        <v>9</v>
      </c>
      <c r="G339">
        <v>5</v>
      </c>
      <c r="H339" t="s">
        <v>47</v>
      </c>
      <c r="I339">
        <v>1</v>
      </c>
      <c r="J339">
        <v>455</v>
      </c>
      <c r="K339">
        <v>2</v>
      </c>
      <c r="L339" t="s">
        <v>44</v>
      </c>
      <c r="M339">
        <v>30</v>
      </c>
      <c r="N339">
        <v>2</v>
      </c>
      <c r="O339">
        <v>1</v>
      </c>
      <c r="P339" t="s">
        <v>48</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c r="AJ339">
        <f t="shared" si="5"/>
        <v>0</v>
      </c>
      <c r="AK339" t="str" cm="1">
        <f t="array" ref="AK339">_xlfn.IFS(A339&lt;=30,"18-30",A339&lt;=45,"31-45",A339&lt;=60,"46-60",TRUE, "60+")</f>
        <v>18-30</v>
      </c>
      <c r="AL339" t="str" cm="1">
        <f t="array" ref="AL339">_xlfn.IFS(F339&lt;=10,"0-10",F339&lt;=20,"11-20",TRUE,"20+")</f>
        <v>0-10</v>
      </c>
      <c r="AM339" t="str" cm="1">
        <f t="array" ref="AM339">_xlfn.IFS(S339&lt;=5000,"0-5k",S339&lt;=10000,"5k-10k",S339&lt;=15000,"10k-15k",TRUE,"15k+")</f>
        <v>0-5k</v>
      </c>
      <c r="AN339" t="str" cm="1">
        <f t="array" ref="AN339">_xlfn.IFS(AF339&lt;=10,"0-10",AF339&lt;=20,"10-20",AF339&lt;=30,"20-30",TRUE,"30+")</f>
        <v>0-10</v>
      </c>
      <c r="AO339" t="str" cm="1">
        <f t="array" ref="AO339">_xlfn.IFS(Y339=1,"Poor",Y339=2,"Average",Y339=3,"Good",TRUE,"Excellent")</f>
        <v>Good</v>
      </c>
      <c r="AP339" t="str" cm="1">
        <f t="array" ref="AP339">_xlfn.IFS(Q339=1,"Low",Q339=2,"Medium",Q339=3,"High",TRUE,"Very High")</f>
        <v>Very High</v>
      </c>
    </row>
    <row r="340" spans="1:42" x14ac:dyDescent="0.25">
      <c r="A340">
        <v>30</v>
      </c>
      <c r="B340" t="s">
        <v>42</v>
      </c>
      <c r="C340" t="s">
        <v>90</v>
      </c>
      <c r="D340">
        <v>570</v>
      </c>
      <c r="E340" t="s">
        <v>36</v>
      </c>
      <c r="F340">
        <v>5</v>
      </c>
      <c r="G340">
        <v>3</v>
      </c>
      <c r="H340" t="s">
        <v>57</v>
      </c>
      <c r="I340">
        <v>1</v>
      </c>
      <c r="J340">
        <v>456</v>
      </c>
      <c r="K340">
        <v>4</v>
      </c>
      <c r="L340" t="s">
        <v>38</v>
      </c>
      <c r="M340">
        <v>30</v>
      </c>
      <c r="N340">
        <v>2</v>
      </c>
      <c r="O340">
        <v>2</v>
      </c>
      <c r="P340" t="s">
        <v>39</v>
      </c>
      <c r="Q340">
        <v>3</v>
      </c>
      <c r="R340" t="s">
        <v>50</v>
      </c>
      <c r="S340">
        <v>6118</v>
      </c>
      <c r="T340">
        <v>5431</v>
      </c>
      <c r="U340">
        <v>1</v>
      </c>
      <c r="V340" t="s">
        <v>41</v>
      </c>
      <c r="W340" t="s">
        <v>42</v>
      </c>
      <c r="X340">
        <v>13</v>
      </c>
      <c r="Y340">
        <v>3</v>
      </c>
      <c r="Z340">
        <v>3</v>
      </c>
      <c r="AA340">
        <v>80</v>
      </c>
      <c r="AB340">
        <v>3</v>
      </c>
      <c r="AC340">
        <v>10</v>
      </c>
      <c r="AD340">
        <v>2</v>
      </c>
      <c r="AE340">
        <v>3</v>
      </c>
      <c r="AF340">
        <v>10</v>
      </c>
      <c r="AG340">
        <v>9</v>
      </c>
      <c r="AH340">
        <v>1</v>
      </c>
      <c r="AI340">
        <v>2</v>
      </c>
      <c r="AJ340">
        <f t="shared" si="5"/>
        <v>0</v>
      </c>
      <c r="AK340" t="str" cm="1">
        <f t="array" ref="AK340">_xlfn.IFS(A340&lt;=30,"18-30",A340&lt;=45,"31-45",A340&lt;=60,"46-60",TRUE, "60+")</f>
        <v>18-30</v>
      </c>
      <c r="AL340" t="str" cm="1">
        <f t="array" ref="AL340">_xlfn.IFS(F340&lt;=10,"0-10",F340&lt;=20,"11-20",TRUE,"20+")</f>
        <v>0-10</v>
      </c>
      <c r="AM340" t="str" cm="1">
        <f t="array" ref="AM340">_xlfn.IFS(S340&lt;=5000,"0-5k",S340&lt;=10000,"5k-10k",S340&lt;=15000,"10k-15k",TRUE,"15k+")</f>
        <v>5k-10k</v>
      </c>
      <c r="AN340" t="str" cm="1">
        <f t="array" ref="AN340">_xlfn.IFS(AF340&lt;=10,"0-10",AF340&lt;=20,"10-20",AF340&lt;=30,"20-30",TRUE,"30+")</f>
        <v>0-10</v>
      </c>
      <c r="AO340" t="str" cm="1">
        <f t="array" ref="AO340">_xlfn.IFS(Y340=1,"Poor",Y340=2,"Average",Y340=3,"Good",TRUE,"Excellent")</f>
        <v>Good</v>
      </c>
      <c r="AP340" t="str" cm="1">
        <f t="array" ref="AP340">_xlfn.IFS(Q340=1,"Low",Q340=2,"Medium",Q340=3,"High",TRUE,"Very High")</f>
        <v>High</v>
      </c>
    </row>
    <row r="341" spans="1:42" x14ac:dyDescent="0.25">
      <c r="A341">
        <v>27</v>
      </c>
      <c r="B341" t="s">
        <v>42</v>
      </c>
      <c r="C341" t="s">
        <v>90</v>
      </c>
      <c r="D341">
        <v>1130</v>
      </c>
      <c r="E341" t="s">
        <v>36</v>
      </c>
      <c r="F341">
        <v>8</v>
      </c>
      <c r="G341">
        <v>4</v>
      </c>
      <c r="H341" t="s">
        <v>57</v>
      </c>
      <c r="I341">
        <v>1</v>
      </c>
      <c r="J341">
        <v>458</v>
      </c>
      <c r="K341">
        <v>2</v>
      </c>
      <c r="L341" t="s">
        <v>38</v>
      </c>
      <c r="M341">
        <v>56</v>
      </c>
      <c r="N341">
        <v>3</v>
      </c>
      <c r="O341">
        <v>2</v>
      </c>
      <c r="P341" t="s">
        <v>39</v>
      </c>
      <c r="Q341">
        <v>2</v>
      </c>
      <c r="R341" t="s">
        <v>46</v>
      </c>
      <c r="S341">
        <v>6214</v>
      </c>
      <c r="T341">
        <v>3415</v>
      </c>
      <c r="U341">
        <v>1</v>
      </c>
      <c r="V341" t="s">
        <v>41</v>
      </c>
      <c r="W341" t="s">
        <v>42</v>
      </c>
      <c r="X341">
        <v>18</v>
      </c>
      <c r="Y341">
        <v>3</v>
      </c>
      <c r="Z341">
        <v>1</v>
      </c>
      <c r="AA341">
        <v>80</v>
      </c>
      <c r="AB341">
        <v>1</v>
      </c>
      <c r="AC341">
        <v>8</v>
      </c>
      <c r="AD341">
        <v>3</v>
      </c>
      <c r="AE341">
        <v>3</v>
      </c>
      <c r="AF341">
        <v>8</v>
      </c>
      <c r="AG341">
        <v>7</v>
      </c>
      <c r="AH341">
        <v>0</v>
      </c>
      <c r="AI341">
        <v>7</v>
      </c>
      <c r="AJ341">
        <f t="shared" si="5"/>
        <v>0</v>
      </c>
      <c r="AK341" t="str" cm="1">
        <f t="array" ref="AK341">_xlfn.IFS(A341&lt;=30,"18-30",A341&lt;=45,"31-45",A341&lt;=60,"46-60",TRUE, "60+")</f>
        <v>18-30</v>
      </c>
      <c r="AL341" t="str" cm="1">
        <f t="array" ref="AL341">_xlfn.IFS(F341&lt;=10,"0-10",F341&lt;=20,"11-20",TRUE,"20+")</f>
        <v>0-10</v>
      </c>
      <c r="AM341" t="str" cm="1">
        <f t="array" ref="AM341">_xlfn.IFS(S341&lt;=5000,"0-5k",S341&lt;=10000,"5k-10k",S341&lt;=15000,"10k-15k",TRUE,"15k+")</f>
        <v>5k-10k</v>
      </c>
      <c r="AN341" t="str" cm="1">
        <f t="array" ref="AN341">_xlfn.IFS(AF341&lt;=10,"0-10",AF341&lt;=20,"10-20",AF341&lt;=30,"20-30",TRUE,"30+")</f>
        <v>0-10</v>
      </c>
      <c r="AO341" t="str" cm="1">
        <f t="array" ref="AO341">_xlfn.IFS(Y341=1,"Poor",Y341=2,"Average",Y341=3,"Good",TRUE,"Excellent")</f>
        <v>Good</v>
      </c>
      <c r="AP341" t="str" cm="1">
        <f t="array" ref="AP341">_xlfn.IFS(Q341=1,"Low",Q341=2,"Medium",Q341=3,"High",TRUE,"Very High")</f>
        <v>Medium</v>
      </c>
    </row>
    <row r="342" spans="1:42" x14ac:dyDescent="0.25">
      <c r="A342">
        <v>37</v>
      </c>
      <c r="B342" t="s">
        <v>42</v>
      </c>
      <c r="C342" t="s">
        <v>90</v>
      </c>
      <c r="D342">
        <v>1192</v>
      </c>
      <c r="E342" t="s">
        <v>43</v>
      </c>
      <c r="F342">
        <v>5</v>
      </c>
      <c r="G342">
        <v>2</v>
      </c>
      <c r="H342" t="s">
        <v>49</v>
      </c>
      <c r="I342">
        <v>1</v>
      </c>
      <c r="J342">
        <v>460</v>
      </c>
      <c r="K342">
        <v>4</v>
      </c>
      <c r="L342" t="s">
        <v>44</v>
      </c>
      <c r="M342">
        <v>61</v>
      </c>
      <c r="N342">
        <v>3</v>
      </c>
      <c r="O342">
        <v>2</v>
      </c>
      <c r="P342" t="s">
        <v>51</v>
      </c>
      <c r="Q342">
        <v>4</v>
      </c>
      <c r="R342" t="s">
        <v>50</v>
      </c>
      <c r="S342">
        <v>6347</v>
      </c>
      <c r="T342">
        <v>23177</v>
      </c>
      <c r="U342">
        <v>7</v>
      </c>
      <c r="V342" t="s">
        <v>41</v>
      </c>
      <c r="W342" t="s">
        <v>42</v>
      </c>
      <c r="X342">
        <v>16</v>
      </c>
      <c r="Y342">
        <v>3</v>
      </c>
      <c r="Z342">
        <v>3</v>
      </c>
      <c r="AA342">
        <v>80</v>
      </c>
      <c r="AB342">
        <v>2</v>
      </c>
      <c r="AC342">
        <v>8</v>
      </c>
      <c r="AD342">
        <v>2</v>
      </c>
      <c r="AE342">
        <v>2</v>
      </c>
      <c r="AF342">
        <v>6</v>
      </c>
      <c r="AG342">
        <v>2</v>
      </c>
      <c r="AH342">
        <v>0</v>
      </c>
      <c r="AI342">
        <v>4</v>
      </c>
      <c r="AJ342">
        <f t="shared" si="5"/>
        <v>0</v>
      </c>
      <c r="AK342" t="str" cm="1">
        <f t="array" ref="AK342">_xlfn.IFS(A342&lt;=30,"18-30",A342&lt;=45,"31-45",A342&lt;=60,"46-60",TRUE, "60+")</f>
        <v>31-45</v>
      </c>
      <c r="AL342" t="str" cm="1">
        <f t="array" ref="AL342">_xlfn.IFS(F342&lt;=10,"0-10",F342&lt;=20,"11-20",TRUE,"20+")</f>
        <v>0-10</v>
      </c>
      <c r="AM342" t="str" cm="1">
        <f t="array" ref="AM342">_xlfn.IFS(S342&lt;=5000,"0-5k",S342&lt;=10000,"5k-10k",S342&lt;=15000,"10k-15k",TRUE,"15k+")</f>
        <v>5k-10k</v>
      </c>
      <c r="AN342" t="str" cm="1">
        <f t="array" ref="AN342">_xlfn.IFS(AF342&lt;=10,"0-10",AF342&lt;=20,"10-20",AF342&lt;=30,"20-30",TRUE,"30+")</f>
        <v>0-10</v>
      </c>
      <c r="AO342" t="str" cm="1">
        <f t="array" ref="AO342">_xlfn.IFS(Y342=1,"Poor",Y342=2,"Average",Y342=3,"Good",TRUE,"Excellent")</f>
        <v>Good</v>
      </c>
      <c r="AP342" t="str" cm="1">
        <f t="array" ref="AP342">_xlfn.IFS(Q342=1,"Low",Q342=2,"Medium",Q342=3,"High",TRUE,"Very High")</f>
        <v>Very High</v>
      </c>
    </row>
    <row r="343" spans="1:42" x14ac:dyDescent="0.25">
      <c r="A343">
        <v>38</v>
      </c>
      <c r="B343" t="s">
        <v>42</v>
      </c>
      <c r="C343" t="s">
        <v>90</v>
      </c>
      <c r="D343">
        <v>343</v>
      </c>
      <c r="E343" t="s">
        <v>43</v>
      </c>
      <c r="F343">
        <v>15</v>
      </c>
      <c r="G343">
        <v>2</v>
      </c>
      <c r="H343" t="s">
        <v>37</v>
      </c>
      <c r="I343">
        <v>1</v>
      </c>
      <c r="J343">
        <v>461</v>
      </c>
      <c r="K343">
        <v>3</v>
      </c>
      <c r="L343" t="s">
        <v>44</v>
      </c>
      <c r="M343">
        <v>92</v>
      </c>
      <c r="N343">
        <v>2</v>
      </c>
      <c r="O343">
        <v>3</v>
      </c>
      <c r="P343" t="s">
        <v>56</v>
      </c>
      <c r="Q343">
        <v>4</v>
      </c>
      <c r="R343" t="s">
        <v>50</v>
      </c>
      <c r="S343">
        <v>11510</v>
      </c>
      <c r="T343">
        <v>15682</v>
      </c>
      <c r="U343">
        <v>0</v>
      </c>
      <c r="V343" t="s">
        <v>41</v>
      </c>
      <c r="W343" t="s">
        <v>35</v>
      </c>
      <c r="X343">
        <v>14</v>
      </c>
      <c r="Y343">
        <v>3</v>
      </c>
      <c r="Z343">
        <v>2</v>
      </c>
      <c r="AA343">
        <v>80</v>
      </c>
      <c r="AB343">
        <v>1</v>
      </c>
      <c r="AC343">
        <v>12</v>
      </c>
      <c r="AD343">
        <v>3</v>
      </c>
      <c r="AE343">
        <v>3</v>
      </c>
      <c r="AF343">
        <v>11</v>
      </c>
      <c r="AG343">
        <v>10</v>
      </c>
      <c r="AH343">
        <v>2</v>
      </c>
      <c r="AI343">
        <v>9</v>
      </c>
      <c r="AJ343">
        <f t="shared" si="5"/>
        <v>0</v>
      </c>
      <c r="AK343" t="str" cm="1">
        <f t="array" ref="AK343">_xlfn.IFS(A343&lt;=30,"18-30",A343&lt;=45,"31-45",A343&lt;=60,"46-60",TRUE, "60+")</f>
        <v>31-45</v>
      </c>
      <c r="AL343" t="str" cm="1">
        <f t="array" ref="AL343">_xlfn.IFS(F343&lt;=10,"0-10",F343&lt;=20,"11-20",TRUE,"20+")</f>
        <v>11-20</v>
      </c>
      <c r="AM343" t="str" cm="1">
        <f t="array" ref="AM343">_xlfn.IFS(S343&lt;=5000,"0-5k",S343&lt;=10000,"5k-10k",S343&lt;=15000,"10k-15k",TRUE,"15k+")</f>
        <v>10k-15k</v>
      </c>
      <c r="AN343" t="str" cm="1">
        <f t="array" ref="AN343">_xlfn.IFS(AF343&lt;=10,"0-10",AF343&lt;=20,"10-20",AF343&lt;=30,"20-30",TRUE,"30+")</f>
        <v>10-20</v>
      </c>
      <c r="AO343" t="str" cm="1">
        <f t="array" ref="AO343">_xlfn.IFS(Y343=1,"Poor",Y343=2,"Average",Y343=3,"Good",TRUE,"Excellent")</f>
        <v>Good</v>
      </c>
      <c r="AP343" t="str" cm="1">
        <f t="array" ref="AP343">_xlfn.IFS(Q343=1,"Low",Q343=2,"Medium",Q343=3,"High",TRUE,"Very High")</f>
        <v>Very High</v>
      </c>
    </row>
    <row r="344" spans="1:42" x14ac:dyDescent="0.25">
      <c r="A344">
        <v>31</v>
      </c>
      <c r="B344" t="s">
        <v>42</v>
      </c>
      <c r="C344" t="s">
        <v>90</v>
      </c>
      <c r="D344">
        <v>1232</v>
      </c>
      <c r="E344" t="s">
        <v>43</v>
      </c>
      <c r="F344">
        <v>7</v>
      </c>
      <c r="G344">
        <v>4</v>
      </c>
      <c r="H344" t="s">
        <v>49</v>
      </c>
      <c r="I344">
        <v>1</v>
      </c>
      <c r="J344">
        <v>462</v>
      </c>
      <c r="K344">
        <v>3</v>
      </c>
      <c r="L344" t="s">
        <v>38</v>
      </c>
      <c r="M344">
        <v>39</v>
      </c>
      <c r="N344">
        <v>3</v>
      </c>
      <c r="O344">
        <v>3</v>
      </c>
      <c r="P344" t="s">
        <v>51</v>
      </c>
      <c r="Q344">
        <v>4</v>
      </c>
      <c r="R344" t="s">
        <v>40</v>
      </c>
      <c r="S344">
        <v>7143</v>
      </c>
      <c r="T344">
        <v>25713</v>
      </c>
      <c r="U344">
        <v>1</v>
      </c>
      <c r="V344" t="s">
        <v>41</v>
      </c>
      <c r="W344" t="s">
        <v>35</v>
      </c>
      <c r="X344">
        <v>14</v>
      </c>
      <c r="Y344">
        <v>3</v>
      </c>
      <c r="Z344">
        <v>3</v>
      </c>
      <c r="AA344">
        <v>80</v>
      </c>
      <c r="AB344">
        <v>0</v>
      </c>
      <c r="AC344">
        <v>11</v>
      </c>
      <c r="AD344">
        <v>2</v>
      </c>
      <c r="AE344">
        <v>2</v>
      </c>
      <c r="AF344">
        <v>11</v>
      </c>
      <c r="AG344">
        <v>9</v>
      </c>
      <c r="AH344">
        <v>4</v>
      </c>
      <c r="AI344">
        <v>10</v>
      </c>
      <c r="AJ344">
        <f t="shared" si="5"/>
        <v>0</v>
      </c>
      <c r="AK344" t="str" cm="1">
        <f t="array" ref="AK344">_xlfn.IFS(A344&lt;=30,"18-30",A344&lt;=45,"31-45",A344&lt;=60,"46-60",TRUE, "60+")</f>
        <v>31-45</v>
      </c>
      <c r="AL344" t="str" cm="1">
        <f t="array" ref="AL344">_xlfn.IFS(F344&lt;=10,"0-10",F344&lt;=20,"11-20",TRUE,"20+")</f>
        <v>0-10</v>
      </c>
      <c r="AM344" t="str" cm="1">
        <f t="array" ref="AM344">_xlfn.IFS(S344&lt;=5000,"0-5k",S344&lt;=10000,"5k-10k",S344&lt;=15000,"10k-15k",TRUE,"15k+")</f>
        <v>5k-10k</v>
      </c>
      <c r="AN344" t="str" cm="1">
        <f t="array" ref="AN344">_xlfn.IFS(AF344&lt;=10,"0-10",AF344&lt;=20,"10-20",AF344&lt;=30,"20-30",TRUE,"30+")</f>
        <v>10-20</v>
      </c>
      <c r="AO344" t="str" cm="1">
        <f t="array" ref="AO344">_xlfn.IFS(Y344=1,"Poor",Y344=2,"Average",Y344=3,"Good",TRUE,"Excellent")</f>
        <v>Good</v>
      </c>
      <c r="AP344" t="str" cm="1">
        <f t="array" ref="AP344">_xlfn.IFS(Q344=1,"Low",Q344=2,"Medium",Q344=3,"High",TRUE,"Very High")</f>
        <v>Very High</v>
      </c>
    </row>
    <row r="345" spans="1:42" x14ac:dyDescent="0.25">
      <c r="A345">
        <v>29</v>
      </c>
      <c r="B345" t="s">
        <v>42</v>
      </c>
      <c r="C345" t="s">
        <v>90</v>
      </c>
      <c r="D345">
        <v>144</v>
      </c>
      <c r="E345" t="s">
        <v>36</v>
      </c>
      <c r="F345">
        <v>10</v>
      </c>
      <c r="G345">
        <v>1</v>
      </c>
      <c r="H345" t="s">
        <v>57</v>
      </c>
      <c r="I345">
        <v>1</v>
      </c>
      <c r="J345">
        <v>463</v>
      </c>
      <c r="K345">
        <v>4</v>
      </c>
      <c r="L345" t="s">
        <v>38</v>
      </c>
      <c r="M345">
        <v>39</v>
      </c>
      <c r="N345">
        <v>2</v>
      </c>
      <c r="O345">
        <v>2</v>
      </c>
      <c r="P345" t="s">
        <v>39</v>
      </c>
      <c r="Q345">
        <v>2</v>
      </c>
      <c r="R345" t="s">
        <v>50</v>
      </c>
      <c r="S345">
        <v>8268</v>
      </c>
      <c r="T345">
        <v>11866</v>
      </c>
      <c r="U345">
        <v>1</v>
      </c>
      <c r="V345" t="s">
        <v>41</v>
      </c>
      <c r="W345" t="s">
        <v>35</v>
      </c>
      <c r="X345">
        <v>14</v>
      </c>
      <c r="Y345">
        <v>3</v>
      </c>
      <c r="Z345">
        <v>1</v>
      </c>
      <c r="AA345">
        <v>80</v>
      </c>
      <c r="AB345">
        <v>2</v>
      </c>
      <c r="AC345">
        <v>7</v>
      </c>
      <c r="AD345">
        <v>2</v>
      </c>
      <c r="AE345">
        <v>3</v>
      </c>
      <c r="AF345">
        <v>7</v>
      </c>
      <c r="AG345">
        <v>7</v>
      </c>
      <c r="AH345">
        <v>1</v>
      </c>
      <c r="AI345">
        <v>7</v>
      </c>
      <c r="AJ345">
        <f t="shared" si="5"/>
        <v>0</v>
      </c>
      <c r="AK345" t="str" cm="1">
        <f t="array" ref="AK345">_xlfn.IFS(A345&lt;=30,"18-30",A345&lt;=45,"31-45",A345&lt;=60,"46-60",TRUE, "60+")</f>
        <v>18-30</v>
      </c>
      <c r="AL345" t="str" cm="1">
        <f t="array" ref="AL345">_xlfn.IFS(F345&lt;=10,"0-10",F345&lt;=20,"11-20",TRUE,"20+")</f>
        <v>0-10</v>
      </c>
      <c r="AM345" t="str" cm="1">
        <f t="array" ref="AM345">_xlfn.IFS(S345&lt;=5000,"0-5k",S345&lt;=10000,"5k-10k",S345&lt;=15000,"10k-15k",TRUE,"15k+")</f>
        <v>5k-10k</v>
      </c>
      <c r="AN345" t="str" cm="1">
        <f t="array" ref="AN345">_xlfn.IFS(AF345&lt;=10,"0-10",AF345&lt;=20,"10-20",AF345&lt;=30,"20-30",TRUE,"30+")</f>
        <v>0-10</v>
      </c>
      <c r="AO345" t="str" cm="1">
        <f t="array" ref="AO345">_xlfn.IFS(Y345=1,"Poor",Y345=2,"Average",Y345=3,"Good",TRUE,"Excellent")</f>
        <v>Good</v>
      </c>
      <c r="AP345" t="str" cm="1">
        <f t="array" ref="AP345">_xlfn.IFS(Q345=1,"Low",Q345=2,"Medium",Q345=3,"High",TRUE,"Very High")</f>
        <v>Medium</v>
      </c>
    </row>
    <row r="346" spans="1:42" x14ac:dyDescent="0.25">
      <c r="A346">
        <v>35</v>
      </c>
      <c r="B346" t="s">
        <v>42</v>
      </c>
      <c r="C346" t="s">
        <v>90</v>
      </c>
      <c r="D346">
        <v>1296</v>
      </c>
      <c r="E346" t="s">
        <v>43</v>
      </c>
      <c r="F346">
        <v>5</v>
      </c>
      <c r="G346">
        <v>4</v>
      </c>
      <c r="H346" t="s">
        <v>58</v>
      </c>
      <c r="I346">
        <v>1</v>
      </c>
      <c r="J346">
        <v>464</v>
      </c>
      <c r="K346">
        <v>3</v>
      </c>
      <c r="L346" t="s">
        <v>44</v>
      </c>
      <c r="M346">
        <v>62</v>
      </c>
      <c r="N346">
        <v>3</v>
      </c>
      <c r="O346">
        <v>3</v>
      </c>
      <c r="P346" t="s">
        <v>51</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c r="AJ346">
        <f t="shared" si="5"/>
        <v>0</v>
      </c>
      <c r="AK346" t="str" cm="1">
        <f t="array" ref="AK346">_xlfn.IFS(A346&lt;=30,"18-30",A346&lt;=45,"31-45",A346&lt;=60,"46-60",TRUE, "60+")</f>
        <v>31-45</v>
      </c>
      <c r="AL346" t="str" cm="1">
        <f t="array" ref="AL346">_xlfn.IFS(F346&lt;=10,"0-10",F346&lt;=20,"11-20",TRUE,"20+")</f>
        <v>0-10</v>
      </c>
      <c r="AM346" t="str" cm="1">
        <f t="array" ref="AM346">_xlfn.IFS(S346&lt;=5000,"0-5k",S346&lt;=10000,"5k-10k",S346&lt;=15000,"10k-15k",TRUE,"15k+")</f>
        <v>5k-10k</v>
      </c>
      <c r="AN346" t="str" cm="1">
        <f t="array" ref="AN346">_xlfn.IFS(AF346&lt;=10,"0-10",AF346&lt;=20,"10-20",AF346&lt;=30,"20-30",TRUE,"30+")</f>
        <v>10-20</v>
      </c>
      <c r="AO346" t="str" cm="1">
        <f t="array" ref="AO346">_xlfn.IFS(Y346=1,"Poor",Y346=2,"Average",Y346=3,"Good",TRUE,"Excellent")</f>
        <v>Good</v>
      </c>
      <c r="AP346" t="str" cm="1">
        <f t="array" ref="AP346">_xlfn.IFS(Q346=1,"Low",Q346=2,"Medium",Q346=3,"High",TRUE,"Very High")</f>
        <v>Medium</v>
      </c>
    </row>
    <row r="347" spans="1:42" x14ac:dyDescent="0.25">
      <c r="A347">
        <v>23</v>
      </c>
      <c r="B347" t="s">
        <v>42</v>
      </c>
      <c r="C347" t="s">
        <v>90</v>
      </c>
      <c r="D347">
        <v>1309</v>
      </c>
      <c r="E347" t="s">
        <v>43</v>
      </c>
      <c r="F347">
        <v>26</v>
      </c>
      <c r="G347">
        <v>1</v>
      </c>
      <c r="H347" t="s">
        <v>37</v>
      </c>
      <c r="I347">
        <v>1</v>
      </c>
      <c r="J347">
        <v>465</v>
      </c>
      <c r="K347">
        <v>3</v>
      </c>
      <c r="L347" t="s">
        <v>44</v>
      </c>
      <c r="M347">
        <v>83</v>
      </c>
      <c r="N347">
        <v>3</v>
      </c>
      <c r="O347">
        <v>1</v>
      </c>
      <c r="P347" t="s">
        <v>45</v>
      </c>
      <c r="Q347">
        <v>4</v>
      </c>
      <c r="R347" t="s">
        <v>50</v>
      </c>
      <c r="S347">
        <v>2904</v>
      </c>
      <c r="T347">
        <v>16092</v>
      </c>
      <c r="U347">
        <v>1</v>
      </c>
      <c r="V347" t="s">
        <v>41</v>
      </c>
      <c r="W347" t="s">
        <v>42</v>
      </c>
      <c r="X347">
        <v>12</v>
      </c>
      <c r="Y347">
        <v>3</v>
      </c>
      <c r="Z347">
        <v>3</v>
      </c>
      <c r="AA347">
        <v>80</v>
      </c>
      <c r="AB347">
        <v>2</v>
      </c>
      <c r="AC347">
        <v>4</v>
      </c>
      <c r="AD347">
        <v>2</v>
      </c>
      <c r="AE347">
        <v>2</v>
      </c>
      <c r="AF347">
        <v>4</v>
      </c>
      <c r="AG347">
        <v>2</v>
      </c>
      <c r="AH347">
        <v>0</v>
      </c>
      <c r="AI347">
        <v>2</v>
      </c>
      <c r="AJ347">
        <f t="shared" si="5"/>
        <v>0</v>
      </c>
      <c r="AK347" t="str" cm="1">
        <f t="array" ref="AK347">_xlfn.IFS(A347&lt;=30,"18-30",A347&lt;=45,"31-45",A347&lt;=60,"46-60",TRUE, "60+")</f>
        <v>18-30</v>
      </c>
      <c r="AL347" t="str" cm="1">
        <f t="array" ref="AL347">_xlfn.IFS(F347&lt;=10,"0-10",F347&lt;=20,"11-20",TRUE,"20+")</f>
        <v>20+</v>
      </c>
      <c r="AM347" t="str" cm="1">
        <f t="array" ref="AM347">_xlfn.IFS(S347&lt;=5000,"0-5k",S347&lt;=10000,"5k-10k",S347&lt;=15000,"10k-15k",TRUE,"15k+")</f>
        <v>0-5k</v>
      </c>
      <c r="AN347" t="str" cm="1">
        <f t="array" ref="AN347">_xlfn.IFS(AF347&lt;=10,"0-10",AF347&lt;=20,"10-20",AF347&lt;=30,"20-30",TRUE,"30+")</f>
        <v>0-10</v>
      </c>
      <c r="AO347" t="str" cm="1">
        <f t="array" ref="AO347">_xlfn.IFS(Y347=1,"Poor",Y347=2,"Average",Y347=3,"Good",TRUE,"Excellent")</f>
        <v>Good</v>
      </c>
      <c r="AP347" t="str" cm="1">
        <f t="array" ref="AP347">_xlfn.IFS(Q347=1,"Low",Q347=2,"Medium",Q347=3,"High",TRUE,"Very High")</f>
        <v>Very High</v>
      </c>
    </row>
    <row r="348" spans="1:42" x14ac:dyDescent="0.25">
      <c r="A348">
        <v>41</v>
      </c>
      <c r="B348" t="s">
        <v>42</v>
      </c>
      <c r="C348" t="s">
        <v>90</v>
      </c>
      <c r="D348">
        <v>483</v>
      </c>
      <c r="E348" t="s">
        <v>43</v>
      </c>
      <c r="F348">
        <v>6</v>
      </c>
      <c r="G348">
        <v>3</v>
      </c>
      <c r="H348" t="s">
        <v>49</v>
      </c>
      <c r="I348">
        <v>1</v>
      </c>
      <c r="J348">
        <v>466</v>
      </c>
      <c r="K348">
        <v>4</v>
      </c>
      <c r="L348" t="s">
        <v>44</v>
      </c>
      <c r="M348">
        <v>95</v>
      </c>
      <c r="N348">
        <v>2</v>
      </c>
      <c r="O348">
        <v>2</v>
      </c>
      <c r="P348" t="s">
        <v>51</v>
      </c>
      <c r="Q348">
        <v>2</v>
      </c>
      <c r="R348" t="s">
        <v>40</v>
      </c>
      <c r="S348">
        <v>6032</v>
      </c>
      <c r="T348">
        <v>10110</v>
      </c>
      <c r="U348">
        <v>6</v>
      </c>
      <c r="V348" t="s">
        <v>41</v>
      </c>
      <c r="W348" t="s">
        <v>35</v>
      </c>
      <c r="X348">
        <v>15</v>
      </c>
      <c r="Y348">
        <v>3</v>
      </c>
      <c r="Z348">
        <v>4</v>
      </c>
      <c r="AA348">
        <v>80</v>
      </c>
      <c r="AB348">
        <v>0</v>
      </c>
      <c r="AC348">
        <v>8</v>
      </c>
      <c r="AD348">
        <v>3</v>
      </c>
      <c r="AE348">
        <v>3</v>
      </c>
      <c r="AF348">
        <v>5</v>
      </c>
      <c r="AG348">
        <v>4</v>
      </c>
      <c r="AH348">
        <v>1</v>
      </c>
      <c r="AI348">
        <v>2</v>
      </c>
      <c r="AJ348">
        <f t="shared" si="5"/>
        <v>0</v>
      </c>
      <c r="AK348" t="str" cm="1">
        <f t="array" ref="AK348">_xlfn.IFS(A348&lt;=30,"18-30",A348&lt;=45,"31-45",A348&lt;=60,"46-60",TRUE, "60+")</f>
        <v>31-45</v>
      </c>
      <c r="AL348" t="str" cm="1">
        <f t="array" ref="AL348">_xlfn.IFS(F348&lt;=10,"0-10",F348&lt;=20,"11-20",TRUE,"20+")</f>
        <v>0-10</v>
      </c>
      <c r="AM348" t="str" cm="1">
        <f t="array" ref="AM348">_xlfn.IFS(S348&lt;=5000,"0-5k",S348&lt;=10000,"5k-10k",S348&lt;=15000,"10k-15k",TRUE,"15k+")</f>
        <v>5k-10k</v>
      </c>
      <c r="AN348" t="str" cm="1">
        <f t="array" ref="AN348">_xlfn.IFS(AF348&lt;=10,"0-10",AF348&lt;=20,"10-20",AF348&lt;=30,"20-30",TRUE,"30+")</f>
        <v>0-10</v>
      </c>
      <c r="AO348" t="str" cm="1">
        <f t="array" ref="AO348">_xlfn.IFS(Y348=1,"Poor",Y348=2,"Average",Y348=3,"Good",TRUE,"Excellent")</f>
        <v>Good</v>
      </c>
      <c r="AP348" t="str" cm="1">
        <f t="array" ref="AP348">_xlfn.IFS(Q348=1,"Low",Q348=2,"Medium",Q348=3,"High",TRUE,"Very High")</f>
        <v>Medium</v>
      </c>
    </row>
    <row r="349" spans="1:42" x14ac:dyDescent="0.25">
      <c r="A349">
        <v>47</v>
      </c>
      <c r="B349" t="s">
        <v>42</v>
      </c>
      <c r="C349" t="s">
        <v>91</v>
      </c>
      <c r="D349">
        <v>1309</v>
      </c>
      <c r="E349" t="s">
        <v>36</v>
      </c>
      <c r="F349">
        <v>4</v>
      </c>
      <c r="G349">
        <v>1</v>
      </c>
      <c r="H349" t="s">
        <v>49</v>
      </c>
      <c r="I349">
        <v>1</v>
      </c>
      <c r="J349">
        <v>467</v>
      </c>
      <c r="K349">
        <v>2</v>
      </c>
      <c r="L349" t="s">
        <v>44</v>
      </c>
      <c r="M349">
        <v>99</v>
      </c>
      <c r="N349">
        <v>3</v>
      </c>
      <c r="O349">
        <v>2</v>
      </c>
      <c r="P349" t="s">
        <v>55</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c r="AJ349">
        <f t="shared" si="5"/>
        <v>0</v>
      </c>
      <c r="AK349" t="str" cm="1">
        <f t="array" ref="AK349">_xlfn.IFS(A349&lt;=30,"18-30",A349&lt;=45,"31-45",A349&lt;=60,"46-60",TRUE, "60+")</f>
        <v>46-60</v>
      </c>
      <c r="AL349" t="str" cm="1">
        <f t="array" ref="AL349">_xlfn.IFS(F349&lt;=10,"0-10",F349&lt;=20,"11-20",TRUE,"20+")</f>
        <v>0-10</v>
      </c>
      <c r="AM349" t="str" cm="1">
        <f t="array" ref="AM349">_xlfn.IFS(S349&lt;=5000,"0-5k",S349&lt;=10000,"5k-10k",S349&lt;=15000,"10k-15k",TRUE,"15k+")</f>
        <v>0-5k</v>
      </c>
      <c r="AN349" t="str" cm="1">
        <f t="array" ref="AN349">_xlfn.IFS(AF349&lt;=10,"0-10",AF349&lt;=20,"10-20",AF349&lt;=30,"20-30",TRUE,"30+")</f>
        <v>0-10</v>
      </c>
      <c r="AO349" t="str" cm="1">
        <f t="array" ref="AO349">_xlfn.IFS(Y349=1,"Poor",Y349=2,"Average",Y349=3,"Good",TRUE,"Excellent")</f>
        <v>Good</v>
      </c>
      <c r="AP349" t="str" cm="1">
        <f t="array" ref="AP349">_xlfn.IFS(Q349=1,"Low",Q349=2,"Medium",Q349=3,"High",TRUE,"Very High")</f>
        <v>High</v>
      </c>
    </row>
    <row r="350" spans="1:42" x14ac:dyDescent="0.25">
      <c r="A350">
        <v>42</v>
      </c>
      <c r="B350" t="s">
        <v>42</v>
      </c>
      <c r="C350" t="s">
        <v>90</v>
      </c>
      <c r="D350">
        <v>810</v>
      </c>
      <c r="E350" t="s">
        <v>43</v>
      </c>
      <c r="F350">
        <v>23</v>
      </c>
      <c r="G350">
        <v>5</v>
      </c>
      <c r="H350" t="s">
        <v>37</v>
      </c>
      <c r="I350">
        <v>1</v>
      </c>
      <c r="J350">
        <v>468</v>
      </c>
      <c r="K350">
        <v>1</v>
      </c>
      <c r="L350" t="s">
        <v>38</v>
      </c>
      <c r="M350">
        <v>44</v>
      </c>
      <c r="N350">
        <v>3</v>
      </c>
      <c r="O350">
        <v>4</v>
      </c>
      <c r="P350" t="s">
        <v>56</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c r="AJ350">
        <f t="shared" si="5"/>
        <v>0</v>
      </c>
      <c r="AK350" t="str" cm="1">
        <f t="array" ref="AK350">_xlfn.IFS(A350&lt;=30,"18-30",A350&lt;=45,"31-45",A350&lt;=60,"46-60",TRUE, "60+")</f>
        <v>31-45</v>
      </c>
      <c r="AL350" t="str" cm="1">
        <f t="array" ref="AL350">_xlfn.IFS(F350&lt;=10,"0-10",F350&lt;=20,"11-20",TRUE,"20+")</f>
        <v>20+</v>
      </c>
      <c r="AM350" t="str" cm="1">
        <f t="array" ref="AM350">_xlfn.IFS(S350&lt;=5000,"0-5k",S350&lt;=10000,"5k-10k",S350&lt;=15000,"10k-15k",TRUE,"15k+")</f>
        <v>15k+</v>
      </c>
      <c r="AN350" t="str" cm="1">
        <f t="array" ref="AN350">_xlfn.IFS(AF350&lt;=10,"0-10",AF350&lt;=20,"10-20",AF350&lt;=30,"20-30",TRUE,"30+")</f>
        <v>0-10</v>
      </c>
      <c r="AO350" t="str" cm="1">
        <f t="array" ref="AO350">_xlfn.IFS(Y350=1,"Poor",Y350=2,"Average",Y350=3,"Good",TRUE,"Excellent")</f>
        <v>Good</v>
      </c>
      <c r="AP350" t="str" cm="1">
        <f t="array" ref="AP350">_xlfn.IFS(Q350=1,"Low",Q350=2,"Medium",Q350=3,"High",TRUE,"Very High")</f>
        <v>Very High</v>
      </c>
    </row>
    <row r="351" spans="1:42" x14ac:dyDescent="0.25">
      <c r="A351">
        <v>29</v>
      </c>
      <c r="B351" t="s">
        <v>42</v>
      </c>
      <c r="C351" t="s">
        <v>53</v>
      </c>
      <c r="D351">
        <v>746</v>
      </c>
      <c r="E351" t="s">
        <v>36</v>
      </c>
      <c r="F351">
        <v>2</v>
      </c>
      <c r="G351">
        <v>3</v>
      </c>
      <c r="H351" t="s">
        <v>37</v>
      </c>
      <c r="I351">
        <v>1</v>
      </c>
      <c r="J351">
        <v>469</v>
      </c>
      <c r="K351">
        <v>4</v>
      </c>
      <c r="L351" t="s">
        <v>44</v>
      </c>
      <c r="M351">
        <v>61</v>
      </c>
      <c r="N351">
        <v>3</v>
      </c>
      <c r="O351">
        <v>2</v>
      </c>
      <c r="P351" t="s">
        <v>39</v>
      </c>
      <c r="Q351">
        <v>3</v>
      </c>
      <c r="R351" t="s">
        <v>46</v>
      </c>
      <c r="S351">
        <v>4649</v>
      </c>
      <c r="T351">
        <v>16928</v>
      </c>
      <c r="U351">
        <v>1</v>
      </c>
      <c r="V351" t="s">
        <v>41</v>
      </c>
      <c r="W351" t="s">
        <v>42</v>
      </c>
      <c r="X351">
        <v>14</v>
      </c>
      <c r="Y351">
        <v>3</v>
      </c>
      <c r="Z351">
        <v>1</v>
      </c>
      <c r="AA351">
        <v>80</v>
      </c>
      <c r="AB351">
        <v>1</v>
      </c>
      <c r="AC351">
        <v>4</v>
      </c>
      <c r="AD351">
        <v>3</v>
      </c>
      <c r="AE351">
        <v>2</v>
      </c>
      <c r="AF351">
        <v>4</v>
      </c>
      <c r="AG351">
        <v>3</v>
      </c>
      <c r="AH351">
        <v>0</v>
      </c>
      <c r="AI351">
        <v>2</v>
      </c>
      <c r="AJ351">
        <f t="shared" si="5"/>
        <v>0</v>
      </c>
      <c r="AK351" t="str" cm="1">
        <f t="array" ref="AK351">_xlfn.IFS(A351&lt;=30,"18-30",A351&lt;=45,"31-45",A351&lt;=60,"46-60",TRUE, "60+")</f>
        <v>18-30</v>
      </c>
      <c r="AL351" t="str" cm="1">
        <f t="array" ref="AL351">_xlfn.IFS(F351&lt;=10,"0-10",F351&lt;=20,"11-20",TRUE,"20+")</f>
        <v>0-10</v>
      </c>
      <c r="AM351" t="str" cm="1">
        <f t="array" ref="AM351">_xlfn.IFS(S351&lt;=5000,"0-5k",S351&lt;=10000,"5k-10k",S351&lt;=15000,"10k-15k",TRUE,"15k+")</f>
        <v>0-5k</v>
      </c>
      <c r="AN351" t="str" cm="1">
        <f t="array" ref="AN351">_xlfn.IFS(AF351&lt;=10,"0-10",AF351&lt;=20,"10-20",AF351&lt;=30,"20-30",TRUE,"30+")</f>
        <v>0-10</v>
      </c>
      <c r="AO351" t="str" cm="1">
        <f t="array" ref="AO351">_xlfn.IFS(Y351=1,"Poor",Y351=2,"Average",Y351=3,"Good",TRUE,"Excellent")</f>
        <v>Good</v>
      </c>
      <c r="AP351" t="str" cm="1">
        <f t="array" ref="AP351">_xlfn.IFS(Q351=1,"Low",Q351=2,"Medium",Q351=3,"High",TRUE,"Very High")</f>
        <v>High</v>
      </c>
    </row>
    <row r="352" spans="1:42" x14ac:dyDescent="0.25">
      <c r="A352">
        <v>42</v>
      </c>
      <c r="B352" t="s">
        <v>42</v>
      </c>
      <c r="C352" t="s">
        <v>90</v>
      </c>
      <c r="D352">
        <v>544</v>
      </c>
      <c r="E352" t="s">
        <v>59</v>
      </c>
      <c r="F352">
        <v>2</v>
      </c>
      <c r="G352">
        <v>1</v>
      </c>
      <c r="H352" t="s">
        <v>58</v>
      </c>
      <c r="I352">
        <v>1</v>
      </c>
      <c r="J352">
        <v>470</v>
      </c>
      <c r="K352">
        <v>3</v>
      </c>
      <c r="L352" t="s">
        <v>44</v>
      </c>
      <c r="M352">
        <v>52</v>
      </c>
      <c r="N352">
        <v>3</v>
      </c>
      <c r="O352">
        <v>1</v>
      </c>
      <c r="P352" t="s">
        <v>59</v>
      </c>
      <c r="Q352">
        <v>3</v>
      </c>
      <c r="R352" t="s">
        <v>50</v>
      </c>
      <c r="S352">
        <v>2696</v>
      </c>
      <c r="T352">
        <v>24017</v>
      </c>
      <c r="U352">
        <v>0</v>
      </c>
      <c r="V352" t="s">
        <v>41</v>
      </c>
      <c r="W352" t="s">
        <v>35</v>
      </c>
      <c r="X352">
        <v>11</v>
      </c>
      <c r="Y352">
        <v>3</v>
      </c>
      <c r="Z352">
        <v>3</v>
      </c>
      <c r="AA352">
        <v>80</v>
      </c>
      <c r="AB352">
        <v>1</v>
      </c>
      <c r="AC352">
        <v>4</v>
      </c>
      <c r="AD352">
        <v>5</v>
      </c>
      <c r="AE352">
        <v>3</v>
      </c>
      <c r="AF352">
        <v>3</v>
      </c>
      <c r="AG352">
        <v>2</v>
      </c>
      <c r="AH352">
        <v>1</v>
      </c>
      <c r="AI352">
        <v>0</v>
      </c>
      <c r="AJ352">
        <f t="shared" si="5"/>
        <v>0</v>
      </c>
      <c r="AK352" t="str" cm="1">
        <f t="array" ref="AK352">_xlfn.IFS(A352&lt;=30,"18-30",A352&lt;=45,"31-45",A352&lt;=60,"46-60",TRUE, "60+")</f>
        <v>31-45</v>
      </c>
      <c r="AL352" t="str" cm="1">
        <f t="array" ref="AL352">_xlfn.IFS(F352&lt;=10,"0-10",F352&lt;=20,"11-20",TRUE,"20+")</f>
        <v>0-10</v>
      </c>
      <c r="AM352" t="str" cm="1">
        <f t="array" ref="AM352">_xlfn.IFS(S352&lt;=5000,"0-5k",S352&lt;=10000,"5k-10k",S352&lt;=15000,"10k-15k",TRUE,"15k+")</f>
        <v>0-5k</v>
      </c>
      <c r="AN352" t="str" cm="1">
        <f t="array" ref="AN352">_xlfn.IFS(AF352&lt;=10,"0-10",AF352&lt;=20,"10-20",AF352&lt;=30,"20-30",TRUE,"30+")</f>
        <v>0-10</v>
      </c>
      <c r="AO352" t="str" cm="1">
        <f t="array" ref="AO352">_xlfn.IFS(Y352=1,"Poor",Y352=2,"Average",Y352=3,"Good",TRUE,"Excellent")</f>
        <v>Good</v>
      </c>
      <c r="AP352" t="str" cm="1">
        <f t="array" ref="AP352">_xlfn.IFS(Q352=1,"Low",Q352=2,"Medium",Q352=3,"High",TRUE,"Very High")</f>
        <v>High</v>
      </c>
    </row>
    <row r="353" spans="1:42" x14ac:dyDescent="0.25">
      <c r="A353">
        <v>32</v>
      </c>
      <c r="B353" t="s">
        <v>42</v>
      </c>
      <c r="C353" t="s">
        <v>90</v>
      </c>
      <c r="D353">
        <v>1062</v>
      </c>
      <c r="E353" t="s">
        <v>43</v>
      </c>
      <c r="F353">
        <v>2</v>
      </c>
      <c r="G353">
        <v>3</v>
      </c>
      <c r="H353" t="s">
        <v>49</v>
      </c>
      <c r="I353">
        <v>1</v>
      </c>
      <c r="J353">
        <v>471</v>
      </c>
      <c r="K353">
        <v>3</v>
      </c>
      <c r="L353" t="s">
        <v>38</v>
      </c>
      <c r="M353">
        <v>75</v>
      </c>
      <c r="N353">
        <v>3</v>
      </c>
      <c r="O353">
        <v>1</v>
      </c>
      <c r="P353" t="s">
        <v>48</v>
      </c>
      <c r="Q353">
        <v>2</v>
      </c>
      <c r="R353" t="s">
        <v>46</v>
      </c>
      <c r="S353">
        <v>2370</v>
      </c>
      <c r="T353">
        <v>3956</v>
      </c>
      <c r="U353">
        <v>1</v>
      </c>
      <c r="V353" t="s">
        <v>41</v>
      </c>
      <c r="W353" t="s">
        <v>42</v>
      </c>
      <c r="X353">
        <v>13</v>
      </c>
      <c r="Y353">
        <v>3</v>
      </c>
      <c r="Z353">
        <v>3</v>
      </c>
      <c r="AA353">
        <v>80</v>
      </c>
      <c r="AB353">
        <v>1</v>
      </c>
      <c r="AC353">
        <v>8</v>
      </c>
      <c r="AD353">
        <v>4</v>
      </c>
      <c r="AE353">
        <v>3</v>
      </c>
      <c r="AF353">
        <v>8</v>
      </c>
      <c r="AG353">
        <v>0</v>
      </c>
      <c r="AH353">
        <v>0</v>
      </c>
      <c r="AI353">
        <v>7</v>
      </c>
      <c r="AJ353">
        <f t="shared" si="5"/>
        <v>0</v>
      </c>
      <c r="AK353" t="str" cm="1">
        <f t="array" ref="AK353">_xlfn.IFS(A353&lt;=30,"18-30",A353&lt;=45,"31-45",A353&lt;=60,"46-60",TRUE, "60+")</f>
        <v>31-45</v>
      </c>
      <c r="AL353" t="str" cm="1">
        <f t="array" ref="AL353">_xlfn.IFS(F353&lt;=10,"0-10",F353&lt;=20,"11-20",TRUE,"20+")</f>
        <v>0-10</v>
      </c>
      <c r="AM353" t="str" cm="1">
        <f t="array" ref="AM353">_xlfn.IFS(S353&lt;=5000,"0-5k",S353&lt;=10000,"5k-10k",S353&lt;=15000,"10k-15k",TRUE,"15k+")</f>
        <v>0-5k</v>
      </c>
      <c r="AN353" t="str" cm="1">
        <f t="array" ref="AN353">_xlfn.IFS(AF353&lt;=10,"0-10",AF353&lt;=20,"10-20",AF353&lt;=30,"20-30",TRUE,"30+")</f>
        <v>0-10</v>
      </c>
      <c r="AO353" t="str" cm="1">
        <f t="array" ref="AO353">_xlfn.IFS(Y353=1,"Poor",Y353=2,"Average",Y353=3,"Good",TRUE,"Excellent")</f>
        <v>Good</v>
      </c>
      <c r="AP353" t="str" cm="1">
        <f t="array" ref="AP353">_xlfn.IFS(Q353=1,"Low",Q353=2,"Medium",Q353=3,"High",TRUE,"Very High")</f>
        <v>Medium</v>
      </c>
    </row>
    <row r="354" spans="1:42" x14ac:dyDescent="0.25">
      <c r="A354">
        <v>48</v>
      </c>
      <c r="B354" t="s">
        <v>42</v>
      </c>
      <c r="C354" t="s">
        <v>90</v>
      </c>
      <c r="D354">
        <v>530</v>
      </c>
      <c r="E354" t="s">
        <v>36</v>
      </c>
      <c r="F354">
        <v>29</v>
      </c>
      <c r="G354">
        <v>1</v>
      </c>
      <c r="H354" t="s">
        <v>49</v>
      </c>
      <c r="I354">
        <v>1</v>
      </c>
      <c r="J354">
        <v>473</v>
      </c>
      <c r="K354">
        <v>1</v>
      </c>
      <c r="L354" t="s">
        <v>38</v>
      </c>
      <c r="M354">
        <v>91</v>
      </c>
      <c r="N354">
        <v>3</v>
      </c>
      <c r="O354">
        <v>3</v>
      </c>
      <c r="P354" t="s">
        <v>54</v>
      </c>
      <c r="Q354">
        <v>3</v>
      </c>
      <c r="R354" t="s">
        <v>46</v>
      </c>
      <c r="S354">
        <v>12504</v>
      </c>
      <c r="T354">
        <v>23978</v>
      </c>
      <c r="U354">
        <v>3</v>
      </c>
      <c r="V354" t="s">
        <v>41</v>
      </c>
      <c r="W354" t="s">
        <v>42</v>
      </c>
      <c r="X354">
        <v>21</v>
      </c>
      <c r="Y354">
        <v>4</v>
      </c>
      <c r="Z354">
        <v>2</v>
      </c>
      <c r="AA354">
        <v>80</v>
      </c>
      <c r="AB354">
        <v>1</v>
      </c>
      <c r="AC354">
        <v>15</v>
      </c>
      <c r="AD354">
        <v>3</v>
      </c>
      <c r="AE354">
        <v>1</v>
      </c>
      <c r="AF354">
        <v>0</v>
      </c>
      <c r="AG354">
        <v>0</v>
      </c>
      <c r="AH354">
        <v>0</v>
      </c>
      <c r="AI354">
        <v>0</v>
      </c>
      <c r="AJ354">
        <f t="shared" si="5"/>
        <v>0</v>
      </c>
      <c r="AK354" t="str" cm="1">
        <f t="array" ref="AK354">_xlfn.IFS(A354&lt;=30,"18-30",A354&lt;=45,"31-45",A354&lt;=60,"46-60",TRUE, "60+")</f>
        <v>46-60</v>
      </c>
      <c r="AL354" t="str" cm="1">
        <f t="array" ref="AL354">_xlfn.IFS(F354&lt;=10,"0-10",F354&lt;=20,"11-20",TRUE,"20+")</f>
        <v>20+</v>
      </c>
      <c r="AM354" t="str" cm="1">
        <f t="array" ref="AM354">_xlfn.IFS(S354&lt;=5000,"0-5k",S354&lt;=10000,"5k-10k",S354&lt;=15000,"10k-15k",TRUE,"15k+")</f>
        <v>10k-15k</v>
      </c>
      <c r="AN354" t="str" cm="1">
        <f t="array" ref="AN354">_xlfn.IFS(AF354&lt;=10,"0-10",AF354&lt;=20,"10-20",AF354&lt;=30,"20-30",TRUE,"30+")</f>
        <v>0-10</v>
      </c>
      <c r="AO354" t="str" cm="1">
        <f t="array" ref="AO354">_xlfn.IFS(Y354=1,"Poor",Y354=2,"Average",Y354=3,"Good",TRUE,"Excellent")</f>
        <v>Excellent</v>
      </c>
      <c r="AP354" t="str" cm="1">
        <f t="array" ref="AP354">_xlfn.IFS(Q354=1,"Low",Q354=2,"Medium",Q354=3,"High",TRUE,"Very High")</f>
        <v>High</v>
      </c>
    </row>
    <row r="355" spans="1:42" x14ac:dyDescent="0.25">
      <c r="A355">
        <v>37</v>
      </c>
      <c r="B355" t="s">
        <v>42</v>
      </c>
      <c r="C355" t="s">
        <v>90</v>
      </c>
      <c r="D355">
        <v>1319</v>
      </c>
      <c r="E355" t="s">
        <v>43</v>
      </c>
      <c r="F355">
        <v>6</v>
      </c>
      <c r="G355">
        <v>3</v>
      </c>
      <c r="H355" t="s">
        <v>49</v>
      </c>
      <c r="I355">
        <v>1</v>
      </c>
      <c r="J355">
        <v>474</v>
      </c>
      <c r="K355">
        <v>3</v>
      </c>
      <c r="L355" t="s">
        <v>44</v>
      </c>
      <c r="M355">
        <v>51</v>
      </c>
      <c r="N355">
        <v>4</v>
      </c>
      <c r="O355">
        <v>2</v>
      </c>
      <c r="P355" t="s">
        <v>45</v>
      </c>
      <c r="Q355">
        <v>1</v>
      </c>
      <c r="R355" t="s">
        <v>50</v>
      </c>
      <c r="S355">
        <v>5974</v>
      </c>
      <c r="T355">
        <v>17001</v>
      </c>
      <c r="U355">
        <v>4</v>
      </c>
      <c r="V355" t="s">
        <v>41</v>
      </c>
      <c r="W355" t="s">
        <v>35</v>
      </c>
      <c r="X355">
        <v>13</v>
      </c>
      <c r="Y355">
        <v>3</v>
      </c>
      <c r="Z355">
        <v>1</v>
      </c>
      <c r="AA355">
        <v>80</v>
      </c>
      <c r="AB355">
        <v>2</v>
      </c>
      <c r="AC355">
        <v>13</v>
      </c>
      <c r="AD355">
        <v>2</v>
      </c>
      <c r="AE355">
        <v>3</v>
      </c>
      <c r="AF355">
        <v>7</v>
      </c>
      <c r="AG355">
        <v>7</v>
      </c>
      <c r="AH355">
        <v>6</v>
      </c>
      <c r="AI355">
        <v>7</v>
      </c>
      <c r="AJ355">
        <f t="shared" si="5"/>
        <v>0</v>
      </c>
      <c r="AK355" t="str" cm="1">
        <f t="array" ref="AK355">_xlfn.IFS(A355&lt;=30,"18-30",A355&lt;=45,"31-45",A355&lt;=60,"46-60",TRUE, "60+")</f>
        <v>31-45</v>
      </c>
      <c r="AL355" t="str" cm="1">
        <f t="array" ref="AL355">_xlfn.IFS(F355&lt;=10,"0-10",F355&lt;=20,"11-20",TRUE,"20+")</f>
        <v>0-10</v>
      </c>
      <c r="AM355" t="str" cm="1">
        <f t="array" ref="AM355">_xlfn.IFS(S355&lt;=5000,"0-5k",S355&lt;=10000,"5k-10k",S355&lt;=15000,"10k-15k",TRUE,"15k+")</f>
        <v>5k-10k</v>
      </c>
      <c r="AN355" t="str" cm="1">
        <f t="array" ref="AN355">_xlfn.IFS(AF355&lt;=10,"0-10",AF355&lt;=20,"10-20",AF355&lt;=30,"20-30",TRUE,"30+")</f>
        <v>0-10</v>
      </c>
      <c r="AO355" t="str" cm="1">
        <f t="array" ref="AO355">_xlfn.IFS(Y355=1,"Poor",Y355=2,"Average",Y355=3,"Good",TRUE,"Excellent")</f>
        <v>Good</v>
      </c>
      <c r="AP355" t="str" cm="1">
        <f t="array" ref="AP355">_xlfn.IFS(Q355=1,"Low",Q355=2,"Medium",Q355=3,"High",TRUE,"Very High")</f>
        <v>Low</v>
      </c>
    </row>
    <row r="356" spans="1:42" x14ac:dyDescent="0.25">
      <c r="A356">
        <v>30</v>
      </c>
      <c r="B356" t="s">
        <v>42</v>
      </c>
      <c r="C356" t="s">
        <v>53</v>
      </c>
      <c r="D356">
        <v>641</v>
      </c>
      <c r="E356" t="s">
        <v>36</v>
      </c>
      <c r="F356">
        <v>25</v>
      </c>
      <c r="G356">
        <v>2</v>
      </c>
      <c r="H356" t="s">
        <v>58</v>
      </c>
      <c r="I356">
        <v>1</v>
      </c>
      <c r="J356">
        <v>475</v>
      </c>
      <c r="K356">
        <v>4</v>
      </c>
      <c r="L356" t="s">
        <v>38</v>
      </c>
      <c r="M356">
        <v>85</v>
      </c>
      <c r="N356">
        <v>3</v>
      </c>
      <c r="O356">
        <v>2</v>
      </c>
      <c r="P356" t="s">
        <v>39</v>
      </c>
      <c r="Q356">
        <v>3</v>
      </c>
      <c r="R356" t="s">
        <v>46</v>
      </c>
      <c r="S356">
        <v>4736</v>
      </c>
      <c r="T356">
        <v>6069</v>
      </c>
      <c r="U356">
        <v>7</v>
      </c>
      <c r="V356" t="s">
        <v>41</v>
      </c>
      <c r="W356" t="s">
        <v>35</v>
      </c>
      <c r="X356">
        <v>12</v>
      </c>
      <c r="Y356">
        <v>3</v>
      </c>
      <c r="Z356">
        <v>2</v>
      </c>
      <c r="AA356">
        <v>80</v>
      </c>
      <c r="AB356">
        <v>1</v>
      </c>
      <c r="AC356">
        <v>4</v>
      </c>
      <c r="AD356">
        <v>2</v>
      </c>
      <c r="AE356">
        <v>4</v>
      </c>
      <c r="AF356">
        <v>2</v>
      </c>
      <c r="AG356">
        <v>2</v>
      </c>
      <c r="AH356">
        <v>2</v>
      </c>
      <c r="AI356">
        <v>2</v>
      </c>
      <c r="AJ356">
        <f t="shared" si="5"/>
        <v>0</v>
      </c>
      <c r="AK356" t="str" cm="1">
        <f t="array" ref="AK356">_xlfn.IFS(A356&lt;=30,"18-30",A356&lt;=45,"31-45",A356&lt;=60,"46-60",TRUE, "60+")</f>
        <v>18-30</v>
      </c>
      <c r="AL356" t="str" cm="1">
        <f t="array" ref="AL356">_xlfn.IFS(F356&lt;=10,"0-10",F356&lt;=20,"11-20",TRUE,"20+")</f>
        <v>20+</v>
      </c>
      <c r="AM356" t="str" cm="1">
        <f t="array" ref="AM356">_xlfn.IFS(S356&lt;=5000,"0-5k",S356&lt;=10000,"5k-10k",S356&lt;=15000,"10k-15k",TRUE,"15k+")</f>
        <v>0-5k</v>
      </c>
      <c r="AN356" t="str" cm="1">
        <f t="array" ref="AN356">_xlfn.IFS(AF356&lt;=10,"0-10",AF356&lt;=20,"10-20",AF356&lt;=30,"20-30",TRUE,"30+")</f>
        <v>0-10</v>
      </c>
      <c r="AO356" t="str" cm="1">
        <f t="array" ref="AO356">_xlfn.IFS(Y356=1,"Poor",Y356=2,"Average",Y356=3,"Good",TRUE,"Excellent")</f>
        <v>Good</v>
      </c>
      <c r="AP356" t="str" cm="1">
        <f t="array" ref="AP356">_xlfn.IFS(Q356=1,"Low",Q356=2,"Medium",Q356=3,"High",TRUE,"Very High")</f>
        <v>High</v>
      </c>
    </row>
    <row r="357" spans="1:42" x14ac:dyDescent="0.25">
      <c r="A357">
        <v>26</v>
      </c>
      <c r="B357" t="s">
        <v>42</v>
      </c>
      <c r="C357" t="s">
        <v>90</v>
      </c>
      <c r="D357">
        <v>933</v>
      </c>
      <c r="E357" t="s">
        <v>36</v>
      </c>
      <c r="F357">
        <v>1</v>
      </c>
      <c r="G357">
        <v>3</v>
      </c>
      <c r="H357" t="s">
        <v>37</v>
      </c>
      <c r="I357">
        <v>1</v>
      </c>
      <c r="J357">
        <v>476</v>
      </c>
      <c r="K357">
        <v>3</v>
      </c>
      <c r="L357" t="s">
        <v>44</v>
      </c>
      <c r="M357">
        <v>57</v>
      </c>
      <c r="N357">
        <v>3</v>
      </c>
      <c r="O357">
        <v>2</v>
      </c>
      <c r="P357" t="s">
        <v>39</v>
      </c>
      <c r="Q357">
        <v>3</v>
      </c>
      <c r="R357" t="s">
        <v>46</v>
      </c>
      <c r="S357">
        <v>5296</v>
      </c>
      <c r="T357">
        <v>20156</v>
      </c>
      <c r="U357">
        <v>1</v>
      </c>
      <c r="V357" t="s">
        <v>41</v>
      </c>
      <c r="W357" t="s">
        <v>42</v>
      </c>
      <c r="X357">
        <v>17</v>
      </c>
      <c r="Y357">
        <v>3</v>
      </c>
      <c r="Z357">
        <v>2</v>
      </c>
      <c r="AA357">
        <v>80</v>
      </c>
      <c r="AB357">
        <v>1</v>
      </c>
      <c r="AC357">
        <v>8</v>
      </c>
      <c r="AD357">
        <v>3</v>
      </c>
      <c r="AE357">
        <v>3</v>
      </c>
      <c r="AF357">
        <v>8</v>
      </c>
      <c r="AG357">
        <v>7</v>
      </c>
      <c r="AH357">
        <v>7</v>
      </c>
      <c r="AI357">
        <v>7</v>
      </c>
      <c r="AJ357">
        <f t="shared" si="5"/>
        <v>0</v>
      </c>
      <c r="AK357" t="str" cm="1">
        <f t="array" ref="AK357">_xlfn.IFS(A357&lt;=30,"18-30",A357&lt;=45,"31-45",A357&lt;=60,"46-60",TRUE, "60+")</f>
        <v>18-30</v>
      </c>
      <c r="AL357" t="str" cm="1">
        <f t="array" ref="AL357">_xlfn.IFS(F357&lt;=10,"0-10",F357&lt;=20,"11-20",TRUE,"20+")</f>
        <v>0-10</v>
      </c>
      <c r="AM357" t="str" cm="1">
        <f t="array" ref="AM357">_xlfn.IFS(S357&lt;=5000,"0-5k",S357&lt;=10000,"5k-10k",S357&lt;=15000,"10k-15k",TRUE,"15k+")</f>
        <v>5k-10k</v>
      </c>
      <c r="AN357" t="str" cm="1">
        <f t="array" ref="AN357">_xlfn.IFS(AF357&lt;=10,"0-10",AF357&lt;=20,"10-20",AF357&lt;=30,"20-30",TRUE,"30+")</f>
        <v>0-10</v>
      </c>
      <c r="AO357" t="str" cm="1">
        <f t="array" ref="AO357">_xlfn.IFS(Y357=1,"Poor",Y357=2,"Average",Y357=3,"Good",TRUE,"Excellent")</f>
        <v>Good</v>
      </c>
      <c r="AP357" t="str" cm="1">
        <f t="array" ref="AP357">_xlfn.IFS(Q357=1,"Low",Q357=2,"Medium",Q357=3,"High",TRUE,"Very High")</f>
        <v>High</v>
      </c>
    </row>
    <row r="358" spans="1:42" x14ac:dyDescent="0.25">
      <c r="A358">
        <v>42</v>
      </c>
      <c r="B358" t="s">
        <v>42</v>
      </c>
      <c r="C358" t="s">
        <v>90</v>
      </c>
      <c r="D358">
        <v>1332</v>
      </c>
      <c r="E358" t="s">
        <v>43</v>
      </c>
      <c r="F358">
        <v>2</v>
      </c>
      <c r="G358">
        <v>4</v>
      </c>
      <c r="H358" t="s">
        <v>47</v>
      </c>
      <c r="I358">
        <v>1</v>
      </c>
      <c r="J358">
        <v>477</v>
      </c>
      <c r="K358">
        <v>1</v>
      </c>
      <c r="L358" t="s">
        <v>44</v>
      </c>
      <c r="M358">
        <v>98</v>
      </c>
      <c r="N358">
        <v>2</v>
      </c>
      <c r="O358">
        <v>2</v>
      </c>
      <c r="P358" t="s">
        <v>52</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c r="AJ358">
        <f t="shared" si="5"/>
        <v>0</v>
      </c>
      <c r="AK358" t="str" cm="1">
        <f t="array" ref="AK358">_xlfn.IFS(A358&lt;=30,"18-30",A358&lt;=45,"31-45",A358&lt;=60,"46-60",TRUE, "60+")</f>
        <v>31-45</v>
      </c>
      <c r="AL358" t="str" cm="1">
        <f t="array" ref="AL358">_xlfn.IFS(F358&lt;=10,"0-10",F358&lt;=20,"11-20",TRUE,"20+")</f>
        <v>0-10</v>
      </c>
      <c r="AM358" t="str" cm="1">
        <f t="array" ref="AM358">_xlfn.IFS(S358&lt;=5000,"0-5k",S358&lt;=10000,"5k-10k",S358&lt;=15000,"10k-15k",TRUE,"15k+")</f>
        <v>5k-10k</v>
      </c>
      <c r="AN358" t="str" cm="1">
        <f t="array" ref="AN358">_xlfn.IFS(AF358&lt;=10,"0-10",AF358&lt;=20,"10-20",AF358&lt;=30,"20-30",TRUE,"30+")</f>
        <v>0-10</v>
      </c>
      <c r="AO358" t="str" cm="1">
        <f t="array" ref="AO358">_xlfn.IFS(Y358=1,"Poor",Y358=2,"Average",Y358=3,"Good",TRUE,"Excellent")</f>
        <v>Excellent</v>
      </c>
      <c r="AP358" t="str" cm="1">
        <f t="array" ref="AP358">_xlfn.IFS(Q358=1,"Low",Q358=2,"Medium",Q358=3,"High",TRUE,"Very High")</f>
        <v>Very High</v>
      </c>
    </row>
    <row r="359" spans="1:42" x14ac:dyDescent="0.25">
      <c r="A359">
        <v>21</v>
      </c>
      <c r="B359" t="s">
        <v>35</v>
      </c>
      <c r="C359" t="s">
        <v>91</v>
      </c>
      <c r="D359">
        <v>756</v>
      </c>
      <c r="E359" t="s">
        <v>36</v>
      </c>
      <c r="F359">
        <v>1</v>
      </c>
      <c r="G359">
        <v>1</v>
      </c>
      <c r="H359" t="s">
        <v>58</v>
      </c>
      <c r="I359">
        <v>1</v>
      </c>
      <c r="J359">
        <v>478</v>
      </c>
      <c r="K359">
        <v>1</v>
      </c>
      <c r="L359" t="s">
        <v>38</v>
      </c>
      <c r="M359">
        <v>99</v>
      </c>
      <c r="N359">
        <v>2</v>
      </c>
      <c r="O359">
        <v>1</v>
      </c>
      <c r="P359" t="s">
        <v>55</v>
      </c>
      <c r="Q359">
        <v>2</v>
      </c>
      <c r="R359" t="s">
        <v>40</v>
      </c>
      <c r="S359">
        <v>2174</v>
      </c>
      <c r="T359">
        <v>9150</v>
      </c>
      <c r="U359">
        <v>1</v>
      </c>
      <c r="V359" t="s">
        <v>41</v>
      </c>
      <c r="W359" t="s">
        <v>35</v>
      </c>
      <c r="X359">
        <v>11</v>
      </c>
      <c r="Y359">
        <v>3</v>
      </c>
      <c r="Z359">
        <v>3</v>
      </c>
      <c r="AA359">
        <v>80</v>
      </c>
      <c r="AB359">
        <v>0</v>
      </c>
      <c r="AC359">
        <v>3</v>
      </c>
      <c r="AD359">
        <v>3</v>
      </c>
      <c r="AE359">
        <v>3</v>
      </c>
      <c r="AF359">
        <v>3</v>
      </c>
      <c r="AG359">
        <v>2</v>
      </c>
      <c r="AH359">
        <v>1</v>
      </c>
      <c r="AI359">
        <v>2</v>
      </c>
      <c r="AJ359">
        <f t="shared" si="5"/>
        <v>1</v>
      </c>
      <c r="AK359" t="str" cm="1">
        <f t="array" ref="AK359">_xlfn.IFS(A359&lt;=30,"18-30",A359&lt;=45,"31-45",A359&lt;=60,"46-60",TRUE, "60+")</f>
        <v>18-30</v>
      </c>
      <c r="AL359" t="str" cm="1">
        <f t="array" ref="AL359">_xlfn.IFS(F359&lt;=10,"0-10",F359&lt;=20,"11-20",TRUE,"20+")</f>
        <v>0-10</v>
      </c>
      <c r="AM359" t="str" cm="1">
        <f t="array" ref="AM359">_xlfn.IFS(S359&lt;=5000,"0-5k",S359&lt;=10000,"5k-10k",S359&lt;=15000,"10k-15k",TRUE,"15k+")</f>
        <v>0-5k</v>
      </c>
      <c r="AN359" t="str" cm="1">
        <f t="array" ref="AN359">_xlfn.IFS(AF359&lt;=10,"0-10",AF359&lt;=20,"10-20",AF359&lt;=30,"20-30",TRUE,"30+")</f>
        <v>0-10</v>
      </c>
      <c r="AO359" t="str" cm="1">
        <f t="array" ref="AO359">_xlfn.IFS(Y359=1,"Poor",Y359=2,"Average",Y359=3,"Good",TRUE,"Excellent")</f>
        <v>Good</v>
      </c>
      <c r="AP359" t="str" cm="1">
        <f t="array" ref="AP359">_xlfn.IFS(Q359=1,"Low",Q359=2,"Medium",Q359=3,"High",TRUE,"Very High")</f>
        <v>Medium</v>
      </c>
    </row>
    <row r="360" spans="1:42" x14ac:dyDescent="0.25">
      <c r="A360">
        <v>36</v>
      </c>
      <c r="B360" t="s">
        <v>42</v>
      </c>
      <c r="C360" t="s">
        <v>53</v>
      </c>
      <c r="D360">
        <v>845</v>
      </c>
      <c r="E360" t="s">
        <v>36</v>
      </c>
      <c r="F360">
        <v>1</v>
      </c>
      <c r="G360">
        <v>5</v>
      </c>
      <c r="H360" t="s">
        <v>49</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c r="AJ360">
        <f t="shared" si="5"/>
        <v>0</v>
      </c>
      <c r="AK360" t="str" cm="1">
        <f t="array" ref="AK360">_xlfn.IFS(A360&lt;=30,"18-30",A360&lt;=45,"31-45",A360&lt;=60,"46-60",TRUE, "60+")</f>
        <v>31-45</v>
      </c>
      <c r="AL360" t="str" cm="1">
        <f t="array" ref="AL360">_xlfn.IFS(F360&lt;=10,"0-10",F360&lt;=20,"11-20",TRUE,"20+")</f>
        <v>0-10</v>
      </c>
      <c r="AM360" t="str" cm="1">
        <f t="array" ref="AM360">_xlfn.IFS(S360&lt;=5000,"0-5k",S360&lt;=10000,"5k-10k",S360&lt;=15000,"10k-15k",TRUE,"15k+")</f>
        <v>5k-10k</v>
      </c>
      <c r="AN360" t="str" cm="1">
        <f t="array" ref="AN360">_xlfn.IFS(AF360&lt;=10,"0-10",AF360&lt;=20,"10-20",AF360&lt;=30,"20-30",TRUE,"30+")</f>
        <v>0-10</v>
      </c>
      <c r="AO360" t="str" cm="1">
        <f t="array" ref="AO360">_xlfn.IFS(Y360=1,"Poor",Y360=2,"Average",Y360=3,"Good",TRUE,"Excellent")</f>
        <v>Good</v>
      </c>
      <c r="AP360" t="str" cm="1">
        <f t="array" ref="AP360">_xlfn.IFS(Q360=1,"Low",Q360=2,"Medium",Q360=3,"High",TRUE,"Very High")</f>
        <v>Very High</v>
      </c>
    </row>
    <row r="361" spans="1:42" x14ac:dyDescent="0.25">
      <c r="A361">
        <v>36</v>
      </c>
      <c r="B361" t="s">
        <v>42</v>
      </c>
      <c r="C361" t="s">
        <v>91</v>
      </c>
      <c r="D361">
        <v>541</v>
      </c>
      <c r="E361" t="s">
        <v>36</v>
      </c>
      <c r="F361">
        <v>3</v>
      </c>
      <c r="G361">
        <v>4</v>
      </c>
      <c r="H361" t="s">
        <v>49</v>
      </c>
      <c r="I361">
        <v>1</v>
      </c>
      <c r="J361">
        <v>481</v>
      </c>
      <c r="K361">
        <v>1</v>
      </c>
      <c r="L361" t="s">
        <v>44</v>
      </c>
      <c r="M361">
        <v>48</v>
      </c>
      <c r="N361">
        <v>2</v>
      </c>
      <c r="O361">
        <v>3</v>
      </c>
      <c r="P361" t="s">
        <v>39</v>
      </c>
      <c r="Q361">
        <v>4</v>
      </c>
      <c r="R361" t="s">
        <v>46</v>
      </c>
      <c r="S361">
        <v>9699</v>
      </c>
      <c r="T361">
        <v>7246</v>
      </c>
      <c r="U361">
        <v>4</v>
      </c>
      <c r="V361" t="s">
        <v>41</v>
      </c>
      <c r="W361" t="s">
        <v>42</v>
      </c>
      <c r="X361">
        <v>11</v>
      </c>
      <c r="Y361">
        <v>3</v>
      </c>
      <c r="Z361">
        <v>1</v>
      </c>
      <c r="AA361">
        <v>80</v>
      </c>
      <c r="AB361">
        <v>1</v>
      </c>
      <c r="AC361">
        <v>16</v>
      </c>
      <c r="AD361">
        <v>2</v>
      </c>
      <c r="AE361">
        <v>3</v>
      </c>
      <c r="AF361">
        <v>13</v>
      </c>
      <c r="AG361">
        <v>9</v>
      </c>
      <c r="AH361">
        <v>1</v>
      </c>
      <c r="AI361">
        <v>12</v>
      </c>
      <c r="AJ361">
        <f t="shared" si="5"/>
        <v>0</v>
      </c>
      <c r="AK361" t="str" cm="1">
        <f t="array" ref="AK361">_xlfn.IFS(A361&lt;=30,"18-30",A361&lt;=45,"31-45",A361&lt;=60,"46-60",TRUE, "60+")</f>
        <v>31-45</v>
      </c>
      <c r="AL361" t="str" cm="1">
        <f t="array" ref="AL361">_xlfn.IFS(F361&lt;=10,"0-10",F361&lt;=20,"11-20",TRUE,"20+")</f>
        <v>0-10</v>
      </c>
      <c r="AM361" t="str" cm="1">
        <f t="array" ref="AM361">_xlfn.IFS(S361&lt;=5000,"0-5k",S361&lt;=10000,"5k-10k",S361&lt;=15000,"10k-15k",TRUE,"15k+")</f>
        <v>5k-10k</v>
      </c>
      <c r="AN361" t="str" cm="1">
        <f t="array" ref="AN361">_xlfn.IFS(AF361&lt;=10,"0-10",AF361&lt;=20,"10-20",AF361&lt;=30,"20-30",TRUE,"30+")</f>
        <v>10-20</v>
      </c>
      <c r="AO361" t="str" cm="1">
        <f t="array" ref="AO361">_xlfn.IFS(Y361=1,"Poor",Y361=2,"Average",Y361=3,"Good",TRUE,"Excellent")</f>
        <v>Good</v>
      </c>
      <c r="AP361" t="str" cm="1">
        <f t="array" ref="AP361">_xlfn.IFS(Q361=1,"Low",Q361=2,"Medium",Q361=3,"High",TRUE,"Very High")</f>
        <v>Very High</v>
      </c>
    </row>
    <row r="362" spans="1:42" x14ac:dyDescent="0.25">
      <c r="A362">
        <v>57</v>
      </c>
      <c r="B362" t="s">
        <v>42</v>
      </c>
      <c r="C362" t="s">
        <v>90</v>
      </c>
      <c r="D362">
        <v>593</v>
      </c>
      <c r="E362" t="s">
        <v>43</v>
      </c>
      <c r="F362">
        <v>1</v>
      </c>
      <c r="G362">
        <v>4</v>
      </c>
      <c r="H362" t="s">
        <v>49</v>
      </c>
      <c r="I362">
        <v>1</v>
      </c>
      <c r="J362">
        <v>482</v>
      </c>
      <c r="K362">
        <v>4</v>
      </c>
      <c r="L362" t="s">
        <v>44</v>
      </c>
      <c r="M362">
        <v>88</v>
      </c>
      <c r="N362">
        <v>3</v>
      </c>
      <c r="O362">
        <v>2</v>
      </c>
      <c r="P362" t="s">
        <v>52</v>
      </c>
      <c r="Q362">
        <v>3</v>
      </c>
      <c r="R362" t="s">
        <v>46</v>
      </c>
      <c r="S362">
        <v>6755</v>
      </c>
      <c r="T362">
        <v>2967</v>
      </c>
      <c r="U362">
        <v>2</v>
      </c>
      <c r="V362" t="s">
        <v>41</v>
      </c>
      <c r="W362" t="s">
        <v>42</v>
      </c>
      <c r="X362">
        <v>11</v>
      </c>
      <c r="Y362">
        <v>3</v>
      </c>
      <c r="Z362">
        <v>3</v>
      </c>
      <c r="AA362">
        <v>80</v>
      </c>
      <c r="AB362">
        <v>0</v>
      </c>
      <c r="AC362">
        <v>15</v>
      </c>
      <c r="AD362">
        <v>2</v>
      </c>
      <c r="AE362">
        <v>3</v>
      </c>
      <c r="AF362">
        <v>3</v>
      </c>
      <c r="AG362">
        <v>2</v>
      </c>
      <c r="AH362">
        <v>1</v>
      </c>
      <c r="AI362">
        <v>2</v>
      </c>
      <c r="AJ362">
        <f t="shared" si="5"/>
        <v>0</v>
      </c>
      <c r="AK362" t="str" cm="1">
        <f t="array" ref="AK362">_xlfn.IFS(A362&lt;=30,"18-30",A362&lt;=45,"31-45",A362&lt;=60,"46-60",TRUE, "60+")</f>
        <v>46-60</v>
      </c>
      <c r="AL362" t="str" cm="1">
        <f t="array" ref="AL362">_xlfn.IFS(F362&lt;=10,"0-10",F362&lt;=20,"11-20",TRUE,"20+")</f>
        <v>0-10</v>
      </c>
      <c r="AM362" t="str" cm="1">
        <f t="array" ref="AM362">_xlfn.IFS(S362&lt;=5000,"0-5k",S362&lt;=10000,"5k-10k",S362&lt;=15000,"10k-15k",TRUE,"15k+")</f>
        <v>5k-10k</v>
      </c>
      <c r="AN362" t="str" cm="1">
        <f t="array" ref="AN362">_xlfn.IFS(AF362&lt;=10,"0-10",AF362&lt;=20,"10-20",AF362&lt;=30,"20-30",TRUE,"30+")</f>
        <v>0-10</v>
      </c>
      <c r="AO362" t="str" cm="1">
        <f t="array" ref="AO362">_xlfn.IFS(Y362=1,"Poor",Y362=2,"Average",Y362=3,"Good",TRUE,"Excellent")</f>
        <v>Good</v>
      </c>
      <c r="AP362" t="str" cm="1">
        <f t="array" ref="AP362">_xlfn.IFS(Q362=1,"Low",Q362=2,"Medium",Q362=3,"High",TRUE,"Very High")</f>
        <v>High</v>
      </c>
    </row>
    <row r="363" spans="1:42" x14ac:dyDescent="0.25">
      <c r="A363">
        <v>40</v>
      </c>
      <c r="B363" t="s">
        <v>42</v>
      </c>
      <c r="C363" t="s">
        <v>90</v>
      </c>
      <c r="D363">
        <v>1171</v>
      </c>
      <c r="E363" t="s">
        <v>43</v>
      </c>
      <c r="F363">
        <v>10</v>
      </c>
      <c r="G363">
        <v>4</v>
      </c>
      <c r="H363" t="s">
        <v>37</v>
      </c>
      <c r="I363">
        <v>1</v>
      </c>
      <c r="J363">
        <v>483</v>
      </c>
      <c r="K363">
        <v>4</v>
      </c>
      <c r="L363" t="s">
        <v>38</v>
      </c>
      <c r="M363">
        <v>46</v>
      </c>
      <c r="N363">
        <v>4</v>
      </c>
      <c r="O363">
        <v>1</v>
      </c>
      <c r="P363" t="s">
        <v>48</v>
      </c>
      <c r="Q363">
        <v>3</v>
      </c>
      <c r="R363" t="s">
        <v>46</v>
      </c>
      <c r="S363">
        <v>2213</v>
      </c>
      <c r="T363">
        <v>22495</v>
      </c>
      <c r="U363">
        <v>3</v>
      </c>
      <c r="V363" t="s">
        <v>41</v>
      </c>
      <c r="W363" t="s">
        <v>35</v>
      </c>
      <c r="X363">
        <v>13</v>
      </c>
      <c r="Y363">
        <v>3</v>
      </c>
      <c r="Z363">
        <v>3</v>
      </c>
      <c r="AA363">
        <v>80</v>
      </c>
      <c r="AB363">
        <v>1</v>
      </c>
      <c r="AC363">
        <v>10</v>
      </c>
      <c r="AD363">
        <v>3</v>
      </c>
      <c r="AE363">
        <v>3</v>
      </c>
      <c r="AF363">
        <v>7</v>
      </c>
      <c r="AG363">
        <v>7</v>
      </c>
      <c r="AH363">
        <v>1</v>
      </c>
      <c r="AI363">
        <v>7</v>
      </c>
      <c r="AJ363">
        <f t="shared" si="5"/>
        <v>0</v>
      </c>
      <c r="AK363" t="str" cm="1">
        <f t="array" ref="AK363">_xlfn.IFS(A363&lt;=30,"18-30",A363&lt;=45,"31-45",A363&lt;=60,"46-60",TRUE, "60+")</f>
        <v>31-45</v>
      </c>
      <c r="AL363" t="str" cm="1">
        <f t="array" ref="AL363">_xlfn.IFS(F363&lt;=10,"0-10",F363&lt;=20,"11-20",TRUE,"20+")</f>
        <v>0-10</v>
      </c>
      <c r="AM363" t="str" cm="1">
        <f t="array" ref="AM363">_xlfn.IFS(S363&lt;=5000,"0-5k",S363&lt;=10000,"5k-10k",S363&lt;=15000,"10k-15k",TRUE,"15k+")</f>
        <v>0-5k</v>
      </c>
      <c r="AN363" t="str" cm="1">
        <f t="array" ref="AN363">_xlfn.IFS(AF363&lt;=10,"0-10",AF363&lt;=20,"10-20",AF363&lt;=30,"20-30",TRUE,"30+")</f>
        <v>0-10</v>
      </c>
      <c r="AO363" t="str" cm="1">
        <f t="array" ref="AO363">_xlfn.IFS(Y363=1,"Poor",Y363=2,"Average",Y363=3,"Good",TRUE,"Excellent")</f>
        <v>Good</v>
      </c>
      <c r="AP363" t="str" cm="1">
        <f t="array" ref="AP363">_xlfn.IFS(Q363=1,"Low",Q363=2,"Medium",Q363=3,"High",TRUE,"Very High")</f>
        <v>High</v>
      </c>
    </row>
    <row r="364" spans="1:42" x14ac:dyDescent="0.25">
      <c r="A364">
        <v>21</v>
      </c>
      <c r="B364" t="s">
        <v>42</v>
      </c>
      <c r="C364" t="s">
        <v>53</v>
      </c>
      <c r="D364">
        <v>895</v>
      </c>
      <c r="E364" t="s">
        <v>36</v>
      </c>
      <c r="F364">
        <v>9</v>
      </c>
      <c r="G364">
        <v>2</v>
      </c>
      <c r="H364" t="s">
        <v>49</v>
      </c>
      <c r="I364">
        <v>1</v>
      </c>
      <c r="J364">
        <v>484</v>
      </c>
      <c r="K364">
        <v>1</v>
      </c>
      <c r="L364" t="s">
        <v>44</v>
      </c>
      <c r="M364">
        <v>39</v>
      </c>
      <c r="N364">
        <v>3</v>
      </c>
      <c r="O364">
        <v>1</v>
      </c>
      <c r="P364" t="s">
        <v>55</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c r="AJ364">
        <f t="shared" si="5"/>
        <v>0</v>
      </c>
      <c r="AK364" t="str" cm="1">
        <f t="array" ref="AK364">_xlfn.IFS(A364&lt;=30,"18-30",A364&lt;=45,"31-45",A364&lt;=60,"46-60",TRUE, "60+")</f>
        <v>18-30</v>
      </c>
      <c r="AL364" t="str" cm="1">
        <f t="array" ref="AL364">_xlfn.IFS(F364&lt;=10,"0-10",F364&lt;=20,"11-20",TRUE,"20+")</f>
        <v>0-10</v>
      </c>
      <c r="AM364" t="str" cm="1">
        <f t="array" ref="AM364">_xlfn.IFS(S364&lt;=5000,"0-5k",S364&lt;=10000,"5k-10k",S364&lt;=15000,"10k-15k",TRUE,"15k+")</f>
        <v>0-5k</v>
      </c>
      <c r="AN364" t="str" cm="1">
        <f t="array" ref="AN364">_xlfn.IFS(AF364&lt;=10,"0-10",AF364&lt;=20,"10-20",AF364&lt;=30,"20-30",TRUE,"30+")</f>
        <v>0-10</v>
      </c>
      <c r="AO364" t="str" cm="1">
        <f t="array" ref="AO364">_xlfn.IFS(Y364=1,"Poor",Y364=2,"Average",Y364=3,"Good",TRUE,"Excellent")</f>
        <v>Excellent</v>
      </c>
      <c r="AP364" t="str" cm="1">
        <f t="array" ref="AP364">_xlfn.IFS(Q364=1,"Low",Q364=2,"Medium",Q364=3,"High",TRUE,"Very High")</f>
        <v>Very High</v>
      </c>
    </row>
    <row r="365" spans="1:42" x14ac:dyDescent="0.25">
      <c r="A365">
        <v>33</v>
      </c>
      <c r="B365" t="s">
        <v>35</v>
      </c>
      <c r="C365" t="s">
        <v>90</v>
      </c>
      <c r="D365">
        <v>350</v>
      </c>
      <c r="E365" t="s">
        <v>36</v>
      </c>
      <c r="F365">
        <v>5</v>
      </c>
      <c r="G365">
        <v>3</v>
      </c>
      <c r="H365" t="s">
        <v>57</v>
      </c>
      <c r="I365">
        <v>1</v>
      </c>
      <c r="J365">
        <v>485</v>
      </c>
      <c r="K365">
        <v>4</v>
      </c>
      <c r="L365" t="s">
        <v>38</v>
      </c>
      <c r="M365">
        <v>34</v>
      </c>
      <c r="N365">
        <v>3</v>
      </c>
      <c r="O365">
        <v>1</v>
      </c>
      <c r="P365" t="s">
        <v>55</v>
      </c>
      <c r="Q365">
        <v>3</v>
      </c>
      <c r="R365" t="s">
        <v>40</v>
      </c>
      <c r="S365">
        <v>2851</v>
      </c>
      <c r="T365">
        <v>9150</v>
      </c>
      <c r="U365">
        <v>1</v>
      </c>
      <c r="V365" t="s">
        <v>41</v>
      </c>
      <c r="W365" t="s">
        <v>35</v>
      </c>
      <c r="X365">
        <v>13</v>
      </c>
      <c r="Y365">
        <v>3</v>
      </c>
      <c r="Z365">
        <v>2</v>
      </c>
      <c r="AA365">
        <v>80</v>
      </c>
      <c r="AB365">
        <v>0</v>
      </c>
      <c r="AC365">
        <v>1</v>
      </c>
      <c r="AD365">
        <v>2</v>
      </c>
      <c r="AE365">
        <v>3</v>
      </c>
      <c r="AF365">
        <v>1</v>
      </c>
      <c r="AG365">
        <v>0</v>
      </c>
      <c r="AH365">
        <v>0</v>
      </c>
      <c r="AI365">
        <v>0</v>
      </c>
      <c r="AJ365">
        <f t="shared" si="5"/>
        <v>1</v>
      </c>
      <c r="AK365" t="str" cm="1">
        <f t="array" ref="AK365">_xlfn.IFS(A365&lt;=30,"18-30",A365&lt;=45,"31-45",A365&lt;=60,"46-60",TRUE, "60+")</f>
        <v>31-45</v>
      </c>
      <c r="AL365" t="str" cm="1">
        <f t="array" ref="AL365">_xlfn.IFS(F365&lt;=10,"0-10",F365&lt;=20,"11-20",TRUE,"20+")</f>
        <v>0-10</v>
      </c>
      <c r="AM365" t="str" cm="1">
        <f t="array" ref="AM365">_xlfn.IFS(S365&lt;=5000,"0-5k",S365&lt;=10000,"5k-10k",S365&lt;=15000,"10k-15k",TRUE,"15k+")</f>
        <v>0-5k</v>
      </c>
      <c r="AN365" t="str" cm="1">
        <f t="array" ref="AN365">_xlfn.IFS(AF365&lt;=10,"0-10",AF365&lt;=20,"10-20",AF365&lt;=30,"20-30",TRUE,"30+")</f>
        <v>0-10</v>
      </c>
      <c r="AO365" t="str" cm="1">
        <f t="array" ref="AO365">_xlfn.IFS(Y365=1,"Poor",Y365=2,"Average",Y365=3,"Good",TRUE,"Excellent")</f>
        <v>Good</v>
      </c>
      <c r="AP365" t="str" cm="1">
        <f t="array" ref="AP365">_xlfn.IFS(Q365=1,"Low",Q365=2,"Medium",Q365=3,"High",TRUE,"Very High")</f>
        <v>High</v>
      </c>
    </row>
    <row r="366" spans="1:42" x14ac:dyDescent="0.25">
      <c r="A366">
        <v>37</v>
      </c>
      <c r="B366" t="s">
        <v>42</v>
      </c>
      <c r="C366" t="s">
        <v>90</v>
      </c>
      <c r="D366">
        <v>921</v>
      </c>
      <c r="E366" t="s">
        <v>43</v>
      </c>
      <c r="F366">
        <v>10</v>
      </c>
      <c r="G366">
        <v>3</v>
      </c>
      <c r="H366" t="s">
        <v>49</v>
      </c>
      <c r="I366">
        <v>1</v>
      </c>
      <c r="J366">
        <v>486</v>
      </c>
      <c r="K366">
        <v>3</v>
      </c>
      <c r="L366" t="s">
        <v>38</v>
      </c>
      <c r="M366">
        <v>98</v>
      </c>
      <c r="N366">
        <v>3</v>
      </c>
      <c r="O366">
        <v>1</v>
      </c>
      <c r="P366" t="s">
        <v>48</v>
      </c>
      <c r="Q366">
        <v>1</v>
      </c>
      <c r="R366" t="s">
        <v>46</v>
      </c>
      <c r="S366">
        <v>3452</v>
      </c>
      <c r="T366">
        <v>17663</v>
      </c>
      <c r="U366">
        <v>6</v>
      </c>
      <c r="V366" t="s">
        <v>41</v>
      </c>
      <c r="W366" t="s">
        <v>42</v>
      </c>
      <c r="X366">
        <v>20</v>
      </c>
      <c r="Y366">
        <v>4</v>
      </c>
      <c r="Z366">
        <v>2</v>
      </c>
      <c r="AA366">
        <v>80</v>
      </c>
      <c r="AB366">
        <v>1</v>
      </c>
      <c r="AC366">
        <v>17</v>
      </c>
      <c r="AD366">
        <v>3</v>
      </c>
      <c r="AE366">
        <v>3</v>
      </c>
      <c r="AF366">
        <v>5</v>
      </c>
      <c r="AG366">
        <v>4</v>
      </c>
      <c r="AH366">
        <v>0</v>
      </c>
      <c r="AI366">
        <v>3</v>
      </c>
      <c r="AJ366">
        <f t="shared" si="5"/>
        <v>0</v>
      </c>
      <c r="AK366" t="str" cm="1">
        <f t="array" ref="AK366">_xlfn.IFS(A366&lt;=30,"18-30",A366&lt;=45,"31-45",A366&lt;=60,"46-60",TRUE, "60+")</f>
        <v>31-45</v>
      </c>
      <c r="AL366" t="str" cm="1">
        <f t="array" ref="AL366">_xlfn.IFS(F366&lt;=10,"0-10",F366&lt;=20,"11-20",TRUE,"20+")</f>
        <v>0-10</v>
      </c>
      <c r="AM366" t="str" cm="1">
        <f t="array" ref="AM366">_xlfn.IFS(S366&lt;=5000,"0-5k",S366&lt;=10000,"5k-10k",S366&lt;=15000,"10k-15k",TRUE,"15k+")</f>
        <v>0-5k</v>
      </c>
      <c r="AN366" t="str" cm="1">
        <f t="array" ref="AN366">_xlfn.IFS(AF366&lt;=10,"0-10",AF366&lt;=20,"10-20",AF366&lt;=30,"20-30",TRUE,"30+")</f>
        <v>0-10</v>
      </c>
      <c r="AO366" t="str" cm="1">
        <f t="array" ref="AO366">_xlfn.IFS(Y366=1,"Poor",Y366=2,"Average",Y366=3,"Good",TRUE,"Excellent")</f>
        <v>Excellent</v>
      </c>
      <c r="AP366" t="str" cm="1">
        <f t="array" ref="AP366">_xlfn.IFS(Q366=1,"Low",Q366=2,"Medium",Q366=3,"High",TRUE,"Very High")</f>
        <v>Low</v>
      </c>
    </row>
    <row r="367" spans="1:42" x14ac:dyDescent="0.25">
      <c r="A367">
        <v>46</v>
      </c>
      <c r="B367" t="s">
        <v>42</v>
      </c>
      <c r="C367" t="s">
        <v>53</v>
      </c>
      <c r="D367">
        <v>1144</v>
      </c>
      <c r="E367" t="s">
        <v>43</v>
      </c>
      <c r="F367">
        <v>7</v>
      </c>
      <c r="G367">
        <v>4</v>
      </c>
      <c r="H367" t="s">
        <v>49</v>
      </c>
      <c r="I367">
        <v>1</v>
      </c>
      <c r="J367">
        <v>487</v>
      </c>
      <c r="K367">
        <v>3</v>
      </c>
      <c r="L367" t="s">
        <v>38</v>
      </c>
      <c r="M367">
        <v>30</v>
      </c>
      <c r="N367">
        <v>3</v>
      </c>
      <c r="O367">
        <v>2</v>
      </c>
      <c r="P367" t="s">
        <v>51</v>
      </c>
      <c r="Q367">
        <v>3</v>
      </c>
      <c r="R367" t="s">
        <v>46</v>
      </c>
      <c r="S367">
        <v>5258</v>
      </c>
      <c r="T367">
        <v>16044</v>
      </c>
      <c r="U367">
        <v>2</v>
      </c>
      <c r="V367" t="s">
        <v>41</v>
      </c>
      <c r="W367" t="s">
        <v>42</v>
      </c>
      <c r="X367">
        <v>14</v>
      </c>
      <c r="Y367">
        <v>3</v>
      </c>
      <c r="Z367">
        <v>3</v>
      </c>
      <c r="AA367">
        <v>80</v>
      </c>
      <c r="AB367">
        <v>0</v>
      </c>
      <c r="AC367">
        <v>7</v>
      </c>
      <c r="AD367">
        <v>2</v>
      </c>
      <c r="AE367">
        <v>4</v>
      </c>
      <c r="AF367">
        <v>1</v>
      </c>
      <c r="AG367">
        <v>0</v>
      </c>
      <c r="AH367">
        <v>0</v>
      </c>
      <c r="AI367">
        <v>0</v>
      </c>
      <c r="AJ367">
        <f t="shared" si="5"/>
        <v>0</v>
      </c>
      <c r="AK367" t="str" cm="1">
        <f t="array" ref="AK367">_xlfn.IFS(A367&lt;=30,"18-30",A367&lt;=45,"31-45",A367&lt;=60,"46-60",TRUE, "60+")</f>
        <v>46-60</v>
      </c>
      <c r="AL367" t="str" cm="1">
        <f t="array" ref="AL367">_xlfn.IFS(F367&lt;=10,"0-10",F367&lt;=20,"11-20",TRUE,"20+")</f>
        <v>0-10</v>
      </c>
      <c r="AM367" t="str" cm="1">
        <f t="array" ref="AM367">_xlfn.IFS(S367&lt;=5000,"0-5k",S367&lt;=10000,"5k-10k",S367&lt;=15000,"10k-15k",TRUE,"15k+")</f>
        <v>5k-10k</v>
      </c>
      <c r="AN367" t="str" cm="1">
        <f t="array" ref="AN367">_xlfn.IFS(AF367&lt;=10,"0-10",AF367&lt;=20,"10-20",AF367&lt;=30,"20-30",TRUE,"30+")</f>
        <v>0-10</v>
      </c>
      <c r="AO367" t="str" cm="1">
        <f t="array" ref="AO367">_xlfn.IFS(Y367=1,"Poor",Y367=2,"Average",Y367=3,"Good",TRUE,"Excellent")</f>
        <v>Good</v>
      </c>
      <c r="AP367" t="str" cm="1">
        <f t="array" ref="AP367">_xlfn.IFS(Q367=1,"Low",Q367=2,"Medium",Q367=3,"High",TRUE,"Very High")</f>
        <v>High</v>
      </c>
    </row>
    <row r="368" spans="1:42" x14ac:dyDescent="0.25">
      <c r="A368">
        <v>41</v>
      </c>
      <c r="B368" t="s">
        <v>35</v>
      </c>
      <c r="C368" t="s">
        <v>91</v>
      </c>
      <c r="D368">
        <v>143</v>
      </c>
      <c r="E368" t="s">
        <v>36</v>
      </c>
      <c r="F368">
        <v>4</v>
      </c>
      <c r="G368">
        <v>3</v>
      </c>
      <c r="H368" t="s">
        <v>57</v>
      </c>
      <c r="I368">
        <v>1</v>
      </c>
      <c r="J368">
        <v>488</v>
      </c>
      <c r="K368">
        <v>1</v>
      </c>
      <c r="L368" t="s">
        <v>44</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c r="AJ368">
        <f t="shared" si="5"/>
        <v>1</v>
      </c>
      <c r="AK368" t="str" cm="1">
        <f t="array" ref="AK368">_xlfn.IFS(A368&lt;=30,"18-30",A368&lt;=45,"31-45",A368&lt;=60,"46-60",TRUE, "60+")</f>
        <v>31-45</v>
      </c>
      <c r="AL368" t="str" cm="1">
        <f t="array" ref="AL368">_xlfn.IFS(F368&lt;=10,"0-10",F368&lt;=20,"11-20",TRUE,"20+")</f>
        <v>0-10</v>
      </c>
      <c r="AM368" t="str" cm="1">
        <f t="array" ref="AM368">_xlfn.IFS(S368&lt;=5000,"0-5k",S368&lt;=10000,"5k-10k",S368&lt;=15000,"10k-15k",TRUE,"15k+")</f>
        <v>5k-10k</v>
      </c>
      <c r="AN368" t="str" cm="1">
        <f t="array" ref="AN368">_xlfn.IFS(AF368&lt;=10,"0-10",AF368&lt;=20,"10-20",AF368&lt;=30,"20-30",TRUE,"30+")</f>
        <v>0-10</v>
      </c>
      <c r="AO368" t="str" cm="1">
        <f t="array" ref="AO368">_xlfn.IFS(Y368=1,"Poor",Y368=2,"Average",Y368=3,"Good",TRUE,"Excellent")</f>
        <v>Good</v>
      </c>
      <c r="AP368" t="str" cm="1">
        <f t="array" ref="AP368">_xlfn.IFS(Q368=1,"Low",Q368=2,"Medium",Q368=3,"High",TRUE,"Very High")</f>
        <v>Medium</v>
      </c>
    </row>
    <row r="369" spans="1:42" x14ac:dyDescent="0.25">
      <c r="A369">
        <v>50</v>
      </c>
      <c r="B369" t="s">
        <v>42</v>
      </c>
      <c r="C369" t="s">
        <v>90</v>
      </c>
      <c r="D369">
        <v>1046</v>
      </c>
      <c r="E369" t="s">
        <v>43</v>
      </c>
      <c r="F369">
        <v>10</v>
      </c>
      <c r="G369">
        <v>3</v>
      </c>
      <c r="H369" t="s">
        <v>58</v>
      </c>
      <c r="I369">
        <v>1</v>
      </c>
      <c r="J369">
        <v>491</v>
      </c>
      <c r="K369">
        <v>4</v>
      </c>
      <c r="L369" t="s">
        <v>44</v>
      </c>
      <c r="M369">
        <v>100</v>
      </c>
      <c r="N369">
        <v>2</v>
      </c>
      <c r="O369">
        <v>3</v>
      </c>
      <c r="P369" t="s">
        <v>52</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c r="AJ369">
        <f t="shared" si="5"/>
        <v>0</v>
      </c>
      <c r="AK369" t="str" cm="1">
        <f t="array" ref="AK369">_xlfn.IFS(A369&lt;=30,"18-30",A369&lt;=45,"31-45",A369&lt;=60,"46-60",TRUE, "60+")</f>
        <v>46-60</v>
      </c>
      <c r="AL369" t="str" cm="1">
        <f t="array" ref="AL369">_xlfn.IFS(F369&lt;=10,"0-10",F369&lt;=20,"11-20",TRUE,"20+")</f>
        <v>0-10</v>
      </c>
      <c r="AM369" t="str" cm="1">
        <f t="array" ref="AM369">_xlfn.IFS(S369&lt;=5000,"0-5k",S369&lt;=10000,"5k-10k",S369&lt;=15000,"10k-15k",TRUE,"15k+")</f>
        <v>10k-15k</v>
      </c>
      <c r="AN369" t="str" cm="1">
        <f t="array" ref="AN369">_xlfn.IFS(AF369&lt;=10,"0-10",AF369&lt;=20,"10-20",AF369&lt;=30,"20-30",TRUE,"30+")</f>
        <v>0-10</v>
      </c>
      <c r="AO369" t="str" cm="1">
        <f t="array" ref="AO369">_xlfn.IFS(Y369=1,"Poor",Y369=2,"Average",Y369=3,"Good",TRUE,"Excellent")</f>
        <v>Good</v>
      </c>
      <c r="AP369" t="str" cm="1">
        <f t="array" ref="AP369">_xlfn.IFS(Q369=1,"Low",Q369=2,"Medium",Q369=3,"High",TRUE,"Very High")</f>
        <v>Very High</v>
      </c>
    </row>
    <row r="370" spans="1:42" x14ac:dyDescent="0.25">
      <c r="A370">
        <v>40</v>
      </c>
      <c r="B370" t="s">
        <v>35</v>
      </c>
      <c r="C370" t="s">
        <v>90</v>
      </c>
      <c r="D370">
        <v>575</v>
      </c>
      <c r="E370" t="s">
        <v>36</v>
      </c>
      <c r="F370">
        <v>22</v>
      </c>
      <c r="G370">
        <v>2</v>
      </c>
      <c r="H370" t="s">
        <v>57</v>
      </c>
      <c r="I370">
        <v>1</v>
      </c>
      <c r="J370">
        <v>492</v>
      </c>
      <c r="K370">
        <v>3</v>
      </c>
      <c r="L370" t="s">
        <v>44</v>
      </c>
      <c r="M370">
        <v>68</v>
      </c>
      <c r="N370">
        <v>2</v>
      </c>
      <c r="O370">
        <v>2</v>
      </c>
      <c r="P370" t="s">
        <v>39</v>
      </c>
      <c r="Q370">
        <v>3</v>
      </c>
      <c r="R370" t="s">
        <v>46</v>
      </c>
      <c r="S370">
        <v>6380</v>
      </c>
      <c r="T370">
        <v>6110</v>
      </c>
      <c r="U370">
        <v>2</v>
      </c>
      <c r="V370" t="s">
        <v>41</v>
      </c>
      <c r="W370" t="s">
        <v>35</v>
      </c>
      <c r="X370">
        <v>12</v>
      </c>
      <c r="Y370">
        <v>3</v>
      </c>
      <c r="Z370">
        <v>1</v>
      </c>
      <c r="AA370">
        <v>80</v>
      </c>
      <c r="AB370">
        <v>2</v>
      </c>
      <c r="AC370">
        <v>8</v>
      </c>
      <c r="AD370">
        <v>6</v>
      </c>
      <c r="AE370">
        <v>3</v>
      </c>
      <c r="AF370">
        <v>6</v>
      </c>
      <c r="AG370">
        <v>4</v>
      </c>
      <c r="AH370">
        <v>1</v>
      </c>
      <c r="AI370">
        <v>0</v>
      </c>
      <c r="AJ370">
        <f t="shared" si="5"/>
        <v>1</v>
      </c>
      <c r="AK370" t="str" cm="1">
        <f t="array" ref="AK370">_xlfn.IFS(A370&lt;=30,"18-30",A370&lt;=45,"31-45",A370&lt;=60,"46-60",TRUE, "60+")</f>
        <v>31-45</v>
      </c>
      <c r="AL370" t="str" cm="1">
        <f t="array" ref="AL370">_xlfn.IFS(F370&lt;=10,"0-10",F370&lt;=20,"11-20",TRUE,"20+")</f>
        <v>20+</v>
      </c>
      <c r="AM370" t="str" cm="1">
        <f t="array" ref="AM370">_xlfn.IFS(S370&lt;=5000,"0-5k",S370&lt;=10000,"5k-10k",S370&lt;=15000,"10k-15k",TRUE,"15k+")</f>
        <v>5k-10k</v>
      </c>
      <c r="AN370" t="str" cm="1">
        <f t="array" ref="AN370">_xlfn.IFS(AF370&lt;=10,"0-10",AF370&lt;=20,"10-20",AF370&lt;=30,"20-30",TRUE,"30+")</f>
        <v>0-10</v>
      </c>
      <c r="AO370" t="str" cm="1">
        <f t="array" ref="AO370">_xlfn.IFS(Y370=1,"Poor",Y370=2,"Average",Y370=3,"Good",TRUE,"Excellent")</f>
        <v>Good</v>
      </c>
      <c r="AP370" t="str" cm="1">
        <f t="array" ref="AP370">_xlfn.IFS(Q370=1,"Low",Q370=2,"Medium",Q370=3,"High",TRUE,"Very High")</f>
        <v>High</v>
      </c>
    </row>
    <row r="371" spans="1:42" x14ac:dyDescent="0.25">
      <c r="A371">
        <v>31</v>
      </c>
      <c r="B371" t="s">
        <v>42</v>
      </c>
      <c r="C371" t="s">
        <v>90</v>
      </c>
      <c r="D371">
        <v>408</v>
      </c>
      <c r="E371" t="s">
        <v>43</v>
      </c>
      <c r="F371">
        <v>9</v>
      </c>
      <c r="G371">
        <v>4</v>
      </c>
      <c r="H371" t="s">
        <v>37</v>
      </c>
      <c r="I371">
        <v>1</v>
      </c>
      <c r="J371">
        <v>493</v>
      </c>
      <c r="K371">
        <v>3</v>
      </c>
      <c r="L371" t="s">
        <v>44</v>
      </c>
      <c r="M371">
        <v>42</v>
      </c>
      <c r="N371">
        <v>2</v>
      </c>
      <c r="O371">
        <v>1</v>
      </c>
      <c r="P371" t="s">
        <v>45</v>
      </c>
      <c r="Q371">
        <v>2</v>
      </c>
      <c r="R371" t="s">
        <v>40</v>
      </c>
      <c r="S371">
        <v>2657</v>
      </c>
      <c r="T371">
        <v>7551</v>
      </c>
      <c r="U371">
        <v>0</v>
      </c>
      <c r="V371" t="s">
        <v>41</v>
      </c>
      <c r="W371" t="s">
        <v>35</v>
      </c>
      <c r="X371">
        <v>16</v>
      </c>
      <c r="Y371">
        <v>3</v>
      </c>
      <c r="Z371">
        <v>4</v>
      </c>
      <c r="AA371">
        <v>80</v>
      </c>
      <c r="AB371">
        <v>0</v>
      </c>
      <c r="AC371">
        <v>3</v>
      </c>
      <c r="AD371">
        <v>5</v>
      </c>
      <c r="AE371">
        <v>3</v>
      </c>
      <c r="AF371">
        <v>2</v>
      </c>
      <c r="AG371">
        <v>2</v>
      </c>
      <c r="AH371">
        <v>2</v>
      </c>
      <c r="AI371">
        <v>2</v>
      </c>
      <c r="AJ371">
        <f t="shared" si="5"/>
        <v>0</v>
      </c>
      <c r="AK371" t="str" cm="1">
        <f t="array" ref="AK371">_xlfn.IFS(A371&lt;=30,"18-30",A371&lt;=45,"31-45",A371&lt;=60,"46-60",TRUE, "60+")</f>
        <v>31-45</v>
      </c>
      <c r="AL371" t="str" cm="1">
        <f t="array" ref="AL371">_xlfn.IFS(F371&lt;=10,"0-10",F371&lt;=20,"11-20",TRUE,"20+")</f>
        <v>0-10</v>
      </c>
      <c r="AM371" t="str" cm="1">
        <f t="array" ref="AM371">_xlfn.IFS(S371&lt;=5000,"0-5k",S371&lt;=10000,"5k-10k",S371&lt;=15000,"10k-15k",TRUE,"15k+")</f>
        <v>0-5k</v>
      </c>
      <c r="AN371" t="str" cm="1">
        <f t="array" ref="AN371">_xlfn.IFS(AF371&lt;=10,"0-10",AF371&lt;=20,"10-20",AF371&lt;=30,"20-30",TRUE,"30+")</f>
        <v>0-10</v>
      </c>
      <c r="AO371" t="str" cm="1">
        <f t="array" ref="AO371">_xlfn.IFS(Y371=1,"Poor",Y371=2,"Average",Y371=3,"Good",TRUE,"Excellent")</f>
        <v>Good</v>
      </c>
      <c r="AP371" t="str" cm="1">
        <f t="array" ref="AP371">_xlfn.IFS(Q371=1,"Low",Q371=2,"Medium",Q371=3,"High",TRUE,"Very High")</f>
        <v>Medium</v>
      </c>
    </row>
    <row r="372" spans="1:42" x14ac:dyDescent="0.25">
      <c r="A372">
        <v>21</v>
      </c>
      <c r="B372" t="s">
        <v>35</v>
      </c>
      <c r="C372" t="s">
        <v>90</v>
      </c>
      <c r="D372">
        <v>156</v>
      </c>
      <c r="E372" t="s">
        <v>36</v>
      </c>
      <c r="F372">
        <v>12</v>
      </c>
      <c r="G372">
        <v>3</v>
      </c>
      <c r="H372" t="s">
        <v>37</v>
      </c>
      <c r="I372">
        <v>1</v>
      </c>
      <c r="J372">
        <v>494</v>
      </c>
      <c r="K372">
        <v>3</v>
      </c>
      <c r="L372" t="s">
        <v>38</v>
      </c>
      <c r="M372">
        <v>90</v>
      </c>
      <c r="N372">
        <v>4</v>
      </c>
      <c r="O372">
        <v>1</v>
      </c>
      <c r="P372" t="s">
        <v>55</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c r="AJ372">
        <f t="shared" si="5"/>
        <v>1</v>
      </c>
      <c r="AK372" t="str" cm="1">
        <f t="array" ref="AK372">_xlfn.IFS(A372&lt;=30,"18-30",A372&lt;=45,"31-45",A372&lt;=60,"46-60",TRUE, "60+")</f>
        <v>18-30</v>
      </c>
      <c r="AL372" t="str" cm="1">
        <f t="array" ref="AL372">_xlfn.IFS(F372&lt;=10,"0-10",F372&lt;=20,"11-20",TRUE,"20+")</f>
        <v>11-20</v>
      </c>
      <c r="AM372" t="str" cm="1">
        <f t="array" ref="AM372">_xlfn.IFS(S372&lt;=5000,"0-5k",S372&lt;=10000,"5k-10k",S372&lt;=15000,"10k-15k",TRUE,"15k+")</f>
        <v>0-5k</v>
      </c>
      <c r="AN372" t="str" cm="1">
        <f t="array" ref="AN372">_xlfn.IFS(AF372&lt;=10,"0-10",AF372&lt;=20,"10-20",AF372&lt;=30,"20-30",TRUE,"30+")</f>
        <v>0-10</v>
      </c>
      <c r="AO372" t="str" cm="1">
        <f t="array" ref="AO372">_xlfn.IFS(Y372=1,"Poor",Y372=2,"Average",Y372=3,"Good",TRUE,"Excellent")</f>
        <v>Good</v>
      </c>
      <c r="AP372" t="str" cm="1">
        <f t="array" ref="AP372">_xlfn.IFS(Q372=1,"Low",Q372=2,"Medium",Q372=3,"High",TRUE,"Very High")</f>
        <v>Medium</v>
      </c>
    </row>
    <row r="373" spans="1:42" x14ac:dyDescent="0.25">
      <c r="A373">
        <v>29</v>
      </c>
      <c r="B373" t="s">
        <v>42</v>
      </c>
      <c r="C373" t="s">
        <v>90</v>
      </c>
      <c r="D373">
        <v>1283</v>
      </c>
      <c r="E373" t="s">
        <v>43</v>
      </c>
      <c r="F373">
        <v>23</v>
      </c>
      <c r="G373">
        <v>3</v>
      </c>
      <c r="H373" t="s">
        <v>37</v>
      </c>
      <c r="I373">
        <v>1</v>
      </c>
      <c r="J373">
        <v>495</v>
      </c>
      <c r="K373">
        <v>4</v>
      </c>
      <c r="L373" t="s">
        <v>44</v>
      </c>
      <c r="M373">
        <v>54</v>
      </c>
      <c r="N373">
        <v>3</v>
      </c>
      <c r="O373">
        <v>1</v>
      </c>
      <c r="P373" t="s">
        <v>45</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c r="AJ373">
        <f t="shared" si="5"/>
        <v>0</v>
      </c>
      <c r="AK373" t="str" cm="1">
        <f t="array" ref="AK373">_xlfn.IFS(A373&lt;=30,"18-30",A373&lt;=45,"31-45",A373&lt;=60,"46-60",TRUE, "60+")</f>
        <v>18-30</v>
      </c>
      <c r="AL373" t="str" cm="1">
        <f t="array" ref="AL373">_xlfn.IFS(F373&lt;=10,"0-10",F373&lt;=20,"11-20",TRUE,"20+")</f>
        <v>20+</v>
      </c>
      <c r="AM373" t="str" cm="1">
        <f t="array" ref="AM373">_xlfn.IFS(S373&lt;=5000,"0-5k",S373&lt;=10000,"5k-10k",S373&lt;=15000,"10k-15k",TRUE,"15k+")</f>
        <v>0-5k</v>
      </c>
      <c r="AN373" t="str" cm="1">
        <f t="array" ref="AN373">_xlfn.IFS(AF373&lt;=10,"0-10",AF373&lt;=20,"10-20",AF373&lt;=30,"20-30",TRUE,"30+")</f>
        <v>0-10</v>
      </c>
      <c r="AO373" t="str" cm="1">
        <f t="array" ref="AO373">_xlfn.IFS(Y373=1,"Poor",Y373=2,"Average",Y373=3,"Good",TRUE,"Excellent")</f>
        <v>Good</v>
      </c>
      <c r="AP373" t="str" cm="1">
        <f t="array" ref="AP373">_xlfn.IFS(Q373=1,"Low",Q373=2,"Medium",Q373=3,"High",TRUE,"Very High")</f>
        <v>Very High</v>
      </c>
    </row>
    <row r="374" spans="1:42" x14ac:dyDescent="0.25">
      <c r="A374">
        <v>35</v>
      </c>
      <c r="B374" t="s">
        <v>42</v>
      </c>
      <c r="C374" t="s">
        <v>90</v>
      </c>
      <c r="D374">
        <v>755</v>
      </c>
      <c r="E374" t="s">
        <v>43</v>
      </c>
      <c r="F374">
        <v>9</v>
      </c>
      <c r="G374">
        <v>4</v>
      </c>
      <c r="H374" t="s">
        <v>37</v>
      </c>
      <c r="I374">
        <v>1</v>
      </c>
      <c r="J374">
        <v>496</v>
      </c>
      <c r="K374">
        <v>3</v>
      </c>
      <c r="L374" t="s">
        <v>44</v>
      </c>
      <c r="M374">
        <v>97</v>
      </c>
      <c r="N374">
        <v>2</v>
      </c>
      <c r="O374">
        <v>2</v>
      </c>
      <c r="P374" t="s">
        <v>52</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c r="AJ374">
        <f t="shared" si="5"/>
        <v>0</v>
      </c>
      <c r="AK374" t="str" cm="1">
        <f t="array" ref="AK374">_xlfn.IFS(A374&lt;=30,"18-30",A374&lt;=45,"31-45",A374&lt;=60,"46-60",TRUE, "60+")</f>
        <v>31-45</v>
      </c>
      <c r="AL374" t="str" cm="1">
        <f t="array" ref="AL374">_xlfn.IFS(F374&lt;=10,"0-10",F374&lt;=20,"11-20",TRUE,"20+")</f>
        <v>0-10</v>
      </c>
      <c r="AM374" t="str" cm="1">
        <f t="array" ref="AM374">_xlfn.IFS(S374&lt;=5000,"0-5k",S374&lt;=10000,"5k-10k",S374&lt;=15000,"10k-15k",TRUE,"15k+")</f>
        <v>5k-10k</v>
      </c>
      <c r="AN374" t="str" cm="1">
        <f t="array" ref="AN374">_xlfn.IFS(AF374&lt;=10,"0-10",AF374&lt;=20,"10-20",AF374&lt;=30,"20-30",TRUE,"30+")</f>
        <v>0-10</v>
      </c>
      <c r="AO374" t="str" cm="1">
        <f t="array" ref="AO374">_xlfn.IFS(Y374=1,"Poor",Y374=2,"Average",Y374=3,"Good",TRUE,"Excellent")</f>
        <v>Good</v>
      </c>
      <c r="AP374" t="str" cm="1">
        <f t="array" ref="AP374">_xlfn.IFS(Q374=1,"Low",Q374=2,"Medium",Q374=3,"High",TRUE,"Very High")</f>
        <v>Medium</v>
      </c>
    </row>
    <row r="375" spans="1:42" x14ac:dyDescent="0.25">
      <c r="A375">
        <v>27</v>
      </c>
      <c r="B375" t="s">
        <v>42</v>
      </c>
      <c r="C375" t="s">
        <v>90</v>
      </c>
      <c r="D375">
        <v>1469</v>
      </c>
      <c r="E375" t="s">
        <v>43</v>
      </c>
      <c r="F375">
        <v>1</v>
      </c>
      <c r="G375">
        <v>2</v>
      </c>
      <c r="H375" t="s">
        <v>49</v>
      </c>
      <c r="I375">
        <v>1</v>
      </c>
      <c r="J375">
        <v>497</v>
      </c>
      <c r="K375">
        <v>4</v>
      </c>
      <c r="L375" t="s">
        <v>44</v>
      </c>
      <c r="M375">
        <v>82</v>
      </c>
      <c r="N375">
        <v>3</v>
      </c>
      <c r="O375">
        <v>1</v>
      </c>
      <c r="P375" t="s">
        <v>48</v>
      </c>
      <c r="Q375">
        <v>2</v>
      </c>
      <c r="R375" t="s">
        <v>50</v>
      </c>
      <c r="S375">
        <v>3816</v>
      </c>
      <c r="T375">
        <v>17881</v>
      </c>
      <c r="U375">
        <v>1</v>
      </c>
      <c r="V375" t="s">
        <v>41</v>
      </c>
      <c r="W375" t="s">
        <v>42</v>
      </c>
      <c r="X375">
        <v>11</v>
      </c>
      <c r="Y375">
        <v>3</v>
      </c>
      <c r="Z375">
        <v>2</v>
      </c>
      <c r="AA375">
        <v>80</v>
      </c>
      <c r="AB375">
        <v>1</v>
      </c>
      <c r="AC375">
        <v>5</v>
      </c>
      <c r="AD375">
        <v>2</v>
      </c>
      <c r="AE375">
        <v>3</v>
      </c>
      <c r="AF375">
        <v>5</v>
      </c>
      <c r="AG375">
        <v>2</v>
      </c>
      <c r="AH375">
        <v>0</v>
      </c>
      <c r="AI375">
        <v>4</v>
      </c>
      <c r="AJ375">
        <f t="shared" si="5"/>
        <v>0</v>
      </c>
      <c r="AK375" t="str" cm="1">
        <f t="array" ref="AK375">_xlfn.IFS(A375&lt;=30,"18-30",A375&lt;=45,"31-45",A375&lt;=60,"46-60",TRUE, "60+")</f>
        <v>18-30</v>
      </c>
      <c r="AL375" t="str" cm="1">
        <f t="array" ref="AL375">_xlfn.IFS(F375&lt;=10,"0-10",F375&lt;=20,"11-20",TRUE,"20+")</f>
        <v>0-10</v>
      </c>
      <c r="AM375" t="str" cm="1">
        <f t="array" ref="AM375">_xlfn.IFS(S375&lt;=5000,"0-5k",S375&lt;=10000,"5k-10k",S375&lt;=15000,"10k-15k",TRUE,"15k+")</f>
        <v>0-5k</v>
      </c>
      <c r="AN375" t="str" cm="1">
        <f t="array" ref="AN375">_xlfn.IFS(AF375&lt;=10,"0-10",AF375&lt;=20,"10-20",AF375&lt;=30,"20-30",TRUE,"30+")</f>
        <v>0-10</v>
      </c>
      <c r="AO375" t="str" cm="1">
        <f t="array" ref="AO375">_xlfn.IFS(Y375=1,"Poor",Y375=2,"Average",Y375=3,"Good",TRUE,"Excellent")</f>
        <v>Good</v>
      </c>
      <c r="AP375" t="str" cm="1">
        <f t="array" ref="AP375">_xlfn.IFS(Q375=1,"Low",Q375=2,"Medium",Q375=3,"High",TRUE,"Very High")</f>
        <v>Medium</v>
      </c>
    </row>
    <row r="376" spans="1:42" x14ac:dyDescent="0.25">
      <c r="A376">
        <v>28</v>
      </c>
      <c r="B376" t="s">
        <v>42</v>
      </c>
      <c r="C376" t="s">
        <v>90</v>
      </c>
      <c r="D376">
        <v>304</v>
      </c>
      <c r="E376" t="s">
        <v>36</v>
      </c>
      <c r="F376">
        <v>9</v>
      </c>
      <c r="G376">
        <v>4</v>
      </c>
      <c r="H376" t="s">
        <v>37</v>
      </c>
      <c r="I376">
        <v>1</v>
      </c>
      <c r="J376">
        <v>498</v>
      </c>
      <c r="K376">
        <v>2</v>
      </c>
      <c r="L376" t="s">
        <v>44</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c r="AJ376">
        <f t="shared" si="5"/>
        <v>0</v>
      </c>
      <c r="AK376" t="str" cm="1">
        <f t="array" ref="AK376">_xlfn.IFS(A376&lt;=30,"18-30",A376&lt;=45,"31-45",A376&lt;=60,"46-60",TRUE, "60+")</f>
        <v>18-30</v>
      </c>
      <c r="AL376" t="str" cm="1">
        <f t="array" ref="AL376">_xlfn.IFS(F376&lt;=10,"0-10",F376&lt;=20,"11-20",TRUE,"20+")</f>
        <v>0-10</v>
      </c>
      <c r="AM376" t="str" cm="1">
        <f t="array" ref="AM376">_xlfn.IFS(S376&lt;=5000,"0-5k",S376&lt;=10000,"5k-10k",S376&lt;=15000,"10k-15k",TRUE,"15k+")</f>
        <v>5k-10k</v>
      </c>
      <c r="AN376" t="str" cm="1">
        <f t="array" ref="AN376">_xlfn.IFS(AF376&lt;=10,"0-10",AF376&lt;=20,"10-20",AF376&lt;=30,"20-30",TRUE,"30+")</f>
        <v>0-10</v>
      </c>
      <c r="AO376" t="str" cm="1">
        <f t="array" ref="AO376">_xlfn.IFS(Y376=1,"Poor",Y376=2,"Average",Y376=3,"Good",TRUE,"Excellent")</f>
        <v>Good</v>
      </c>
      <c r="AP376" t="str" cm="1">
        <f t="array" ref="AP376">_xlfn.IFS(Q376=1,"Low",Q376=2,"Medium",Q376=3,"High",TRUE,"Very High")</f>
        <v>Very High</v>
      </c>
    </row>
    <row r="377" spans="1:42" x14ac:dyDescent="0.25">
      <c r="A377">
        <v>49</v>
      </c>
      <c r="B377" t="s">
        <v>42</v>
      </c>
      <c r="C377" t="s">
        <v>90</v>
      </c>
      <c r="D377">
        <v>1261</v>
      </c>
      <c r="E377" t="s">
        <v>43</v>
      </c>
      <c r="F377">
        <v>7</v>
      </c>
      <c r="G377">
        <v>3</v>
      </c>
      <c r="H377" t="s">
        <v>47</v>
      </c>
      <c r="I377">
        <v>1</v>
      </c>
      <c r="J377">
        <v>499</v>
      </c>
      <c r="K377">
        <v>2</v>
      </c>
      <c r="L377" t="s">
        <v>44</v>
      </c>
      <c r="M377">
        <v>31</v>
      </c>
      <c r="N377">
        <v>2</v>
      </c>
      <c r="O377">
        <v>3</v>
      </c>
      <c r="P377" t="s">
        <v>52</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c r="AJ377">
        <f t="shared" si="5"/>
        <v>0</v>
      </c>
      <c r="AK377" t="str" cm="1">
        <f t="array" ref="AK377">_xlfn.IFS(A377&lt;=30,"18-30",A377&lt;=45,"31-45",A377&lt;=60,"46-60",TRUE, "60+")</f>
        <v>46-60</v>
      </c>
      <c r="AL377" t="str" cm="1">
        <f t="array" ref="AL377">_xlfn.IFS(F377&lt;=10,"0-10",F377&lt;=20,"11-20",TRUE,"20+")</f>
        <v>0-10</v>
      </c>
      <c r="AM377" t="str" cm="1">
        <f t="array" ref="AM377">_xlfn.IFS(S377&lt;=5000,"0-5k",S377&lt;=10000,"5k-10k",S377&lt;=15000,"10k-15k",TRUE,"15k+")</f>
        <v>10k-15k</v>
      </c>
      <c r="AN377" t="str" cm="1">
        <f t="array" ref="AN377">_xlfn.IFS(AF377&lt;=10,"0-10",AF377&lt;=20,"10-20",AF377&lt;=30,"20-30",TRUE,"30+")</f>
        <v>0-10</v>
      </c>
      <c r="AO377" t="str" cm="1">
        <f t="array" ref="AO377">_xlfn.IFS(Y377=1,"Poor",Y377=2,"Average",Y377=3,"Good",TRUE,"Excellent")</f>
        <v>Excellent</v>
      </c>
      <c r="AP377" t="str" cm="1">
        <f t="array" ref="AP377">_xlfn.IFS(Q377=1,"Low",Q377=2,"Medium",Q377=3,"High",TRUE,"Very High")</f>
        <v>High</v>
      </c>
    </row>
    <row r="378" spans="1:42" x14ac:dyDescent="0.25">
      <c r="A378">
        <v>51</v>
      </c>
      <c r="B378" t="s">
        <v>42</v>
      </c>
      <c r="C378" t="s">
        <v>90</v>
      </c>
      <c r="D378">
        <v>1178</v>
      </c>
      <c r="E378" t="s">
        <v>36</v>
      </c>
      <c r="F378">
        <v>14</v>
      </c>
      <c r="G378">
        <v>2</v>
      </c>
      <c r="H378" t="s">
        <v>37</v>
      </c>
      <c r="I378">
        <v>1</v>
      </c>
      <c r="J378">
        <v>500</v>
      </c>
      <c r="K378">
        <v>3</v>
      </c>
      <c r="L378" t="s">
        <v>38</v>
      </c>
      <c r="M378">
        <v>87</v>
      </c>
      <c r="N378">
        <v>3</v>
      </c>
      <c r="O378">
        <v>2</v>
      </c>
      <c r="P378" t="s">
        <v>39</v>
      </c>
      <c r="Q378">
        <v>4</v>
      </c>
      <c r="R378" t="s">
        <v>46</v>
      </c>
      <c r="S378">
        <v>4936</v>
      </c>
      <c r="T378">
        <v>14862</v>
      </c>
      <c r="U378">
        <v>4</v>
      </c>
      <c r="V378" t="s">
        <v>41</v>
      </c>
      <c r="W378" t="s">
        <v>42</v>
      </c>
      <c r="X378">
        <v>11</v>
      </c>
      <c r="Y378">
        <v>3</v>
      </c>
      <c r="Z378">
        <v>3</v>
      </c>
      <c r="AA378">
        <v>80</v>
      </c>
      <c r="AB378">
        <v>1</v>
      </c>
      <c r="AC378">
        <v>18</v>
      </c>
      <c r="AD378">
        <v>2</v>
      </c>
      <c r="AE378">
        <v>2</v>
      </c>
      <c r="AF378">
        <v>7</v>
      </c>
      <c r="AG378">
        <v>7</v>
      </c>
      <c r="AH378">
        <v>0</v>
      </c>
      <c r="AI378">
        <v>7</v>
      </c>
      <c r="AJ378">
        <f t="shared" si="5"/>
        <v>0</v>
      </c>
      <c r="AK378" t="str" cm="1">
        <f t="array" ref="AK378">_xlfn.IFS(A378&lt;=30,"18-30",A378&lt;=45,"31-45",A378&lt;=60,"46-60",TRUE, "60+")</f>
        <v>46-60</v>
      </c>
      <c r="AL378" t="str" cm="1">
        <f t="array" ref="AL378">_xlfn.IFS(F378&lt;=10,"0-10",F378&lt;=20,"11-20",TRUE,"20+")</f>
        <v>11-20</v>
      </c>
      <c r="AM378" t="str" cm="1">
        <f t="array" ref="AM378">_xlfn.IFS(S378&lt;=5000,"0-5k",S378&lt;=10000,"5k-10k",S378&lt;=15000,"10k-15k",TRUE,"15k+")</f>
        <v>0-5k</v>
      </c>
      <c r="AN378" t="str" cm="1">
        <f t="array" ref="AN378">_xlfn.IFS(AF378&lt;=10,"0-10",AF378&lt;=20,"10-20",AF378&lt;=30,"20-30",TRUE,"30+")</f>
        <v>0-10</v>
      </c>
      <c r="AO378" t="str" cm="1">
        <f t="array" ref="AO378">_xlfn.IFS(Y378=1,"Poor",Y378=2,"Average",Y378=3,"Good",TRUE,"Excellent")</f>
        <v>Good</v>
      </c>
      <c r="AP378" t="str" cm="1">
        <f t="array" ref="AP378">_xlfn.IFS(Q378=1,"Low",Q378=2,"Medium",Q378=3,"High",TRUE,"Very High")</f>
        <v>Very High</v>
      </c>
    </row>
    <row r="379" spans="1:42" x14ac:dyDescent="0.25">
      <c r="A379">
        <v>36</v>
      </c>
      <c r="B379" t="s">
        <v>42</v>
      </c>
      <c r="C379" t="s">
        <v>90</v>
      </c>
      <c r="D379">
        <v>329</v>
      </c>
      <c r="E379" t="s">
        <v>43</v>
      </c>
      <c r="F379">
        <v>2</v>
      </c>
      <c r="G379">
        <v>3</v>
      </c>
      <c r="H379" t="s">
        <v>37</v>
      </c>
      <c r="I379">
        <v>1</v>
      </c>
      <c r="J379">
        <v>501</v>
      </c>
      <c r="K379">
        <v>4</v>
      </c>
      <c r="L379" t="s">
        <v>38</v>
      </c>
      <c r="M379">
        <v>96</v>
      </c>
      <c r="N379">
        <v>3</v>
      </c>
      <c r="O379">
        <v>1</v>
      </c>
      <c r="P379" t="s">
        <v>45</v>
      </c>
      <c r="Q379">
        <v>3</v>
      </c>
      <c r="R379" t="s">
        <v>46</v>
      </c>
      <c r="S379">
        <v>2543</v>
      </c>
      <c r="T379">
        <v>11868</v>
      </c>
      <c r="U379">
        <v>4</v>
      </c>
      <c r="V379" t="s">
        <v>41</v>
      </c>
      <c r="W379" t="s">
        <v>42</v>
      </c>
      <c r="X379">
        <v>13</v>
      </c>
      <c r="Y379">
        <v>3</v>
      </c>
      <c r="Z379">
        <v>2</v>
      </c>
      <c r="AA379">
        <v>80</v>
      </c>
      <c r="AB379">
        <v>1</v>
      </c>
      <c r="AC379">
        <v>6</v>
      </c>
      <c r="AD379">
        <v>3</v>
      </c>
      <c r="AE379">
        <v>3</v>
      </c>
      <c r="AF379">
        <v>2</v>
      </c>
      <c r="AG379">
        <v>2</v>
      </c>
      <c r="AH379">
        <v>2</v>
      </c>
      <c r="AI379">
        <v>2</v>
      </c>
      <c r="AJ379">
        <f t="shared" si="5"/>
        <v>0</v>
      </c>
      <c r="AK379" t="str" cm="1">
        <f t="array" ref="AK379">_xlfn.IFS(A379&lt;=30,"18-30",A379&lt;=45,"31-45",A379&lt;=60,"46-60",TRUE, "60+")</f>
        <v>31-45</v>
      </c>
      <c r="AL379" t="str" cm="1">
        <f t="array" ref="AL379">_xlfn.IFS(F379&lt;=10,"0-10",F379&lt;=20,"11-20",TRUE,"20+")</f>
        <v>0-10</v>
      </c>
      <c r="AM379" t="str" cm="1">
        <f t="array" ref="AM379">_xlfn.IFS(S379&lt;=5000,"0-5k",S379&lt;=10000,"5k-10k",S379&lt;=15000,"10k-15k",TRUE,"15k+")</f>
        <v>0-5k</v>
      </c>
      <c r="AN379" t="str" cm="1">
        <f t="array" ref="AN379">_xlfn.IFS(AF379&lt;=10,"0-10",AF379&lt;=20,"10-20",AF379&lt;=30,"20-30",TRUE,"30+")</f>
        <v>0-10</v>
      </c>
      <c r="AO379" t="str" cm="1">
        <f t="array" ref="AO379">_xlfn.IFS(Y379=1,"Poor",Y379=2,"Average",Y379=3,"Good",TRUE,"Excellent")</f>
        <v>Good</v>
      </c>
      <c r="AP379" t="str" cm="1">
        <f t="array" ref="AP379">_xlfn.IFS(Q379=1,"Low",Q379=2,"Medium",Q379=3,"High",TRUE,"Very High")</f>
        <v>High</v>
      </c>
    </row>
    <row r="380" spans="1:42" x14ac:dyDescent="0.25">
      <c r="A380">
        <v>34</v>
      </c>
      <c r="B380" t="s">
        <v>35</v>
      </c>
      <c r="C380" t="s">
        <v>53</v>
      </c>
      <c r="D380">
        <v>1362</v>
      </c>
      <c r="E380" t="s">
        <v>36</v>
      </c>
      <c r="F380">
        <v>19</v>
      </c>
      <c r="G380">
        <v>3</v>
      </c>
      <c r="H380" t="s">
        <v>57</v>
      </c>
      <c r="I380">
        <v>1</v>
      </c>
      <c r="J380">
        <v>502</v>
      </c>
      <c r="K380">
        <v>1</v>
      </c>
      <c r="L380" t="s">
        <v>44</v>
      </c>
      <c r="M380">
        <v>67</v>
      </c>
      <c r="N380">
        <v>4</v>
      </c>
      <c r="O380">
        <v>2</v>
      </c>
      <c r="P380" t="s">
        <v>39</v>
      </c>
      <c r="Q380">
        <v>4</v>
      </c>
      <c r="R380" t="s">
        <v>40</v>
      </c>
      <c r="S380">
        <v>5304</v>
      </c>
      <c r="T380">
        <v>4652</v>
      </c>
      <c r="U380">
        <v>8</v>
      </c>
      <c r="V380" t="s">
        <v>41</v>
      </c>
      <c r="W380" t="s">
        <v>35</v>
      </c>
      <c r="X380">
        <v>13</v>
      </c>
      <c r="Y380">
        <v>3</v>
      </c>
      <c r="Z380">
        <v>2</v>
      </c>
      <c r="AA380">
        <v>80</v>
      </c>
      <c r="AB380">
        <v>0</v>
      </c>
      <c r="AC380">
        <v>9</v>
      </c>
      <c r="AD380">
        <v>3</v>
      </c>
      <c r="AE380">
        <v>2</v>
      </c>
      <c r="AF380">
        <v>5</v>
      </c>
      <c r="AG380">
        <v>2</v>
      </c>
      <c r="AH380">
        <v>0</v>
      </c>
      <c r="AI380">
        <v>4</v>
      </c>
      <c r="AJ380">
        <f t="shared" si="5"/>
        <v>1</v>
      </c>
      <c r="AK380" t="str" cm="1">
        <f t="array" ref="AK380">_xlfn.IFS(A380&lt;=30,"18-30",A380&lt;=45,"31-45",A380&lt;=60,"46-60",TRUE, "60+")</f>
        <v>31-45</v>
      </c>
      <c r="AL380" t="str" cm="1">
        <f t="array" ref="AL380">_xlfn.IFS(F380&lt;=10,"0-10",F380&lt;=20,"11-20",TRUE,"20+")</f>
        <v>11-20</v>
      </c>
      <c r="AM380" t="str" cm="1">
        <f t="array" ref="AM380">_xlfn.IFS(S380&lt;=5000,"0-5k",S380&lt;=10000,"5k-10k",S380&lt;=15000,"10k-15k",TRUE,"15k+")</f>
        <v>5k-10k</v>
      </c>
      <c r="AN380" t="str" cm="1">
        <f t="array" ref="AN380">_xlfn.IFS(AF380&lt;=10,"0-10",AF380&lt;=20,"10-20",AF380&lt;=30,"20-30",TRUE,"30+")</f>
        <v>0-10</v>
      </c>
      <c r="AO380" t="str" cm="1">
        <f t="array" ref="AO380">_xlfn.IFS(Y380=1,"Poor",Y380=2,"Average",Y380=3,"Good",TRUE,"Excellent")</f>
        <v>Good</v>
      </c>
      <c r="AP380" t="str" cm="1">
        <f t="array" ref="AP380">_xlfn.IFS(Q380=1,"Low",Q380=2,"Medium",Q380=3,"High",TRUE,"Very High")</f>
        <v>Very High</v>
      </c>
    </row>
    <row r="381" spans="1:42" x14ac:dyDescent="0.25">
      <c r="A381">
        <v>55</v>
      </c>
      <c r="B381" t="s">
        <v>42</v>
      </c>
      <c r="C381" t="s">
        <v>90</v>
      </c>
      <c r="D381">
        <v>1311</v>
      </c>
      <c r="E381" t="s">
        <v>43</v>
      </c>
      <c r="F381">
        <v>2</v>
      </c>
      <c r="G381">
        <v>3</v>
      </c>
      <c r="H381" t="s">
        <v>37</v>
      </c>
      <c r="I381">
        <v>1</v>
      </c>
      <c r="J381">
        <v>505</v>
      </c>
      <c r="K381">
        <v>3</v>
      </c>
      <c r="L381" t="s">
        <v>38</v>
      </c>
      <c r="M381">
        <v>97</v>
      </c>
      <c r="N381">
        <v>3</v>
      </c>
      <c r="O381">
        <v>4</v>
      </c>
      <c r="P381" t="s">
        <v>54</v>
      </c>
      <c r="Q381">
        <v>4</v>
      </c>
      <c r="R381" t="s">
        <v>40</v>
      </c>
      <c r="S381">
        <v>16659</v>
      </c>
      <c r="T381">
        <v>23258</v>
      </c>
      <c r="U381">
        <v>2</v>
      </c>
      <c r="V381" t="s">
        <v>41</v>
      </c>
      <c r="W381" t="s">
        <v>35</v>
      </c>
      <c r="X381">
        <v>13</v>
      </c>
      <c r="Y381">
        <v>3</v>
      </c>
      <c r="Z381">
        <v>3</v>
      </c>
      <c r="AA381">
        <v>80</v>
      </c>
      <c r="AB381">
        <v>0</v>
      </c>
      <c r="AC381">
        <v>30</v>
      </c>
      <c r="AD381">
        <v>2</v>
      </c>
      <c r="AE381">
        <v>3</v>
      </c>
      <c r="AF381">
        <v>5</v>
      </c>
      <c r="AG381">
        <v>4</v>
      </c>
      <c r="AH381">
        <v>1</v>
      </c>
      <c r="AI381">
        <v>2</v>
      </c>
      <c r="AJ381">
        <f t="shared" si="5"/>
        <v>0</v>
      </c>
      <c r="AK381" t="str" cm="1">
        <f t="array" ref="AK381">_xlfn.IFS(A381&lt;=30,"18-30",A381&lt;=45,"31-45",A381&lt;=60,"46-60",TRUE, "60+")</f>
        <v>46-60</v>
      </c>
      <c r="AL381" t="str" cm="1">
        <f t="array" ref="AL381">_xlfn.IFS(F381&lt;=10,"0-10",F381&lt;=20,"11-20",TRUE,"20+")</f>
        <v>0-10</v>
      </c>
      <c r="AM381" t="str" cm="1">
        <f t="array" ref="AM381">_xlfn.IFS(S381&lt;=5000,"0-5k",S381&lt;=10000,"5k-10k",S381&lt;=15000,"10k-15k",TRUE,"15k+")</f>
        <v>15k+</v>
      </c>
      <c r="AN381" t="str" cm="1">
        <f t="array" ref="AN381">_xlfn.IFS(AF381&lt;=10,"0-10",AF381&lt;=20,"10-20",AF381&lt;=30,"20-30",TRUE,"30+")</f>
        <v>0-10</v>
      </c>
      <c r="AO381" t="str" cm="1">
        <f t="array" ref="AO381">_xlfn.IFS(Y381=1,"Poor",Y381=2,"Average",Y381=3,"Good",TRUE,"Excellent")</f>
        <v>Good</v>
      </c>
      <c r="AP381" t="str" cm="1">
        <f t="array" ref="AP381">_xlfn.IFS(Q381=1,"Low",Q381=2,"Medium",Q381=3,"High",TRUE,"Very High")</f>
        <v>Very High</v>
      </c>
    </row>
    <row r="382" spans="1:42" x14ac:dyDescent="0.25">
      <c r="A382">
        <v>24</v>
      </c>
      <c r="B382" t="s">
        <v>42</v>
      </c>
      <c r="C382" t="s">
        <v>90</v>
      </c>
      <c r="D382">
        <v>1371</v>
      </c>
      <c r="E382" t="s">
        <v>36</v>
      </c>
      <c r="F382">
        <v>10</v>
      </c>
      <c r="G382">
        <v>4</v>
      </c>
      <c r="H382" t="s">
        <v>57</v>
      </c>
      <c r="I382">
        <v>1</v>
      </c>
      <c r="J382">
        <v>507</v>
      </c>
      <c r="K382">
        <v>4</v>
      </c>
      <c r="L382" t="s">
        <v>38</v>
      </c>
      <c r="M382">
        <v>77</v>
      </c>
      <c r="N382">
        <v>3</v>
      </c>
      <c r="O382">
        <v>2</v>
      </c>
      <c r="P382" t="s">
        <v>39</v>
      </c>
      <c r="Q382">
        <v>3</v>
      </c>
      <c r="R382" t="s">
        <v>50</v>
      </c>
      <c r="S382">
        <v>4260</v>
      </c>
      <c r="T382">
        <v>5915</v>
      </c>
      <c r="U382">
        <v>1</v>
      </c>
      <c r="V382" t="s">
        <v>41</v>
      </c>
      <c r="W382" t="s">
        <v>35</v>
      </c>
      <c r="X382">
        <v>12</v>
      </c>
      <c r="Y382">
        <v>3</v>
      </c>
      <c r="Z382">
        <v>4</v>
      </c>
      <c r="AA382">
        <v>80</v>
      </c>
      <c r="AB382">
        <v>1</v>
      </c>
      <c r="AC382">
        <v>5</v>
      </c>
      <c r="AD382">
        <v>2</v>
      </c>
      <c r="AE382">
        <v>4</v>
      </c>
      <c r="AF382">
        <v>5</v>
      </c>
      <c r="AG382">
        <v>2</v>
      </c>
      <c r="AH382">
        <v>0</v>
      </c>
      <c r="AI382">
        <v>3</v>
      </c>
      <c r="AJ382">
        <f t="shared" si="5"/>
        <v>0</v>
      </c>
      <c r="AK382" t="str" cm="1">
        <f t="array" ref="AK382">_xlfn.IFS(A382&lt;=30,"18-30",A382&lt;=45,"31-45",A382&lt;=60,"46-60",TRUE, "60+")</f>
        <v>18-30</v>
      </c>
      <c r="AL382" t="str" cm="1">
        <f t="array" ref="AL382">_xlfn.IFS(F382&lt;=10,"0-10",F382&lt;=20,"11-20",TRUE,"20+")</f>
        <v>0-10</v>
      </c>
      <c r="AM382" t="str" cm="1">
        <f t="array" ref="AM382">_xlfn.IFS(S382&lt;=5000,"0-5k",S382&lt;=10000,"5k-10k",S382&lt;=15000,"10k-15k",TRUE,"15k+")</f>
        <v>0-5k</v>
      </c>
      <c r="AN382" t="str" cm="1">
        <f t="array" ref="AN382">_xlfn.IFS(AF382&lt;=10,"0-10",AF382&lt;=20,"10-20",AF382&lt;=30,"20-30",TRUE,"30+")</f>
        <v>0-10</v>
      </c>
      <c r="AO382" t="str" cm="1">
        <f t="array" ref="AO382">_xlfn.IFS(Y382=1,"Poor",Y382=2,"Average",Y382=3,"Good",TRUE,"Excellent")</f>
        <v>Good</v>
      </c>
      <c r="AP382" t="str" cm="1">
        <f t="array" ref="AP382">_xlfn.IFS(Q382=1,"Low",Q382=2,"Medium",Q382=3,"High",TRUE,"Very High")</f>
        <v>High</v>
      </c>
    </row>
    <row r="383" spans="1:42" x14ac:dyDescent="0.25">
      <c r="A383">
        <v>30</v>
      </c>
      <c r="B383" t="s">
        <v>42</v>
      </c>
      <c r="C383" t="s">
        <v>90</v>
      </c>
      <c r="D383">
        <v>202</v>
      </c>
      <c r="E383" t="s">
        <v>36</v>
      </c>
      <c r="F383">
        <v>2</v>
      </c>
      <c r="G383">
        <v>1</v>
      </c>
      <c r="H383" t="s">
        <v>58</v>
      </c>
      <c r="I383">
        <v>1</v>
      </c>
      <c r="J383">
        <v>508</v>
      </c>
      <c r="K383">
        <v>3</v>
      </c>
      <c r="L383" t="s">
        <v>44</v>
      </c>
      <c r="M383">
        <v>72</v>
      </c>
      <c r="N383">
        <v>3</v>
      </c>
      <c r="O383">
        <v>1</v>
      </c>
      <c r="P383" t="s">
        <v>55</v>
      </c>
      <c r="Q383">
        <v>2</v>
      </c>
      <c r="R383" t="s">
        <v>46</v>
      </c>
      <c r="S383">
        <v>2476</v>
      </c>
      <c r="T383">
        <v>17434</v>
      </c>
      <c r="U383">
        <v>1</v>
      </c>
      <c r="V383" t="s">
        <v>41</v>
      </c>
      <c r="W383" t="s">
        <v>42</v>
      </c>
      <c r="X383">
        <v>18</v>
      </c>
      <c r="Y383">
        <v>3</v>
      </c>
      <c r="Z383">
        <v>1</v>
      </c>
      <c r="AA383">
        <v>80</v>
      </c>
      <c r="AB383">
        <v>1</v>
      </c>
      <c r="AC383">
        <v>1</v>
      </c>
      <c r="AD383">
        <v>3</v>
      </c>
      <c r="AE383">
        <v>3</v>
      </c>
      <c r="AF383">
        <v>1</v>
      </c>
      <c r="AG383">
        <v>0</v>
      </c>
      <c r="AH383">
        <v>0</v>
      </c>
      <c r="AI383">
        <v>0</v>
      </c>
      <c r="AJ383">
        <f t="shared" si="5"/>
        <v>0</v>
      </c>
      <c r="AK383" t="str" cm="1">
        <f t="array" ref="AK383">_xlfn.IFS(A383&lt;=30,"18-30",A383&lt;=45,"31-45",A383&lt;=60,"46-60",TRUE, "60+")</f>
        <v>18-30</v>
      </c>
      <c r="AL383" t="str" cm="1">
        <f t="array" ref="AL383">_xlfn.IFS(F383&lt;=10,"0-10",F383&lt;=20,"11-20",TRUE,"20+")</f>
        <v>0-10</v>
      </c>
      <c r="AM383" t="str" cm="1">
        <f t="array" ref="AM383">_xlfn.IFS(S383&lt;=5000,"0-5k",S383&lt;=10000,"5k-10k",S383&lt;=15000,"10k-15k",TRUE,"15k+")</f>
        <v>0-5k</v>
      </c>
      <c r="AN383" t="str" cm="1">
        <f t="array" ref="AN383">_xlfn.IFS(AF383&lt;=10,"0-10",AF383&lt;=20,"10-20",AF383&lt;=30,"20-30",TRUE,"30+")</f>
        <v>0-10</v>
      </c>
      <c r="AO383" t="str" cm="1">
        <f t="array" ref="AO383">_xlfn.IFS(Y383=1,"Poor",Y383=2,"Average",Y383=3,"Good",TRUE,"Excellent")</f>
        <v>Good</v>
      </c>
      <c r="AP383" t="str" cm="1">
        <f t="array" ref="AP383">_xlfn.IFS(Q383=1,"Low",Q383=2,"Medium",Q383=3,"High",TRUE,"Very High")</f>
        <v>Medium</v>
      </c>
    </row>
    <row r="384" spans="1:42" x14ac:dyDescent="0.25">
      <c r="A384">
        <v>26</v>
      </c>
      <c r="B384" t="s">
        <v>35</v>
      </c>
      <c r="C384" t="s">
        <v>91</v>
      </c>
      <c r="D384">
        <v>575</v>
      </c>
      <c r="E384" t="s">
        <v>43</v>
      </c>
      <c r="F384">
        <v>3</v>
      </c>
      <c r="G384">
        <v>1</v>
      </c>
      <c r="H384" t="s">
        <v>58</v>
      </c>
      <c r="I384">
        <v>1</v>
      </c>
      <c r="J384">
        <v>510</v>
      </c>
      <c r="K384">
        <v>3</v>
      </c>
      <c r="L384" t="s">
        <v>44</v>
      </c>
      <c r="M384">
        <v>73</v>
      </c>
      <c r="N384">
        <v>3</v>
      </c>
      <c r="O384">
        <v>1</v>
      </c>
      <c r="P384" t="s">
        <v>45</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c r="AJ384">
        <f t="shared" si="5"/>
        <v>1</v>
      </c>
      <c r="AK384" t="str" cm="1">
        <f t="array" ref="AK384">_xlfn.IFS(A384&lt;=30,"18-30",A384&lt;=45,"31-45",A384&lt;=60,"46-60",TRUE, "60+")</f>
        <v>18-30</v>
      </c>
      <c r="AL384" t="str" cm="1">
        <f t="array" ref="AL384">_xlfn.IFS(F384&lt;=10,"0-10",F384&lt;=20,"11-20",TRUE,"20+")</f>
        <v>0-10</v>
      </c>
      <c r="AM384" t="str" cm="1">
        <f t="array" ref="AM384">_xlfn.IFS(S384&lt;=5000,"0-5k",S384&lt;=10000,"5k-10k",S384&lt;=15000,"10k-15k",TRUE,"15k+")</f>
        <v>0-5k</v>
      </c>
      <c r="AN384" t="str" cm="1">
        <f t="array" ref="AN384">_xlfn.IFS(AF384&lt;=10,"0-10",AF384&lt;=20,"10-20",AF384&lt;=30,"20-30",TRUE,"30+")</f>
        <v>0-10</v>
      </c>
      <c r="AO384" t="str" cm="1">
        <f t="array" ref="AO384">_xlfn.IFS(Y384=1,"Poor",Y384=2,"Average",Y384=3,"Good",TRUE,"Excellent")</f>
        <v>Excellent</v>
      </c>
      <c r="AP384" t="str" cm="1">
        <f t="array" ref="AP384">_xlfn.IFS(Q384=1,"Low",Q384=2,"Medium",Q384=3,"High",TRUE,"Very High")</f>
        <v>Low</v>
      </c>
    </row>
    <row r="385" spans="1:42" x14ac:dyDescent="0.25">
      <c r="A385">
        <v>22</v>
      </c>
      <c r="B385" t="s">
        <v>42</v>
      </c>
      <c r="C385" t="s">
        <v>90</v>
      </c>
      <c r="D385">
        <v>253</v>
      </c>
      <c r="E385" t="s">
        <v>43</v>
      </c>
      <c r="F385">
        <v>11</v>
      </c>
      <c r="G385">
        <v>3</v>
      </c>
      <c r="H385" t="s">
        <v>49</v>
      </c>
      <c r="I385">
        <v>1</v>
      </c>
      <c r="J385">
        <v>511</v>
      </c>
      <c r="K385">
        <v>1</v>
      </c>
      <c r="L385" t="s">
        <v>38</v>
      </c>
      <c r="M385">
        <v>43</v>
      </c>
      <c r="N385">
        <v>3</v>
      </c>
      <c r="O385">
        <v>1</v>
      </c>
      <c r="P385" t="s">
        <v>45</v>
      </c>
      <c r="Q385">
        <v>2</v>
      </c>
      <c r="R385" t="s">
        <v>46</v>
      </c>
      <c r="S385">
        <v>2244</v>
      </c>
      <c r="T385">
        <v>24440</v>
      </c>
      <c r="U385">
        <v>1</v>
      </c>
      <c r="V385" t="s">
        <v>41</v>
      </c>
      <c r="W385" t="s">
        <v>42</v>
      </c>
      <c r="X385">
        <v>13</v>
      </c>
      <c r="Y385">
        <v>3</v>
      </c>
      <c r="Z385">
        <v>4</v>
      </c>
      <c r="AA385">
        <v>80</v>
      </c>
      <c r="AB385">
        <v>1</v>
      </c>
      <c r="AC385">
        <v>2</v>
      </c>
      <c r="AD385">
        <v>1</v>
      </c>
      <c r="AE385">
        <v>3</v>
      </c>
      <c r="AF385">
        <v>2</v>
      </c>
      <c r="AG385">
        <v>1</v>
      </c>
      <c r="AH385">
        <v>1</v>
      </c>
      <c r="AI385">
        <v>2</v>
      </c>
      <c r="AJ385">
        <f t="shared" si="5"/>
        <v>0</v>
      </c>
      <c r="AK385" t="str" cm="1">
        <f t="array" ref="AK385">_xlfn.IFS(A385&lt;=30,"18-30",A385&lt;=45,"31-45",A385&lt;=60,"46-60",TRUE, "60+")</f>
        <v>18-30</v>
      </c>
      <c r="AL385" t="str" cm="1">
        <f t="array" ref="AL385">_xlfn.IFS(F385&lt;=10,"0-10",F385&lt;=20,"11-20",TRUE,"20+")</f>
        <v>11-20</v>
      </c>
      <c r="AM385" t="str" cm="1">
        <f t="array" ref="AM385">_xlfn.IFS(S385&lt;=5000,"0-5k",S385&lt;=10000,"5k-10k",S385&lt;=15000,"10k-15k",TRUE,"15k+")</f>
        <v>0-5k</v>
      </c>
      <c r="AN385" t="str" cm="1">
        <f t="array" ref="AN385">_xlfn.IFS(AF385&lt;=10,"0-10",AF385&lt;=20,"10-20",AF385&lt;=30,"20-30",TRUE,"30+")</f>
        <v>0-10</v>
      </c>
      <c r="AO385" t="str" cm="1">
        <f t="array" ref="AO385">_xlfn.IFS(Y385=1,"Poor",Y385=2,"Average",Y385=3,"Good",TRUE,"Excellent")</f>
        <v>Good</v>
      </c>
      <c r="AP385" t="str" cm="1">
        <f t="array" ref="AP385">_xlfn.IFS(Q385=1,"Low",Q385=2,"Medium",Q385=3,"High",TRUE,"Very High")</f>
        <v>Medium</v>
      </c>
    </row>
    <row r="386" spans="1:42" x14ac:dyDescent="0.25">
      <c r="A386">
        <v>36</v>
      </c>
      <c r="B386" t="s">
        <v>42</v>
      </c>
      <c r="C386" t="s">
        <v>90</v>
      </c>
      <c r="D386">
        <v>164</v>
      </c>
      <c r="E386" t="s">
        <v>36</v>
      </c>
      <c r="F386">
        <v>2</v>
      </c>
      <c r="G386">
        <v>2</v>
      </c>
      <c r="H386" t="s">
        <v>49</v>
      </c>
      <c r="I386">
        <v>1</v>
      </c>
      <c r="J386">
        <v>513</v>
      </c>
      <c r="K386">
        <v>2</v>
      </c>
      <c r="L386" t="s">
        <v>44</v>
      </c>
      <c r="M386">
        <v>61</v>
      </c>
      <c r="N386">
        <v>2</v>
      </c>
      <c r="O386">
        <v>3</v>
      </c>
      <c r="P386" t="s">
        <v>39</v>
      </c>
      <c r="Q386">
        <v>3</v>
      </c>
      <c r="R386" t="s">
        <v>46</v>
      </c>
      <c r="S386">
        <v>7596</v>
      </c>
      <c r="T386">
        <v>3809</v>
      </c>
      <c r="U386">
        <v>1</v>
      </c>
      <c r="V386" t="s">
        <v>41</v>
      </c>
      <c r="W386" t="s">
        <v>42</v>
      </c>
      <c r="X386">
        <v>13</v>
      </c>
      <c r="Y386">
        <v>3</v>
      </c>
      <c r="Z386">
        <v>2</v>
      </c>
      <c r="AA386">
        <v>80</v>
      </c>
      <c r="AB386">
        <v>2</v>
      </c>
      <c r="AC386">
        <v>10</v>
      </c>
      <c r="AD386">
        <v>2</v>
      </c>
      <c r="AE386">
        <v>3</v>
      </c>
      <c r="AF386">
        <v>10</v>
      </c>
      <c r="AG386">
        <v>9</v>
      </c>
      <c r="AH386">
        <v>9</v>
      </c>
      <c r="AI386">
        <v>0</v>
      </c>
      <c r="AJ386">
        <f t="shared" ref="AJ386:AJ449" si="6">IF(B386="yes",1,0)</f>
        <v>0</v>
      </c>
      <c r="AK386" t="str" cm="1">
        <f t="array" ref="AK386">_xlfn.IFS(A386&lt;=30,"18-30",A386&lt;=45,"31-45",A386&lt;=60,"46-60",TRUE, "60+")</f>
        <v>31-45</v>
      </c>
      <c r="AL386" t="str" cm="1">
        <f t="array" ref="AL386">_xlfn.IFS(F386&lt;=10,"0-10",F386&lt;=20,"11-20",TRUE,"20+")</f>
        <v>0-10</v>
      </c>
      <c r="AM386" t="str" cm="1">
        <f t="array" ref="AM386">_xlfn.IFS(S386&lt;=5000,"0-5k",S386&lt;=10000,"5k-10k",S386&lt;=15000,"10k-15k",TRUE,"15k+")</f>
        <v>5k-10k</v>
      </c>
      <c r="AN386" t="str" cm="1">
        <f t="array" ref="AN386">_xlfn.IFS(AF386&lt;=10,"0-10",AF386&lt;=20,"10-20",AF386&lt;=30,"20-30",TRUE,"30+")</f>
        <v>0-10</v>
      </c>
      <c r="AO386" t="str" cm="1">
        <f t="array" ref="AO386">_xlfn.IFS(Y386=1,"Poor",Y386=2,"Average",Y386=3,"Good",TRUE,"Excellent")</f>
        <v>Good</v>
      </c>
      <c r="AP386" t="str" cm="1">
        <f t="array" ref="AP386">_xlfn.IFS(Q386=1,"Low",Q386=2,"Medium",Q386=3,"High",TRUE,"Very High")</f>
        <v>High</v>
      </c>
    </row>
    <row r="387" spans="1:42" x14ac:dyDescent="0.25">
      <c r="A387">
        <v>30</v>
      </c>
      <c r="B387" t="s">
        <v>35</v>
      </c>
      <c r="C387" t="s">
        <v>91</v>
      </c>
      <c r="D387">
        <v>464</v>
      </c>
      <c r="E387" t="s">
        <v>43</v>
      </c>
      <c r="F387">
        <v>4</v>
      </c>
      <c r="G387">
        <v>3</v>
      </c>
      <c r="H387" t="s">
        <v>58</v>
      </c>
      <c r="I387">
        <v>1</v>
      </c>
      <c r="J387">
        <v>514</v>
      </c>
      <c r="K387">
        <v>3</v>
      </c>
      <c r="L387" t="s">
        <v>44</v>
      </c>
      <c r="M387">
        <v>40</v>
      </c>
      <c r="N387">
        <v>3</v>
      </c>
      <c r="O387">
        <v>1</v>
      </c>
      <c r="P387" t="s">
        <v>45</v>
      </c>
      <c r="Q387">
        <v>4</v>
      </c>
      <c r="R387" t="s">
        <v>40</v>
      </c>
      <c r="S387">
        <v>2285</v>
      </c>
      <c r="T387">
        <v>3427</v>
      </c>
      <c r="U387">
        <v>9</v>
      </c>
      <c r="V387" t="s">
        <v>41</v>
      </c>
      <c r="W387" t="s">
        <v>35</v>
      </c>
      <c r="X387">
        <v>23</v>
      </c>
      <c r="Y387">
        <v>4</v>
      </c>
      <c r="Z387">
        <v>3</v>
      </c>
      <c r="AA387">
        <v>80</v>
      </c>
      <c r="AB387">
        <v>0</v>
      </c>
      <c r="AC387">
        <v>3</v>
      </c>
      <c r="AD387">
        <v>4</v>
      </c>
      <c r="AE387">
        <v>3</v>
      </c>
      <c r="AF387">
        <v>1</v>
      </c>
      <c r="AG387">
        <v>0</v>
      </c>
      <c r="AH387">
        <v>0</v>
      </c>
      <c r="AI387">
        <v>0</v>
      </c>
      <c r="AJ387">
        <f t="shared" si="6"/>
        <v>1</v>
      </c>
      <c r="AK387" t="str" cm="1">
        <f t="array" ref="AK387">_xlfn.IFS(A387&lt;=30,"18-30",A387&lt;=45,"31-45",A387&lt;=60,"46-60",TRUE, "60+")</f>
        <v>18-30</v>
      </c>
      <c r="AL387" t="str" cm="1">
        <f t="array" ref="AL387">_xlfn.IFS(F387&lt;=10,"0-10",F387&lt;=20,"11-20",TRUE,"20+")</f>
        <v>0-10</v>
      </c>
      <c r="AM387" t="str" cm="1">
        <f t="array" ref="AM387">_xlfn.IFS(S387&lt;=5000,"0-5k",S387&lt;=10000,"5k-10k",S387&lt;=15000,"10k-15k",TRUE,"15k+")</f>
        <v>0-5k</v>
      </c>
      <c r="AN387" t="str" cm="1">
        <f t="array" ref="AN387">_xlfn.IFS(AF387&lt;=10,"0-10",AF387&lt;=20,"10-20",AF387&lt;=30,"20-30",TRUE,"30+")</f>
        <v>0-10</v>
      </c>
      <c r="AO387" t="str" cm="1">
        <f t="array" ref="AO387">_xlfn.IFS(Y387=1,"Poor",Y387=2,"Average",Y387=3,"Good",TRUE,"Excellent")</f>
        <v>Excellent</v>
      </c>
      <c r="AP387" t="str" cm="1">
        <f t="array" ref="AP387">_xlfn.IFS(Q387=1,"Low",Q387=2,"Medium",Q387=3,"High",TRUE,"Very High")</f>
        <v>Very High</v>
      </c>
    </row>
    <row r="388" spans="1:42" x14ac:dyDescent="0.25">
      <c r="A388">
        <v>37</v>
      </c>
      <c r="B388" t="s">
        <v>42</v>
      </c>
      <c r="C388" t="s">
        <v>90</v>
      </c>
      <c r="D388">
        <v>1107</v>
      </c>
      <c r="E388" t="s">
        <v>43</v>
      </c>
      <c r="F388">
        <v>14</v>
      </c>
      <c r="G388">
        <v>3</v>
      </c>
      <c r="H388" t="s">
        <v>37</v>
      </c>
      <c r="I388">
        <v>1</v>
      </c>
      <c r="J388">
        <v>515</v>
      </c>
      <c r="K388">
        <v>4</v>
      </c>
      <c r="L388" t="s">
        <v>38</v>
      </c>
      <c r="M388">
        <v>95</v>
      </c>
      <c r="N388">
        <v>3</v>
      </c>
      <c r="O388">
        <v>1</v>
      </c>
      <c r="P388" t="s">
        <v>48</v>
      </c>
      <c r="Q388">
        <v>1</v>
      </c>
      <c r="R388" t="s">
        <v>50</v>
      </c>
      <c r="S388">
        <v>3034</v>
      </c>
      <c r="T388">
        <v>26914</v>
      </c>
      <c r="U388">
        <v>1</v>
      </c>
      <c r="V388" t="s">
        <v>41</v>
      </c>
      <c r="W388" t="s">
        <v>42</v>
      </c>
      <c r="X388">
        <v>12</v>
      </c>
      <c r="Y388">
        <v>3</v>
      </c>
      <c r="Z388">
        <v>3</v>
      </c>
      <c r="AA388">
        <v>80</v>
      </c>
      <c r="AB388">
        <v>1</v>
      </c>
      <c r="AC388">
        <v>18</v>
      </c>
      <c r="AD388">
        <v>2</v>
      </c>
      <c r="AE388">
        <v>2</v>
      </c>
      <c r="AF388">
        <v>18</v>
      </c>
      <c r="AG388">
        <v>7</v>
      </c>
      <c r="AH388">
        <v>12</v>
      </c>
      <c r="AI388">
        <v>17</v>
      </c>
      <c r="AJ388">
        <f t="shared" si="6"/>
        <v>0</v>
      </c>
      <c r="AK388" t="str" cm="1">
        <f t="array" ref="AK388">_xlfn.IFS(A388&lt;=30,"18-30",A388&lt;=45,"31-45",A388&lt;=60,"46-60",TRUE, "60+")</f>
        <v>31-45</v>
      </c>
      <c r="AL388" t="str" cm="1">
        <f t="array" ref="AL388">_xlfn.IFS(F388&lt;=10,"0-10",F388&lt;=20,"11-20",TRUE,"20+")</f>
        <v>11-20</v>
      </c>
      <c r="AM388" t="str" cm="1">
        <f t="array" ref="AM388">_xlfn.IFS(S388&lt;=5000,"0-5k",S388&lt;=10000,"5k-10k",S388&lt;=15000,"10k-15k",TRUE,"15k+")</f>
        <v>0-5k</v>
      </c>
      <c r="AN388" t="str" cm="1">
        <f t="array" ref="AN388">_xlfn.IFS(AF388&lt;=10,"0-10",AF388&lt;=20,"10-20",AF388&lt;=30,"20-30",TRUE,"30+")</f>
        <v>10-20</v>
      </c>
      <c r="AO388" t="str" cm="1">
        <f t="array" ref="AO388">_xlfn.IFS(Y388=1,"Poor",Y388=2,"Average",Y388=3,"Good",TRUE,"Excellent")</f>
        <v>Good</v>
      </c>
      <c r="AP388" t="str" cm="1">
        <f t="array" ref="AP388">_xlfn.IFS(Q388=1,"Low",Q388=2,"Medium",Q388=3,"High",TRUE,"Very High")</f>
        <v>Low</v>
      </c>
    </row>
    <row r="389" spans="1:42" x14ac:dyDescent="0.25">
      <c r="A389">
        <v>40</v>
      </c>
      <c r="B389" t="s">
        <v>42</v>
      </c>
      <c r="C389" t="s">
        <v>90</v>
      </c>
      <c r="D389">
        <v>759</v>
      </c>
      <c r="E389" t="s">
        <v>36</v>
      </c>
      <c r="F389">
        <v>2</v>
      </c>
      <c r="G389">
        <v>2</v>
      </c>
      <c r="H389" t="s">
        <v>57</v>
      </c>
      <c r="I389">
        <v>1</v>
      </c>
      <c r="J389">
        <v>516</v>
      </c>
      <c r="K389">
        <v>4</v>
      </c>
      <c r="L389" t="s">
        <v>38</v>
      </c>
      <c r="M389">
        <v>46</v>
      </c>
      <c r="N389">
        <v>3</v>
      </c>
      <c r="O389">
        <v>2</v>
      </c>
      <c r="P389" t="s">
        <v>39</v>
      </c>
      <c r="Q389">
        <v>2</v>
      </c>
      <c r="R389" t="s">
        <v>50</v>
      </c>
      <c r="S389">
        <v>5715</v>
      </c>
      <c r="T389">
        <v>22553</v>
      </c>
      <c r="U389">
        <v>7</v>
      </c>
      <c r="V389" t="s">
        <v>41</v>
      </c>
      <c r="W389" t="s">
        <v>42</v>
      </c>
      <c r="X389">
        <v>12</v>
      </c>
      <c r="Y389">
        <v>3</v>
      </c>
      <c r="Z389">
        <v>3</v>
      </c>
      <c r="AA389">
        <v>80</v>
      </c>
      <c r="AB389">
        <v>2</v>
      </c>
      <c r="AC389">
        <v>8</v>
      </c>
      <c r="AD389">
        <v>5</v>
      </c>
      <c r="AE389">
        <v>3</v>
      </c>
      <c r="AF389">
        <v>5</v>
      </c>
      <c r="AG389">
        <v>4</v>
      </c>
      <c r="AH389">
        <v>1</v>
      </c>
      <c r="AI389">
        <v>3</v>
      </c>
      <c r="AJ389">
        <f t="shared" si="6"/>
        <v>0</v>
      </c>
      <c r="AK389" t="str" cm="1">
        <f t="array" ref="AK389">_xlfn.IFS(A389&lt;=30,"18-30",A389&lt;=45,"31-45",A389&lt;=60,"46-60",TRUE, "60+")</f>
        <v>31-45</v>
      </c>
      <c r="AL389" t="str" cm="1">
        <f t="array" ref="AL389">_xlfn.IFS(F389&lt;=10,"0-10",F389&lt;=20,"11-20",TRUE,"20+")</f>
        <v>0-10</v>
      </c>
      <c r="AM389" t="str" cm="1">
        <f t="array" ref="AM389">_xlfn.IFS(S389&lt;=5000,"0-5k",S389&lt;=10000,"5k-10k",S389&lt;=15000,"10k-15k",TRUE,"15k+")</f>
        <v>5k-10k</v>
      </c>
      <c r="AN389" t="str" cm="1">
        <f t="array" ref="AN389">_xlfn.IFS(AF389&lt;=10,"0-10",AF389&lt;=20,"10-20",AF389&lt;=30,"20-30",TRUE,"30+")</f>
        <v>0-10</v>
      </c>
      <c r="AO389" t="str" cm="1">
        <f t="array" ref="AO389">_xlfn.IFS(Y389=1,"Poor",Y389=2,"Average",Y389=3,"Good",TRUE,"Excellent")</f>
        <v>Good</v>
      </c>
      <c r="AP389" t="str" cm="1">
        <f t="array" ref="AP389">_xlfn.IFS(Q389=1,"Low",Q389=2,"Medium",Q389=3,"High",TRUE,"Very High")</f>
        <v>Medium</v>
      </c>
    </row>
    <row r="390" spans="1:42" x14ac:dyDescent="0.25">
      <c r="A390">
        <v>42</v>
      </c>
      <c r="B390" t="s">
        <v>42</v>
      </c>
      <c r="C390" t="s">
        <v>90</v>
      </c>
      <c r="D390">
        <v>201</v>
      </c>
      <c r="E390" t="s">
        <v>43</v>
      </c>
      <c r="F390">
        <v>1</v>
      </c>
      <c r="G390">
        <v>4</v>
      </c>
      <c r="H390" t="s">
        <v>37</v>
      </c>
      <c r="I390">
        <v>1</v>
      </c>
      <c r="J390">
        <v>517</v>
      </c>
      <c r="K390">
        <v>2</v>
      </c>
      <c r="L390" t="s">
        <v>38</v>
      </c>
      <c r="M390">
        <v>95</v>
      </c>
      <c r="N390">
        <v>3</v>
      </c>
      <c r="O390">
        <v>1</v>
      </c>
      <c r="P390" t="s">
        <v>48</v>
      </c>
      <c r="Q390">
        <v>1</v>
      </c>
      <c r="R390" t="s">
        <v>50</v>
      </c>
      <c r="S390">
        <v>2576</v>
      </c>
      <c r="T390">
        <v>20490</v>
      </c>
      <c r="U390">
        <v>3</v>
      </c>
      <c r="V390" t="s">
        <v>41</v>
      </c>
      <c r="W390" t="s">
        <v>42</v>
      </c>
      <c r="X390">
        <v>16</v>
      </c>
      <c r="Y390">
        <v>3</v>
      </c>
      <c r="Z390">
        <v>2</v>
      </c>
      <c r="AA390">
        <v>80</v>
      </c>
      <c r="AB390">
        <v>1</v>
      </c>
      <c r="AC390">
        <v>8</v>
      </c>
      <c r="AD390">
        <v>5</v>
      </c>
      <c r="AE390">
        <v>3</v>
      </c>
      <c r="AF390">
        <v>5</v>
      </c>
      <c r="AG390">
        <v>2</v>
      </c>
      <c r="AH390">
        <v>1</v>
      </c>
      <c r="AI390">
        <v>2</v>
      </c>
      <c r="AJ390">
        <f t="shared" si="6"/>
        <v>0</v>
      </c>
      <c r="AK390" t="str" cm="1">
        <f t="array" ref="AK390">_xlfn.IFS(A390&lt;=30,"18-30",A390&lt;=45,"31-45",A390&lt;=60,"46-60",TRUE, "60+")</f>
        <v>31-45</v>
      </c>
      <c r="AL390" t="str" cm="1">
        <f t="array" ref="AL390">_xlfn.IFS(F390&lt;=10,"0-10",F390&lt;=20,"11-20",TRUE,"20+")</f>
        <v>0-10</v>
      </c>
      <c r="AM390" t="str" cm="1">
        <f t="array" ref="AM390">_xlfn.IFS(S390&lt;=5000,"0-5k",S390&lt;=10000,"5k-10k",S390&lt;=15000,"10k-15k",TRUE,"15k+")</f>
        <v>0-5k</v>
      </c>
      <c r="AN390" t="str" cm="1">
        <f t="array" ref="AN390">_xlfn.IFS(AF390&lt;=10,"0-10",AF390&lt;=20,"10-20",AF390&lt;=30,"20-30",TRUE,"30+")</f>
        <v>0-10</v>
      </c>
      <c r="AO390" t="str" cm="1">
        <f t="array" ref="AO390">_xlfn.IFS(Y390=1,"Poor",Y390=2,"Average",Y390=3,"Good",TRUE,"Excellent")</f>
        <v>Good</v>
      </c>
      <c r="AP390" t="str" cm="1">
        <f t="array" ref="AP390">_xlfn.IFS(Q390=1,"Low",Q390=2,"Medium",Q390=3,"High",TRUE,"Very High")</f>
        <v>Low</v>
      </c>
    </row>
    <row r="391" spans="1:42" x14ac:dyDescent="0.25">
      <c r="A391">
        <v>37</v>
      </c>
      <c r="B391" t="s">
        <v>42</v>
      </c>
      <c r="C391" t="s">
        <v>90</v>
      </c>
      <c r="D391">
        <v>1305</v>
      </c>
      <c r="E391" t="s">
        <v>43</v>
      </c>
      <c r="F391">
        <v>10</v>
      </c>
      <c r="G391">
        <v>4</v>
      </c>
      <c r="H391" t="s">
        <v>37</v>
      </c>
      <c r="I391">
        <v>1</v>
      </c>
      <c r="J391">
        <v>518</v>
      </c>
      <c r="K391">
        <v>3</v>
      </c>
      <c r="L391" t="s">
        <v>44</v>
      </c>
      <c r="M391">
        <v>49</v>
      </c>
      <c r="N391">
        <v>3</v>
      </c>
      <c r="O391">
        <v>2</v>
      </c>
      <c r="P391" t="s">
        <v>51</v>
      </c>
      <c r="Q391">
        <v>2</v>
      </c>
      <c r="R391" t="s">
        <v>40</v>
      </c>
      <c r="S391">
        <v>4197</v>
      </c>
      <c r="T391">
        <v>21123</v>
      </c>
      <c r="U391">
        <v>2</v>
      </c>
      <c r="V391" t="s">
        <v>41</v>
      </c>
      <c r="W391" t="s">
        <v>35</v>
      </c>
      <c r="X391">
        <v>12</v>
      </c>
      <c r="Y391">
        <v>3</v>
      </c>
      <c r="Z391">
        <v>4</v>
      </c>
      <c r="AA391">
        <v>80</v>
      </c>
      <c r="AB391">
        <v>0</v>
      </c>
      <c r="AC391">
        <v>18</v>
      </c>
      <c r="AD391">
        <v>2</v>
      </c>
      <c r="AE391">
        <v>2</v>
      </c>
      <c r="AF391">
        <v>1</v>
      </c>
      <c r="AG391">
        <v>0</v>
      </c>
      <c r="AH391">
        <v>0</v>
      </c>
      <c r="AI391">
        <v>1</v>
      </c>
      <c r="AJ391">
        <f t="shared" si="6"/>
        <v>0</v>
      </c>
      <c r="AK391" t="str" cm="1">
        <f t="array" ref="AK391">_xlfn.IFS(A391&lt;=30,"18-30",A391&lt;=45,"31-45",A391&lt;=60,"46-60",TRUE, "60+")</f>
        <v>31-45</v>
      </c>
      <c r="AL391" t="str" cm="1">
        <f t="array" ref="AL391">_xlfn.IFS(F391&lt;=10,"0-10",F391&lt;=20,"11-20",TRUE,"20+")</f>
        <v>0-10</v>
      </c>
      <c r="AM391" t="str" cm="1">
        <f t="array" ref="AM391">_xlfn.IFS(S391&lt;=5000,"0-5k",S391&lt;=10000,"5k-10k",S391&lt;=15000,"10k-15k",TRUE,"15k+")</f>
        <v>0-5k</v>
      </c>
      <c r="AN391" t="str" cm="1">
        <f t="array" ref="AN391">_xlfn.IFS(AF391&lt;=10,"0-10",AF391&lt;=20,"10-20",AF391&lt;=30,"20-30",TRUE,"30+")</f>
        <v>0-10</v>
      </c>
      <c r="AO391" t="str" cm="1">
        <f t="array" ref="AO391">_xlfn.IFS(Y391=1,"Poor",Y391=2,"Average",Y391=3,"Good",TRUE,"Excellent")</f>
        <v>Good</v>
      </c>
      <c r="AP391" t="str" cm="1">
        <f t="array" ref="AP391">_xlfn.IFS(Q391=1,"Low",Q391=2,"Medium",Q391=3,"High",TRUE,"Very High")</f>
        <v>Medium</v>
      </c>
    </row>
    <row r="392" spans="1:42" x14ac:dyDescent="0.25">
      <c r="A392">
        <v>43</v>
      </c>
      <c r="B392" t="s">
        <v>42</v>
      </c>
      <c r="C392" t="s">
        <v>90</v>
      </c>
      <c r="D392">
        <v>982</v>
      </c>
      <c r="E392" t="s">
        <v>43</v>
      </c>
      <c r="F392">
        <v>12</v>
      </c>
      <c r="G392">
        <v>3</v>
      </c>
      <c r="H392" t="s">
        <v>37</v>
      </c>
      <c r="I392">
        <v>1</v>
      </c>
      <c r="J392">
        <v>520</v>
      </c>
      <c r="K392">
        <v>1</v>
      </c>
      <c r="L392" t="s">
        <v>44</v>
      </c>
      <c r="M392">
        <v>59</v>
      </c>
      <c r="N392">
        <v>2</v>
      </c>
      <c r="O392">
        <v>4</v>
      </c>
      <c r="P392" t="s">
        <v>56</v>
      </c>
      <c r="Q392">
        <v>2</v>
      </c>
      <c r="R392" t="s">
        <v>50</v>
      </c>
      <c r="S392">
        <v>14336</v>
      </c>
      <c r="T392">
        <v>4345</v>
      </c>
      <c r="U392">
        <v>1</v>
      </c>
      <c r="V392" t="s">
        <v>41</v>
      </c>
      <c r="W392" t="s">
        <v>42</v>
      </c>
      <c r="X392">
        <v>11</v>
      </c>
      <c r="Y392">
        <v>3</v>
      </c>
      <c r="Z392">
        <v>3</v>
      </c>
      <c r="AA392">
        <v>80</v>
      </c>
      <c r="AB392">
        <v>1</v>
      </c>
      <c r="AC392">
        <v>25</v>
      </c>
      <c r="AD392">
        <v>3</v>
      </c>
      <c r="AE392">
        <v>3</v>
      </c>
      <c r="AF392">
        <v>25</v>
      </c>
      <c r="AG392">
        <v>10</v>
      </c>
      <c r="AH392">
        <v>3</v>
      </c>
      <c r="AI392">
        <v>9</v>
      </c>
      <c r="AJ392">
        <f t="shared" si="6"/>
        <v>0</v>
      </c>
      <c r="AK392" t="str" cm="1">
        <f t="array" ref="AK392">_xlfn.IFS(A392&lt;=30,"18-30",A392&lt;=45,"31-45",A392&lt;=60,"46-60",TRUE, "60+")</f>
        <v>31-45</v>
      </c>
      <c r="AL392" t="str" cm="1">
        <f t="array" ref="AL392">_xlfn.IFS(F392&lt;=10,"0-10",F392&lt;=20,"11-20",TRUE,"20+")</f>
        <v>11-20</v>
      </c>
      <c r="AM392" t="str" cm="1">
        <f t="array" ref="AM392">_xlfn.IFS(S392&lt;=5000,"0-5k",S392&lt;=10000,"5k-10k",S392&lt;=15000,"10k-15k",TRUE,"15k+")</f>
        <v>10k-15k</v>
      </c>
      <c r="AN392" t="str" cm="1">
        <f t="array" ref="AN392">_xlfn.IFS(AF392&lt;=10,"0-10",AF392&lt;=20,"10-20",AF392&lt;=30,"20-30",TRUE,"30+")</f>
        <v>20-30</v>
      </c>
      <c r="AO392" t="str" cm="1">
        <f t="array" ref="AO392">_xlfn.IFS(Y392=1,"Poor",Y392=2,"Average",Y392=3,"Good",TRUE,"Excellent")</f>
        <v>Good</v>
      </c>
      <c r="AP392" t="str" cm="1">
        <f t="array" ref="AP392">_xlfn.IFS(Q392=1,"Low",Q392=2,"Medium",Q392=3,"High",TRUE,"Very High")</f>
        <v>Medium</v>
      </c>
    </row>
    <row r="393" spans="1:42" x14ac:dyDescent="0.25">
      <c r="A393">
        <v>40</v>
      </c>
      <c r="B393" t="s">
        <v>42</v>
      </c>
      <c r="C393" t="s">
        <v>90</v>
      </c>
      <c r="D393">
        <v>555</v>
      </c>
      <c r="E393" t="s">
        <v>43</v>
      </c>
      <c r="F393">
        <v>2</v>
      </c>
      <c r="G393">
        <v>3</v>
      </c>
      <c r="H393" t="s">
        <v>49</v>
      </c>
      <c r="I393">
        <v>1</v>
      </c>
      <c r="J393">
        <v>521</v>
      </c>
      <c r="K393">
        <v>2</v>
      </c>
      <c r="L393" t="s">
        <v>38</v>
      </c>
      <c r="M393">
        <v>78</v>
      </c>
      <c r="N393">
        <v>2</v>
      </c>
      <c r="O393">
        <v>2</v>
      </c>
      <c r="P393" t="s">
        <v>48</v>
      </c>
      <c r="Q393">
        <v>3</v>
      </c>
      <c r="R393" t="s">
        <v>46</v>
      </c>
      <c r="S393">
        <v>3448</v>
      </c>
      <c r="T393">
        <v>13436</v>
      </c>
      <c r="U393">
        <v>6</v>
      </c>
      <c r="V393" t="s">
        <v>41</v>
      </c>
      <c r="W393" t="s">
        <v>42</v>
      </c>
      <c r="X393">
        <v>22</v>
      </c>
      <c r="Y393">
        <v>4</v>
      </c>
      <c r="Z393">
        <v>2</v>
      </c>
      <c r="AA393">
        <v>80</v>
      </c>
      <c r="AB393">
        <v>1</v>
      </c>
      <c r="AC393">
        <v>20</v>
      </c>
      <c r="AD393">
        <v>3</v>
      </c>
      <c r="AE393">
        <v>3</v>
      </c>
      <c r="AF393">
        <v>1</v>
      </c>
      <c r="AG393">
        <v>0</v>
      </c>
      <c r="AH393">
        <v>0</v>
      </c>
      <c r="AI393">
        <v>0</v>
      </c>
      <c r="AJ393">
        <f t="shared" si="6"/>
        <v>0</v>
      </c>
      <c r="AK393" t="str" cm="1">
        <f t="array" ref="AK393">_xlfn.IFS(A393&lt;=30,"18-30",A393&lt;=45,"31-45",A393&lt;=60,"46-60",TRUE, "60+")</f>
        <v>31-45</v>
      </c>
      <c r="AL393" t="str" cm="1">
        <f t="array" ref="AL393">_xlfn.IFS(F393&lt;=10,"0-10",F393&lt;=20,"11-20",TRUE,"20+")</f>
        <v>0-10</v>
      </c>
      <c r="AM393" t="str" cm="1">
        <f t="array" ref="AM393">_xlfn.IFS(S393&lt;=5000,"0-5k",S393&lt;=10000,"5k-10k",S393&lt;=15000,"10k-15k",TRUE,"15k+")</f>
        <v>0-5k</v>
      </c>
      <c r="AN393" t="str" cm="1">
        <f t="array" ref="AN393">_xlfn.IFS(AF393&lt;=10,"0-10",AF393&lt;=20,"10-20",AF393&lt;=30,"20-30",TRUE,"30+")</f>
        <v>0-10</v>
      </c>
      <c r="AO393" t="str" cm="1">
        <f t="array" ref="AO393">_xlfn.IFS(Y393=1,"Poor",Y393=2,"Average",Y393=3,"Good",TRUE,"Excellent")</f>
        <v>Excellent</v>
      </c>
      <c r="AP393" t="str" cm="1">
        <f t="array" ref="AP393">_xlfn.IFS(Q393=1,"Low",Q393=2,"Medium",Q393=3,"High",TRUE,"Very High")</f>
        <v>High</v>
      </c>
    </row>
    <row r="394" spans="1:42" x14ac:dyDescent="0.25">
      <c r="A394">
        <v>54</v>
      </c>
      <c r="B394" t="s">
        <v>42</v>
      </c>
      <c r="C394" t="s">
        <v>90</v>
      </c>
      <c r="D394">
        <v>821</v>
      </c>
      <c r="E394" t="s">
        <v>43</v>
      </c>
      <c r="F394">
        <v>5</v>
      </c>
      <c r="G394">
        <v>2</v>
      </c>
      <c r="H394" t="s">
        <v>49</v>
      </c>
      <c r="I394">
        <v>1</v>
      </c>
      <c r="J394">
        <v>522</v>
      </c>
      <c r="K394">
        <v>1</v>
      </c>
      <c r="L394" t="s">
        <v>44</v>
      </c>
      <c r="M394">
        <v>86</v>
      </c>
      <c r="N394">
        <v>3</v>
      </c>
      <c r="O394">
        <v>5</v>
      </c>
      <c r="P394" t="s">
        <v>56</v>
      </c>
      <c r="Q394">
        <v>1</v>
      </c>
      <c r="R394" t="s">
        <v>46</v>
      </c>
      <c r="S394">
        <v>19406</v>
      </c>
      <c r="T394">
        <v>8509</v>
      </c>
      <c r="U394">
        <v>4</v>
      </c>
      <c r="V394" t="s">
        <v>41</v>
      </c>
      <c r="W394" t="s">
        <v>42</v>
      </c>
      <c r="X394">
        <v>11</v>
      </c>
      <c r="Y394">
        <v>3</v>
      </c>
      <c r="Z394">
        <v>3</v>
      </c>
      <c r="AA394">
        <v>80</v>
      </c>
      <c r="AB394">
        <v>1</v>
      </c>
      <c r="AC394">
        <v>24</v>
      </c>
      <c r="AD394">
        <v>4</v>
      </c>
      <c r="AE394">
        <v>2</v>
      </c>
      <c r="AF394">
        <v>4</v>
      </c>
      <c r="AG394">
        <v>2</v>
      </c>
      <c r="AH394">
        <v>1</v>
      </c>
      <c r="AI394">
        <v>2</v>
      </c>
      <c r="AJ394">
        <f t="shared" si="6"/>
        <v>0</v>
      </c>
      <c r="AK394" t="str" cm="1">
        <f t="array" ref="AK394">_xlfn.IFS(A394&lt;=30,"18-30",A394&lt;=45,"31-45",A394&lt;=60,"46-60",TRUE, "60+")</f>
        <v>46-60</v>
      </c>
      <c r="AL394" t="str" cm="1">
        <f t="array" ref="AL394">_xlfn.IFS(F394&lt;=10,"0-10",F394&lt;=20,"11-20",TRUE,"20+")</f>
        <v>0-10</v>
      </c>
      <c r="AM394" t="str" cm="1">
        <f t="array" ref="AM394">_xlfn.IFS(S394&lt;=5000,"0-5k",S394&lt;=10000,"5k-10k",S394&lt;=15000,"10k-15k",TRUE,"15k+")</f>
        <v>15k+</v>
      </c>
      <c r="AN394" t="str" cm="1">
        <f t="array" ref="AN394">_xlfn.IFS(AF394&lt;=10,"0-10",AF394&lt;=20,"10-20",AF394&lt;=30,"20-30",TRUE,"30+")</f>
        <v>0-10</v>
      </c>
      <c r="AO394" t="str" cm="1">
        <f t="array" ref="AO394">_xlfn.IFS(Y394=1,"Poor",Y394=2,"Average",Y394=3,"Good",TRUE,"Excellent")</f>
        <v>Good</v>
      </c>
      <c r="AP394" t="str" cm="1">
        <f t="array" ref="AP394">_xlfn.IFS(Q394=1,"Low",Q394=2,"Medium",Q394=3,"High",TRUE,"Very High")</f>
        <v>Low</v>
      </c>
    </row>
    <row r="395" spans="1:42" x14ac:dyDescent="0.25">
      <c r="A395">
        <v>34</v>
      </c>
      <c r="B395" t="s">
        <v>42</v>
      </c>
      <c r="C395" t="s">
        <v>53</v>
      </c>
      <c r="D395">
        <v>1381</v>
      </c>
      <c r="E395" t="s">
        <v>36</v>
      </c>
      <c r="F395">
        <v>4</v>
      </c>
      <c r="G395">
        <v>4</v>
      </c>
      <c r="H395" t="s">
        <v>57</v>
      </c>
      <c r="I395">
        <v>1</v>
      </c>
      <c r="J395">
        <v>523</v>
      </c>
      <c r="K395">
        <v>3</v>
      </c>
      <c r="L395" t="s">
        <v>38</v>
      </c>
      <c r="M395">
        <v>72</v>
      </c>
      <c r="N395">
        <v>3</v>
      </c>
      <c r="O395">
        <v>2</v>
      </c>
      <c r="P395" t="s">
        <v>39</v>
      </c>
      <c r="Q395">
        <v>3</v>
      </c>
      <c r="R395" t="s">
        <v>46</v>
      </c>
      <c r="S395">
        <v>6538</v>
      </c>
      <c r="T395">
        <v>12740</v>
      </c>
      <c r="U395">
        <v>9</v>
      </c>
      <c r="V395" t="s">
        <v>41</v>
      </c>
      <c r="W395" t="s">
        <v>42</v>
      </c>
      <c r="X395">
        <v>15</v>
      </c>
      <c r="Y395">
        <v>3</v>
      </c>
      <c r="Z395">
        <v>1</v>
      </c>
      <c r="AA395">
        <v>80</v>
      </c>
      <c r="AB395">
        <v>1</v>
      </c>
      <c r="AC395">
        <v>6</v>
      </c>
      <c r="AD395">
        <v>3</v>
      </c>
      <c r="AE395">
        <v>3</v>
      </c>
      <c r="AF395">
        <v>3</v>
      </c>
      <c r="AG395">
        <v>2</v>
      </c>
      <c r="AH395">
        <v>1</v>
      </c>
      <c r="AI395">
        <v>2</v>
      </c>
      <c r="AJ395">
        <f t="shared" si="6"/>
        <v>0</v>
      </c>
      <c r="AK395" t="str" cm="1">
        <f t="array" ref="AK395">_xlfn.IFS(A395&lt;=30,"18-30",A395&lt;=45,"31-45",A395&lt;=60,"46-60",TRUE, "60+")</f>
        <v>31-45</v>
      </c>
      <c r="AL395" t="str" cm="1">
        <f t="array" ref="AL395">_xlfn.IFS(F395&lt;=10,"0-10",F395&lt;=20,"11-20",TRUE,"20+")</f>
        <v>0-10</v>
      </c>
      <c r="AM395" t="str" cm="1">
        <f t="array" ref="AM395">_xlfn.IFS(S395&lt;=5000,"0-5k",S395&lt;=10000,"5k-10k",S395&lt;=15000,"10k-15k",TRUE,"15k+")</f>
        <v>5k-10k</v>
      </c>
      <c r="AN395" t="str" cm="1">
        <f t="array" ref="AN395">_xlfn.IFS(AF395&lt;=10,"0-10",AF395&lt;=20,"10-20",AF395&lt;=30,"20-30",TRUE,"30+")</f>
        <v>0-10</v>
      </c>
      <c r="AO395" t="str" cm="1">
        <f t="array" ref="AO395">_xlfn.IFS(Y395=1,"Poor",Y395=2,"Average",Y395=3,"Good",TRUE,"Excellent")</f>
        <v>Good</v>
      </c>
      <c r="AP395" t="str" cm="1">
        <f t="array" ref="AP395">_xlfn.IFS(Q395=1,"Low",Q395=2,"Medium",Q395=3,"High",TRUE,"Very High")</f>
        <v>High</v>
      </c>
    </row>
    <row r="396" spans="1:42" x14ac:dyDescent="0.25">
      <c r="A396">
        <v>31</v>
      </c>
      <c r="B396" t="s">
        <v>42</v>
      </c>
      <c r="C396" t="s">
        <v>90</v>
      </c>
      <c r="D396">
        <v>480</v>
      </c>
      <c r="E396" t="s">
        <v>43</v>
      </c>
      <c r="F396">
        <v>7</v>
      </c>
      <c r="G396">
        <v>2</v>
      </c>
      <c r="H396" t="s">
        <v>49</v>
      </c>
      <c r="I396">
        <v>1</v>
      </c>
      <c r="J396">
        <v>524</v>
      </c>
      <c r="K396">
        <v>2</v>
      </c>
      <c r="L396" t="s">
        <v>38</v>
      </c>
      <c r="M396">
        <v>31</v>
      </c>
      <c r="N396">
        <v>3</v>
      </c>
      <c r="O396">
        <v>2</v>
      </c>
      <c r="P396" t="s">
        <v>51</v>
      </c>
      <c r="Q396">
        <v>1</v>
      </c>
      <c r="R396" t="s">
        <v>46</v>
      </c>
      <c r="S396">
        <v>4306</v>
      </c>
      <c r="T396">
        <v>4156</v>
      </c>
      <c r="U396">
        <v>1</v>
      </c>
      <c r="V396" t="s">
        <v>41</v>
      </c>
      <c r="W396" t="s">
        <v>42</v>
      </c>
      <c r="X396">
        <v>12</v>
      </c>
      <c r="Y396">
        <v>3</v>
      </c>
      <c r="Z396">
        <v>2</v>
      </c>
      <c r="AA396">
        <v>80</v>
      </c>
      <c r="AB396">
        <v>1</v>
      </c>
      <c r="AC396">
        <v>13</v>
      </c>
      <c r="AD396">
        <v>5</v>
      </c>
      <c r="AE396">
        <v>1</v>
      </c>
      <c r="AF396">
        <v>13</v>
      </c>
      <c r="AG396">
        <v>10</v>
      </c>
      <c r="AH396">
        <v>3</v>
      </c>
      <c r="AI396">
        <v>12</v>
      </c>
      <c r="AJ396">
        <f t="shared" si="6"/>
        <v>0</v>
      </c>
      <c r="AK396" t="str" cm="1">
        <f t="array" ref="AK396">_xlfn.IFS(A396&lt;=30,"18-30",A396&lt;=45,"31-45",A396&lt;=60,"46-60",TRUE, "60+")</f>
        <v>31-45</v>
      </c>
      <c r="AL396" t="str" cm="1">
        <f t="array" ref="AL396">_xlfn.IFS(F396&lt;=10,"0-10",F396&lt;=20,"11-20",TRUE,"20+")</f>
        <v>0-10</v>
      </c>
      <c r="AM396" t="str" cm="1">
        <f t="array" ref="AM396">_xlfn.IFS(S396&lt;=5000,"0-5k",S396&lt;=10000,"5k-10k",S396&lt;=15000,"10k-15k",TRUE,"15k+")</f>
        <v>0-5k</v>
      </c>
      <c r="AN396" t="str" cm="1">
        <f t="array" ref="AN396">_xlfn.IFS(AF396&lt;=10,"0-10",AF396&lt;=20,"10-20",AF396&lt;=30,"20-30",TRUE,"30+")</f>
        <v>10-20</v>
      </c>
      <c r="AO396" t="str" cm="1">
        <f t="array" ref="AO396">_xlfn.IFS(Y396=1,"Poor",Y396=2,"Average",Y396=3,"Good",TRUE,"Excellent")</f>
        <v>Good</v>
      </c>
      <c r="AP396" t="str" cm="1">
        <f t="array" ref="AP396">_xlfn.IFS(Q396=1,"Low",Q396=2,"Medium",Q396=3,"High",TRUE,"Very High")</f>
        <v>Low</v>
      </c>
    </row>
    <row r="397" spans="1:42" x14ac:dyDescent="0.25">
      <c r="A397">
        <v>43</v>
      </c>
      <c r="B397" t="s">
        <v>42</v>
      </c>
      <c r="C397" t="s">
        <v>91</v>
      </c>
      <c r="D397">
        <v>313</v>
      </c>
      <c r="E397" t="s">
        <v>43</v>
      </c>
      <c r="F397">
        <v>21</v>
      </c>
      <c r="G397">
        <v>3</v>
      </c>
      <c r="H397" t="s">
        <v>49</v>
      </c>
      <c r="I397">
        <v>1</v>
      </c>
      <c r="J397">
        <v>525</v>
      </c>
      <c r="K397">
        <v>4</v>
      </c>
      <c r="L397" t="s">
        <v>44</v>
      </c>
      <c r="M397">
        <v>61</v>
      </c>
      <c r="N397">
        <v>3</v>
      </c>
      <c r="O397">
        <v>1</v>
      </c>
      <c r="P397" t="s">
        <v>48</v>
      </c>
      <c r="Q397">
        <v>4</v>
      </c>
      <c r="R397" t="s">
        <v>46</v>
      </c>
      <c r="S397">
        <v>2258</v>
      </c>
      <c r="T397">
        <v>15238</v>
      </c>
      <c r="U397">
        <v>7</v>
      </c>
      <c r="V397" t="s">
        <v>41</v>
      </c>
      <c r="W397" t="s">
        <v>42</v>
      </c>
      <c r="X397">
        <v>20</v>
      </c>
      <c r="Y397">
        <v>4</v>
      </c>
      <c r="Z397">
        <v>1</v>
      </c>
      <c r="AA397">
        <v>80</v>
      </c>
      <c r="AB397">
        <v>1</v>
      </c>
      <c r="AC397">
        <v>8</v>
      </c>
      <c r="AD397">
        <v>1</v>
      </c>
      <c r="AE397">
        <v>3</v>
      </c>
      <c r="AF397">
        <v>3</v>
      </c>
      <c r="AG397">
        <v>2</v>
      </c>
      <c r="AH397">
        <v>1</v>
      </c>
      <c r="AI397">
        <v>2</v>
      </c>
      <c r="AJ397">
        <f t="shared" si="6"/>
        <v>0</v>
      </c>
      <c r="AK397" t="str" cm="1">
        <f t="array" ref="AK397">_xlfn.IFS(A397&lt;=30,"18-30",A397&lt;=45,"31-45",A397&lt;=60,"46-60",TRUE, "60+")</f>
        <v>31-45</v>
      </c>
      <c r="AL397" t="str" cm="1">
        <f t="array" ref="AL397">_xlfn.IFS(F397&lt;=10,"0-10",F397&lt;=20,"11-20",TRUE,"20+")</f>
        <v>20+</v>
      </c>
      <c r="AM397" t="str" cm="1">
        <f t="array" ref="AM397">_xlfn.IFS(S397&lt;=5000,"0-5k",S397&lt;=10000,"5k-10k",S397&lt;=15000,"10k-15k",TRUE,"15k+")</f>
        <v>0-5k</v>
      </c>
      <c r="AN397" t="str" cm="1">
        <f t="array" ref="AN397">_xlfn.IFS(AF397&lt;=10,"0-10",AF397&lt;=20,"10-20",AF397&lt;=30,"20-30",TRUE,"30+")</f>
        <v>0-10</v>
      </c>
      <c r="AO397" t="str" cm="1">
        <f t="array" ref="AO397">_xlfn.IFS(Y397=1,"Poor",Y397=2,"Average",Y397=3,"Good",TRUE,"Excellent")</f>
        <v>Excellent</v>
      </c>
      <c r="AP397" t="str" cm="1">
        <f t="array" ref="AP397">_xlfn.IFS(Q397=1,"Low",Q397=2,"Medium",Q397=3,"High",TRUE,"Very High")</f>
        <v>Very High</v>
      </c>
    </row>
    <row r="398" spans="1:42" x14ac:dyDescent="0.25">
      <c r="A398">
        <v>43</v>
      </c>
      <c r="B398" t="s">
        <v>42</v>
      </c>
      <c r="C398" t="s">
        <v>90</v>
      </c>
      <c r="D398">
        <v>1473</v>
      </c>
      <c r="E398" t="s">
        <v>43</v>
      </c>
      <c r="F398">
        <v>8</v>
      </c>
      <c r="G398">
        <v>4</v>
      </c>
      <c r="H398" t="s">
        <v>47</v>
      </c>
      <c r="I398">
        <v>1</v>
      </c>
      <c r="J398">
        <v>526</v>
      </c>
      <c r="K398">
        <v>3</v>
      </c>
      <c r="L398" t="s">
        <v>38</v>
      </c>
      <c r="M398">
        <v>74</v>
      </c>
      <c r="N398">
        <v>3</v>
      </c>
      <c r="O398">
        <v>2</v>
      </c>
      <c r="P398" t="s">
        <v>52</v>
      </c>
      <c r="Q398">
        <v>3</v>
      </c>
      <c r="R398" t="s">
        <v>50</v>
      </c>
      <c r="S398">
        <v>4522</v>
      </c>
      <c r="T398">
        <v>2227</v>
      </c>
      <c r="U398">
        <v>4</v>
      </c>
      <c r="V398" t="s">
        <v>41</v>
      </c>
      <c r="W398" t="s">
        <v>35</v>
      </c>
      <c r="X398">
        <v>14</v>
      </c>
      <c r="Y398">
        <v>3</v>
      </c>
      <c r="Z398">
        <v>4</v>
      </c>
      <c r="AA398">
        <v>80</v>
      </c>
      <c r="AB398">
        <v>0</v>
      </c>
      <c r="AC398">
        <v>8</v>
      </c>
      <c r="AD398">
        <v>3</v>
      </c>
      <c r="AE398">
        <v>3</v>
      </c>
      <c r="AF398">
        <v>5</v>
      </c>
      <c r="AG398">
        <v>2</v>
      </c>
      <c r="AH398">
        <v>0</v>
      </c>
      <c r="AI398">
        <v>2</v>
      </c>
      <c r="AJ398">
        <f t="shared" si="6"/>
        <v>0</v>
      </c>
      <c r="AK398" t="str" cm="1">
        <f t="array" ref="AK398">_xlfn.IFS(A398&lt;=30,"18-30",A398&lt;=45,"31-45",A398&lt;=60,"46-60",TRUE, "60+")</f>
        <v>31-45</v>
      </c>
      <c r="AL398" t="str" cm="1">
        <f t="array" ref="AL398">_xlfn.IFS(F398&lt;=10,"0-10",F398&lt;=20,"11-20",TRUE,"20+")</f>
        <v>0-10</v>
      </c>
      <c r="AM398" t="str" cm="1">
        <f t="array" ref="AM398">_xlfn.IFS(S398&lt;=5000,"0-5k",S398&lt;=10000,"5k-10k",S398&lt;=15000,"10k-15k",TRUE,"15k+")</f>
        <v>0-5k</v>
      </c>
      <c r="AN398" t="str" cm="1">
        <f t="array" ref="AN398">_xlfn.IFS(AF398&lt;=10,"0-10",AF398&lt;=20,"10-20",AF398&lt;=30,"20-30",TRUE,"30+")</f>
        <v>0-10</v>
      </c>
      <c r="AO398" t="str" cm="1">
        <f t="array" ref="AO398">_xlfn.IFS(Y398=1,"Poor",Y398=2,"Average",Y398=3,"Good",TRUE,"Excellent")</f>
        <v>Good</v>
      </c>
      <c r="AP398" t="str" cm="1">
        <f t="array" ref="AP398">_xlfn.IFS(Q398=1,"Low",Q398=2,"Medium",Q398=3,"High",TRUE,"Very High")</f>
        <v>High</v>
      </c>
    </row>
    <row r="399" spans="1:42" x14ac:dyDescent="0.25">
      <c r="A399">
        <v>25</v>
      </c>
      <c r="B399" t="s">
        <v>42</v>
      </c>
      <c r="C399" t="s">
        <v>90</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35</v>
      </c>
      <c r="X399">
        <v>11</v>
      </c>
      <c r="Y399">
        <v>3</v>
      </c>
      <c r="Z399">
        <v>2</v>
      </c>
      <c r="AA399">
        <v>80</v>
      </c>
      <c r="AB399">
        <v>0</v>
      </c>
      <c r="AC399">
        <v>5</v>
      </c>
      <c r="AD399">
        <v>3</v>
      </c>
      <c r="AE399">
        <v>3</v>
      </c>
      <c r="AF399">
        <v>5</v>
      </c>
      <c r="AG399">
        <v>4</v>
      </c>
      <c r="AH399">
        <v>1</v>
      </c>
      <c r="AI399">
        <v>3</v>
      </c>
      <c r="AJ399">
        <f t="shared" si="6"/>
        <v>0</v>
      </c>
      <c r="AK399" t="str" cm="1">
        <f t="array" ref="AK399">_xlfn.IFS(A399&lt;=30,"18-30",A399&lt;=45,"31-45",A399&lt;=60,"46-60",TRUE, "60+")</f>
        <v>18-30</v>
      </c>
      <c r="AL399" t="str" cm="1">
        <f t="array" ref="AL399">_xlfn.IFS(F399&lt;=10,"0-10",F399&lt;=20,"11-20",TRUE,"20+")</f>
        <v>0-10</v>
      </c>
      <c r="AM399" t="str" cm="1">
        <f t="array" ref="AM399">_xlfn.IFS(S399&lt;=5000,"0-5k",S399&lt;=10000,"5k-10k",S399&lt;=15000,"10k-15k",TRUE,"15k+")</f>
        <v>0-5k</v>
      </c>
      <c r="AN399" t="str" cm="1">
        <f t="array" ref="AN399">_xlfn.IFS(AF399&lt;=10,"0-10",AF399&lt;=20,"10-20",AF399&lt;=30,"20-30",TRUE,"30+")</f>
        <v>0-10</v>
      </c>
      <c r="AO399" t="str" cm="1">
        <f t="array" ref="AO399">_xlfn.IFS(Y399=1,"Poor",Y399=2,"Average",Y399=3,"Good",TRUE,"Excellent")</f>
        <v>Good</v>
      </c>
      <c r="AP399" t="str" cm="1">
        <f t="array" ref="AP399">_xlfn.IFS(Q399=1,"Low",Q399=2,"Medium",Q399=3,"High",TRUE,"Very High")</f>
        <v>Very High</v>
      </c>
    </row>
    <row r="400" spans="1:42" x14ac:dyDescent="0.25">
      <c r="A400">
        <v>37</v>
      </c>
      <c r="B400" t="s">
        <v>42</v>
      </c>
      <c r="C400" t="s">
        <v>53</v>
      </c>
      <c r="D400">
        <v>1063</v>
      </c>
      <c r="E400" t="s">
        <v>43</v>
      </c>
      <c r="F400">
        <v>25</v>
      </c>
      <c r="G400">
        <v>5</v>
      </c>
      <c r="H400" t="s">
        <v>49</v>
      </c>
      <c r="I400">
        <v>1</v>
      </c>
      <c r="J400">
        <v>529</v>
      </c>
      <c r="K400">
        <v>2</v>
      </c>
      <c r="L400" t="s">
        <v>38</v>
      </c>
      <c r="M400">
        <v>72</v>
      </c>
      <c r="N400">
        <v>3</v>
      </c>
      <c r="O400">
        <v>2</v>
      </c>
      <c r="P400" t="s">
        <v>45</v>
      </c>
      <c r="Q400">
        <v>3</v>
      </c>
      <c r="R400" t="s">
        <v>46</v>
      </c>
      <c r="S400">
        <v>4449</v>
      </c>
      <c r="T400">
        <v>23866</v>
      </c>
      <c r="U400">
        <v>3</v>
      </c>
      <c r="V400" t="s">
        <v>41</v>
      </c>
      <c r="W400" t="s">
        <v>35</v>
      </c>
      <c r="X400">
        <v>15</v>
      </c>
      <c r="Y400">
        <v>3</v>
      </c>
      <c r="Z400">
        <v>1</v>
      </c>
      <c r="AA400">
        <v>80</v>
      </c>
      <c r="AB400">
        <v>2</v>
      </c>
      <c r="AC400">
        <v>15</v>
      </c>
      <c r="AD400">
        <v>2</v>
      </c>
      <c r="AE400">
        <v>3</v>
      </c>
      <c r="AF400">
        <v>13</v>
      </c>
      <c r="AG400">
        <v>11</v>
      </c>
      <c r="AH400">
        <v>10</v>
      </c>
      <c r="AI400">
        <v>7</v>
      </c>
      <c r="AJ400">
        <f t="shared" si="6"/>
        <v>0</v>
      </c>
      <c r="AK400" t="str" cm="1">
        <f t="array" ref="AK400">_xlfn.IFS(A400&lt;=30,"18-30",A400&lt;=45,"31-45",A400&lt;=60,"46-60",TRUE, "60+")</f>
        <v>31-45</v>
      </c>
      <c r="AL400" t="str" cm="1">
        <f t="array" ref="AL400">_xlfn.IFS(F400&lt;=10,"0-10",F400&lt;=20,"11-20",TRUE,"20+")</f>
        <v>20+</v>
      </c>
      <c r="AM400" t="str" cm="1">
        <f t="array" ref="AM400">_xlfn.IFS(S400&lt;=5000,"0-5k",S400&lt;=10000,"5k-10k",S400&lt;=15000,"10k-15k",TRUE,"15k+")</f>
        <v>0-5k</v>
      </c>
      <c r="AN400" t="str" cm="1">
        <f t="array" ref="AN400">_xlfn.IFS(AF400&lt;=10,"0-10",AF400&lt;=20,"10-20",AF400&lt;=30,"20-30",TRUE,"30+")</f>
        <v>10-20</v>
      </c>
      <c r="AO400" t="str" cm="1">
        <f t="array" ref="AO400">_xlfn.IFS(Y400=1,"Poor",Y400=2,"Average",Y400=3,"Good",TRUE,"Excellent")</f>
        <v>Good</v>
      </c>
      <c r="AP400" t="str" cm="1">
        <f t="array" ref="AP400">_xlfn.IFS(Q400=1,"Low",Q400=2,"Medium",Q400=3,"High",TRUE,"Very High")</f>
        <v>High</v>
      </c>
    </row>
    <row r="401" spans="1:42" x14ac:dyDescent="0.25">
      <c r="A401">
        <v>31</v>
      </c>
      <c r="B401" t="s">
        <v>42</v>
      </c>
      <c r="C401" t="s">
        <v>90</v>
      </c>
      <c r="D401">
        <v>329</v>
      </c>
      <c r="E401" t="s">
        <v>43</v>
      </c>
      <c r="F401">
        <v>1</v>
      </c>
      <c r="G401">
        <v>2</v>
      </c>
      <c r="H401" t="s">
        <v>37</v>
      </c>
      <c r="I401">
        <v>1</v>
      </c>
      <c r="J401">
        <v>530</v>
      </c>
      <c r="K401">
        <v>4</v>
      </c>
      <c r="L401" t="s">
        <v>44</v>
      </c>
      <c r="M401">
        <v>98</v>
      </c>
      <c r="N401">
        <v>2</v>
      </c>
      <c r="O401">
        <v>1</v>
      </c>
      <c r="P401" t="s">
        <v>48</v>
      </c>
      <c r="Q401">
        <v>1</v>
      </c>
      <c r="R401" t="s">
        <v>46</v>
      </c>
      <c r="S401">
        <v>2218</v>
      </c>
      <c r="T401">
        <v>16193</v>
      </c>
      <c r="U401">
        <v>1</v>
      </c>
      <c r="V401" t="s">
        <v>41</v>
      </c>
      <c r="W401" t="s">
        <v>42</v>
      </c>
      <c r="X401">
        <v>12</v>
      </c>
      <c r="Y401">
        <v>3</v>
      </c>
      <c r="Z401">
        <v>3</v>
      </c>
      <c r="AA401">
        <v>80</v>
      </c>
      <c r="AB401">
        <v>1</v>
      </c>
      <c r="AC401">
        <v>4</v>
      </c>
      <c r="AD401">
        <v>3</v>
      </c>
      <c r="AE401">
        <v>3</v>
      </c>
      <c r="AF401">
        <v>4</v>
      </c>
      <c r="AG401">
        <v>2</v>
      </c>
      <c r="AH401">
        <v>3</v>
      </c>
      <c r="AI401">
        <v>2</v>
      </c>
      <c r="AJ401">
        <f t="shared" si="6"/>
        <v>0</v>
      </c>
      <c r="AK401" t="str" cm="1">
        <f t="array" ref="AK401">_xlfn.IFS(A401&lt;=30,"18-30",A401&lt;=45,"31-45",A401&lt;=60,"46-60",TRUE, "60+")</f>
        <v>31-45</v>
      </c>
      <c r="AL401" t="str" cm="1">
        <f t="array" ref="AL401">_xlfn.IFS(F401&lt;=10,"0-10",F401&lt;=20,"11-20",TRUE,"20+")</f>
        <v>0-10</v>
      </c>
      <c r="AM401" t="str" cm="1">
        <f t="array" ref="AM401">_xlfn.IFS(S401&lt;=5000,"0-5k",S401&lt;=10000,"5k-10k",S401&lt;=15000,"10k-15k",TRUE,"15k+")</f>
        <v>0-5k</v>
      </c>
      <c r="AN401" t="str" cm="1">
        <f t="array" ref="AN401">_xlfn.IFS(AF401&lt;=10,"0-10",AF401&lt;=20,"10-20",AF401&lt;=30,"20-30",TRUE,"30+")</f>
        <v>0-10</v>
      </c>
      <c r="AO401" t="str" cm="1">
        <f t="array" ref="AO401">_xlfn.IFS(Y401=1,"Poor",Y401=2,"Average",Y401=3,"Good",TRUE,"Excellent")</f>
        <v>Good</v>
      </c>
      <c r="AP401" t="str" cm="1">
        <f t="array" ref="AP401">_xlfn.IFS(Q401=1,"Low",Q401=2,"Medium",Q401=3,"High",TRUE,"Very High")</f>
        <v>Low</v>
      </c>
    </row>
    <row r="402" spans="1:42" x14ac:dyDescent="0.25">
      <c r="A402">
        <v>39</v>
      </c>
      <c r="B402" t="s">
        <v>42</v>
      </c>
      <c r="C402" t="s">
        <v>91</v>
      </c>
      <c r="D402">
        <v>1218</v>
      </c>
      <c r="E402" t="s">
        <v>43</v>
      </c>
      <c r="F402">
        <v>1</v>
      </c>
      <c r="G402">
        <v>1</v>
      </c>
      <c r="H402" t="s">
        <v>37</v>
      </c>
      <c r="I402">
        <v>1</v>
      </c>
      <c r="J402">
        <v>531</v>
      </c>
      <c r="K402">
        <v>2</v>
      </c>
      <c r="L402" t="s">
        <v>44</v>
      </c>
      <c r="M402">
        <v>52</v>
      </c>
      <c r="N402">
        <v>3</v>
      </c>
      <c r="O402">
        <v>5</v>
      </c>
      <c r="P402" t="s">
        <v>54</v>
      </c>
      <c r="Q402">
        <v>3</v>
      </c>
      <c r="R402" t="s">
        <v>50</v>
      </c>
      <c r="S402">
        <v>19197</v>
      </c>
      <c r="T402">
        <v>8213</v>
      </c>
      <c r="U402">
        <v>1</v>
      </c>
      <c r="V402" t="s">
        <v>41</v>
      </c>
      <c r="W402" t="s">
        <v>35</v>
      </c>
      <c r="X402">
        <v>14</v>
      </c>
      <c r="Y402">
        <v>3</v>
      </c>
      <c r="Z402">
        <v>3</v>
      </c>
      <c r="AA402">
        <v>80</v>
      </c>
      <c r="AB402">
        <v>1</v>
      </c>
      <c r="AC402">
        <v>21</v>
      </c>
      <c r="AD402">
        <v>3</v>
      </c>
      <c r="AE402">
        <v>3</v>
      </c>
      <c r="AF402">
        <v>21</v>
      </c>
      <c r="AG402">
        <v>8</v>
      </c>
      <c r="AH402">
        <v>1</v>
      </c>
      <c r="AI402">
        <v>6</v>
      </c>
      <c r="AJ402">
        <f t="shared" si="6"/>
        <v>0</v>
      </c>
      <c r="AK402" t="str" cm="1">
        <f t="array" ref="AK402">_xlfn.IFS(A402&lt;=30,"18-30",A402&lt;=45,"31-45",A402&lt;=60,"46-60",TRUE, "60+")</f>
        <v>31-45</v>
      </c>
      <c r="AL402" t="str" cm="1">
        <f t="array" ref="AL402">_xlfn.IFS(F402&lt;=10,"0-10",F402&lt;=20,"11-20",TRUE,"20+")</f>
        <v>0-10</v>
      </c>
      <c r="AM402" t="str" cm="1">
        <f t="array" ref="AM402">_xlfn.IFS(S402&lt;=5000,"0-5k",S402&lt;=10000,"5k-10k",S402&lt;=15000,"10k-15k",TRUE,"15k+")</f>
        <v>15k+</v>
      </c>
      <c r="AN402" t="str" cm="1">
        <f t="array" ref="AN402">_xlfn.IFS(AF402&lt;=10,"0-10",AF402&lt;=20,"10-20",AF402&lt;=30,"20-30",TRUE,"30+")</f>
        <v>20-30</v>
      </c>
      <c r="AO402" t="str" cm="1">
        <f t="array" ref="AO402">_xlfn.IFS(Y402=1,"Poor",Y402=2,"Average",Y402=3,"Good",TRUE,"Excellent")</f>
        <v>Good</v>
      </c>
      <c r="AP402" t="str" cm="1">
        <f t="array" ref="AP402">_xlfn.IFS(Q402=1,"Low",Q402=2,"Medium",Q402=3,"High",TRUE,"Very High")</f>
        <v>High</v>
      </c>
    </row>
    <row r="403" spans="1:42" x14ac:dyDescent="0.25">
      <c r="A403">
        <v>56</v>
      </c>
      <c r="B403" t="s">
        <v>42</v>
      </c>
      <c r="C403" t="s">
        <v>91</v>
      </c>
      <c r="D403">
        <v>906</v>
      </c>
      <c r="E403" t="s">
        <v>36</v>
      </c>
      <c r="F403">
        <v>6</v>
      </c>
      <c r="G403">
        <v>3</v>
      </c>
      <c r="H403" t="s">
        <v>37</v>
      </c>
      <c r="I403">
        <v>1</v>
      </c>
      <c r="J403">
        <v>532</v>
      </c>
      <c r="K403">
        <v>3</v>
      </c>
      <c r="L403" t="s">
        <v>38</v>
      </c>
      <c r="M403">
        <v>86</v>
      </c>
      <c r="N403">
        <v>4</v>
      </c>
      <c r="O403">
        <v>4</v>
      </c>
      <c r="P403" t="s">
        <v>39</v>
      </c>
      <c r="Q403">
        <v>1</v>
      </c>
      <c r="R403" t="s">
        <v>46</v>
      </c>
      <c r="S403">
        <v>13212</v>
      </c>
      <c r="T403">
        <v>18256</v>
      </c>
      <c r="U403">
        <v>9</v>
      </c>
      <c r="V403" t="s">
        <v>41</v>
      </c>
      <c r="W403" t="s">
        <v>42</v>
      </c>
      <c r="X403">
        <v>11</v>
      </c>
      <c r="Y403">
        <v>3</v>
      </c>
      <c r="Z403">
        <v>4</v>
      </c>
      <c r="AA403">
        <v>80</v>
      </c>
      <c r="AB403">
        <v>3</v>
      </c>
      <c r="AC403">
        <v>36</v>
      </c>
      <c r="AD403">
        <v>0</v>
      </c>
      <c r="AE403">
        <v>2</v>
      </c>
      <c r="AF403">
        <v>7</v>
      </c>
      <c r="AG403">
        <v>7</v>
      </c>
      <c r="AH403">
        <v>7</v>
      </c>
      <c r="AI403">
        <v>7</v>
      </c>
      <c r="AJ403">
        <f t="shared" si="6"/>
        <v>0</v>
      </c>
      <c r="AK403" t="str" cm="1">
        <f t="array" ref="AK403">_xlfn.IFS(A403&lt;=30,"18-30",A403&lt;=45,"31-45",A403&lt;=60,"46-60",TRUE, "60+")</f>
        <v>46-60</v>
      </c>
      <c r="AL403" t="str" cm="1">
        <f t="array" ref="AL403">_xlfn.IFS(F403&lt;=10,"0-10",F403&lt;=20,"11-20",TRUE,"20+")</f>
        <v>0-10</v>
      </c>
      <c r="AM403" t="str" cm="1">
        <f t="array" ref="AM403">_xlfn.IFS(S403&lt;=5000,"0-5k",S403&lt;=10000,"5k-10k",S403&lt;=15000,"10k-15k",TRUE,"15k+")</f>
        <v>10k-15k</v>
      </c>
      <c r="AN403" t="str" cm="1">
        <f t="array" ref="AN403">_xlfn.IFS(AF403&lt;=10,"0-10",AF403&lt;=20,"10-20",AF403&lt;=30,"20-30",TRUE,"30+")</f>
        <v>0-10</v>
      </c>
      <c r="AO403" t="str" cm="1">
        <f t="array" ref="AO403">_xlfn.IFS(Y403=1,"Poor",Y403=2,"Average",Y403=3,"Good",TRUE,"Excellent")</f>
        <v>Good</v>
      </c>
      <c r="AP403" t="str" cm="1">
        <f t="array" ref="AP403">_xlfn.IFS(Q403=1,"Low",Q403=2,"Medium",Q403=3,"High",TRUE,"Very High")</f>
        <v>Low</v>
      </c>
    </row>
    <row r="404" spans="1:42" x14ac:dyDescent="0.25">
      <c r="A404">
        <v>30</v>
      </c>
      <c r="B404" t="s">
        <v>42</v>
      </c>
      <c r="C404" t="s">
        <v>90</v>
      </c>
      <c r="D404">
        <v>1082</v>
      </c>
      <c r="E404" t="s">
        <v>36</v>
      </c>
      <c r="F404">
        <v>12</v>
      </c>
      <c r="G404">
        <v>3</v>
      </c>
      <c r="H404" t="s">
        <v>58</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c r="AJ404">
        <f t="shared" si="6"/>
        <v>0</v>
      </c>
      <c r="AK404" t="str" cm="1">
        <f t="array" ref="AK404">_xlfn.IFS(A404&lt;=30,"18-30",A404&lt;=45,"31-45",A404&lt;=60,"46-60",TRUE, "60+")</f>
        <v>18-30</v>
      </c>
      <c r="AL404" t="str" cm="1">
        <f t="array" ref="AL404">_xlfn.IFS(F404&lt;=10,"0-10",F404&lt;=20,"11-20",TRUE,"20+")</f>
        <v>11-20</v>
      </c>
      <c r="AM404" t="str" cm="1">
        <f t="array" ref="AM404">_xlfn.IFS(S404&lt;=5000,"0-5k",S404&lt;=10000,"5k-10k",S404&lt;=15000,"10k-15k",TRUE,"15k+")</f>
        <v>5k-10k</v>
      </c>
      <c r="AN404" t="str" cm="1">
        <f t="array" ref="AN404">_xlfn.IFS(AF404&lt;=10,"0-10",AF404&lt;=20,"10-20",AF404&lt;=30,"20-30",TRUE,"30+")</f>
        <v>0-10</v>
      </c>
      <c r="AO404" t="str" cm="1">
        <f t="array" ref="AO404">_xlfn.IFS(Y404=1,"Poor",Y404=2,"Average",Y404=3,"Good",TRUE,"Excellent")</f>
        <v>Good</v>
      </c>
      <c r="AP404" t="str" cm="1">
        <f t="array" ref="AP404">_xlfn.IFS(Q404=1,"Low",Q404=2,"Medium",Q404=3,"High",TRUE,"Very High")</f>
        <v>High</v>
      </c>
    </row>
    <row r="405" spans="1:42" x14ac:dyDescent="0.25">
      <c r="A405">
        <v>41</v>
      </c>
      <c r="B405" t="s">
        <v>42</v>
      </c>
      <c r="C405" t="s">
        <v>90</v>
      </c>
      <c r="D405">
        <v>645</v>
      </c>
      <c r="E405" t="s">
        <v>36</v>
      </c>
      <c r="F405">
        <v>1</v>
      </c>
      <c r="G405">
        <v>3</v>
      </c>
      <c r="H405" t="s">
        <v>57</v>
      </c>
      <c r="I405">
        <v>1</v>
      </c>
      <c r="J405">
        <v>534</v>
      </c>
      <c r="K405">
        <v>2</v>
      </c>
      <c r="L405" t="s">
        <v>44</v>
      </c>
      <c r="M405">
        <v>49</v>
      </c>
      <c r="N405">
        <v>4</v>
      </c>
      <c r="O405">
        <v>3</v>
      </c>
      <c r="P405" t="s">
        <v>39</v>
      </c>
      <c r="Q405">
        <v>1</v>
      </c>
      <c r="R405" t="s">
        <v>46</v>
      </c>
      <c r="S405">
        <v>8392</v>
      </c>
      <c r="T405">
        <v>19566</v>
      </c>
      <c r="U405">
        <v>1</v>
      </c>
      <c r="V405" t="s">
        <v>41</v>
      </c>
      <c r="W405" t="s">
        <v>42</v>
      </c>
      <c r="X405">
        <v>16</v>
      </c>
      <c r="Y405">
        <v>3</v>
      </c>
      <c r="Z405">
        <v>3</v>
      </c>
      <c r="AA405">
        <v>80</v>
      </c>
      <c r="AB405">
        <v>1</v>
      </c>
      <c r="AC405">
        <v>10</v>
      </c>
      <c r="AD405">
        <v>2</v>
      </c>
      <c r="AE405">
        <v>3</v>
      </c>
      <c r="AF405">
        <v>10</v>
      </c>
      <c r="AG405">
        <v>7</v>
      </c>
      <c r="AH405">
        <v>0</v>
      </c>
      <c r="AI405">
        <v>7</v>
      </c>
      <c r="AJ405">
        <f t="shared" si="6"/>
        <v>0</v>
      </c>
      <c r="AK405" t="str" cm="1">
        <f t="array" ref="AK405">_xlfn.IFS(A405&lt;=30,"18-30",A405&lt;=45,"31-45",A405&lt;=60,"46-60",TRUE, "60+")</f>
        <v>31-45</v>
      </c>
      <c r="AL405" t="str" cm="1">
        <f t="array" ref="AL405">_xlfn.IFS(F405&lt;=10,"0-10",F405&lt;=20,"11-20",TRUE,"20+")</f>
        <v>0-10</v>
      </c>
      <c r="AM405" t="str" cm="1">
        <f t="array" ref="AM405">_xlfn.IFS(S405&lt;=5000,"0-5k",S405&lt;=10000,"5k-10k",S405&lt;=15000,"10k-15k",TRUE,"15k+")</f>
        <v>5k-10k</v>
      </c>
      <c r="AN405" t="str" cm="1">
        <f t="array" ref="AN405">_xlfn.IFS(AF405&lt;=10,"0-10",AF405&lt;=20,"10-20",AF405&lt;=30,"20-30",TRUE,"30+")</f>
        <v>0-10</v>
      </c>
      <c r="AO405" t="str" cm="1">
        <f t="array" ref="AO405">_xlfn.IFS(Y405=1,"Poor",Y405=2,"Average",Y405=3,"Good",TRUE,"Excellent")</f>
        <v>Good</v>
      </c>
      <c r="AP405" t="str" cm="1">
        <f t="array" ref="AP405">_xlfn.IFS(Q405=1,"Low",Q405=2,"Medium",Q405=3,"High",TRUE,"Very High")</f>
        <v>Low</v>
      </c>
    </row>
    <row r="406" spans="1:42" x14ac:dyDescent="0.25">
      <c r="A406">
        <v>28</v>
      </c>
      <c r="B406" t="s">
        <v>42</v>
      </c>
      <c r="C406" t="s">
        <v>90</v>
      </c>
      <c r="D406">
        <v>1300</v>
      </c>
      <c r="E406" t="s">
        <v>43</v>
      </c>
      <c r="F406">
        <v>17</v>
      </c>
      <c r="G406">
        <v>2</v>
      </c>
      <c r="H406" t="s">
        <v>49</v>
      </c>
      <c r="I406">
        <v>1</v>
      </c>
      <c r="J406">
        <v>536</v>
      </c>
      <c r="K406">
        <v>3</v>
      </c>
      <c r="L406" t="s">
        <v>44</v>
      </c>
      <c r="M406">
        <v>79</v>
      </c>
      <c r="N406">
        <v>3</v>
      </c>
      <c r="O406">
        <v>2</v>
      </c>
      <c r="P406" t="s">
        <v>48</v>
      </c>
      <c r="Q406">
        <v>1</v>
      </c>
      <c r="R406" t="s">
        <v>50</v>
      </c>
      <c r="S406">
        <v>4558</v>
      </c>
      <c r="T406">
        <v>13535</v>
      </c>
      <c r="U406">
        <v>1</v>
      </c>
      <c r="V406" t="s">
        <v>41</v>
      </c>
      <c r="W406" t="s">
        <v>42</v>
      </c>
      <c r="X406">
        <v>12</v>
      </c>
      <c r="Y406">
        <v>3</v>
      </c>
      <c r="Z406">
        <v>4</v>
      </c>
      <c r="AA406">
        <v>80</v>
      </c>
      <c r="AB406">
        <v>1</v>
      </c>
      <c r="AC406">
        <v>10</v>
      </c>
      <c r="AD406">
        <v>2</v>
      </c>
      <c r="AE406">
        <v>3</v>
      </c>
      <c r="AF406">
        <v>10</v>
      </c>
      <c r="AG406">
        <v>0</v>
      </c>
      <c r="AH406">
        <v>1</v>
      </c>
      <c r="AI406">
        <v>8</v>
      </c>
      <c r="AJ406">
        <f t="shared" si="6"/>
        <v>0</v>
      </c>
      <c r="AK406" t="str" cm="1">
        <f t="array" ref="AK406">_xlfn.IFS(A406&lt;=30,"18-30",A406&lt;=45,"31-45",A406&lt;=60,"46-60",TRUE, "60+")</f>
        <v>18-30</v>
      </c>
      <c r="AL406" t="str" cm="1">
        <f t="array" ref="AL406">_xlfn.IFS(F406&lt;=10,"0-10",F406&lt;=20,"11-20",TRUE,"20+")</f>
        <v>11-20</v>
      </c>
      <c r="AM406" t="str" cm="1">
        <f t="array" ref="AM406">_xlfn.IFS(S406&lt;=5000,"0-5k",S406&lt;=10000,"5k-10k",S406&lt;=15000,"10k-15k",TRUE,"15k+")</f>
        <v>0-5k</v>
      </c>
      <c r="AN406" t="str" cm="1">
        <f t="array" ref="AN406">_xlfn.IFS(AF406&lt;=10,"0-10",AF406&lt;=20,"10-20",AF406&lt;=30,"20-30",TRUE,"30+")</f>
        <v>0-10</v>
      </c>
      <c r="AO406" t="str" cm="1">
        <f t="array" ref="AO406">_xlfn.IFS(Y406=1,"Poor",Y406=2,"Average",Y406=3,"Good",TRUE,"Excellent")</f>
        <v>Good</v>
      </c>
      <c r="AP406" t="str" cm="1">
        <f t="array" ref="AP406">_xlfn.IFS(Q406=1,"Low",Q406=2,"Medium",Q406=3,"High",TRUE,"Very High")</f>
        <v>Low</v>
      </c>
    </row>
    <row r="407" spans="1:42" x14ac:dyDescent="0.25">
      <c r="A407">
        <v>25</v>
      </c>
      <c r="B407" t="s">
        <v>35</v>
      </c>
      <c r="C407" t="s">
        <v>90</v>
      </c>
      <c r="D407">
        <v>688</v>
      </c>
      <c r="E407" t="s">
        <v>43</v>
      </c>
      <c r="F407">
        <v>3</v>
      </c>
      <c r="G407">
        <v>3</v>
      </c>
      <c r="H407" t="s">
        <v>49</v>
      </c>
      <c r="I407">
        <v>1</v>
      </c>
      <c r="J407">
        <v>538</v>
      </c>
      <c r="K407">
        <v>1</v>
      </c>
      <c r="L407" t="s">
        <v>44</v>
      </c>
      <c r="M407">
        <v>91</v>
      </c>
      <c r="N407">
        <v>3</v>
      </c>
      <c r="O407">
        <v>1</v>
      </c>
      <c r="P407" t="s">
        <v>48</v>
      </c>
      <c r="Q407">
        <v>1</v>
      </c>
      <c r="R407" t="s">
        <v>46</v>
      </c>
      <c r="S407">
        <v>4031</v>
      </c>
      <c r="T407">
        <v>9396</v>
      </c>
      <c r="U407">
        <v>5</v>
      </c>
      <c r="V407" t="s">
        <v>41</v>
      </c>
      <c r="W407" t="s">
        <v>42</v>
      </c>
      <c r="X407">
        <v>13</v>
      </c>
      <c r="Y407">
        <v>3</v>
      </c>
      <c r="Z407">
        <v>3</v>
      </c>
      <c r="AA407">
        <v>80</v>
      </c>
      <c r="AB407">
        <v>1</v>
      </c>
      <c r="AC407">
        <v>6</v>
      </c>
      <c r="AD407">
        <v>5</v>
      </c>
      <c r="AE407">
        <v>3</v>
      </c>
      <c r="AF407">
        <v>2</v>
      </c>
      <c r="AG407">
        <v>2</v>
      </c>
      <c r="AH407">
        <v>0</v>
      </c>
      <c r="AI407">
        <v>2</v>
      </c>
      <c r="AJ407">
        <f t="shared" si="6"/>
        <v>1</v>
      </c>
      <c r="AK407" t="str" cm="1">
        <f t="array" ref="AK407">_xlfn.IFS(A407&lt;=30,"18-30",A407&lt;=45,"31-45",A407&lt;=60,"46-60",TRUE, "60+")</f>
        <v>18-30</v>
      </c>
      <c r="AL407" t="str" cm="1">
        <f t="array" ref="AL407">_xlfn.IFS(F407&lt;=10,"0-10",F407&lt;=20,"11-20",TRUE,"20+")</f>
        <v>0-10</v>
      </c>
      <c r="AM407" t="str" cm="1">
        <f t="array" ref="AM407">_xlfn.IFS(S407&lt;=5000,"0-5k",S407&lt;=10000,"5k-10k",S407&lt;=15000,"10k-15k",TRUE,"15k+")</f>
        <v>0-5k</v>
      </c>
      <c r="AN407" t="str" cm="1">
        <f t="array" ref="AN407">_xlfn.IFS(AF407&lt;=10,"0-10",AF407&lt;=20,"10-20",AF407&lt;=30,"20-30",TRUE,"30+")</f>
        <v>0-10</v>
      </c>
      <c r="AO407" t="str" cm="1">
        <f t="array" ref="AO407">_xlfn.IFS(Y407=1,"Poor",Y407=2,"Average",Y407=3,"Good",TRUE,"Excellent")</f>
        <v>Good</v>
      </c>
      <c r="AP407" t="str" cm="1">
        <f t="array" ref="AP407">_xlfn.IFS(Q407=1,"Low",Q407=2,"Medium",Q407=3,"High",TRUE,"Very High")</f>
        <v>Low</v>
      </c>
    </row>
    <row r="408" spans="1:42" x14ac:dyDescent="0.25">
      <c r="A408">
        <v>52</v>
      </c>
      <c r="B408" t="s">
        <v>42</v>
      </c>
      <c r="C408" t="s">
        <v>90</v>
      </c>
      <c r="D408">
        <v>319</v>
      </c>
      <c r="E408" t="s">
        <v>43</v>
      </c>
      <c r="F408">
        <v>3</v>
      </c>
      <c r="G408">
        <v>3</v>
      </c>
      <c r="H408" t="s">
        <v>49</v>
      </c>
      <c r="I408">
        <v>1</v>
      </c>
      <c r="J408">
        <v>543</v>
      </c>
      <c r="K408">
        <v>4</v>
      </c>
      <c r="L408" t="s">
        <v>44</v>
      </c>
      <c r="M408">
        <v>39</v>
      </c>
      <c r="N408">
        <v>2</v>
      </c>
      <c r="O408">
        <v>3</v>
      </c>
      <c r="P408" t="s">
        <v>51</v>
      </c>
      <c r="Q408">
        <v>3</v>
      </c>
      <c r="R408" t="s">
        <v>46</v>
      </c>
      <c r="S408">
        <v>7969</v>
      </c>
      <c r="T408">
        <v>19609</v>
      </c>
      <c r="U408">
        <v>2</v>
      </c>
      <c r="V408" t="s">
        <v>41</v>
      </c>
      <c r="W408" t="s">
        <v>35</v>
      </c>
      <c r="X408">
        <v>14</v>
      </c>
      <c r="Y408">
        <v>3</v>
      </c>
      <c r="Z408">
        <v>3</v>
      </c>
      <c r="AA408">
        <v>80</v>
      </c>
      <c r="AB408">
        <v>0</v>
      </c>
      <c r="AC408">
        <v>28</v>
      </c>
      <c r="AD408">
        <v>4</v>
      </c>
      <c r="AE408">
        <v>3</v>
      </c>
      <c r="AF408">
        <v>5</v>
      </c>
      <c r="AG408">
        <v>4</v>
      </c>
      <c r="AH408">
        <v>0</v>
      </c>
      <c r="AI408">
        <v>4</v>
      </c>
      <c r="AJ408">
        <f t="shared" si="6"/>
        <v>0</v>
      </c>
      <c r="AK408" t="str" cm="1">
        <f t="array" ref="AK408">_xlfn.IFS(A408&lt;=30,"18-30",A408&lt;=45,"31-45",A408&lt;=60,"46-60",TRUE, "60+")</f>
        <v>46-60</v>
      </c>
      <c r="AL408" t="str" cm="1">
        <f t="array" ref="AL408">_xlfn.IFS(F408&lt;=10,"0-10",F408&lt;=20,"11-20",TRUE,"20+")</f>
        <v>0-10</v>
      </c>
      <c r="AM408" t="str" cm="1">
        <f t="array" ref="AM408">_xlfn.IFS(S408&lt;=5000,"0-5k",S408&lt;=10000,"5k-10k",S408&lt;=15000,"10k-15k",TRUE,"15k+")</f>
        <v>5k-10k</v>
      </c>
      <c r="AN408" t="str" cm="1">
        <f t="array" ref="AN408">_xlfn.IFS(AF408&lt;=10,"0-10",AF408&lt;=20,"10-20",AF408&lt;=30,"20-30",TRUE,"30+")</f>
        <v>0-10</v>
      </c>
      <c r="AO408" t="str" cm="1">
        <f t="array" ref="AO408">_xlfn.IFS(Y408=1,"Poor",Y408=2,"Average",Y408=3,"Good",TRUE,"Excellent")</f>
        <v>Good</v>
      </c>
      <c r="AP408" t="str" cm="1">
        <f t="array" ref="AP408">_xlfn.IFS(Q408=1,"Low",Q408=2,"Medium",Q408=3,"High",TRUE,"Very High")</f>
        <v>High</v>
      </c>
    </row>
    <row r="409" spans="1:42" x14ac:dyDescent="0.25">
      <c r="A409">
        <v>45</v>
      </c>
      <c r="B409" t="s">
        <v>42</v>
      </c>
      <c r="C409" t="s">
        <v>90</v>
      </c>
      <c r="D409">
        <v>192</v>
      </c>
      <c r="E409" t="s">
        <v>43</v>
      </c>
      <c r="F409">
        <v>10</v>
      </c>
      <c r="G409">
        <v>2</v>
      </c>
      <c r="H409" t="s">
        <v>37</v>
      </c>
      <c r="I409">
        <v>1</v>
      </c>
      <c r="J409">
        <v>544</v>
      </c>
      <c r="K409">
        <v>1</v>
      </c>
      <c r="L409" t="s">
        <v>44</v>
      </c>
      <c r="M409">
        <v>69</v>
      </c>
      <c r="N409">
        <v>3</v>
      </c>
      <c r="O409">
        <v>1</v>
      </c>
      <c r="P409" t="s">
        <v>45</v>
      </c>
      <c r="Q409">
        <v>4</v>
      </c>
      <c r="R409" t="s">
        <v>46</v>
      </c>
      <c r="S409">
        <v>2654</v>
      </c>
      <c r="T409">
        <v>9655</v>
      </c>
      <c r="U409">
        <v>3</v>
      </c>
      <c r="V409" t="s">
        <v>41</v>
      </c>
      <c r="W409" t="s">
        <v>42</v>
      </c>
      <c r="X409">
        <v>21</v>
      </c>
      <c r="Y409">
        <v>4</v>
      </c>
      <c r="Z409">
        <v>4</v>
      </c>
      <c r="AA409">
        <v>80</v>
      </c>
      <c r="AB409">
        <v>2</v>
      </c>
      <c r="AC409">
        <v>8</v>
      </c>
      <c r="AD409">
        <v>3</v>
      </c>
      <c r="AE409">
        <v>2</v>
      </c>
      <c r="AF409">
        <v>2</v>
      </c>
      <c r="AG409">
        <v>2</v>
      </c>
      <c r="AH409">
        <v>0</v>
      </c>
      <c r="AI409">
        <v>2</v>
      </c>
      <c r="AJ409">
        <f t="shared" si="6"/>
        <v>0</v>
      </c>
      <c r="AK409" t="str" cm="1">
        <f t="array" ref="AK409">_xlfn.IFS(A409&lt;=30,"18-30",A409&lt;=45,"31-45",A409&lt;=60,"46-60",TRUE, "60+")</f>
        <v>31-45</v>
      </c>
      <c r="AL409" t="str" cm="1">
        <f t="array" ref="AL409">_xlfn.IFS(F409&lt;=10,"0-10",F409&lt;=20,"11-20",TRUE,"20+")</f>
        <v>0-10</v>
      </c>
      <c r="AM409" t="str" cm="1">
        <f t="array" ref="AM409">_xlfn.IFS(S409&lt;=5000,"0-5k",S409&lt;=10000,"5k-10k",S409&lt;=15000,"10k-15k",TRUE,"15k+")</f>
        <v>0-5k</v>
      </c>
      <c r="AN409" t="str" cm="1">
        <f t="array" ref="AN409">_xlfn.IFS(AF409&lt;=10,"0-10",AF409&lt;=20,"10-20",AF409&lt;=30,"20-30",TRUE,"30+")</f>
        <v>0-10</v>
      </c>
      <c r="AO409" t="str" cm="1">
        <f t="array" ref="AO409">_xlfn.IFS(Y409=1,"Poor",Y409=2,"Average",Y409=3,"Good",TRUE,"Excellent")</f>
        <v>Excellent</v>
      </c>
      <c r="AP409" t="str" cm="1">
        <f t="array" ref="AP409">_xlfn.IFS(Q409=1,"Low",Q409=2,"Medium",Q409=3,"High",TRUE,"Very High")</f>
        <v>Very High</v>
      </c>
    </row>
    <row r="410" spans="1:42" x14ac:dyDescent="0.25">
      <c r="A410">
        <v>52</v>
      </c>
      <c r="B410" t="s">
        <v>42</v>
      </c>
      <c r="C410" t="s">
        <v>90</v>
      </c>
      <c r="D410">
        <v>1490</v>
      </c>
      <c r="E410" t="s">
        <v>43</v>
      </c>
      <c r="F410">
        <v>4</v>
      </c>
      <c r="G410">
        <v>2</v>
      </c>
      <c r="H410" t="s">
        <v>37</v>
      </c>
      <c r="I410">
        <v>1</v>
      </c>
      <c r="J410">
        <v>546</v>
      </c>
      <c r="K410">
        <v>4</v>
      </c>
      <c r="L410" t="s">
        <v>38</v>
      </c>
      <c r="M410">
        <v>30</v>
      </c>
      <c r="N410">
        <v>3</v>
      </c>
      <c r="O410">
        <v>4</v>
      </c>
      <c r="P410" t="s">
        <v>54</v>
      </c>
      <c r="Q410">
        <v>4</v>
      </c>
      <c r="R410" t="s">
        <v>46</v>
      </c>
      <c r="S410">
        <v>16555</v>
      </c>
      <c r="T410">
        <v>10310</v>
      </c>
      <c r="U410">
        <v>2</v>
      </c>
      <c r="V410" t="s">
        <v>41</v>
      </c>
      <c r="W410" t="s">
        <v>42</v>
      </c>
      <c r="X410">
        <v>13</v>
      </c>
      <c r="Y410">
        <v>3</v>
      </c>
      <c r="Z410">
        <v>4</v>
      </c>
      <c r="AA410">
        <v>80</v>
      </c>
      <c r="AB410">
        <v>0</v>
      </c>
      <c r="AC410">
        <v>31</v>
      </c>
      <c r="AD410">
        <v>2</v>
      </c>
      <c r="AE410">
        <v>1</v>
      </c>
      <c r="AF410">
        <v>5</v>
      </c>
      <c r="AG410">
        <v>2</v>
      </c>
      <c r="AH410">
        <v>1</v>
      </c>
      <c r="AI410">
        <v>4</v>
      </c>
      <c r="AJ410">
        <f t="shared" si="6"/>
        <v>0</v>
      </c>
      <c r="AK410" t="str" cm="1">
        <f t="array" ref="AK410">_xlfn.IFS(A410&lt;=30,"18-30",A410&lt;=45,"31-45",A410&lt;=60,"46-60",TRUE, "60+")</f>
        <v>46-60</v>
      </c>
      <c r="AL410" t="str" cm="1">
        <f t="array" ref="AL410">_xlfn.IFS(F410&lt;=10,"0-10",F410&lt;=20,"11-20",TRUE,"20+")</f>
        <v>0-10</v>
      </c>
      <c r="AM410" t="str" cm="1">
        <f t="array" ref="AM410">_xlfn.IFS(S410&lt;=5000,"0-5k",S410&lt;=10000,"5k-10k",S410&lt;=15000,"10k-15k",TRUE,"15k+")</f>
        <v>15k+</v>
      </c>
      <c r="AN410" t="str" cm="1">
        <f t="array" ref="AN410">_xlfn.IFS(AF410&lt;=10,"0-10",AF410&lt;=20,"10-20",AF410&lt;=30,"20-30",TRUE,"30+")</f>
        <v>0-10</v>
      </c>
      <c r="AO410" t="str" cm="1">
        <f t="array" ref="AO410">_xlfn.IFS(Y410=1,"Poor",Y410=2,"Average",Y410=3,"Good",TRUE,"Excellent")</f>
        <v>Good</v>
      </c>
      <c r="AP410" t="str" cm="1">
        <f t="array" ref="AP410">_xlfn.IFS(Q410=1,"Low",Q410=2,"Medium",Q410=3,"High",TRUE,"Very High")</f>
        <v>Very High</v>
      </c>
    </row>
    <row r="411" spans="1:42" x14ac:dyDescent="0.25">
      <c r="A411">
        <v>42</v>
      </c>
      <c r="B411" t="s">
        <v>42</v>
      </c>
      <c r="C411" t="s">
        <v>91</v>
      </c>
      <c r="D411">
        <v>532</v>
      </c>
      <c r="E411" t="s">
        <v>43</v>
      </c>
      <c r="F411">
        <v>29</v>
      </c>
      <c r="G411">
        <v>2</v>
      </c>
      <c r="H411" t="s">
        <v>37</v>
      </c>
      <c r="I411">
        <v>1</v>
      </c>
      <c r="J411">
        <v>547</v>
      </c>
      <c r="K411">
        <v>1</v>
      </c>
      <c r="L411" t="s">
        <v>38</v>
      </c>
      <c r="M411">
        <v>92</v>
      </c>
      <c r="N411">
        <v>3</v>
      </c>
      <c r="O411">
        <v>2</v>
      </c>
      <c r="P411" t="s">
        <v>45</v>
      </c>
      <c r="Q411">
        <v>3</v>
      </c>
      <c r="R411" t="s">
        <v>50</v>
      </c>
      <c r="S411">
        <v>4556</v>
      </c>
      <c r="T411">
        <v>12932</v>
      </c>
      <c r="U411">
        <v>2</v>
      </c>
      <c r="V411" t="s">
        <v>41</v>
      </c>
      <c r="W411" t="s">
        <v>42</v>
      </c>
      <c r="X411">
        <v>11</v>
      </c>
      <c r="Y411">
        <v>3</v>
      </c>
      <c r="Z411">
        <v>2</v>
      </c>
      <c r="AA411">
        <v>80</v>
      </c>
      <c r="AB411">
        <v>1</v>
      </c>
      <c r="AC411">
        <v>19</v>
      </c>
      <c r="AD411">
        <v>3</v>
      </c>
      <c r="AE411">
        <v>3</v>
      </c>
      <c r="AF411">
        <v>5</v>
      </c>
      <c r="AG411">
        <v>4</v>
      </c>
      <c r="AH411">
        <v>0</v>
      </c>
      <c r="AI411">
        <v>2</v>
      </c>
      <c r="AJ411">
        <f t="shared" si="6"/>
        <v>0</v>
      </c>
      <c r="AK411" t="str" cm="1">
        <f t="array" ref="AK411">_xlfn.IFS(A411&lt;=30,"18-30",A411&lt;=45,"31-45",A411&lt;=60,"46-60",TRUE, "60+")</f>
        <v>31-45</v>
      </c>
      <c r="AL411" t="str" cm="1">
        <f t="array" ref="AL411">_xlfn.IFS(F411&lt;=10,"0-10",F411&lt;=20,"11-20",TRUE,"20+")</f>
        <v>20+</v>
      </c>
      <c r="AM411" t="str" cm="1">
        <f t="array" ref="AM411">_xlfn.IFS(S411&lt;=5000,"0-5k",S411&lt;=10000,"5k-10k",S411&lt;=15000,"10k-15k",TRUE,"15k+")</f>
        <v>0-5k</v>
      </c>
      <c r="AN411" t="str" cm="1">
        <f t="array" ref="AN411">_xlfn.IFS(AF411&lt;=10,"0-10",AF411&lt;=20,"10-20",AF411&lt;=30,"20-30",TRUE,"30+")</f>
        <v>0-10</v>
      </c>
      <c r="AO411" t="str" cm="1">
        <f t="array" ref="AO411">_xlfn.IFS(Y411=1,"Poor",Y411=2,"Average",Y411=3,"Good",TRUE,"Excellent")</f>
        <v>Good</v>
      </c>
      <c r="AP411" t="str" cm="1">
        <f t="array" ref="AP411">_xlfn.IFS(Q411=1,"Low",Q411=2,"Medium",Q411=3,"High",TRUE,"Very High")</f>
        <v>High</v>
      </c>
    </row>
    <row r="412" spans="1:42" x14ac:dyDescent="0.25">
      <c r="A412">
        <v>30</v>
      </c>
      <c r="B412" t="s">
        <v>42</v>
      </c>
      <c r="C412" t="s">
        <v>90</v>
      </c>
      <c r="D412">
        <v>317</v>
      </c>
      <c r="E412" t="s">
        <v>43</v>
      </c>
      <c r="F412">
        <v>2</v>
      </c>
      <c r="G412">
        <v>3</v>
      </c>
      <c r="H412" t="s">
        <v>37</v>
      </c>
      <c r="I412">
        <v>1</v>
      </c>
      <c r="J412">
        <v>548</v>
      </c>
      <c r="K412">
        <v>3</v>
      </c>
      <c r="L412" t="s">
        <v>38</v>
      </c>
      <c r="M412">
        <v>43</v>
      </c>
      <c r="N412">
        <v>1</v>
      </c>
      <c r="O412">
        <v>2</v>
      </c>
      <c r="P412" t="s">
        <v>51</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c r="AJ412">
        <f t="shared" si="6"/>
        <v>0</v>
      </c>
      <c r="AK412" t="str" cm="1">
        <f t="array" ref="AK412">_xlfn.IFS(A412&lt;=30,"18-30",A412&lt;=45,"31-45",A412&lt;=60,"46-60",TRUE, "60+")</f>
        <v>18-30</v>
      </c>
      <c r="AL412" t="str" cm="1">
        <f t="array" ref="AL412">_xlfn.IFS(F412&lt;=10,"0-10",F412&lt;=20,"11-20",TRUE,"20+")</f>
        <v>0-10</v>
      </c>
      <c r="AM412" t="str" cm="1">
        <f t="array" ref="AM412">_xlfn.IFS(S412&lt;=5000,"0-5k",S412&lt;=10000,"5k-10k",S412&lt;=15000,"10k-15k",TRUE,"15k+")</f>
        <v>5k-10k</v>
      </c>
      <c r="AN412" t="str" cm="1">
        <f t="array" ref="AN412">_xlfn.IFS(AF412&lt;=10,"0-10",AF412&lt;=20,"10-20",AF412&lt;=30,"20-30",TRUE,"30+")</f>
        <v>0-10</v>
      </c>
      <c r="AO412" t="str" cm="1">
        <f t="array" ref="AO412">_xlfn.IFS(Y412=1,"Poor",Y412=2,"Average",Y412=3,"Good",TRUE,"Excellent")</f>
        <v>Excellent</v>
      </c>
      <c r="AP412" t="str" cm="1">
        <f t="array" ref="AP412">_xlfn.IFS(Q412=1,"Low",Q412=2,"Medium",Q412=3,"High",TRUE,"Very High")</f>
        <v>Very High</v>
      </c>
    </row>
    <row r="413" spans="1:42" x14ac:dyDescent="0.25">
      <c r="A413">
        <v>60</v>
      </c>
      <c r="B413" t="s">
        <v>42</v>
      </c>
      <c r="C413" t="s">
        <v>90</v>
      </c>
      <c r="D413">
        <v>422</v>
      </c>
      <c r="E413" t="s">
        <v>43</v>
      </c>
      <c r="F413">
        <v>7</v>
      </c>
      <c r="G413">
        <v>3</v>
      </c>
      <c r="H413" t="s">
        <v>37</v>
      </c>
      <c r="I413">
        <v>1</v>
      </c>
      <c r="J413">
        <v>549</v>
      </c>
      <c r="K413">
        <v>1</v>
      </c>
      <c r="L413" t="s">
        <v>38</v>
      </c>
      <c r="M413">
        <v>41</v>
      </c>
      <c r="N413">
        <v>3</v>
      </c>
      <c r="O413">
        <v>5</v>
      </c>
      <c r="P413" t="s">
        <v>54</v>
      </c>
      <c r="Q413">
        <v>1</v>
      </c>
      <c r="R413" t="s">
        <v>46</v>
      </c>
      <c r="S413">
        <v>19566</v>
      </c>
      <c r="T413">
        <v>3854</v>
      </c>
      <c r="U413">
        <v>5</v>
      </c>
      <c r="V413" t="s">
        <v>41</v>
      </c>
      <c r="W413" t="s">
        <v>42</v>
      </c>
      <c r="X413">
        <v>11</v>
      </c>
      <c r="Y413">
        <v>3</v>
      </c>
      <c r="Z413">
        <v>4</v>
      </c>
      <c r="AA413">
        <v>80</v>
      </c>
      <c r="AB413">
        <v>0</v>
      </c>
      <c r="AC413">
        <v>33</v>
      </c>
      <c r="AD413">
        <v>5</v>
      </c>
      <c r="AE413">
        <v>1</v>
      </c>
      <c r="AF413">
        <v>29</v>
      </c>
      <c r="AG413">
        <v>8</v>
      </c>
      <c r="AH413">
        <v>11</v>
      </c>
      <c r="AI413">
        <v>10</v>
      </c>
      <c r="AJ413">
        <f t="shared" si="6"/>
        <v>0</v>
      </c>
      <c r="AK413" t="str" cm="1">
        <f t="array" ref="AK413">_xlfn.IFS(A413&lt;=30,"18-30",A413&lt;=45,"31-45",A413&lt;=60,"46-60",TRUE, "60+")</f>
        <v>46-60</v>
      </c>
      <c r="AL413" t="str" cm="1">
        <f t="array" ref="AL413">_xlfn.IFS(F413&lt;=10,"0-10",F413&lt;=20,"11-20",TRUE,"20+")</f>
        <v>0-10</v>
      </c>
      <c r="AM413" t="str" cm="1">
        <f t="array" ref="AM413">_xlfn.IFS(S413&lt;=5000,"0-5k",S413&lt;=10000,"5k-10k",S413&lt;=15000,"10k-15k",TRUE,"15k+")</f>
        <v>15k+</v>
      </c>
      <c r="AN413" t="str" cm="1">
        <f t="array" ref="AN413">_xlfn.IFS(AF413&lt;=10,"0-10",AF413&lt;=20,"10-20",AF413&lt;=30,"20-30",TRUE,"30+")</f>
        <v>20-30</v>
      </c>
      <c r="AO413" t="str" cm="1">
        <f t="array" ref="AO413">_xlfn.IFS(Y413=1,"Poor",Y413=2,"Average",Y413=3,"Good",TRUE,"Excellent")</f>
        <v>Good</v>
      </c>
      <c r="AP413" t="str" cm="1">
        <f t="array" ref="AP413">_xlfn.IFS(Q413=1,"Low",Q413=2,"Medium",Q413=3,"High",TRUE,"Very High")</f>
        <v>Low</v>
      </c>
    </row>
    <row r="414" spans="1:42" x14ac:dyDescent="0.25">
      <c r="A414">
        <v>46</v>
      </c>
      <c r="B414" t="s">
        <v>42</v>
      </c>
      <c r="C414" t="s">
        <v>90</v>
      </c>
      <c r="D414">
        <v>1485</v>
      </c>
      <c r="E414" t="s">
        <v>43</v>
      </c>
      <c r="F414">
        <v>18</v>
      </c>
      <c r="G414">
        <v>3</v>
      </c>
      <c r="H414" t="s">
        <v>49</v>
      </c>
      <c r="I414">
        <v>1</v>
      </c>
      <c r="J414">
        <v>550</v>
      </c>
      <c r="K414">
        <v>3</v>
      </c>
      <c r="L414" t="s">
        <v>38</v>
      </c>
      <c r="M414">
        <v>87</v>
      </c>
      <c r="N414">
        <v>3</v>
      </c>
      <c r="O414">
        <v>2</v>
      </c>
      <c r="P414" t="s">
        <v>51</v>
      </c>
      <c r="Q414">
        <v>3</v>
      </c>
      <c r="R414" t="s">
        <v>50</v>
      </c>
      <c r="S414">
        <v>4810</v>
      </c>
      <c r="T414">
        <v>26314</v>
      </c>
      <c r="U414">
        <v>2</v>
      </c>
      <c r="V414" t="s">
        <v>41</v>
      </c>
      <c r="W414" t="s">
        <v>42</v>
      </c>
      <c r="X414">
        <v>14</v>
      </c>
      <c r="Y414">
        <v>3</v>
      </c>
      <c r="Z414">
        <v>3</v>
      </c>
      <c r="AA414">
        <v>80</v>
      </c>
      <c r="AB414">
        <v>1</v>
      </c>
      <c r="AC414">
        <v>19</v>
      </c>
      <c r="AD414">
        <v>5</v>
      </c>
      <c r="AE414">
        <v>2</v>
      </c>
      <c r="AF414">
        <v>10</v>
      </c>
      <c r="AG414">
        <v>7</v>
      </c>
      <c r="AH414">
        <v>0</v>
      </c>
      <c r="AI414">
        <v>8</v>
      </c>
      <c r="AJ414">
        <f t="shared" si="6"/>
        <v>0</v>
      </c>
      <c r="AK414" t="str" cm="1">
        <f t="array" ref="AK414">_xlfn.IFS(A414&lt;=30,"18-30",A414&lt;=45,"31-45",A414&lt;=60,"46-60",TRUE, "60+")</f>
        <v>46-60</v>
      </c>
      <c r="AL414" t="str" cm="1">
        <f t="array" ref="AL414">_xlfn.IFS(F414&lt;=10,"0-10",F414&lt;=20,"11-20",TRUE,"20+")</f>
        <v>11-20</v>
      </c>
      <c r="AM414" t="str" cm="1">
        <f t="array" ref="AM414">_xlfn.IFS(S414&lt;=5000,"0-5k",S414&lt;=10000,"5k-10k",S414&lt;=15000,"10k-15k",TRUE,"15k+")</f>
        <v>0-5k</v>
      </c>
      <c r="AN414" t="str" cm="1">
        <f t="array" ref="AN414">_xlfn.IFS(AF414&lt;=10,"0-10",AF414&lt;=20,"10-20",AF414&lt;=30,"20-30",TRUE,"30+")</f>
        <v>0-10</v>
      </c>
      <c r="AO414" t="str" cm="1">
        <f t="array" ref="AO414">_xlfn.IFS(Y414=1,"Poor",Y414=2,"Average",Y414=3,"Good",TRUE,"Excellent")</f>
        <v>Good</v>
      </c>
      <c r="AP414" t="str" cm="1">
        <f t="array" ref="AP414">_xlfn.IFS(Q414=1,"Low",Q414=2,"Medium",Q414=3,"High",TRUE,"Very High")</f>
        <v>High</v>
      </c>
    </row>
    <row r="415" spans="1:42" x14ac:dyDescent="0.25">
      <c r="A415">
        <v>42</v>
      </c>
      <c r="B415" t="s">
        <v>42</v>
      </c>
      <c r="C415" t="s">
        <v>91</v>
      </c>
      <c r="D415">
        <v>1368</v>
      </c>
      <c r="E415" t="s">
        <v>43</v>
      </c>
      <c r="F415">
        <v>28</v>
      </c>
      <c r="G415">
        <v>4</v>
      </c>
      <c r="H415" t="s">
        <v>58</v>
      </c>
      <c r="I415">
        <v>1</v>
      </c>
      <c r="J415">
        <v>551</v>
      </c>
      <c r="K415">
        <v>4</v>
      </c>
      <c r="L415" t="s">
        <v>38</v>
      </c>
      <c r="M415">
        <v>88</v>
      </c>
      <c r="N415">
        <v>2</v>
      </c>
      <c r="O415">
        <v>2</v>
      </c>
      <c r="P415" t="s">
        <v>52</v>
      </c>
      <c r="Q415">
        <v>4</v>
      </c>
      <c r="R415" t="s">
        <v>46</v>
      </c>
      <c r="S415">
        <v>4523</v>
      </c>
      <c r="T415">
        <v>4386</v>
      </c>
      <c r="U415">
        <v>0</v>
      </c>
      <c r="V415" t="s">
        <v>41</v>
      </c>
      <c r="W415" t="s">
        <v>42</v>
      </c>
      <c r="X415">
        <v>11</v>
      </c>
      <c r="Y415">
        <v>3</v>
      </c>
      <c r="Z415">
        <v>4</v>
      </c>
      <c r="AA415">
        <v>80</v>
      </c>
      <c r="AB415">
        <v>3</v>
      </c>
      <c r="AC415">
        <v>7</v>
      </c>
      <c r="AD415">
        <v>4</v>
      </c>
      <c r="AE415">
        <v>4</v>
      </c>
      <c r="AF415">
        <v>6</v>
      </c>
      <c r="AG415">
        <v>5</v>
      </c>
      <c r="AH415">
        <v>0</v>
      </c>
      <c r="AI415">
        <v>4</v>
      </c>
      <c r="AJ415">
        <f t="shared" si="6"/>
        <v>0</v>
      </c>
      <c r="AK415" t="str" cm="1">
        <f t="array" ref="AK415">_xlfn.IFS(A415&lt;=30,"18-30",A415&lt;=45,"31-45",A415&lt;=60,"46-60",TRUE, "60+")</f>
        <v>31-45</v>
      </c>
      <c r="AL415" t="str" cm="1">
        <f t="array" ref="AL415">_xlfn.IFS(F415&lt;=10,"0-10",F415&lt;=20,"11-20",TRUE,"20+")</f>
        <v>20+</v>
      </c>
      <c r="AM415" t="str" cm="1">
        <f t="array" ref="AM415">_xlfn.IFS(S415&lt;=5000,"0-5k",S415&lt;=10000,"5k-10k",S415&lt;=15000,"10k-15k",TRUE,"15k+")</f>
        <v>0-5k</v>
      </c>
      <c r="AN415" t="str" cm="1">
        <f t="array" ref="AN415">_xlfn.IFS(AF415&lt;=10,"0-10",AF415&lt;=20,"10-20",AF415&lt;=30,"20-30",TRUE,"30+")</f>
        <v>0-10</v>
      </c>
      <c r="AO415" t="str" cm="1">
        <f t="array" ref="AO415">_xlfn.IFS(Y415=1,"Poor",Y415=2,"Average",Y415=3,"Good",TRUE,"Excellent")</f>
        <v>Good</v>
      </c>
      <c r="AP415" t="str" cm="1">
        <f t="array" ref="AP415">_xlfn.IFS(Q415=1,"Low",Q415=2,"Medium",Q415=3,"High",TRUE,"Very High")</f>
        <v>Very High</v>
      </c>
    </row>
    <row r="416" spans="1:42" x14ac:dyDescent="0.25">
      <c r="A416">
        <v>24</v>
      </c>
      <c r="B416" t="s">
        <v>35</v>
      </c>
      <c r="C416" t="s">
        <v>90</v>
      </c>
      <c r="D416">
        <v>1448</v>
      </c>
      <c r="E416" t="s">
        <v>36</v>
      </c>
      <c r="F416">
        <v>1</v>
      </c>
      <c r="G416">
        <v>1</v>
      </c>
      <c r="H416" t="s">
        <v>58</v>
      </c>
      <c r="I416">
        <v>1</v>
      </c>
      <c r="J416">
        <v>554</v>
      </c>
      <c r="K416">
        <v>1</v>
      </c>
      <c r="L416" t="s">
        <v>38</v>
      </c>
      <c r="M416">
        <v>62</v>
      </c>
      <c r="N416">
        <v>3</v>
      </c>
      <c r="O416">
        <v>1</v>
      </c>
      <c r="P416" t="s">
        <v>55</v>
      </c>
      <c r="Q416">
        <v>2</v>
      </c>
      <c r="R416" t="s">
        <v>40</v>
      </c>
      <c r="S416">
        <v>3202</v>
      </c>
      <c r="T416">
        <v>21972</v>
      </c>
      <c r="U416">
        <v>1</v>
      </c>
      <c r="V416" t="s">
        <v>41</v>
      </c>
      <c r="W416" t="s">
        <v>35</v>
      </c>
      <c r="X416">
        <v>16</v>
      </c>
      <c r="Y416">
        <v>3</v>
      </c>
      <c r="Z416">
        <v>2</v>
      </c>
      <c r="AA416">
        <v>80</v>
      </c>
      <c r="AB416">
        <v>0</v>
      </c>
      <c r="AC416">
        <v>6</v>
      </c>
      <c r="AD416">
        <v>4</v>
      </c>
      <c r="AE416">
        <v>3</v>
      </c>
      <c r="AF416">
        <v>5</v>
      </c>
      <c r="AG416">
        <v>3</v>
      </c>
      <c r="AH416">
        <v>1</v>
      </c>
      <c r="AI416">
        <v>4</v>
      </c>
      <c r="AJ416">
        <f t="shared" si="6"/>
        <v>1</v>
      </c>
      <c r="AK416" t="str" cm="1">
        <f t="array" ref="AK416">_xlfn.IFS(A416&lt;=30,"18-30",A416&lt;=45,"31-45",A416&lt;=60,"46-60",TRUE, "60+")</f>
        <v>18-30</v>
      </c>
      <c r="AL416" t="str" cm="1">
        <f t="array" ref="AL416">_xlfn.IFS(F416&lt;=10,"0-10",F416&lt;=20,"11-20",TRUE,"20+")</f>
        <v>0-10</v>
      </c>
      <c r="AM416" t="str" cm="1">
        <f t="array" ref="AM416">_xlfn.IFS(S416&lt;=5000,"0-5k",S416&lt;=10000,"5k-10k",S416&lt;=15000,"10k-15k",TRUE,"15k+")</f>
        <v>0-5k</v>
      </c>
      <c r="AN416" t="str" cm="1">
        <f t="array" ref="AN416">_xlfn.IFS(AF416&lt;=10,"0-10",AF416&lt;=20,"10-20",AF416&lt;=30,"20-30",TRUE,"30+")</f>
        <v>0-10</v>
      </c>
      <c r="AO416" t="str" cm="1">
        <f t="array" ref="AO416">_xlfn.IFS(Y416=1,"Poor",Y416=2,"Average",Y416=3,"Good",TRUE,"Excellent")</f>
        <v>Good</v>
      </c>
      <c r="AP416" t="str" cm="1">
        <f t="array" ref="AP416">_xlfn.IFS(Q416=1,"Low",Q416=2,"Medium",Q416=3,"High",TRUE,"Very High")</f>
        <v>Medium</v>
      </c>
    </row>
    <row r="417" spans="1:42" x14ac:dyDescent="0.25">
      <c r="A417">
        <v>34</v>
      </c>
      <c r="B417" t="s">
        <v>35</v>
      </c>
      <c r="C417" t="s">
        <v>91</v>
      </c>
      <c r="D417">
        <v>296</v>
      </c>
      <c r="E417" t="s">
        <v>36</v>
      </c>
      <c r="F417">
        <v>6</v>
      </c>
      <c r="G417">
        <v>2</v>
      </c>
      <c r="H417" t="s">
        <v>57</v>
      </c>
      <c r="I417">
        <v>1</v>
      </c>
      <c r="J417">
        <v>555</v>
      </c>
      <c r="K417">
        <v>4</v>
      </c>
      <c r="L417" t="s">
        <v>38</v>
      </c>
      <c r="M417">
        <v>33</v>
      </c>
      <c r="N417">
        <v>1</v>
      </c>
      <c r="O417">
        <v>1</v>
      </c>
      <c r="P417" t="s">
        <v>55</v>
      </c>
      <c r="Q417">
        <v>3</v>
      </c>
      <c r="R417" t="s">
        <v>50</v>
      </c>
      <c r="S417">
        <v>2351</v>
      </c>
      <c r="T417">
        <v>12253</v>
      </c>
      <c r="U417">
        <v>0</v>
      </c>
      <c r="V417" t="s">
        <v>41</v>
      </c>
      <c r="W417" t="s">
        <v>42</v>
      </c>
      <c r="X417">
        <v>16</v>
      </c>
      <c r="Y417">
        <v>3</v>
      </c>
      <c r="Z417">
        <v>4</v>
      </c>
      <c r="AA417">
        <v>80</v>
      </c>
      <c r="AB417">
        <v>1</v>
      </c>
      <c r="AC417">
        <v>3</v>
      </c>
      <c r="AD417">
        <v>3</v>
      </c>
      <c r="AE417">
        <v>2</v>
      </c>
      <c r="AF417">
        <v>2</v>
      </c>
      <c r="AG417">
        <v>2</v>
      </c>
      <c r="AH417">
        <v>1</v>
      </c>
      <c r="AI417">
        <v>0</v>
      </c>
      <c r="AJ417">
        <f t="shared" si="6"/>
        <v>1</v>
      </c>
      <c r="AK417" t="str" cm="1">
        <f t="array" ref="AK417">_xlfn.IFS(A417&lt;=30,"18-30",A417&lt;=45,"31-45",A417&lt;=60,"46-60",TRUE, "60+")</f>
        <v>31-45</v>
      </c>
      <c r="AL417" t="str" cm="1">
        <f t="array" ref="AL417">_xlfn.IFS(F417&lt;=10,"0-10",F417&lt;=20,"11-20",TRUE,"20+")</f>
        <v>0-10</v>
      </c>
      <c r="AM417" t="str" cm="1">
        <f t="array" ref="AM417">_xlfn.IFS(S417&lt;=5000,"0-5k",S417&lt;=10000,"5k-10k",S417&lt;=15000,"10k-15k",TRUE,"15k+")</f>
        <v>0-5k</v>
      </c>
      <c r="AN417" t="str" cm="1">
        <f t="array" ref="AN417">_xlfn.IFS(AF417&lt;=10,"0-10",AF417&lt;=20,"10-20",AF417&lt;=30,"20-30",TRUE,"30+")</f>
        <v>0-10</v>
      </c>
      <c r="AO417" t="str" cm="1">
        <f t="array" ref="AO417">_xlfn.IFS(Y417=1,"Poor",Y417=2,"Average",Y417=3,"Good",TRUE,"Excellent")</f>
        <v>Good</v>
      </c>
      <c r="AP417" t="str" cm="1">
        <f t="array" ref="AP417">_xlfn.IFS(Q417=1,"Low",Q417=2,"Medium",Q417=3,"High",TRUE,"Very High")</f>
        <v>High</v>
      </c>
    </row>
    <row r="418" spans="1:42" x14ac:dyDescent="0.25">
      <c r="A418">
        <v>38</v>
      </c>
      <c r="B418" t="s">
        <v>42</v>
      </c>
      <c r="C418" t="s">
        <v>91</v>
      </c>
      <c r="D418">
        <v>1490</v>
      </c>
      <c r="E418" t="s">
        <v>43</v>
      </c>
      <c r="F418">
        <v>2</v>
      </c>
      <c r="G418">
        <v>2</v>
      </c>
      <c r="H418" t="s">
        <v>37</v>
      </c>
      <c r="I418">
        <v>1</v>
      </c>
      <c r="J418">
        <v>556</v>
      </c>
      <c r="K418">
        <v>4</v>
      </c>
      <c r="L418" t="s">
        <v>44</v>
      </c>
      <c r="M418">
        <v>42</v>
      </c>
      <c r="N418">
        <v>3</v>
      </c>
      <c r="O418">
        <v>1</v>
      </c>
      <c r="P418" t="s">
        <v>48</v>
      </c>
      <c r="Q418">
        <v>4</v>
      </c>
      <c r="R418" t="s">
        <v>46</v>
      </c>
      <c r="S418">
        <v>1702</v>
      </c>
      <c r="T418">
        <v>12106</v>
      </c>
      <c r="U418">
        <v>1</v>
      </c>
      <c r="V418" t="s">
        <v>41</v>
      </c>
      <c r="W418" t="s">
        <v>35</v>
      </c>
      <c r="X418">
        <v>23</v>
      </c>
      <c r="Y418">
        <v>4</v>
      </c>
      <c r="Z418">
        <v>3</v>
      </c>
      <c r="AA418">
        <v>80</v>
      </c>
      <c r="AB418">
        <v>1</v>
      </c>
      <c r="AC418">
        <v>1</v>
      </c>
      <c r="AD418">
        <v>3</v>
      </c>
      <c r="AE418">
        <v>3</v>
      </c>
      <c r="AF418">
        <v>1</v>
      </c>
      <c r="AG418">
        <v>0</v>
      </c>
      <c r="AH418">
        <v>0</v>
      </c>
      <c r="AI418">
        <v>0</v>
      </c>
      <c r="AJ418">
        <f t="shared" si="6"/>
        <v>0</v>
      </c>
      <c r="AK418" t="str" cm="1">
        <f t="array" ref="AK418">_xlfn.IFS(A418&lt;=30,"18-30",A418&lt;=45,"31-45",A418&lt;=60,"46-60",TRUE, "60+")</f>
        <v>31-45</v>
      </c>
      <c r="AL418" t="str" cm="1">
        <f t="array" ref="AL418">_xlfn.IFS(F418&lt;=10,"0-10",F418&lt;=20,"11-20",TRUE,"20+")</f>
        <v>0-10</v>
      </c>
      <c r="AM418" t="str" cm="1">
        <f t="array" ref="AM418">_xlfn.IFS(S418&lt;=5000,"0-5k",S418&lt;=10000,"5k-10k",S418&lt;=15000,"10k-15k",TRUE,"15k+")</f>
        <v>0-5k</v>
      </c>
      <c r="AN418" t="str" cm="1">
        <f t="array" ref="AN418">_xlfn.IFS(AF418&lt;=10,"0-10",AF418&lt;=20,"10-20",AF418&lt;=30,"20-30",TRUE,"30+")</f>
        <v>0-10</v>
      </c>
      <c r="AO418" t="str" cm="1">
        <f t="array" ref="AO418">_xlfn.IFS(Y418=1,"Poor",Y418=2,"Average",Y418=3,"Good",TRUE,"Excellent")</f>
        <v>Excellent</v>
      </c>
      <c r="AP418" t="str" cm="1">
        <f t="array" ref="AP418">_xlfn.IFS(Q418=1,"Low",Q418=2,"Medium",Q418=3,"High",TRUE,"Very High")</f>
        <v>Very High</v>
      </c>
    </row>
    <row r="419" spans="1:42" x14ac:dyDescent="0.25">
      <c r="A419">
        <v>40</v>
      </c>
      <c r="B419" t="s">
        <v>42</v>
      </c>
      <c r="C419" t="s">
        <v>90</v>
      </c>
      <c r="D419">
        <v>1398</v>
      </c>
      <c r="E419" t="s">
        <v>36</v>
      </c>
      <c r="F419">
        <v>2</v>
      </c>
      <c r="G419">
        <v>4</v>
      </c>
      <c r="H419" t="s">
        <v>37</v>
      </c>
      <c r="I419">
        <v>1</v>
      </c>
      <c r="J419">
        <v>558</v>
      </c>
      <c r="K419">
        <v>3</v>
      </c>
      <c r="L419" t="s">
        <v>38</v>
      </c>
      <c r="M419">
        <v>79</v>
      </c>
      <c r="N419">
        <v>3</v>
      </c>
      <c r="O419">
        <v>5</v>
      </c>
      <c r="P419" t="s">
        <v>54</v>
      </c>
      <c r="Q419">
        <v>3</v>
      </c>
      <c r="R419" t="s">
        <v>46</v>
      </c>
      <c r="S419">
        <v>18041</v>
      </c>
      <c r="T419">
        <v>13022</v>
      </c>
      <c r="U419">
        <v>0</v>
      </c>
      <c r="V419" t="s">
        <v>41</v>
      </c>
      <c r="W419" t="s">
        <v>42</v>
      </c>
      <c r="X419">
        <v>14</v>
      </c>
      <c r="Y419">
        <v>3</v>
      </c>
      <c r="Z419">
        <v>4</v>
      </c>
      <c r="AA419">
        <v>80</v>
      </c>
      <c r="AB419">
        <v>0</v>
      </c>
      <c r="AC419">
        <v>21</v>
      </c>
      <c r="AD419">
        <v>2</v>
      </c>
      <c r="AE419">
        <v>3</v>
      </c>
      <c r="AF419">
        <v>20</v>
      </c>
      <c r="AG419">
        <v>15</v>
      </c>
      <c r="AH419">
        <v>1</v>
      </c>
      <c r="AI419">
        <v>12</v>
      </c>
      <c r="AJ419">
        <f t="shared" si="6"/>
        <v>0</v>
      </c>
      <c r="AK419" t="str" cm="1">
        <f t="array" ref="AK419">_xlfn.IFS(A419&lt;=30,"18-30",A419&lt;=45,"31-45",A419&lt;=60,"46-60",TRUE, "60+")</f>
        <v>31-45</v>
      </c>
      <c r="AL419" t="str" cm="1">
        <f t="array" ref="AL419">_xlfn.IFS(F419&lt;=10,"0-10",F419&lt;=20,"11-20",TRUE,"20+")</f>
        <v>0-10</v>
      </c>
      <c r="AM419" t="str" cm="1">
        <f t="array" ref="AM419">_xlfn.IFS(S419&lt;=5000,"0-5k",S419&lt;=10000,"5k-10k",S419&lt;=15000,"10k-15k",TRUE,"15k+")</f>
        <v>15k+</v>
      </c>
      <c r="AN419" t="str" cm="1">
        <f t="array" ref="AN419">_xlfn.IFS(AF419&lt;=10,"0-10",AF419&lt;=20,"10-20",AF419&lt;=30,"20-30",TRUE,"30+")</f>
        <v>10-20</v>
      </c>
      <c r="AO419" t="str" cm="1">
        <f t="array" ref="AO419">_xlfn.IFS(Y419=1,"Poor",Y419=2,"Average",Y419=3,"Good",TRUE,"Excellent")</f>
        <v>Good</v>
      </c>
      <c r="AP419" t="str" cm="1">
        <f t="array" ref="AP419">_xlfn.IFS(Q419=1,"Low",Q419=2,"Medium",Q419=3,"High",TRUE,"Very High")</f>
        <v>High</v>
      </c>
    </row>
    <row r="420" spans="1:42" x14ac:dyDescent="0.25">
      <c r="A420">
        <v>26</v>
      </c>
      <c r="B420" t="s">
        <v>42</v>
      </c>
      <c r="C420" t="s">
        <v>90</v>
      </c>
      <c r="D420">
        <v>1349</v>
      </c>
      <c r="E420" t="s">
        <v>43</v>
      </c>
      <c r="F420">
        <v>23</v>
      </c>
      <c r="G420">
        <v>3</v>
      </c>
      <c r="H420" t="s">
        <v>37</v>
      </c>
      <c r="I420">
        <v>1</v>
      </c>
      <c r="J420">
        <v>560</v>
      </c>
      <c r="K420">
        <v>1</v>
      </c>
      <c r="L420" t="s">
        <v>38</v>
      </c>
      <c r="M420">
        <v>90</v>
      </c>
      <c r="N420">
        <v>3</v>
      </c>
      <c r="O420">
        <v>1</v>
      </c>
      <c r="P420" t="s">
        <v>45</v>
      </c>
      <c r="Q420">
        <v>4</v>
      </c>
      <c r="R420" t="s">
        <v>50</v>
      </c>
      <c r="S420">
        <v>2886</v>
      </c>
      <c r="T420">
        <v>3032</v>
      </c>
      <c r="U420">
        <v>1</v>
      </c>
      <c r="V420" t="s">
        <v>41</v>
      </c>
      <c r="W420" t="s">
        <v>42</v>
      </c>
      <c r="X420">
        <v>22</v>
      </c>
      <c r="Y420">
        <v>4</v>
      </c>
      <c r="Z420">
        <v>2</v>
      </c>
      <c r="AA420">
        <v>80</v>
      </c>
      <c r="AB420">
        <v>2</v>
      </c>
      <c r="AC420">
        <v>3</v>
      </c>
      <c r="AD420">
        <v>3</v>
      </c>
      <c r="AE420">
        <v>1</v>
      </c>
      <c r="AF420">
        <v>3</v>
      </c>
      <c r="AG420">
        <v>2</v>
      </c>
      <c r="AH420">
        <v>0</v>
      </c>
      <c r="AI420">
        <v>2</v>
      </c>
      <c r="AJ420">
        <f t="shared" si="6"/>
        <v>0</v>
      </c>
      <c r="AK420" t="str" cm="1">
        <f t="array" ref="AK420">_xlfn.IFS(A420&lt;=30,"18-30",A420&lt;=45,"31-45",A420&lt;=60,"46-60",TRUE, "60+")</f>
        <v>18-30</v>
      </c>
      <c r="AL420" t="str" cm="1">
        <f t="array" ref="AL420">_xlfn.IFS(F420&lt;=10,"0-10",F420&lt;=20,"11-20",TRUE,"20+")</f>
        <v>20+</v>
      </c>
      <c r="AM420" t="str" cm="1">
        <f t="array" ref="AM420">_xlfn.IFS(S420&lt;=5000,"0-5k",S420&lt;=10000,"5k-10k",S420&lt;=15000,"10k-15k",TRUE,"15k+")</f>
        <v>0-5k</v>
      </c>
      <c r="AN420" t="str" cm="1">
        <f t="array" ref="AN420">_xlfn.IFS(AF420&lt;=10,"0-10",AF420&lt;=20,"10-20",AF420&lt;=30,"20-30",TRUE,"30+")</f>
        <v>0-10</v>
      </c>
      <c r="AO420" t="str" cm="1">
        <f t="array" ref="AO420">_xlfn.IFS(Y420=1,"Poor",Y420=2,"Average",Y420=3,"Good",TRUE,"Excellent")</f>
        <v>Excellent</v>
      </c>
      <c r="AP420" t="str" cm="1">
        <f t="array" ref="AP420">_xlfn.IFS(Q420=1,"Low",Q420=2,"Medium",Q420=3,"High",TRUE,"Very High")</f>
        <v>Very High</v>
      </c>
    </row>
    <row r="421" spans="1:42" x14ac:dyDescent="0.25">
      <c r="A421">
        <v>30</v>
      </c>
      <c r="B421" t="s">
        <v>42</v>
      </c>
      <c r="C421" t="s">
        <v>53</v>
      </c>
      <c r="D421">
        <v>1400</v>
      </c>
      <c r="E421" t="s">
        <v>43</v>
      </c>
      <c r="F421">
        <v>3</v>
      </c>
      <c r="G421">
        <v>3</v>
      </c>
      <c r="H421" t="s">
        <v>37</v>
      </c>
      <c r="I421">
        <v>1</v>
      </c>
      <c r="J421">
        <v>562</v>
      </c>
      <c r="K421">
        <v>3</v>
      </c>
      <c r="L421" t="s">
        <v>44</v>
      </c>
      <c r="M421">
        <v>53</v>
      </c>
      <c r="N421">
        <v>3</v>
      </c>
      <c r="O421">
        <v>1</v>
      </c>
      <c r="P421" t="s">
        <v>48</v>
      </c>
      <c r="Q421">
        <v>4</v>
      </c>
      <c r="R421" t="s">
        <v>46</v>
      </c>
      <c r="S421">
        <v>2097</v>
      </c>
      <c r="T421">
        <v>16734</v>
      </c>
      <c r="U421">
        <v>4</v>
      </c>
      <c r="V421" t="s">
        <v>41</v>
      </c>
      <c r="W421" t="s">
        <v>42</v>
      </c>
      <c r="X421">
        <v>15</v>
      </c>
      <c r="Y421">
        <v>3</v>
      </c>
      <c r="Z421">
        <v>3</v>
      </c>
      <c r="AA421">
        <v>80</v>
      </c>
      <c r="AB421">
        <v>1</v>
      </c>
      <c r="AC421">
        <v>9</v>
      </c>
      <c r="AD421">
        <v>3</v>
      </c>
      <c r="AE421">
        <v>1</v>
      </c>
      <c r="AF421">
        <v>5</v>
      </c>
      <c r="AG421">
        <v>3</v>
      </c>
      <c r="AH421">
        <v>1</v>
      </c>
      <c r="AI421">
        <v>4</v>
      </c>
      <c r="AJ421">
        <f t="shared" si="6"/>
        <v>0</v>
      </c>
      <c r="AK421" t="str" cm="1">
        <f t="array" ref="AK421">_xlfn.IFS(A421&lt;=30,"18-30",A421&lt;=45,"31-45",A421&lt;=60,"46-60",TRUE, "60+")</f>
        <v>18-30</v>
      </c>
      <c r="AL421" t="str" cm="1">
        <f t="array" ref="AL421">_xlfn.IFS(F421&lt;=10,"0-10",F421&lt;=20,"11-20",TRUE,"20+")</f>
        <v>0-10</v>
      </c>
      <c r="AM421" t="str" cm="1">
        <f t="array" ref="AM421">_xlfn.IFS(S421&lt;=5000,"0-5k",S421&lt;=10000,"5k-10k",S421&lt;=15000,"10k-15k",TRUE,"15k+")</f>
        <v>0-5k</v>
      </c>
      <c r="AN421" t="str" cm="1">
        <f t="array" ref="AN421">_xlfn.IFS(AF421&lt;=10,"0-10",AF421&lt;=20,"10-20",AF421&lt;=30,"20-30",TRUE,"30+")</f>
        <v>0-10</v>
      </c>
      <c r="AO421" t="str" cm="1">
        <f t="array" ref="AO421">_xlfn.IFS(Y421=1,"Poor",Y421=2,"Average",Y421=3,"Good",TRUE,"Excellent")</f>
        <v>Good</v>
      </c>
      <c r="AP421" t="str" cm="1">
        <f t="array" ref="AP421">_xlfn.IFS(Q421=1,"Low",Q421=2,"Medium",Q421=3,"High",TRUE,"Very High")</f>
        <v>Very High</v>
      </c>
    </row>
    <row r="422" spans="1:42" x14ac:dyDescent="0.25">
      <c r="A422">
        <v>29</v>
      </c>
      <c r="B422" t="s">
        <v>42</v>
      </c>
      <c r="C422" t="s">
        <v>90</v>
      </c>
      <c r="D422">
        <v>986</v>
      </c>
      <c r="E422" t="s">
        <v>43</v>
      </c>
      <c r="F422">
        <v>3</v>
      </c>
      <c r="G422">
        <v>4</v>
      </c>
      <c r="H422" t="s">
        <v>49</v>
      </c>
      <c r="I422">
        <v>1</v>
      </c>
      <c r="J422">
        <v>564</v>
      </c>
      <c r="K422">
        <v>2</v>
      </c>
      <c r="L422" t="s">
        <v>44</v>
      </c>
      <c r="M422">
        <v>93</v>
      </c>
      <c r="N422">
        <v>2</v>
      </c>
      <c r="O422">
        <v>3</v>
      </c>
      <c r="P422" t="s">
        <v>56</v>
      </c>
      <c r="Q422">
        <v>3</v>
      </c>
      <c r="R422" t="s">
        <v>46</v>
      </c>
      <c r="S422">
        <v>11935</v>
      </c>
      <c r="T422">
        <v>21526</v>
      </c>
      <c r="U422">
        <v>1</v>
      </c>
      <c r="V422" t="s">
        <v>41</v>
      </c>
      <c r="W422" t="s">
        <v>42</v>
      </c>
      <c r="X422">
        <v>18</v>
      </c>
      <c r="Y422">
        <v>3</v>
      </c>
      <c r="Z422">
        <v>3</v>
      </c>
      <c r="AA422">
        <v>80</v>
      </c>
      <c r="AB422">
        <v>0</v>
      </c>
      <c r="AC422">
        <v>10</v>
      </c>
      <c r="AD422">
        <v>2</v>
      </c>
      <c r="AE422">
        <v>3</v>
      </c>
      <c r="AF422">
        <v>10</v>
      </c>
      <c r="AG422">
        <v>2</v>
      </c>
      <c r="AH422">
        <v>0</v>
      </c>
      <c r="AI422">
        <v>7</v>
      </c>
      <c r="AJ422">
        <f t="shared" si="6"/>
        <v>0</v>
      </c>
      <c r="AK422" t="str" cm="1">
        <f t="array" ref="AK422">_xlfn.IFS(A422&lt;=30,"18-30",A422&lt;=45,"31-45",A422&lt;=60,"46-60",TRUE, "60+")</f>
        <v>18-30</v>
      </c>
      <c r="AL422" t="str" cm="1">
        <f t="array" ref="AL422">_xlfn.IFS(F422&lt;=10,"0-10",F422&lt;=20,"11-20",TRUE,"20+")</f>
        <v>0-10</v>
      </c>
      <c r="AM422" t="str" cm="1">
        <f t="array" ref="AM422">_xlfn.IFS(S422&lt;=5000,"0-5k",S422&lt;=10000,"5k-10k",S422&lt;=15000,"10k-15k",TRUE,"15k+")</f>
        <v>10k-15k</v>
      </c>
      <c r="AN422" t="str" cm="1">
        <f t="array" ref="AN422">_xlfn.IFS(AF422&lt;=10,"0-10",AF422&lt;=20,"10-20",AF422&lt;=30,"20-30",TRUE,"30+")</f>
        <v>0-10</v>
      </c>
      <c r="AO422" t="str" cm="1">
        <f t="array" ref="AO422">_xlfn.IFS(Y422=1,"Poor",Y422=2,"Average",Y422=3,"Good",TRUE,"Excellent")</f>
        <v>Good</v>
      </c>
      <c r="AP422" t="str" cm="1">
        <f t="array" ref="AP422">_xlfn.IFS(Q422=1,"Low",Q422=2,"Medium",Q422=3,"High",TRUE,"Very High")</f>
        <v>High</v>
      </c>
    </row>
    <row r="423" spans="1:42" x14ac:dyDescent="0.25">
      <c r="A423">
        <v>29</v>
      </c>
      <c r="B423" t="s">
        <v>35</v>
      </c>
      <c r="C423" t="s">
        <v>90</v>
      </c>
      <c r="D423">
        <v>408</v>
      </c>
      <c r="E423" t="s">
        <v>43</v>
      </c>
      <c r="F423">
        <v>25</v>
      </c>
      <c r="G423">
        <v>5</v>
      </c>
      <c r="H423" t="s">
        <v>58</v>
      </c>
      <c r="I423">
        <v>1</v>
      </c>
      <c r="J423">
        <v>565</v>
      </c>
      <c r="K423">
        <v>3</v>
      </c>
      <c r="L423" t="s">
        <v>38</v>
      </c>
      <c r="M423">
        <v>71</v>
      </c>
      <c r="N423">
        <v>2</v>
      </c>
      <c r="O423">
        <v>1</v>
      </c>
      <c r="P423" t="s">
        <v>45</v>
      </c>
      <c r="Q423">
        <v>2</v>
      </c>
      <c r="R423" t="s">
        <v>46</v>
      </c>
      <c r="S423">
        <v>2546</v>
      </c>
      <c r="T423">
        <v>18300</v>
      </c>
      <c r="U423">
        <v>5</v>
      </c>
      <c r="V423" t="s">
        <v>41</v>
      </c>
      <c r="W423" t="s">
        <v>42</v>
      </c>
      <c r="X423">
        <v>16</v>
      </c>
      <c r="Y423">
        <v>3</v>
      </c>
      <c r="Z423">
        <v>2</v>
      </c>
      <c r="AA423">
        <v>80</v>
      </c>
      <c r="AB423">
        <v>0</v>
      </c>
      <c r="AC423">
        <v>6</v>
      </c>
      <c r="AD423">
        <v>2</v>
      </c>
      <c r="AE423">
        <v>4</v>
      </c>
      <c r="AF423">
        <v>2</v>
      </c>
      <c r="AG423">
        <v>2</v>
      </c>
      <c r="AH423">
        <v>1</v>
      </c>
      <c r="AI423">
        <v>1</v>
      </c>
      <c r="AJ423">
        <f t="shared" si="6"/>
        <v>1</v>
      </c>
      <c r="AK423" t="str" cm="1">
        <f t="array" ref="AK423">_xlfn.IFS(A423&lt;=30,"18-30",A423&lt;=45,"31-45",A423&lt;=60,"46-60",TRUE, "60+")</f>
        <v>18-30</v>
      </c>
      <c r="AL423" t="str" cm="1">
        <f t="array" ref="AL423">_xlfn.IFS(F423&lt;=10,"0-10",F423&lt;=20,"11-20",TRUE,"20+")</f>
        <v>20+</v>
      </c>
      <c r="AM423" t="str" cm="1">
        <f t="array" ref="AM423">_xlfn.IFS(S423&lt;=5000,"0-5k",S423&lt;=10000,"5k-10k",S423&lt;=15000,"10k-15k",TRUE,"15k+")</f>
        <v>0-5k</v>
      </c>
      <c r="AN423" t="str" cm="1">
        <f t="array" ref="AN423">_xlfn.IFS(AF423&lt;=10,"0-10",AF423&lt;=20,"10-20",AF423&lt;=30,"20-30",TRUE,"30+")</f>
        <v>0-10</v>
      </c>
      <c r="AO423" t="str" cm="1">
        <f t="array" ref="AO423">_xlfn.IFS(Y423=1,"Poor",Y423=2,"Average",Y423=3,"Good",TRUE,"Excellent")</f>
        <v>Good</v>
      </c>
      <c r="AP423" t="str" cm="1">
        <f t="array" ref="AP423">_xlfn.IFS(Q423=1,"Low",Q423=2,"Medium",Q423=3,"High",TRUE,"Very High")</f>
        <v>Medium</v>
      </c>
    </row>
    <row r="424" spans="1:42" x14ac:dyDescent="0.25">
      <c r="A424">
        <v>19</v>
      </c>
      <c r="B424" t="s">
        <v>35</v>
      </c>
      <c r="C424" t="s">
        <v>90</v>
      </c>
      <c r="D424">
        <v>489</v>
      </c>
      <c r="E424" t="s">
        <v>59</v>
      </c>
      <c r="F424">
        <v>2</v>
      </c>
      <c r="G424">
        <v>2</v>
      </c>
      <c r="H424" t="s">
        <v>58</v>
      </c>
      <c r="I424">
        <v>1</v>
      </c>
      <c r="J424">
        <v>566</v>
      </c>
      <c r="K424">
        <v>1</v>
      </c>
      <c r="L424" t="s">
        <v>44</v>
      </c>
      <c r="M424">
        <v>52</v>
      </c>
      <c r="N424">
        <v>2</v>
      </c>
      <c r="O424">
        <v>1</v>
      </c>
      <c r="P424" t="s">
        <v>59</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c r="AJ424">
        <f t="shared" si="6"/>
        <v>1</v>
      </c>
      <c r="AK424" t="str" cm="1">
        <f t="array" ref="AK424">_xlfn.IFS(A424&lt;=30,"18-30",A424&lt;=45,"31-45",A424&lt;=60,"46-60",TRUE, "60+")</f>
        <v>18-30</v>
      </c>
      <c r="AL424" t="str" cm="1">
        <f t="array" ref="AL424">_xlfn.IFS(F424&lt;=10,"0-10",F424&lt;=20,"11-20",TRUE,"20+")</f>
        <v>0-10</v>
      </c>
      <c r="AM424" t="str" cm="1">
        <f t="array" ref="AM424">_xlfn.IFS(S424&lt;=5000,"0-5k",S424&lt;=10000,"5k-10k",S424&lt;=15000,"10k-15k",TRUE,"15k+")</f>
        <v>0-5k</v>
      </c>
      <c r="AN424" t="str" cm="1">
        <f t="array" ref="AN424">_xlfn.IFS(AF424&lt;=10,"0-10",AF424&lt;=20,"10-20",AF424&lt;=30,"20-30",TRUE,"30+")</f>
        <v>0-10</v>
      </c>
      <c r="AO424" t="str" cm="1">
        <f t="array" ref="AO424">_xlfn.IFS(Y424=1,"Poor",Y424=2,"Average",Y424=3,"Good",TRUE,"Excellent")</f>
        <v>Good</v>
      </c>
      <c r="AP424" t="str" cm="1">
        <f t="array" ref="AP424">_xlfn.IFS(Q424=1,"Low",Q424=2,"Medium",Q424=3,"High",TRUE,"Very High")</f>
        <v>Very High</v>
      </c>
    </row>
    <row r="425" spans="1:42" x14ac:dyDescent="0.25">
      <c r="A425">
        <v>30</v>
      </c>
      <c r="B425" t="s">
        <v>42</v>
      </c>
      <c r="C425" t="s">
        <v>53</v>
      </c>
      <c r="D425">
        <v>1398</v>
      </c>
      <c r="E425" t="s">
        <v>36</v>
      </c>
      <c r="F425">
        <v>22</v>
      </c>
      <c r="G425">
        <v>4</v>
      </c>
      <c r="H425" t="s">
        <v>47</v>
      </c>
      <c r="I425">
        <v>1</v>
      </c>
      <c r="J425">
        <v>567</v>
      </c>
      <c r="K425">
        <v>3</v>
      </c>
      <c r="L425" t="s">
        <v>38</v>
      </c>
      <c r="M425">
        <v>69</v>
      </c>
      <c r="N425">
        <v>3</v>
      </c>
      <c r="O425">
        <v>3</v>
      </c>
      <c r="P425" t="s">
        <v>39</v>
      </c>
      <c r="Q425">
        <v>1</v>
      </c>
      <c r="R425" t="s">
        <v>46</v>
      </c>
      <c r="S425">
        <v>8412</v>
      </c>
      <c r="T425">
        <v>2890</v>
      </c>
      <c r="U425">
        <v>0</v>
      </c>
      <c r="V425" t="s">
        <v>41</v>
      </c>
      <c r="W425" t="s">
        <v>42</v>
      </c>
      <c r="X425">
        <v>11</v>
      </c>
      <c r="Y425">
        <v>3</v>
      </c>
      <c r="Z425">
        <v>3</v>
      </c>
      <c r="AA425">
        <v>80</v>
      </c>
      <c r="AB425">
        <v>0</v>
      </c>
      <c r="AC425">
        <v>10</v>
      </c>
      <c r="AD425">
        <v>3</v>
      </c>
      <c r="AE425">
        <v>3</v>
      </c>
      <c r="AF425">
        <v>9</v>
      </c>
      <c r="AG425">
        <v>8</v>
      </c>
      <c r="AH425">
        <v>7</v>
      </c>
      <c r="AI425">
        <v>8</v>
      </c>
      <c r="AJ425">
        <f t="shared" si="6"/>
        <v>0</v>
      </c>
      <c r="AK425" t="str" cm="1">
        <f t="array" ref="AK425">_xlfn.IFS(A425&lt;=30,"18-30",A425&lt;=45,"31-45",A425&lt;=60,"46-60",TRUE, "60+")</f>
        <v>18-30</v>
      </c>
      <c r="AL425" t="str" cm="1">
        <f t="array" ref="AL425">_xlfn.IFS(F425&lt;=10,"0-10",F425&lt;=20,"11-20",TRUE,"20+")</f>
        <v>20+</v>
      </c>
      <c r="AM425" t="str" cm="1">
        <f t="array" ref="AM425">_xlfn.IFS(S425&lt;=5000,"0-5k",S425&lt;=10000,"5k-10k",S425&lt;=15000,"10k-15k",TRUE,"15k+")</f>
        <v>5k-10k</v>
      </c>
      <c r="AN425" t="str" cm="1">
        <f t="array" ref="AN425">_xlfn.IFS(AF425&lt;=10,"0-10",AF425&lt;=20,"10-20",AF425&lt;=30,"20-30",TRUE,"30+")</f>
        <v>0-10</v>
      </c>
      <c r="AO425" t="str" cm="1">
        <f t="array" ref="AO425">_xlfn.IFS(Y425=1,"Poor",Y425=2,"Average",Y425=3,"Good",TRUE,"Excellent")</f>
        <v>Good</v>
      </c>
      <c r="AP425" t="str" cm="1">
        <f t="array" ref="AP425">_xlfn.IFS(Q425=1,"Low",Q425=2,"Medium",Q425=3,"High",TRUE,"Very High")</f>
        <v>Low</v>
      </c>
    </row>
    <row r="426" spans="1:42" x14ac:dyDescent="0.25">
      <c r="A426">
        <v>57</v>
      </c>
      <c r="B426" t="s">
        <v>42</v>
      </c>
      <c r="C426" t="s">
        <v>90</v>
      </c>
      <c r="D426">
        <v>210</v>
      </c>
      <c r="E426" t="s">
        <v>36</v>
      </c>
      <c r="F426">
        <v>29</v>
      </c>
      <c r="G426">
        <v>3</v>
      </c>
      <c r="H426" t="s">
        <v>57</v>
      </c>
      <c r="I426">
        <v>1</v>
      </c>
      <c r="J426">
        <v>568</v>
      </c>
      <c r="K426">
        <v>1</v>
      </c>
      <c r="L426" t="s">
        <v>44</v>
      </c>
      <c r="M426">
        <v>56</v>
      </c>
      <c r="N426">
        <v>2</v>
      </c>
      <c r="O426">
        <v>4</v>
      </c>
      <c r="P426" t="s">
        <v>54</v>
      </c>
      <c r="Q426">
        <v>4</v>
      </c>
      <c r="R426" t="s">
        <v>50</v>
      </c>
      <c r="S426">
        <v>14118</v>
      </c>
      <c r="T426">
        <v>22102</v>
      </c>
      <c r="U426">
        <v>3</v>
      </c>
      <c r="V426" t="s">
        <v>41</v>
      </c>
      <c r="W426" t="s">
        <v>42</v>
      </c>
      <c r="X426">
        <v>12</v>
      </c>
      <c r="Y426">
        <v>3</v>
      </c>
      <c r="Z426">
        <v>3</v>
      </c>
      <c r="AA426">
        <v>80</v>
      </c>
      <c r="AB426">
        <v>1</v>
      </c>
      <c r="AC426">
        <v>32</v>
      </c>
      <c r="AD426">
        <v>3</v>
      </c>
      <c r="AE426">
        <v>2</v>
      </c>
      <c r="AF426">
        <v>1</v>
      </c>
      <c r="AG426">
        <v>0</v>
      </c>
      <c r="AH426">
        <v>0</v>
      </c>
      <c r="AI426">
        <v>0</v>
      </c>
      <c r="AJ426">
        <f t="shared" si="6"/>
        <v>0</v>
      </c>
      <c r="AK426" t="str" cm="1">
        <f t="array" ref="AK426">_xlfn.IFS(A426&lt;=30,"18-30",A426&lt;=45,"31-45",A426&lt;=60,"46-60",TRUE, "60+")</f>
        <v>46-60</v>
      </c>
      <c r="AL426" t="str" cm="1">
        <f t="array" ref="AL426">_xlfn.IFS(F426&lt;=10,"0-10",F426&lt;=20,"11-20",TRUE,"20+")</f>
        <v>20+</v>
      </c>
      <c r="AM426" t="str" cm="1">
        <f t="array" ref="AM426">_xlfn.IFS(S426&lt;=5000,"0-5k",S426&lt;=10000,"5k-10k",S426&lt;=15000,"10k-15k",TRUE,"15k+")</f>
        <v>10k-15k</v>
      </c>
      <c r="AN426" t="str" cm="1">
        <f t="array" ref="AN426">_xlfn.IFS(AF426&lt;=10,"0-10",AF426&lt;=20,"10-20",AF426&lt;=30,"20-30",TRUE,"30+")</f>
        <v>0-10</v>
      </c>
      <c r="AO426" t="str" cm="1">
        <f t="array" ref="AO426">_xlfn.IFS(Y426=1,"Poor",Y426=2,"Average",Y426=3,"Good",TRUE,"Excellent")</f>
        <v>Good</v>
      </c>
      <c r="AP426" t="str" cm="1">
        <f t="array" ref="AP426">_xlfn.IFS(Q426=1,"Low",Q426=2,"Medium",Q426=3,"High",TRUE,"Very High")</f>
        <v>Very High</v>
      </c>
    </row>
    <row r="427" spans="1:42" x14ac:dyDescent="0.25">
      <c r="A427">
        <v>50</v>
      </c>
      <c r="B427" t="s">
        <v>42</v>
      </c>
      <c r="C427" t="s">
        <v>90</v>
      </c>
      <c r="D427">
        <v>1099</v>
      </c>
      <c r="E427" t="s">
        <v>43</v>
      </c>
      <c r="F427">
        <v>29</v>
      </c>
      <c r="G427">
        <v>4</v>
      </c>
      <c r="H427" t="s">
        <v>37</v>
      </c>
      <c r="I427">
        <v>1</v>
      </c>
      <c r="J427">
        <v>569</v>
      </c>
      <c r="K427">
        <v>2</v>
      </c>
      <c r="L427" t="s">
        <v>44</v>
      </c>
      <c r="M427">
        <v>88</v>
      </c>
      <c r="N427">
        <v>2</v>
      </c>
      <c r="O427">
        <v>4</v>
      </c>
      <c r="P427" t="s">
        <v>54</v>
      </c>
      <c r="Q427">
        <v>3</v>
      </c>
      <c r="R427" t="s">
        <v>46</v>
      </c>
      <c r="S427">
        <v>17046</v>
      </c>
      <c r="T427">
        <v>9314</v>
      </c>
      <c r="U427">
        <v>0</v>
      </c>
      <c r="V427" t="s">
        <v>41</v>
      </c>
      <c r="W427" t="s">
        <v>42</v>
      </c>
      <c r="X427">
        <v>15</v>
      </c>
      <c r="Y427">
        <v>3</v>
      </c>
      <c r="Z427">
        <v>2</v>
      </c>
      <c r="AA427">
        <v>80</v>
      </c>
      <c r="AB427">
        <v>1</v>
      </c>
      <c r="AC427">
        <v>28</v>
      </c>
      <c r="AD427">
        <v>2</v>
      </c>
      <c r="AE427">
        <v>3</v>
      </c>
      <c r="AF427">
        <v>27</v>
      </c>
      <c r="AG427">
        <v>10</v>
      </c>
      <c r="AH427">
        <v>15</v>
      </c>
      <c r="AI427">
        <v>7</v>
      </c>
      <c r="AJ427">
        <f t="shared" si="6"/>
        <v>0</v>
      </c>
      <c r="AK427" t="str" cm="1">
        <f t="array" ref="AK427">_xlfn.IFS(A427&lt;=30,"18-30",A427&lt;=45,"31-45",A427&lt;=60,"46-60",TRUE, "60+")</f>
        <v>46-60</v>
      </c>
      <c r="AL427" t="str" cm="1">
        <f t="array" ref="AL427">_xlfn.IFS(F427&lt;=10,"0-10",F427&lt;=20,"11-20",TRUE,"20+")</f>
        <v>20+</v>
      </c>
      <c r="AM427" t="str" cm="1">
        <f t="array" ref="AM427">_xlfn.IFS(S427&lt;=5000,"0-5k",S427&lt;=10000,"5k-10k",S427&lt;=15000,"10k-15k",TRUE,"15k+")</f>
        <v>15k+</v>
      </c>
      <c r="AN427" t="str" cm="1">
        <f t="array" ref="AN427">_xlfn.IFS(AF427&lt;=10,"0-10",AF427&lt;=20,"10-20",AF427&lt;=30,"20-30",TRUE,"30+")</f>
        <v>20-30</v>
      </c>
      <c r="AO427" t="str" cm="1">
        <f t="array" ref="AO427">_xlfn.IFS(Y427=1,"Poor",Y427=2,"Average",Y427=3,"Good",TRUE,"Excellent")</f>
        <v>Good</v>
      </c>
      <c r="AP427" t="str" cm="1">
        <f t="array" ref="AP427">_xlfn.IFS(Q427=1,"Low",Q427=2,"Medium",Q427=3,"High",TRUE,"Very High")</f>
        <v>High</v>
      </c>
    </row>
    <row r="428" spans="1:42" x14ac:dyDescent="0.25">
      <c r="A428">
        <v>30</v>
      </c>
      <c r="B428" t="s">
        <v>42</v>
      </c>
      <c r="C428" t="s">
        <v>53</v>
      </c>
      <c r="D428">
        <v>1116</v>
      </c>
      <c r="E428" t="s">
        <v>43</v>
      </c>
      <c r="F428">
        <v>2</v>
      </c>
      <c r="G428">
        <v>3</v>
      </c>
      <c r="H428" t="s">
        <v>49</v>
      </c>
      <c r="I428">
        <v>1</v>
      </c>
      <c r="J428">
        <v>571</v>
      </c>
      <c r="K428">
        <v>3</v>
      </c>
      <c r="L428" t="s">
        <v>38</v>
      </c>
      <c r="M428">
        <v>49</v>
      </c>
      <c r="N428">
        <v>3</v>
      </c>
      <c r="O428">
        <v>1</v>
      </c>
      <c r="P428" t="s">
        <v>48</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c r="AJ428">
        <f t="shared" si="6"/>
        <v>0</v>
      </c>
      <c r="AK428" t="str" cm="1">
        <f t="array" ref="AK428">_xlfn.IFS(A428&lt;=30,"18-30",A428&lt;=45,"31-45",A428&lt;=60,"46-60",TRUE, "60+")</f>
        <v>18-30</v>
      </c>
      <c r="AL428" t="str" cm="1">
        <f t="array" ref="AL428">_xlfn.IFS(F428&lt;=10,"0-10",F428&lt;=20,"11-20",TRUE,"20+")</f>
        <v>0-10</v>
      </c>
      <c r="AM428" t="str" cm="1">
        <f t="array" ref="AM428">_xlfn.IFS(S428&lt;=5000,"0-5k",S428&lt;=10000,"5k-10k",S428&lt;=15000,"10k-15k",TRUE,"15k+")</f>
        <v>0-5k</v>
      </c>
      <c r="AN428" t="str" cm="1">
        <f t="array" ref="AN428">_xlfn.IFS(AF428&lt;=10,"0-10",AF428&lt;=20,"10-20",AF428&lt;=30,"20-30",TRUE,"30+")</f>
        <v>10-20</v>
      </c>
      <c r="AO428" t="str" cm="1">
        <f t="array" ref="AO428">_xlfn.IFS(Y428=1,"Poor",Y428=2,"Average",Y428=3,"Good",TRUE,"Excellent")</f>
        <v>Good</v>
      </c>
      <c r="AP428" t="str" cm="1">
        <f t="array" ref="AP428">_xlfn.IFS(Q428=1,"Low",Q428=2,"Medium",Q428=3,"High",TRUE,"Very High")</f>
        <v>Very High</v>
      </c>
    </row>
    <row r="429" spans="1:42" x14ac:dyDescent="0.25">
      <c r="A429">
        <v>60</v>
      </c>
      <c r="B429" t="s">
        <v>42</v>
      </c>
      <c r="C429" t="s">
        <v>91</v>
      </c>
      <c r="D429">
        <v>1499</v>
      </c>
      <c r="E429" t="s">
        <v>36</v>
      </c>
      <c r="F429">
        <v>28</v>
      </c>
      <c r="G429">
        <v>3</v>
      </c>
      <c r="H429" t="s">
        <v>57</v>
      </c>
      <c r="I429">
        <v>1</v>
      </c>
      <c r="J429">
        <v>573</v>
      </c>
      <c r="K429">
        <v>3</v>
      </c>
      <c r="L429" t="s">
        <v>38</v>
      </c>
      <c r="M429">
        <v>80</v>
      </c>
      <c r="N429">
        <v>2</v>
      </c>
      <c r="O429">
        <v>3</v>
      </c>
      <c r="P429" t="s">
        <v>39</v>
      </c>
      <c r="Q429">
        <v>1</v>
      </c>
      <c r="R429" t="s">
        <v>46</v>
      </c>
      <c r="S429">
        <v>10266</v>
      </c>
      <c r="T429">
        <v>2845</v>
      </c>
      <c r="U429">
        <v>4</v>
      </c>
      <c r="V429" t="s">
        <v>41</v>
      </c>
      <c r="W429" t="s">
        <v>42</v>
      </c>
      <c r="X429">
        <v>19</v>
      </c>
      <c r="Y429">
        <v>3</v>
      </c>
      <c r="Z429">
        <v>4</v>
      </c>
      <c r="AA429">
        <v>80</v>
      </c>
      <c r="AB429">
        <v>0</v>
      </c>
      <c r="AC429">
        <v>22</v>
      </c>
      <c r="AD429">
        <v>5</v>
      </c>
      <c r="AE429">
        <v>4</v>
      </c>
      <c r="AF429">
        <v>18</v>
      </c>
      <c r="AG429">
        <v>13</v>
      </c>
      <c r="AH429">
        <v>13</v>
      </c>
      <c r="AI429">
        <v>11</v>
      </c>
      <c r="AJ429">
        <f t="shared" si="6"/>
        <v>0</v>
      </c>
      <c r="AK429" t="str" cm="1">
        <f t="array" ref="AK429">_xlfn.IFS(A429&lt;=30,"18-30",A429&lt;=45,"31-45",A429&lt;=60,"46-60",TRUE, "60+")</f>
        <v>46-60</v>
      </c>
      <c r="AL429" t="str" cm="1">
        <f t="array" ref="AL429">_xlfn.IFS(F429&lt;=10,"0-10",F429&lt;=20,"11-20",TRUE,"20+")</f>
        <v>20+</v>
      </c>
      <c r="AM429" t="str" cm="1">
        <f t="array" ref="AM429">_xlfn.IFS(S429&lt;=5000,"0-5k",S429&lt;=10000,"5k-10k",S429&lt;=15000,"10k-15k",TRUE,"15k+")</f>
        <v>10k-15k</v>
      </c>
      <c r="AN429" t="str" cm="1">
        <f t="array" ref="AN429">_xlfn.IFS(AF429&lt;=10,"0-10",AF429&lt;=20,"10-20",AF429&lt;=30,"20-30",TRUE,"30+")</f>
        <v>10-20</v>
      </c>
      <c r="AO429" t="str" cm="1">
        <f t="array" ref="AO429">_xlfn.IFS(Y429=1,"Poor",Y429=2,"Average",Y429=3,"Good",TRUE,"Excellent")</f>
        <v>Good</v>
      </c>
      <c r="AP429" t="str" cm="1">
        <f t="array" ref="AP429">_xlfn.IFS(Q429=1,"Low",Q429=2,"Medium",Q429=3,"High",TRUE,"Very High")</f>
        <v>Low</v>
      </c>
    </row>
    <row r="430" spans="1:42" x14ac:dyDescent="0.25">
      <c r="A430">
        <v>47</v>
      </c>
      <c r="B430" t="s">
        <v>42</v>
      </c>
      <c r="C430" t="s">
        <v>90</v>
      </c>
      <c r="D430">
        <v>983</v>
      </c>
      <c r="E430" t="s">
        <v>43</v>
      </c>
      <c r="F430">
        <v>2</v>
      </c>
      <c r="G430">
        <v>2</v>
      </c>
      <c r="H430" t="s">
        <v>49</v>
      </c>
      <c r="I430">
        <v>1</v>
      </c>
      <c r="J430">
        <v>574</v>
      </c>
      <c r="K430">
        <v>1</v>
      </c>
      <c r="L430" t="s">
        <v>38</v>
      </c>
      <c r="M430">
        <v>65</v>
      </c>
      <c r="N430">
        <v>3</v>
      </c>
      <c r="O430">
        <v>2</v>
      </c>
      <c r="P430" t="s">
        <v>51</v>
      </c>
      <c r="Q430">
        <v>4</v>
      </c>
      <c r="R430" t="s">
        <v>50</v>
      </c>
      <c r="S430">
        <v>5070</v>
      </c>
      <c r="T430">
        <v>7389</v>
      </c>
      <c r="U430">
        <v>5</v>
      </c>
      <c r="V430" t="s">
        <v>41</v>
      </c>
      <c r="W430" t="s">
        <v>42</v>
      </c>
      <c r="X430">
        <v>13</v>
      </c>
      <c r="Y430">
        <v>3</v>
      </c>
      <c r="Z430">
        <v>3</v>
      </c>
      <c r="AA430">
        <v>80</v>
      </c>
      <c r="AB430">
        <v>3</v>
      </c>
      <c r="AC430">
        <v>20</v>
      </c>
      <c r="AD430">
        <v>2</v>
      </c>
      <c r="AE430">
        <v>3</v>
      </c>
      <c r="AF430">
        <v>5</v>
      </c>
      <c r="AG430">
        <v>0</v>
      </c>
      <c r="AH430">
        <v>0</v>
      </c>
      <c r="AI430">
        <v>4</v>
      </c>
      <c r="AJ430">
        <f t="shared" si="6"/>
        <v>0</v>
      </c>
      <c r="AK430" t="str" cm="1">
        <f t="array" ref="AK430">_xlfn.IFS(A430&lt;=30,"18-30",A430&lt;=45,"31-45",A430&lt;=60,"46-60",TRUE, "60+")</f>
        <v>46-60</v>
      </c>
      <c r="AL430" t="str" cm="1">
        <f t="array" ref="AL430">_xlfn.IFS(F430&lt;=10,"0-10",F430&lt;=20,"11-20",TRUE,"20+")</f>
        <v>0-10</v>
      </c>
      <c r="AM430" t="str" cm="1">
        <f t="array" ref="AM430">_xlfn.IFS(S430&lt;=5000,"0-5k",S430&lt;=10000,"5k-10k",S430&lt;=15000,"10k-15k",TRUE,"15k+")</f>
        <v>5k-10k</v>
      </c>
      <c r="AN430" t="str" cm="1">
        <f t="array" ref="AN430">_xlfn.IFS(AF430&lt;=10,"0-10",AF430&lt;=20,"10-20",AF430&lt;=30,"20-30",TRUE,"30+")</f>
        <v>0-10</v>
      </c>
      <c r="AO430" t="str" cm="1">
        <f t="array" ref="AO430">_xlfn.IFS(Y430=1,"Poor",Y430=2,"Average",Y430=3,"Good",TRUE,"Excellent")</f>
        <v>Good</v>
      </c>
      <c r="AP430" t="str" cm="1">
        <f t="array" ref="AP430">_xlfn.IFS(Q430=1,"Low",Q430=2,"Medium",Q430=3,"High",TRUE,"Very High")</f>
        <v>Very High</v>
      </c>
    </row>
    <row r="431" spans="1:42" x14ac:dyDescent="0.25">
      <c r="A431">
        <v>46</v>
      </c>
      <c r="B431" t="s">
        <v>42</v>
      </c>
      <c r="C431" t="s">
        <v>90</v>
      </c>
      <c r="D431">
        <v>1009</v>
      </c>
      <c r="E431" t="s">
        <v>43</v>
      </c>
      <c r="F431">
        <v>2</v>
      </c>
      <c r="G431">
        <v>3</v>
      </c>
      <c r="H431" t="s">
        <v>37</v>
      </c>
      <c r="I431">
        <v>1</v>
      </c>
      <c r="J431">
        <v>575</v>
      </c>
      <c r="K431">
        <v>1</v>
      </c>
      <c r="L431" t="s">
        <v>44</v>
      </c>
      <c r="M431">
        <v>51</v>
      </c>
      <c r="N431">
        <v>3</v>
      </c>
      <c r="O431">
        <v>4</v>
      </c>
      <c r="P431" t="s">
        <v>56</v>
      </c>
      <c r="Q431">
        <v>3</v>
      </c>
      <c r="R431" t="s">
        <v>46</v>
      </c>
      <c r="S431">
        <v>17861</v>
      </c>
      <c r="T431">
        <v>2288</v>
      </c>
      <c r="U431">
        <v>6</v>
      </c>
      <c r="V431" t="s">
        <v>41</v>
      </c>
      <c r="W431" t="s">
        <v>42</v>
      </c>
      <c r="X431">
        <v>13</v>
      </c>
      <c r="Y431">
        <v>3</v>
      </c>
      <c r="Z431">
        <v>3</v>
      </c>
      <c r="AA431">
        <v>80</v>
      </c>
      <c r="AB431">
        <v>0</v>
      </c>
      <c r="AC431">
        <v>26</v>
      </c>
      <c r="AD431">
        <v>2</v>
      </c>
      <c r="AE431">
        <v>1</v>
      </c>
      <c r="AF431">
        <v>3</v>
      </c>
      <c r="AG431">
        <v>2</v>
      </c>
      <c r="AH431">
        <v>0</v>
      </c>
      <c r="AI431">
        <v>1</v>
      </c>
      <c r="AJ431">
        <f t="shared" si="6"/>
        <v>0</v>
      </c>
      <c r="AK431" t="str" cm="1">
        <f t="array" ref="AK431">_xlfn.IFS(A431&lt;=30,"18-30",A431&lt;=45,"31-45",A431&lt;=60,"46-60",TRUE, "60+")</f>
        <v>46-60</v>
      </c>
      <c r="AL431" t="str" cm="1">
        <f t="array" ref="AL431">_xlfn.IFS(F431&lt;=10,"0-10",F431&lt;=20,"11-20",TRUE,"20+")</f>
        <v>0-10</v>
      </c>
      <c r="AM431" t="str" cm="1">
        <f t="array" ref="AM431">_xlfn.IFS(S431&lt;=5000,"0-5k",S431&lt;=10000,"5k-10k",S431&lt;=15000,"10k-15k",TRUE,"15k+")</f>
        <v>15k+</v>
      </c>
      <c r="AN431" t="str" cm="1">
        <f t="array" ref="AN431">_xlfn.IFS(AF431&lt;=10,"0-10",AF431&lt;=20,"10-20",AF431&lt;=30,"20-30",TRUE,"30+")</f>
        <v>0-10</v>
      </c>
      <c r="AO431" t="str" cm="1">
        <f t="array" ref="AO431">_xlfn.IFS(Y431=1,"Poor",Y431=2,"Average",Y431=3,"Good",TRUE,"Excellent")</f>
        <v>Good</v>
      </c>
      <c r="AP431" t="str" cm="1">
        <f t="array" ref="AP431">_xlfn.IFS(Q431=1,"Low",Q431=2,"Medium",Q431=3,"High",TRUE,"Very High")</f>
        <v>High</v>
      </c>
    </row>
    <row r="432" spans="1:42" x14ac:dyDescent="0.25">
      <c r="A432">
        <v>35</v>
      </c>
      <c r="B432" t="s">
        <v>42</v>
      </c>
      <c r="C432" t="s">
        <v>90</v>
      </c>
      <c r="D432">
        <v>144</v>
      </c>
      <c r="E432" t="s">
        <v>43</v>
      </c>
      <c r="F432">
        <v>22</v>
      </c>
      <c r="G432">
        <v>3</v>
      </c>
      <c r="H432" t="s">
        <v>37</v>
      </c>
      <c r="I432">
        <v>1</v>
      </c>
      <c r="J432">
        <v>577</v>
      </c>
      <c r="K432">
        <v>4</v>
      </c>
      <c r="L432" t="s">
        <v>44</v>
      </c>
      <c r="M432">
        <v>46</v>
      </c>
      <c r="N432">
        <v>1</v>
      </c>
      <c r="O432">
        <v>1</v>
      </c>
      <c r="P432" t="s">
        <v>48</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c r="AJ432">
        <f t="shared" si="6"/>
        <v>0</v>
      </c>
      <c r="AK432" t="str" cm="1">
        <f t="array" ref="AK432">_xlfn.IFS(A432&lt;=30,"18-30",A432&lt;=45,"31-45",A432&lt;=60,"46-60",TRUE, "60+")</f>
        <v>31-45</v>
      </c>
      <c r="AL432" t="str" cm="1">
        <f t="array" ref="AL432">_xlfn.IFS(F432&lt;=10,"0-10",F432&lt;=20,"11-20",TRUE,"20+")</f>
        <v>20+</v>
      </c>
      <c r="AM432" t="str" cm="1">
        <f t="array" ref="AM432">_xlfn.IFS(S432&lt;=5000,"0-5k",S432&lt;=10000,"5k-10k",S432&lt;=15000,"10k-15k",TRUE,"15k+")</f>
        <v>0-5k</v>
      </c>
      <c r="AN432" t="str" cm="1">
        <f t="array" ref="AN432">_xlfn.IFS(AF432&lt;=10,"0-10",AF432&lt;=20,"10-20",AF432&lt;=30,"20-30",TRUE,"30+")</f>
        <v>0-10</v>
      </c>
      <c r="AO432" t="str" cm="1">
        <f t="array" ref="AO432">_xlfn.IFS(Y432=1,"Poor",Y432=2,"Average",Y432=3,"Good",TRUE,"Excellent")</f>
        <v>Good</v>
      </c>
      <c r="AP432" t="str" cm="1">
        <f t="array" ref="AP432">_xlfn.IFS(Q432=1,"Low",Q432=2,"Medium",Q432=3,"High",TRUE,"Very High")</f>
        <v>High</v>
      </c>
    </row>
    <row r="433" spans="1:42" x14ac:dyDescent="0.25">
      <c r="A433">
        <v>54</v>
      </c>
      <c r="B433" t="s">
        <v>42</v>
      </c>
      <c r="C433" t="s">
        <v>90</v>
      </c>
      <c r="D433">
        <v>548</v>
      </c>
      <c r="E433" t="s">
        <v>43</v>
      </c>
      <c r="F433">
        <v>8</v>
      </c>
      <c r="G433">
        <v>4</v>
      </c>
      <c r="H433" t="s">
        <v>37</v>
      </c>
      <c r="I433">
        <v>1</v>
      </c>
      <c r="J433">
        <v>578</v>
      </c>
      <c r="K433">
        <v>3</v>
      </c>
      <c r="L433" t="s">
        <v>38</v>
      </c>
      <c r="M433">
        <v>42</v>
      </c>
      <c r="N433">
        <v>3</v>
      </c>
      <c r="O433">
        <v>2</v>
      </c>
      <c r="P433" t="s">
        <v>48</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c r="AJ433">
        <f t="shared" si="6"/>
        <v>0</v>
      </c>
      <c r="AK433" t="str" cm="1">
        <f t="array" ref="AK433">_xlfn.IFS(A433&lt;=30,"18-30",A433&lt;=45,"31-45",A433&lt;=60,"46-60",TRUE, "60+")</f>
        <v>46-60</v>
      </c>
      <c r="AL433" t="str" cm="1">
        <f t="array" ref="AL433">_xlfn.IFS(F433&lt;=10,"0-10",F433&lt;=20,"11-20",TRUE,"20+")</f>
        <v>0-10</v>
      </c>
      <c r="AM433" t="str" cm="1">
        <f t="array" ref="AM433">_xlfn.IFS(S433&lt;=5000,"0-5k",S433&lt;=10000,"5k-10k",S433&lt;=15000,"10k-15k",TRUE,"15k+")</f>
        <v>0-5k</v>
      </c>
      <c r="AN433" t="str" cm="1">
        <f t="array" ref="AN433">_xlfn.IFS(AF433&lt;=10,"0-10",AF433&lt;=20,"10-20",AF433&lt;=30,"20-30",TRUE,"30+")</f>
        <v>0-10</v>
      </c>
      <c r="AO433" t="str" cm="1">
        <f t="array" ref="AO433">_xlfn.IFS(Y433=1,"Poor",Y433=2,"Average",Y433=3,"Good",TRUE,"Excellent")</f>
        <v>Good</v>
      </c>
      <c r="AP433" t="str" cm="1">
        <f t="array" ref="AP433">_xlfn.IFS(Q433=1,"Low",Q433=2,"Medium",Q433=3,"High",TRUE,"Very High")</f>
        <v>High</v>
      </c>
    </row>
    <row r="434" spans="1:42" x14ac:dyDescent="0.25">
      <c r="A434">
        <v>34</v>
      </c>
      <c r="B434" t="s">
        <v>42</v>
      </c>
      <c r="C434" t="s">
        <v>90</v>
      </c>
      <c r="D434">
        <v>1303</v>
      </c>
      <c r="E434" t="s">
        <v>43</v>
      </c>
      <c r="F434">
        <v>2</v>
      </c>
      <c r="G434">
        <v>4</v>
      </c>
      <c r="H434" t="s">
        <v>37</v>
      </c>
      <c r="I434">
        <v>1</v>
      </c>
      <c r="J434">
        <v>579</v>
      </c>
      <c r="K434">
        <v>4</v>
      </c>
      <c r="L434" t="s">
        <v>44</v>
      </c>
      <c r="M434">
        <v>62</v>
      </c>
      <c r="N434">
        <v>2</v>
      </c>
      <c r="O434">
        <v>1</v>
      </c>
      <c r="P434" t="s">
        <v>45</v>
      </c>
      <c r="Q434">
        <v>3</v>
      </c>
      <c r="R434" t="s">
        <v>50</v>
      </c>
      <c r="S434">
        <v>2768</v>
      </c>
      <c r="T434">
        <v>8416</v>
      </c>
      <c r="U434">
        <v>3</v>
      </c>
      <c r="V434" t="s">
        <v>41</v>
      </c>
      <c r="W434" t="s">
        <v>42</v>
      </c>
      <c r="X434">
        <v>12</v>
      </c>
      <c r="Y434">
        <v>3</v>
      </c>
      <c r="Z434">
        <v>3</v>
      </c>
      <c r="AA434">
        <v>80</v>
      </c>
      <c r="AB434">
        <v>1</v>
      </c>
      <c r="AC434">
        <v>14</v>
      </c>
      <c r="AD434">
        <v>3</v>
      </c>
      <c r="AE434">
        <v>3</v>
      </c>
      <c r="AF434">
        <v>7</v>
      </c>
      <c r="AG434">
        <v>3</v>
      </c>
      <c r="AH434">
        <v>5</v>
      </c>
      <c r="AI434">
        <v>7</v>
      </c>
      <c r="AJ434">
        <f t="shared" si="6"/>
        <v>0</v>
      </c>
      <c r="AK434" t="str" cm="1">
        <f t="array" ref="AK434">_xlfn.IFS(A434&lt;=30,"18-30",A434&lt;=45,"31-45",A434&lt;=60,"46-60",TRUE, "60+")</f>
        <v>31-45</v>
      </c>
      <c r="AL434" t="str" cm="1">
        <f t="array" ref="AL434">_xlfn.IFS(F434&lt;=10,"0-10",F434&lt;=20,"11-20",TRUE,"20+")</f>
        <v>0-10</v>
      </c>
      <c r="AM434" t="str" cm="1">
        <f t="array" ref="AM434">_xlfn.IFS(S434&lt;=5000,"0-5k",S434&lt;=10000,"5k-10k",S434&lt;=15000,"10k-15k",TRUE,"15k+")</f>
        <v>0-5k</v>
      </c>
      <c r="AN434" t="str" cm="1">
        <f t="array" ref="AN434">_xlfn.IFS(AF434&lt;=10,"0-10",AF434&lt;=20,"10-20",AF434&lt;=30,"20-30",TRUE,"30+")</f>
        <v>0-10</v>
      </c>
      <c r="AO434" t="str" cm="1">
        <f t="array" ref="AO434">_xlfn.IFS(Y434=1,"Poor",Y434=2,"Average",Y434=3,"Good",TRUE,"Excellent")</f>
        <v>Good</v>
      </c>
      <c r="AP434" t="str" cm="1">
        <f t="array" ref="AP434">_xlfn.IFS(Q434=1,"Low",Q434=2,"Medium",Q434=3,"High",TRUE,"Very High")</f>
        <v>High</v>
      </c>
    </row>
    <row r="435" spans="1:42" x14ac:dyDescent="0.25">
      <c r="A435">
        <v>46</v>
      </c>
      <c r="B435" t="s">
        <v>42</v>
      </c>
      <c r="C435" t="s">
        <v>90</v>
      </c>
      <c r="D435">
        <v>1125</v>
      </c>
      <c r="E435" t="s">
        <v>36</v>
      </c>
      <c r="F435">
        <v>10</v>
      </c>
      <c r="G435">
        <v>3</v>
      </c>
      <c r="H435" t="s">
        <v>57</v>
      </c>
      <c r="I435">
        <v>1</v>
      </c>
      <c r="J435">
        <v>580</v>
      </c>
      <c r="K435">
        <v>3</v>
      </c>
      <c r="L435" t="s">
        <v>38</v>
      </c>
      <c r="M435">
        <v>94</v>
      </c>
      <c r="N435">
        <v>2</v>
      </c>
      <c r="O435">
        <v>3</v>
      </c>
      <c r="P435" t="s">
        <v>39</v>
      </c>
      <c r="Q435">
        <v>4</v>
      </c>
      <c r="R435" t="s">
        <v>46</v>
      </c>
      <c r="S435">
        <v>9071</v>
      </c>
      <c r="T435">
        <v>11563</v>
      </c>
      <c r="U435">
        <v>2</v>
      </c>
      <c r="V435" t="s">
        <v>41</v>
      </c>
      <c r="W435" t="s">
        <v>35</v>
      </c>
      <c r="X435">
        <v>19</v>
      </c>
      <c r="Y435">
        <v>3</v>
      </c>
      <c r="Z435">
        <v>3</v>
      </c>
      <c r="AA435">
        <v>80</v>
      </c>
      <c r="AB435">
        <v>1</v>
      </c>
      <c r="AC435">
        <v>15</v>
      </c>
      <c r="AD435">
        <v>3</v>
      </c>
      <c r="AE435">
        <v>3</v>
      </c>
      <c r="AF435">
        <v>3</v>
      </c>
      <c r="AG435">
        <v>2</v>
      </c>
      <c r="AH435">
        <v>1</v>
      </c>
      <c r="AI435">
        <v>2</v>
      </c>
      <c r="AJ435">
        <f t="shared" si="6"/>
        <v>0</v>
      </c>
      <c r="AK435" t="str" cm="1">
        <f t="array" ref="AK435">_xlfn.IFS(A435&lt;=30,"18-30",A435&lt;=45,"31-45",A435&lt;=60,"46-60",TRUE, "60+")</f>
        <v>46-60</v>
      </c>
      <c r="AL435" t="str" cm="1">
        <f t="array" ref="AL435">_xlfn.IFS(F435&lt;=10,"0-10",F435&lt;=20,"11-20",TRUE,"20+")</f>
        <v>0-10</v>
      </c>
      <c r="AM435" t="str" cm="1">
        <f t="array" ref="AM435">_xlfn.IFS(S435&lt;=5000,"0-5k",S435&lt;=10000,"5k-10k",S435&lt;=15000,"10k-15k",TRUE,"15k+")</f>
        <v>5k-10k</v>
      </c>
      <c r="AN435" t="str" cm="1">
        <f t="array" ref="AN435">_xlfn.IFS(AF435&lt;=10,"0-10",AF435&lt;=20,"10-20",AF435&lt;=30,"20-30",TRUE,"30+")</f>
        <v>0-10</v>
      </c>
      <c r="AO435" t="str" cm="1">
        <f t="array" ref="AO435">_xlfn.IFS(Y435=1,"Poor",Y435=2,"Average",Y435=3,"Good",TRUE,"Excellent")</f>
        <v>Good</v>
      </c>
      <c r="AP435" t="str" cm="1">
        <f t="array" ref="AP435">_xlfn.IFS(Q435=1,"Low",Q435=2,"Medium",Q435=3,"High",TRUE,"Very High")</f>
        <v>Very High</v>
      </c>
    </row>
    <row r="436" spans="1:42" x14ac:dyDescent="0.25">
      <c r="A436">
        <v>31</v>
      </c>
      <c r="B436" t="s">
        <v>42</v>
      </c>
      <c r="C436" t="s">
        <v>90</v>
      </c>
      <c r="D436">
        <v>1274</v>
      </c>
      <c r="E436" t="s">
        <v>43</v>
      </c>
      <c r="F436">
        <v>9</v>
      </c>
      <c r="G436">
        <v>1</v>
      </c>
      <c r="H436" t="s">
        <v>37</v>
      </c>
      <c r="I436">
        <v>1</v>
      </c>
      <c r="J436">
        <v>581</v>
      </c>
      <c r="K436">
        <v>3</v>
      </c>
      <c r="L436" t="s">
        <v>44</v>
      </c>
      <c r="M436">
        <v>33</v>
      </c>
      <c r="N436">
        <v>3</v>
      </c>
      <c r="O436">
        <v>3</v>
      </c>
      <c r="P436" t="s">
        <v>51</v>
      </c>
      <c r="Q436">
        <v>2</v>
      </c>
      <c r="R436" t="s">
        <v>50</v>
      </c>
      <c r="S436">
        <v>10648</v>
      </c>
      <c r="T436">
        <v>14394</v>
      </c>
      <c r="U436">
        <v>1</v>
      </c>
      <c r="V436" t="s">
        <v>41</v>
      </c>
      <c r="W436" t="s">
        <v>42</v>
      </c>
      <c r="X436">
        <v>25</v>
      </c>
      <c r="Y436">
        <v>4</v>
      </c>
      <c r="Z436">
        <v>4</v>
      </c>
      <c r="AA436">
        <v>80</v>
      </c>
      <c r="AB436">
        <v>1</v>
      </c>
      <c r="AC436">
        <v>13</v>
      </c>
      <c r="AD436">
        <v>6</v>
      </c>
      <c r="AE436">
        <v>4</v>
      </c>
      <c r="AF436">
        <v>13</v>
      </c>
      <c r="AG436">
        <v>8</v>
      </c>
      <c r="AH436">
        <v>0</v>
      </c>
      <c r="AI436">
        <v>8</v>
      </c>
      <c r="AJ436">
        <f t="shared" si="6"/>
        <v>0</v>
      </c>
      <c r="AK436" t="str" cm="1">
        <f t="array" ref="AK436">_xlfn.IFS(A436&lt;=30,"18-30",A436&lt;=45,"31-45",A436&lt;=60,"46-60",TRUE, "60+")</f>
        <v>31-45</v>
      </c>
      <c r="AL436" t="str" cm="1">
        <f t="array" ref="AL436">_xlfn.IFS(F436&lt;=10,"0-10",F436&lt;=20,"11-20",TRUE,"20+")</f>
        <v>0-10</v>
      </c>
      <c r="AM436" t="str" cm="1">
        <f t="array" ref="AM436">_xlfn.IFS(S436&lt;=5000,"0-5k",S436&lt;=10000,"5k-10k",S436&lt;=15000,"10k-15k",TRUE,"15k+")</f>
        <v>10k-15k</v>
      </c>
      <c r="AN436" t="str" cm="1">
        <f t="array" ref="AN436">_xlfn.IFS(AF436&lt;=10,"0-10",AF436&lt;=20,"10-20",AF436&lt;=30,"20-30",TRUE,"30+")</f>
        <v>10-20</v>
      </c>
      <c r="AO436" t="str" cm="1">
        <f t="array" ref="AO436">_xlfn.IFS(Y436=1,"Poor",Y436=2,"Average",Y436=3,"Good",TRUE,"Excellent")</f>
        <v>Excellent</v>
      </c>
      <c r="AP436" t="str" cm="1">
        <f t="array" ref="AP436">_xlfn.IFS(Q436=1,"Low",Q436=2,"Medium",Q436=3,"High",TRUE,"Very High")</f>
        <v>Medium</v>
      </c>
    </row>
    <row r="437" spans="1:42" x14ac:dyDescent="0.25">
      <c r="A437">
        <v>33</v>
      </c>
      <c r="B437" t="s">
        <v>35</v>
      </c>
      <c r="C437" t="s">
        <v>90</v>
      </c>
      <c r="D437">
        <v>1277</v>
      </c>
      <c r="E437" t="s">
        <v>43</v>
      </c>
      <c r="F437">
        <v>15</v>
      </c>
      <c r="G437">
        <v>1</v>
      </c>
      <c r="H437" t="s">
        <v>49</v>
      </c>
      <c r="I437">
        <v>1</v>
      </c>
      <c r="J437">
        <v>582</v>
      </c>
      <c r="K437">
        <v>2</v>
      </c>
      <c r="L437" t="s">
        <v>44</v>
      </c>
      <c r="M437">
        <v>56</v>
      </c>
      <c r="N437">
        <v>3</v>
      </c>
      <c r="O437">
        <v>3</v>
      </c>
      <c r="P437" t="s">
        <v>54</v>
      </c>
      <c r="Q437">
        <v>3</v>
      </c>
      <c r="R437" t="s">
        <v>46</v>
      </c>
      <c r="S437">
        <v>13610</v>
      </c>
      <c r="T437">
        <v>24619</v>
      </c>
      <c r="U437">
        <v>7</v>
      </c>
      <c r="V437" t="s">
        <v>41</v>
      </c>
      <c r="W437" t="s">
        <v>35</v>
      </c>
      <c r="X437">
        <v>12</v>
      </c>
      <c r="Y437">
        <v>3</v>
      </c>
      <c r="Z437">
        <v>4</v>
      </c>
      <c r="AA437">
        <v>80</v>
      </c>
      <c r="AB437">
        <v>0</v>
      </c>
      <c r="AC437">
        <v>15</v>
      </c>
      <c r="AD437">
        <v>2</v>
      </c>
      <c r="AE437">
        <v>4</v>
      </c>
      <c r="AF437">
        <v>7</v>
      </c>
      <c r="AG437">
        <v>6</v>
      </c>
      <c r="AH437">
        <v>7</v>
      </c>
      <c r="AI437">
        <v>7</v>
      </c>
      <c r="AJ437">
        <f t="shared" si="6"/>
        <v>1</v>
      </c>
      <c r="AK437" t="str" cm="1">
        <f t="array" ref="AK437">_xlfn.IFS(A437&lt;=30,"18-30",A437&lt;=45,"31-45",A437&lt;=60,"46-60",TRUE, "60+")</f>
        <v>31-45</v>
      </c>
      <c r="AL437" t="str" cm="1">
        <f t="array" ref="AL437">_xlfn.IFS(F437&lt;=10,"0-10",F437&lt;=20,"11-20",TRUE,"20+")</f>
        <v>11-20</v>
      </c>
      <c r="AM437" t="str" cm="1">
        <f t="array" ref="AM437">_xlfn.IFS(S437&lt;=5000,"0-5k",S437&lt;=10000,"5k-10k",S437&lt;=15000,"10k-15k",TRUE,"15k+")</f>
        <v>10k-15k</v>
      </c>
      <c r="AN437" t="str" cm="1">
        <f t="array" ref="AN437">_xlfn.IFS(AF437&lt;=10,"0-10",AF437&lt;=20,"10-20",AF437&lt;=30,"20-30",TRUE,"30+")</f>
        <v>0-10</v>
      </c>
      <c r="AO437" t="str" cm="1">
        <f t="array" ref="AO437">_xlfn.IFS(Y437=1,"Poor",Y437=2,"Average",Y437=3,"Good",TRUE,"Excellent")</f>
        <v>Good</v>
      </c>
      <c r="AP437" t="str" cm="1">
        <f t="array" ref="AP437">_xlfn.IFS(Q437=1,"Low",Q437=2,"Medium",Q437=3,"High",TRUE,"Very High")</f>
        <v>High</v>
      </c>
    </row>
    <row r="438" spans="1:42" x14ac:dyDescent="0.25">
      <c r="A438">
        <v>33</v>
      </c>
      <c r="B438" t="s">
        <v>35</v>
      </c>
      <c r="C438" t="s">
        <v>90</v>
      </c>
      <c r="D438">
        <v>587</v>
      </c>
      <c r="E438" t="s">
        <v>43</v>
      </c>
      <c r="F438">
        <v>10</v>
      </c>
      <c r="G438">
        <v>1</v>
      </c>
      <c r="H438" t="s">
        <v>49</v>
      </c>
      <c r="I438">
        <v>1</v>
      </c>
      <c r="J438">
        <v>584</v>
      </c>
      <c r="K438">
        <v>1</v>
      </c>
      <c r="L438" t="s">
        <v>44</v>
      </c>
      <c r="M438">
        <v>38</v>
      </c>
      <c r="N438">
        <v>1</v>
      </c>
      <c r="O438">
        <v>1</v>
      </c>
      <c r="P438" t="s">
        <v>48</v>
      </c>
      <c r="Q438">
        <v>4</v>
      </c>
      <c r="R438" t="s">
        <v>50</v>
      </c>
      <c r="S438">
        <v>3408</v>
      </c>
      <c r="T438">
        <v>6705</v>
      </c>
      <c r="U438">
        <v>7</v>
      </c>
      <c r="V438" t="s">
        <v>41</v>
      </c>
      <c r="W438" t="s">
        <v>42</v>
      </c>
      <c r="X438">
        <v>13</v>
      </c>
      <c r="Y438">
        <v>3</v>
      </c>
      <c r="Z438">
        <v>1</v>
      </c>
      <c r="AA438">
        <v>80</v>
      </c>
      <c r="AB438">
        <v>3</v>
      </c>
      <c r="AC438">
        <v>8</v>
      </c>
      <c r="AD438">
        <v>2</v>
      </c>
      <c r="AE438">
        <v>3</v>
      </c>
      <c r="AF438">
        <v>4</v>
      </c>
      <c r="AG438">
        <v>3</v>
      </c>
      <c r="AH438">
        <v>1</v>
      </c>
      <c r="AI438">
        <v>3</v>
      </c>
      <c r="AJ438">
        <f t="shared" si="6"/>
        <v>1</v>
      </c>
      <c r="AK438" t="str" cm="1">
        <f t="array" ref="AK438">_xlfn.IFS(A438&lt;=30,"18-30",A438&lt;=45,"31-45",A438&lt;=60,"46-60",TRUE, "60+")</f>
        <v>31-45</v>
      </c>
      <c r="AL438" t="str" cm="1">
        <f t="array" ref="AL438">_xlfn.IFS(F438&lt;=10,"0-10",F438&lt;=20,"11-20",TRUE,"20+")</f>
        <v>0-10</v>
      </c>
      <c r="AM438" t="str" cm="1">
        <f t="array" ref="AM438">_xlfn.IFS(S438&lt;=5000,"0-5k",S438&lt;=10000,"5k-10k",S438&lt;=15000,"10k-15k",TRUE,"15k+")</f>
        <v>0-5k</v>
      </c>
      <c r="AN438" t="str" cm="1">
        <f t="array" ref="AN438">_xlfn.IFS(AF438&lt;=10,"0-10",AF438&lt;=20,"10-20",AF438&lt;=30,"20-30",TRUE,"30+")</f>
        <v>0-10</v>
      </c>
      <c r="AO438" t="str" cm="1">
        <f t="array" ref="AO438">_xlfn.IFS(Y438=1,"Poor",Y438=2,"Average",Y438=3,"Good",TRUE,"Excellent")</f>
        <v>Good</v>
      </c>
      <c r="AP438" t="str" cm="1">
        <f t="array" ref="AP438">_xlfn.IFS(Q438=1,"Low",Q438=2,"Medium",Q438=3,"High",TRUE,"Very High")</f>
        <v>Very High</v>
      </c>
    </row>
    <row r="439" spans="1:42" x14ac:dyDescent="0.25">
      <c r="A439">
        <v>30</v>
      </c>
      <c r="B439" t="s">
        <v>42</v>
      </c>
      <c r="C439" t="s">
        <v>90</v>
      </c>
      <c r="D439">
        <v>413</v>
      </c>
      <c r="E439" t="s">
        <v>36</v>
      </c>
      <c r="F439">
        <v>7</v>
      </c>
      <c r="G439">
        <v>1</v>
      </c>
      <c r="H439" t="s">
        <v>57</v>
      </c>
      <c r="I439">
        <v>1</v>
      </c>
      <c r="J439">
        <v>585</v>
      </c>
      <c r="K439">
        <v>4</v>
      </c>
      <c r="L439" t="s">
        <v>44</v>
      </c>
      <c r="M439">
        <v>57</v>
      </c>
      <c r="N439">
        <v>3</v>
      </c>
      <c r="O439">
        <v>1</v>
      </c>
      <c r="P439" t="s">
        <v>55</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c r="AJ439">
        <f t="shared" si="6"/>
        <v>0</v>
      </c>
      <c r="AK439" t="str" cm="1">
        <f t="array" ref="AK439">_xlfn.IFS(A439&lt;=30,"18-30",A439&lt;=45,"31-45",A439&lt;=60,"46-60",TRUE, "60+")</f>
        <v>18-30</v>
      </c>
      <c r="AL439" t="str" cm="1">
        <f t="array" ref="AL439">_xlfn.IFS(F439&lt;=10,"0-10",F439&lt;=20,"11-20",TRUE,"20+")</f>
        <v>0-10</v>
      </c>
      <c r="AM439" t="str" cm="1">
        <f t="array" ref="AM439">_xlfn.IFS(S439&lt;=5000,"0-5k",S439&lt;=10000,"5k-10k",S439&lt;=15000,"10k-15k",TRUE,"15k+")</f>
        <v>0-5k</v>
      </c>
      <c r="AN439" t="str" cm="1">
        <f t="array" ref="AN439">_xlfn.IFS(AF439&lt;=10,"0-10",AF439&lt;=20,"10-20",AF439&lt;=30,"20-30",TRUE,"30+")</f>
        <v>0-10</v>
      </c>
      <c r="AO439" t="str" cm="1">
        <f t="array" ref="AO439">_xlfn.IFS(Y439=1,"Poor",Y439=2,"Average",Y439=3,"Good",TRUE,"Excellent")</f>
        <v>Good</v>
      </c>
      <c r="AP439" t="str" cm="1">
        <f t="array" ref="AP439">_xlfn.IFS(Q439=1,"Low",Q439=2,"Medium",Q439=3,"High",TRUE,"Very High")</f>
        <v>Medium</v>
      </c>
    </row>
    <row r="440" spans="1:42" x14ac:dyDescent="0.25">
      <c r="A440">
        <v>35</v>
      </c>
      <c r="B440" t="s">
        <v>42</v>
      </c>
      <c r="C440" t="s">
        <v>90</v>
      </c>
      <c r="D440">
        <v>1276</v>
      </c>
      <c r="E440" t="s">
        <v>43</v>
      </c>
      <c r="F440">
        <v>16</v>
      </c>
      <c r="G440">
        <v>3</v>
      </c>
      <c r="H440" t="s">
        <v>37</v>
      </c>
      <c r="I440">
        <v>1</v>
      </c>
      <c r="J440">
        <v>586</v>
      </c>
      <c r="K440">
        <v>4</v>
      </c>
      <c r="L440" t="s">
        <v>44</v>
      </c>
      <c r="M440">
        <v>72</v>
      </c>
      <c r="N440">
        <v>3</v>
      </c>
      <c r="O440">
        <v>3</v>
      </c>
      <c r="P440" t="s">
        <v>52</v>
      </c>
      <c r="Q440">
        <v>3</v>
      </c>
      <c r="R440" t="s">
        <v>46</v>
      </c>
      <c r="S440">
        <v>7632</v>
      </c>
      <c r="T440">
        <v>14295</v>
      </c>
      <c r="U440">
        <v>4</v>
      </c>
      <c r="V440" t="s">
        <v>41</v>
      </c>
      <c r="W440" t="s">
        <v>35</v>
      </c>
      <c r="X440">
        <v>12</v>
      </c>
      <c r="Y440">
        <v>3</v>
      </c>
      <c r="Z440">
        <v>3</v>
      </c>
      <c r="AA440">
        <v>80</v>
      </c>
      <c r="AB440">
        <v>0</v>
      </c>
      <c r="AC440">
        <v>10</v>
      </c>
      <c r="AD440">
        <v>2</v>
      </c>
      <c r="AE440">
        <v>3</v>
      </c>
      <c r="AF440">
        <v>8</v>
      </c>
      <c r="AG440">
        <v>7</v>
      </c>
      <c r="AH440">
        <v>0</v>
      </c>
      <c r="AI440">
        <v>0</v>
      </c>
      <c r="AJ440">
        <f t="shared" si="6"/>
        <v>0</v>
      </c>
      <c r="AK440" t="str" cm="1">
        <f t="array" ref="AK440">_xlfn.IFS(A440&lt;=30,"18-30",A440&lt;=45,"31-45",A440&lt;=60,"46-60",TRUE, "60+")</f>
        <v>31-45</v>
      </c>
      <c r="AL440" t="str" cm="1">
        <f t="array" ref="AL440">_xlfn.IFS(F440&lt;=10,"0-10",F440&lt;=20,"11-20",TRUE,"20+")</f>
        <v>11-20</v>
      </c>
      <c r="AM440" t="str" cm="1">
        <f t="array" ref="AM440">_xlfn.IFS(S440&lt;=5000,"0-5k",S440&lt;=10000,"5k-10k",S440&lt;=15000,"10k-15k",TRUE,"15k+")</f>
        <v>5k-10k</v>
      </c>
      <c r="AN440" t="str" cm="1">
        <f t="array" ref="AN440">_xlfn.IFS(AF440&lt;=10,"0-10",AF440&lt;=20,"10-20",AF440&lt;=30,"20-30",TRUE,"30+")</f>
        <v>0-10</v>
      </c>
      <c r="AO440" t="str" cm="1">
        <f t="array" ref="AO440">_xlfn.IFS(Y440=1,"Poor",Y440=2,"Average",Y440=3,"Good",TRUE,"Excellent")</f>
        <v>Good</v>
      </c>
      <c r="AP440" t="str" cm="1">
        <f t="array" ref="AP440">_xlfn.IFS(Q440=1,"Low",Q440=2,"Medium",Q440=3,"High",TRUE,"Very High")</f>
        <v>High</v>
      </c>
    </row>
    <row r="441" spans="1:42" x14ac:dyDescent="0.25">
      <c r="A441">
        <v>31</v>
      </c>
      <c r="B441" t="s">
        <v>35</v>
      </c>
      <c r="C441" t="s">
        <v>91</v>
      </c>
      <c r="D441">
        <v>534</v>
      </c>
      <c r="E441" t="s">
        <v>43</v>
      </c>
      <c r="F441">
        <v>20</v>
      </c>
      <c r="G441">
        <v>3</v>
      </c>
      <c r="H441" t="s">
        <v>37</v>
      </c>
      <c r="I441">
        <v>1</v>
      </c>
      <c r="J441">
        <v>587</v>
      </c>
      <c r="K441">
        <v>1</v>
      </c>
      <c r="L441" t="s">
        <v>44</v>
      </c>
      <c r="M441">
        <v>66</v>
      </c>
      <c r="N441">
        <v>3</v>
      </c>
      <c r="O441">
        <v>3</v>
      </c>
      <c r="P441" t="s">
        <v>52</v>
      </c>
      <c r="Q441">
        <v>3</v>
      </c>
      <c r="R441" t="s">
        <v>46</v>
      </c>
      <c r="S441">
        <v>9824</v>
      </c>
      <c r="T441">
        <v>22908</v>
      </c>
      <c r="U441">
        <v>3</v>
      </c>
      <c r="V441" t="s">
        <v>41</v>
      </c>
      <c r="W441" t="s">
        <v>42</v>
      </c>
      <c r="X441">
        <v>12</v>
      </c>
      <c r="Y441">
        <v>3</v>
      </c>
      <c r="Z441">
        <v>1</v>
      </c>
      <c r="AA441">
        <v>80</v>
      </c>
      <c r="AB441">
        <v>0</v>
      </c>
      <c r="AC441">
        <v>12</v>
      </c>
      <c r="AD441">
        <v>2</v>
      </c>
      <c r="AE441">
        <v>3</v>
      </c>
      <c r="AF441">
        <v>1</v>
      </c>
      <c r="AG441">
        <v>0</v>
      </c>
      <c r="AH441">
        <v>0</v>
      </c>
      <c r="AI441">
        <v>0</v>
      </c>
      <c r="AJ441">
        <f t="shared" si="6"/>
        <v>1</v>
      </c>
      <c r="AK441" t="str" cm="1">
        <f t="array" ref="AK441">_xlfn.IFS(A441&lt;=30,"18-30",A441&lt;=45,"31-45",A441&lt;=60,"46-60",TRUE, "60+")</f>
        <v>31-45</v>
      </c>
      <c r="AL441" t="str" cm="1">
        <f t="array" ref="AL441">_xlfn.IFS(F441&lt;=10,"0-10",F441&lt;=20,"11-20",TRUE,"20+")</f>
        <v>11-20</v>
      </c>
      <c r="AM441" t="str" cm="1">
        <f t="array" ref="AM441">_xlfn.IFS(S441&lt;=5000,"0-5k",S441&lt;=10000,"5k-10k",S441&lt;=15000,"10k-15k",TRUE,"15k+")</f>
        <v>5k-10k</v>
      </c>
      <c r="AN441" t="str" cm="1">
        <f t="array" ref="AN441">_xlfn.IFS(AF441&lt;=10,"0-10",AF441&lt;=20,"10-20",AF441&lt;=30,"20-30",TRUE,"30+")</f>
        <v>0-10</v>
      </c>
      <c r="AO441" t="str" cm="1">
        <f t="array" ref="AO441">_xlfn.IFS(Y441=1,"Poor",Y441=2,"Average",Y441=3,"Good",TRUE,"Excellent")</f>
        <v>Good</v>
      </c>
      <c r="AP441" t="str" cm="1">
        <f t="array" ref="AP441">_xlfn.IFS(Q441=1,"Low",Q441=2,"Medium",Q441=3,"High",TRUE,"Very High")</f>
        <v>High</v>
      </c>
    </row>
    <row r="442" spans="1:42" x14ac:dyDescent="0.25">
      <c r="A442">
        <v>34</v>
      </c>
      <c r="B442" t="s">
        <v>35</v>
      </c>
      <c r="C442" t="s">
        <v>91</v>
      </c>
      <c r="D442">
        <v>988</v>
      </c>
      <c r="E442" t="s">
        <v>59</v>
      </c>
      <c r="F442">
        <v>23</v>
      </c>
      <c r="G442">
        <v>3</v>
      </c>
      <c r="H442" t="s">
        <v>59</v>
      </c>
      <c r="I442">
        <v>1</v>
      </c>
      <c r="J442">
        <v>590</v>
      </c>
      <c r="K442">
        <v>2</v>
      </c>
      <c r="L442" t="s">
        <v>38</v>
      </c>
      <c r="M442">
        <v>43</v>
      </c>
      <c r="N442">
        <v>3</v>
      </c>
      <c r="O442">
        <v>3</v>
      </c>
      <c r="P442" t="s">
        <v>59</v>
      </c>
      <c r="Q442">
        <v>1</v>
      </c>
      <c r="R442" t="s">
        <v>50</v>
      </c>
      <c r="S442">
        <v>9950</v>
      </c>
      <c r="T442">
        <v>11533</v>
      </c>
      <c r="U442">
        <v>9</v>
      </c>
      <c r="V442" t="s">
        <v>41</v>
      </c>
      <c r="W442" t="s">
        <v>35</v>
      </c>
      <c r="X442">
        <v>15</v>
      </c>
      <c r="Y442">
        <v>3</v>
      </c>
      <c r="Z442">
        <v>3</v>
      </c>
      <c r="AA442">
        <v>80</v>
      </c>
      <c r="AB442">
        <v>3</v>
      </c>
      <c r="AC442">
        <v>11</v>
      </c>
      <c r="AD442">
        <v>2</v>
      </c>
      <c r="AE442">
        <v>3</v>
      </c>
      <c r="AF442">
        <v>3</v>
      </c>
      <c r="AG442">
        <v>2</v>
      </c>
      <c r="AH442">
        <v>0</v>
      </c>
      <c r="AI442">
        <v>2</v>
      </c>
      <c r="AJ442">
        <f t="shared" si="6"/>
        <v>1</v>
      </c>
      <c r="AK442" t="str" cm="1">
        <f t="array" ref="AK442">_xlfn.IFS(A442&lt;=30,"18-30",A442&lt;=45,"31-45",A442&lt;=60,"46-60",TRUE, "60+")</f>
        <v>31-45</v>
      </c>
      <c r="AL442" t="str" cm="1">
        <f t="array" ref="AL442">_xlfn.IFS(F442&lt;=10,"0-10",F442&lt;=20,"11-20",TRUE,"20+")</f>
        <v>20+</v>
      </c>
      <c r="AM442" t="str" cm="1">
        <f t="array" ref="AM442">_xlfn.IFS(S442&lt;=5000,"0-5k",S442&lt;=10000,"5k-10k",S442&lt;=15000,"10k-15k",TRUE,"15k+")</f>
        <v>5k-10k</v>
      </c>
      <c r="AN442" t="str" cm="1">
        <f t="array" ref="AN442">_xlfn.IFS(AF442&lt;=10,"0-10",AF442&lt;=20,"10-20",AF442&lt;=30,"20-30",TRUE,"30+")</f>
        <v>0-10</v>
      </c>
      <c r="AO442" t="str" cm="1">
        <f t="array" ref="AO442">_xlfn.IFS(Y442=1,"Poor",Y442=2,"Average",Y442=3,"Good",TRUE,"Excellent")</f>
        <v>Good</v>
      </c>
      <c r="AP442" t="str" cm="1">
        <f t="array" ref="AP442">_xlfn.IFS(Q442=1,"Low",Q442=2,"Medium",Q442=3,"High",TRUE,"Very High")</f>
        <v>Low</v>
      </c>
    </row>
    <row r="443" spans="1:42" x14ac:dyDescent="0.25">
      <c r="A443">
        <v>42</v>
      </c>
      <c r="B443" t="s">
        <v>42</v>
      </c>
      <c r="C443" t="s">
        <v>91</v>
      </c>
      <c r="D443">
        <v>1474</v>
      </c>
      <c r="E443" t="s">
        <v>43</v>
      </c>
      <c r="F443">
        <v>5</v>
      </c>
      <c r="G443">
        <v>2</v>
      </c>
      <c r="H443" t="s">
        <v>47</v>
      </c>
      <c r="I443">
        <v>1</v>
      </c>
      <c r="J443">
        <v>591</v>
      </c>
      <c r="K443">
        <v>2</v>
      </c>
      <c r="L443" t="s">
        <v>44</v>
      </c>
      <c r="M443">
        <v>97</v>
      </c>
      <c r="N443">
        <v>3</v>
      </c>
      <c r="O443">
        <v>1</v>
      </c>
      <c r="P443" t="s">
        <v>48</v>
      </c>
      <c r="Q443">
        <v>3</v>
      </c>
      <c r="R443" t="s">
        <v>46</v>
      </c>
      <c r="S443">
        <v>2093</v>
      </c>
      <c r="T443">
        <v>9260</v>
      </c>
      <c r="U443">
        <v>4</v>
      </c>
      <c r="V443" t="s">
        <v>41</v>
      </c>
      <c r="W443" t="s">
        <v>42</v>
      </c>
      <c r="X443">
        <v>17</v>
      </c>
      <c r="Y443">
        <v>3</v>
      </c>
      <c r="Z443">
        <v>4</v>
      </c>
      <c r="AA443">
        <v>80</v>
      </c>
      <c r="AB443">
        <v>1</v>
      </c>
      <c r="AC443">
        <v>8</v>
      </c>
      <c r="AD443">
        <v>4</v>
      </c>
      <c r="AE443">
        <v>3</v>
      </c>
      <c r="AF443">
        <v>2</v>
      </c>
      <c r="AG443">
        <v>2</v>
      </c>
      <c r="AH443">
        <v>2</v>
      </c>
      <c r="AI443">
        <v>0</v>
      </c>
      <c r="AJ443">
        <f t="shared" si="6"/>
        <v>0</v>
      </c>
      <c r="AK443" t="str" cm="1">
        <f t="array" ref="AK443">_xlfn.IFS(A443&lt;=30,"18-30",A443&lt;=45,"31-45",A443&lt;=60,"46-60",TRUE, "60+")</f>
        <v>31-45</v>
      </c>
      <c r="AL443" t="str" cm="1">
        <f t="array" ref="AL443">_xlfn.IFS(F443&lt;=10,"0-10",F443&lt;=20,"11-20",TRUE,"20+")</f>
        <v>0-10</v>
      </c>
      <c r="AM443" t="str" cm="1">
        <f t="array" ref="AM443">_xlfn.IFS(S443&lt;=5000,"0-5k",S443&lt;=10000,"5k-10k",S443&lt;=15000,"10k-15k",TRUE,"15k+")</f>
        <v>0-5k</v>
      </c>
      <c r="AN443" t="str" cm="1">
        <f t="array" ref="AN443">_xlfn.IFS(AF443&lt;=10,"0-10",AF443&lt;=20,"10-20",AF443&lt;=30,"20-30",TRUE,"30+")</f>
        <v>0-10</v>
      </c>
      <c r="AO443" t="str" cm="1">
        <f t="array" ref="AO443">_xlfn.IFS(Y443=1,"Poor",Y443=2,"Average",Y443=3,"Good",TRUE,"Excellent")</f>
        <v>Good</v>
      </c>
      <c r="AP443" t="str" cm="1">
        <f t="array" ref="AP443">_xlfn.IFS(Q443=1,"Low",Q443=2,"Medium",Q443=3,"High",TRUE,"Very High")</f>
        <v>High</v>
      </c>
    </row>
    <row r="444" spans="1:42" x14ac:dyDescent="0.25">
      <c r="A444">
        <v>36</v>
      </c>
      <c r="B444" t="s">
        <v>42</v>
      </c>
      <c r="C444" t="s">
        <v>53</v>
      </c>
      <c r="D444">
        <v>635</v>
      </c>
      <c r="E444" t="s">
        <v>36</v>
      </c>
      <c r="F444">
        <v>10</v>
      </c>
      <c r="G444">
        <v>4</v>
      </c>
      <c r="H444" t="s">
        <v>49</v>
      </c>
      <c r="I444">
        <v>1</v>
      </c>
      <c r="J444">
        <v>592</v>
      </c>
      <c r="K444">
        <v>2</v>
      </c>
      <c r="L444" t="s">
        <v>44</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c r="AJ444">
        <f t="shared" si="6"/>
        <v>0</v>
      </c>
      <c r="AK444" t="str" cm="1">
        <f t="array" ref="AK444">_xlfn.IFS(A444&lt;=30,"18-30",A444&lt;=45,"31-45",A444&lt;=60,"46-60",TRUE, "60+")</f>
        <v>31-45</v>
      </c>
      <c r="AL444" t="str" cm="1">
        <f t="array" ref="AL444">_xlfn.IFS(F444&lt;=10,"0-10",F444&lt;=20,"11-20",TRUE,"20+")</f>
        <v>0-10</v>
      </c>
      <c r="AM444" t="str" cm="1">
        <f t="array" ref="AM444">_xlfn.IFS(S444&lt;=5000,"0-5k",S444&lt;=10000,"5k-10k",S444&lt;=15000,"10k-15k",TRUE,"15k+")</f>
        <v>5k-10k</v>
      </c>
      <c r="AN444" t="str" cm="1">
        <f t="array" ref="AN444">_xlfn.IFS(AF444&lt;=10,"0-10",AF444&lt;=20,"10-20",AF444&lt;=30,"20-30",TRUE,"30+")</f>
        <v>0-10</v>
      </c>
      <c r="AO444" t="str" cm="1">
        <f t="array" ref="AO444">_xlfn.IFS(Y444=1,"Poor",Y444=2,"Average",Y444=3,"Good",TRUE,"Excellent")</f>
        <v>Good</v>
      </c>
      <c r="AP444" t="str" cm="1">
        <f t="array" ref="AP444">_xlfn.IFS(Q444=1,"Low",Q444=2,"Medium",Q444=3,"High",TRUE,"Very High")</f>
        <v>Very High</v>
      </c>
    </row>
    <row r="445" spans="1:42" x14ac:dyDescent="0.25">
      <c r="A445">
        <v>22</v>
      </c>
      <c r="B445" t="s">
        <v>35</v>
      </c>
      <c r="C445" t="s">
        <v>91</v>
      </c>
      <c r="D445">
        <v>1368</v>
      </c>
      <c r="E445" t="s">
        <v>43</v>
      </c>
      <c r="F445">
        <v>4</v>
      </c>
      <c r="G445">
        <v>1</v>
      </c>
      <c r="H445" t="s">
        <v>58</v>
      </c>
      <c r="I445">
        <v>1</v>
      </c>
      <c r="J445">
        <v>593</v>
      </c>
      <c r="K445">
        <v>3</v>
      </c>
      <c r="L445" t="s">
        <v>44</v>
      </c>
      <c r="M445">
        <v>99</v>
      </c>
      <c r="N445">
        <v>2</v>
      </c>
      <c r="O445">
        <v>1</v>
      </c>
      <c r="P445" t="s">
        <v>48</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c r="AJ445">
        <f t="shared" si="6"/>
        <v>1</v>
      </c>
      <c r="AK445" t="str" cm="1">
        <f t="array" ref="AK445">_xlfn.IFS(A445&lt;=30,"18-30",A445&lt;=45,"31-45",A445&lt;=60,"46-60",TRUE, "60+")</f>
        <v>18-30</v>
      </c>
      <c r="AL445" t="str" cm="1">
        <f t="array" ref="AL445">_xlfn.IFS(F445&lt;=10,"0-10",F445&lt;=20,"11-20",TRUE,"20+")</f>
        <v>0-10</v>
      </c>
      <c r="AM445" t="str" cm="1">
        <f t="array" ref="AM445">_xlfn.IFS(S445&lt;=5000,"0-5k",S445&lt;=10000,"5k-10k",S445&lt;=15000,"10k-15k",TRUE,"15k+")</f>
        <v>0-5k</v>
      </c>
      <c r="AN445" t="str" cm="1">
        <f t="array" ref="AN445">_xlfn.IFS(AF445&lt;=10,"0-10",AF445&lt;=20,"10-20",AF445&lt;=30,"20-30",TRUE,"30+")</f>
        <v>0-10</v>
      </c>
      <c r="AO445" t="str" cm="1">
        <f t="array" ref="AO445">_xlfn.IFS(Y445=1,"Poor",Y445=2,"Average",Y445=3,"Good",TRUE,"Excellent")</f>
        <v>Good</v>
      </c>
      <c r="AP445" t="str" cm="1">
        <f t="array" ref="AP445">_xlfn.IFS(Q445=1,"Low",Q445=2,"Medium",Q445=3,"High",TRUE,"Very High")</f>
        <v>High</v>
      </c>
    </row>
    <row r="446" spans="1:42" x14ac:dyDescent="0.25">
      <c r="A446">
        <v>48</v>
      </c>
      <c r="B446" t="s">
        <v>42</v>
      </c>
      <c r="C446" t="s">
        <v>90</v>
      </c>
      <c r="D446">
        <v>163</v>
      </c>
      <c r="E446" t="s">
        <v>36</v>
      </c>
      <c r="F446">
        <v>2</v>
      </c>
      <c r="G446">
        <v>5</v>
      </c>
      <c r="H446" t="s">
        <v>57</v>
      </c>
      <c r="I446">
        <v>1</v>
      </c>
      <c r="J446">
        <v>595</v>
      </c>
      <c r="K446">
        <v>2</v>
      </c>
      <c r="L446" t="s">
        <v>38</v>
      </c>
      <c r="M446">
        <v>37</v>
      </c>
      <c r="N446">
        <v>3</v>
      </c>
      <c r="O446">
        <v>2</v>
      </c>
      <c r="P446" t="s">
        <v>39</v>
      </c>
      <c r="Q446">
        <v>4</v>
      </c>
      <c r="R446" t="s">
        <v>46</v>
      </c>
      <c r="S446">
        <v>4051</v>
      </c>
      <c r="T446">
        <v>19658</v>
      </c>
      <c r="U446">
        <v>2</v>
      </c>
      <c r="V446" t="s">
        <v>41</v>
      </c>
      <c r="W446" t="s">
        <v>42</v>
      </c>
      <c r="X446">
        <v>14</v>
      </c>
      <c r="Y446">
        <v>3</v>
      </c>
      <c r="Z446">
        <v>1</v>
      </c>
      <c r="AA446">
        <v>80</v>
      </c>
      <c r="AB446">
        <v>1</v>
      </c>
      <c r="AC446">
        <v>14</v>
      </c>
      <c r="AD446">
        <v>2</v>
      </c>
      <c r="AE446">
        <v>3</v>
      </c>
      <c r="AF446">
        <v>9</v>
      </c>
      <c r="AG446">
        <v>7</v>
      </c>
      <c r="AH446">
        <v>6</v>
      </c>
      <c r="AI446">
        <v>7</v>
      </c>
      <c r="AJ446">
        <f t="shared" si="6"/>
        <v>0</v>
      </c>
      <c r="AK446" t="str" cm="1">
        <f t="array" ref="AK446">_xlfn.IFS(A446&lt;=30,"18-30",A446&lt;=45,"31-45",A446&lt;=60,"46-60",TRUE, "60+")</f>
        <v>46-60</v>
      </c>
      <c r="AL446" t="str" cm="1">
        <f t="array" ref="AL446">_xlfn.IFS(F446&lt;=10,"0-10",F446&lt;=20,"11-20",TRUE,"20+")</f>
        <v>0-10</v>
      </c>
      <c r="AM446" t="str" cm="1">
        <f t="array" ref="AM446">_xlfn.IFS(S446&lt;=5000,"0-5k",S446&lt;=10000,"5k-10k",S446&lt;=15000,"10k-15k",TRUE,"15k+")</f>
        <v>0-5k</v>
      </c>
      <c r="AN446" t="str" cm="1">
        <f t="array" ref="AN446">_xlfn.IFS(AF446&lt;=10,"0-10",AF446&lt;=20,"10-20",AF446&lt;=30,"20-30",TRUE,"30+")</f>
        <v>0-10</v>
      </c>
      <c r="AO446" t="str" cm="1">
        <f t="array" ref="AO446">_xlfn.IFS(Y446=1,"Poor",Y446=2,"Average",Y446=3,"Good",TRUE,"Excellent")</f>
        <v>Good</v>
      </c>
      <c r="AP446" t="str" cm="1">
        <f t="array" ref="AP446">_xlfn.IFS(Q446=1,"Low",Q446=2,"Medium",Q446=3,"High",TRUE,"Very High")</f>
        <v>Very High</v>
      </c>
    </row>
    <row r="447" spans="1:42" x14ac:dyDescent="0.25">
      <c r="A447">
        <v>55</v>
      </c>
      <c r="B447" t="s">
        <v>42</v>
      </c>
      <c r="C447" t="s">
        <v>90</v>
      </c>
      <c r="D447">
        <v>1117</v>
      </c>
      <c r="E447" t="s">
        <v>36</v>
      </c>
      <c r="F447">
        <v>18</v>
      </c>
      <c r="G447">
        <v>5</v>
      </c>
      <c r="H447" t="s">
        <v>37</v>
      </c>
      <c r="I447">
        <v>1</v>
      </c>
      <c r="J447">
        <v>597</v>
      </c>
      <c r="K447">
        <v>1</v>
      </c>
      <c r="L447" t="s">
        <v>38</v>
      </c>
      <c r="M447">
        <v>83</v>
      </c>
      <c r="N447">
        <v>3</v>
      </c>
      <c r="O447">
        <v>4</v>
      </c>
      <c r="P447" t="s">
        <v>54</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c r="AJ447">
        <f t="shared" si="6"/>
        <v>0</v>
      </c>
      <c r="AK447" t="str" cm="1">
        <f t="array" ref="AK447">_xlfn.IFS(A447&lt;=30,"18-30",A447&lt;=45,"31-45",A447&lt;=60,"46-60",TRUE, "60+")</f>
        <v>46-60</v>
      </c>
      <c r="AL447" t="str" cm="1">
        <f t="array" ref="AL447">_xlfn.IFS(F447&lt;=10,"0-10",F447&lt;=20,"11-20",TRUE,"20+")</f>
        <v>11-20</v>
      </c>
      <c r="AM447" t="str" cm="1">
        <f t="array" ref="AM447">_xlfn.IFS(S447&lt;=5000,"0-5k",S447&lt;=10000,"5k-10k",S447&lt;=15000,"10k-15k",TRUE,"15k+")</f>
        <v>15k+</v>
      </c>
      <c r="AN447" t="str" cm="1">
        <f t="array" ref="AN447">_xlfn.IFS(AF447&lt;=10,"0-10",AF447&lt;=20,"10-20",AF447&lt;=30,"20-30",TRUE,"30+")</f>
        <v>0-10</v>
      </c>
      <c r="AO447" t="str" cm="1">
        <f t="array" ref="AO447">_xlfn.IFS(Y447=1,"Poor",Y447=2,"Average",Y447=3,"Good",TRUE,"Excellent")</f>
        <v>Excellent</v>
      </c>
      <c r="AP447" t="str" cm="1">
        <f t="array" ref="AP447">_xlfn.IFS(Q447=1,"Low",Q447=2,"Medium",Q447=3,"High",TRUE,"Very High")</f>
        <v>Medium</v>
      </c>
    </row>
    <row r="448" spans="1:42" x14ac:dyDescent="0.25">
      <c r="A448">
        <v>41</v>
      </c>
      <c r="B448" t="s">
        <v>42</v>
      </c>
      <c r="C448" t="s">
        <v>53</v>
      </c>
      <c r="D448">
        <v>267</v>
      </c>
      <c r="E448" t="s">
        <v>36</v>
      </c>
      <c r="F448">
        <v>10</v>
      </c>
      <c r="G448">
        <v>2</v>
      </c>
      <c r="H448" t="s">
        <v>37</v>
      </c>
      <c r="I448">
        <v>1</v>
      </c>
      <c r="J448">
        <v>599</v>
      </c>
      <c r="K448">
        <v>4</v>
      </c>
      <c r="L448" t="s">
        <v>44</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c r="AJ448">
        <f t="shared" si="6"/>
        <v>0</v>
      </c>
      <c r="AK448" t="str" cm="1">
        <f t="array" ref="AK448">_xlfn.IFS(A448&lt;=30,"18-30",A448&lt;=45,"31-45",A448&lt;=60,"46-60",TRUE, "60+")</f>
        <v>31-45</v>
      </c>
      <c r="AL448" t="str" cm="1">
        <f t="array" ref="AL448">_xlfn.IFS(F448&lt;=10,"0-10",F448&lt;=20,"11-20",TRUE,"20+")</f>
        <v>0-10</v>
      </c>
      <c r="AM448" t="str" cm="1">
        <f t="array" ref="AM448">_xlfn.IFS(S448&lt;=5000,"0-5k",S448&lt;=10000,"5k-10k",S448&lt;=15000,"10k-15k",TRUE,"15k+")</f>
        <v>5k-10k</v>
      </c>
      <c r="AN448" t="str" cm="1">
        <f t="array" ref="AN448">_xlfn.IFS(AF448&lt;=10,"0-10",AF448&lt;=20,"10-20",AF448&lt;=30,"20-30",TRUE,"30+")</f>
        <v>10-20</v>
      </c>
      <c r="AO448" t="str" cm="1">
        <f t="array" ref="AO448">_xlfn.IFS(Y448=1,"Poor",Y448=2,"Average",Y448=3,"Good",TRUE,"Excellent")</f>
        <v>Good</v>
      </c>
      <c r="AP448" t="str" cm="1">
        <f t="array" ref="AP448">_xlfn.IFS(Q448=1,"Low",Q448=2,"Medium",Q448=3,"High",TRUE,"Very High")</f>
        <v>Very High</v>
      </c>
    </row>
    <row r="449" spans="1:42" x14ac:dyDescent="0.25">
      <c r="A449">
        <v>35</v>
      </c>
      <c r="B449" t="s">
        <v>42</v>
      </c>
      <c r="C449" t="s">
        <v>90</v>
      </c>
      <c r="D449">
        <v>619</v>
      </c>
      <c r="E449" t="s">
        <v>36</v>
      </c>
      <c r="F449">
        <v>1</v>
      </c>
      <c r="G449">
        <v>3</v>
      </c>
      <c r="H449" t="s">
        <v>57</v>
      </c>
      <c r="I449">
        <v>1</v>
      </c>
      <c r="J449">
        <v>600</v>
      </c>
      <c r="K449">
        <v>2</v>
      </c>
      <c r="L449" t="s">
        <v>44</v>
      </c>
      <c r="M449">
        <v>85</v>
      </c>
      <c r="N449">
        <v>3</v>
      </c>
      <c r="O449">
        <v>2</v>
      </c>
      <c r="P449" t="s">
        <v>39</v>
      </c>
      <c r="Q449">
        <v>3</v>
      </c>
      <c r="R449" t="s">
        <v>46</v>
      </c>
      <c r="S449">
        <v>4717</v>
      </c>
      <c r="T449">
        <v>18659</v>
      </c>
      <c r="U449">
        <v>9</v>
      </c>
      <c r="V449" t="s">
        <v>41</v>
      </c>
      <c r="W449" t="s">
        <v>42</v>
      </c>
      <c r="X449">
        <v>11</v>
      </c>
      <c r="Y449">
        <v>3</v>
      </c>
      <c r="Z449">
        <v>3</v>
      </c>
      <c r="AA449">
        <v>80</v>
      </c>
      <c r="AB449">
        <v>0</v>
      </c>
      <c r="AC449">
        <v>15</v>
      </c>
      <c r="AD449">
        <v>2</v>
      </c>
      <c r="AE449">
        <v>3</v>
      </c>
      <c r="AF449">
        <v>11</v>
      </c>
      <c r="AG449">
        <v>9</v>
      </c>
      <c r="AH449">
        <v>6</v>
      </c>
      <c r="AI449">
        <v>9</v>
      </c>
      <c r="AJ449">
        <f t="shared" si="6"/>
        <v>0</v>
      </c>
      <c r="AK449" t="str" cm="1">
        <f t="array" ref="AK449">_xlfn.IFS(A449&lt;=30,"18-30",A449&lt;=45,"31-45",A449&lt;=60,"46-60",TRUE, "60+")</f>
        <v>31-45</v>
      </c>
      <c r="AL449" t="str" cm="1">
        <f t="array" ref="AL449">_xlfn.IFS(F449&lt;=10,"0-10",F449&lt;=20,"11-20",TRUE,"20+")</f>
        <v>0-10</v>
      </c>
      <c r="AM449" t="str" cm="1">
        <f t="array" ref="AM449">_xlfn.IFS(S449&lt;=5000,"0-5k",S449&lt;=10000,"5k-10k",S449&lt;=15000,"10k-15k",TRUE,"15k+")</f>
        <v>0-5k</v>
      </c>
      <c r="AN449" t="str" cm="1">
        <f t="array" ref="AN449">_xlfn.IFS(AF449&lt;=10,"0-10",AF449&lt;=20,"10-20",AF449&lt;=30,"20-30",TRUE,"30+")</f>
        <v>10-20</v>
      </c>
      <c r="AO449" t="str" cm="1">
        <f t="array" ref="AO449">_xlfn.IFS(Y449=1,"Poor",Y449=2,"Average",Y449=3,"Good",TRUE,"Excellent")</f>
        <v>Good</v>
      </c>
      <c r="AP449" t="str" cm="1">
        <f t="array" ref="AP449">_xlfn.IFS(Q449=1,"Low",Q449=2,"Medium",Q449=3,"High",TRUE,"Very High")</f>
        <v>High</v>
      </c>
    </row>
    <row r="450" spans="1:42" x14ac:dyDescent="0.25">
      <c r="A450">
        <v>40</v>
      </c>
      <c r="B450" t="s">
        <v>42</v>
      </c>
      <c r="C450" t="s">
        <v>90</v>
      </c>
      <c r="D450">
        <v>302</v>
      </c>
      <c r="E450" t="s">
        <v>43</v>
      </c>
      <c r="F450">
        <v>6</v>
      </c>
      <c r="G450">
        <v>3</v>
      </c>
      <c r="H450" t="s">
        <v>37</v>
      </c>
      <c r="I450">
        <v>1</v>
      </c>
      <c r="J450">
        <v>601</v>
      </c>
      <c r="K450">
        <v>2</v>
      </c>
      <c r="L450" t="s">
        <v>38</v>
      </c>
      <c r="M450">
        <v>75</v>
      </c>
      <c r="N450">
        <v>3</v>
      </c>
      <c r="O450">
        <v>4</v>
      </c>
      <c r="P450" t="s">
        <v>51</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c r="AJ450">
        <f t="shared" ref="AJ450:AJ513" si="7">IF(B450="yes",1,0)</f>
        <v>0</v>
      </c>
      <c r="AK450" t="str" cm="1">
        <f t="array" ref="AK450">_xlfn.IFS(A450&lt;=30,"18-30",A450&lt;=45,"31-45",A450&lt;=60,"46-60",TRUE, "60+")</f>
        <v>31-45</v>
      </c>
      <c r="AL450" t="str" cm="1">
        <f t="array" ref="AL450">_xlfn.IFS(F450&lt;=10,"0-10",F450&lt;=20,"11-20",TRUE,"20+")</f>
        <v>0-10</v>
      </c>
      <c r="AM450" t="str" cm="1">
        <f t="array" ref="AM450">_xlfn.IFS(S450&lt;=5000,"0-5k",S450&lt;=10000,"5k-10k",S450&lt;=15000,"10k-15k",TRUE,"15k+")</f>
        <v>10k-15k</v>
      </c>
      <c r="AN450" t="str" cm="1">
        <f t="array" ref="AN450">_xlfn.IFS(AF450&lt;=10,"0-10",AF450&lt;=20,"10-20",AF450&lt;=30,"20-30",TRUE,"30+")</f>
        <v>10-20</v>
      </c>
      <c r="AO450" t="str" cm="1">
        <f t="array" ref="AO450">_xlfn.IFS(Y450=1,"Poor",Y450=2,"Average",Y450=3,"Good",TRUE,"Excellent")</f>
        <v>Good</v>
      </c>
      <c r="AP450" t="str" cm="1">
        <f t="array" ref="AP450">_xlfn.IFS(Q450=1,"Low",Q450=2,"Medium",Q450=3,"High",TRUE,"Very High")</f>
        <v>High</v>
      </c>
    </row>
    <row r="451" spans="1:42" x14ac:dyDescent="0.25">
      <c r="A451">
        <v>39</v>
      </c>
      <c r="B451" t="s">
        <v>42</v>
      </c>
      <c r="C451" t="s">
        <v>91</v>
      </c>
      <c r="D451">
        <v>443</v>
      </c>
      <c r="E451" t="s">
        <v>43</v>
      </c>
      <c r="F451">
        <v>8</v>
      </c>
      <c r="G451">
        <v>1</v>
      </c>
      <c r="H451" t="s">
        <v>37</v>
      </c>
      <c r="I451">
        <v>1</v>
      </c>
      <c r="J451">
        <v>602</v>
      </c>
      <c r="K451">
        <v>3</v>
      </c>
      <c r="L451" t="s">
        <v>38</v>
      </c>
      <c r="M451">
        <v>48</v>
      </c>
      <c r="N451">
        <v>3</v>
      </c>
      <c r="O451">
        <v>1</v>
      </c>
      <c r="P451" t="s">
        <v>48</v>
      </c>
      <c r="Q451">
        <v>3</v>
      </c>
      <c r="R451" t="s">
        <v>46</v>
      </c>
      <c r="S451">
        <v>3755</v>
      </c>
      <c r="T451">
        <v>17872</v>
      </c>
      <c r="U451">
        <v>1</v>
      </c>
      <c r="V451" t="s">
        <v>41</v>
      </c>
      <c r="W451" t="s">
        <v>42</v>
      </c>
      <c r="X451">
        <v>11</v>
      </c>
      <c r="Y451">
        <v>3</v>
      </c>
      <c r="Z451">
        <v>1</v>
      </c>
      <c r="AA451">
        <v>80</v>
      </c>
      <c r="AB451">
        <v>1</v>
      </c>
      <c r="AC451">
        <v>8</v>
      </c>
      <c r="AD451">
        <v>3</v>
      </c>
      <c r="AE451">
        <v>3</v>
      </c>
      <c r="AF451">
        <v>8</v>
      </c>
      <c r="AG451">
        <v>3</v>
      </c>
      <c r="AH451">
        <v>0</v>
      </c>
      <c r="AI451">
        <v>7</v>
      </c>
      <c r="AJ451">
        <f t="shared" si="7"/>
        <v>0</v>
      </c>
      <c r="AK451" t="str" cm="1">
        <f t="array" ref="AK451">_xlfn.IFS(A451&lt;=30,"18-30",A451&lt;=45,"31-45",A451&lt;=60,"46-60",TRUE, "60+")</f>
        <v>31-45</v>
      </c>
      <c r="AL451" t="str" cm="1">
        <f t="array" ref="AL451">_xlfn.IFS(F451&lt;=10,"0-10",F451&lt;=20,"11-20",TRUE,"20+")</f>
        <v>0-10</v>
      </c>
      <c r="AM451" t="str" cm="1">
        <f t="array" ref="AM451">_xlfn.IFS(S451&lt;=5000,"0-5k",S451&lt;=10000,"5k-10k",S451&lt;=15000,"10k-15k",TRUE,"15k+")</f>
        <v>0-5k</v>
      </c>
      <c r="AN451" t="str" cm="1">
        <f t="array" ref="AN451">_xlfn.IFS(AF451&lt;=10,"0-10",AF451&lt;=20,"10-20",AF451&lt;=30,"20-30",TRUE,"30+")</f>
        <v>0-10</v>
      </c>
      <c r="AO451" t="str" cm="1">
        <f t="array" ref="AO451">_xlfn.IFS(Y451=1,"Poor",Y451=2,"Average",Y451=3,"Good",TRUE,"Excellent")</f>
        <v>Good</v>
      </c>
      <c r="AP451" t="str" cm="1">
        <f t="array" ref="AP451">_xlfn.IFS(Q451=1,"Low",Q451=2,"Medium",Q451=3,"High",TRUE,"Very High")</f>
        <v>High</v>
      </c>
    </row>
    <row r="452" spans="1:42" x14ac:dyDescent="0.25">
      <c r="A452">
        <v>31</v>
      </c>
      <c r="B452" t="s">
        <v>42</v>
      </c>
      <c r="C452" t="s">
        <v>90</v>
      </c>
      <c r="D452">
        <v>828</v>
      </c>
      <c r="E452" t="s">
        <v>36</v>
      </c>
      <c r="F452">
        <v>2</v>
      </c>
      <c r="G452">
        <v>1</v>
      </c>
      <c r="H452" t="s">
        <v>37</v>
      </c>
      <c r="I452">
        <v>1</v>
      </c>
      <c r="J452">
        <v>604</v>
      </c>
      <c r="K452">
        <v>2</v>
      </c>
      <c r="L452" t="s">
        <v>44</v>
      </c>
      <c r="M452">
        <v>77</v>
      </c>
      <c r="N452">
        <v>3</v>
      </c>
      <c r="O452">
        <v>2</v>
      </c>
      <c r="P452" t="s">
        <v>39</v>
      </c>
      <c r="Q452">
        <v>4</v>
      </c>
      <c r="R452" t="s">
        <v>40</v>
      </c>
      <c r="S452">
        <v>6582</v>
      </c>
      <c r="T452">
        <v>8346</v>
      </c>
      <c r="U452">
        <v>4</v>
      </c>
      <c r="V452" t="s">
        <v>41</v>
      </c>
      <c r="W452" t="s">
        <v>35</v>
      </c>
      <c r="X452">
        <v>13</v>
      </c>
      <c r="Y452">
        <v>3</v>
      </c>
      <c r="Z452">
        <v>3</v>
      </c>
      <c r="AA452">
        <v>80</v>
      </c>
      <c r="AB452">
        <v>0</v>
      </c>
      <c r="AC452">
        <v>10</v>
      </c>
      <c r="AD452">
        <v>2</v>
      </c>
      <c r="AE452">
        <v>4</v>
      </c>
      <c r="AF452">
        <v>6</v>
      </c>
      <c r="AG452">
        <v>5</v>
      </c>
      <c r="AH452">
        <v>0</v>
      </c>
      <c r="AI452">
        <v>5</v>
      </c>
      <c r="AJ452">
        <f t="shared" si="7"/>
        <v>0</v>
      </c>
      <c r="AK452" t="str" cm="1">
        <f t="array" ref="AK452">_xlfn.IFS(A452&lt;=30,"18-30",A452&lt;=45,"31-45",A452&lt;=60,"46-60",TRUE, "60+")</f>
        <v>31-45</v>
      </c>
      <c r="AL452" t="str" cm="1">
        <f t="array" ref="AL452">_xlfn.IFS(F452&lt;=10,"0-10",F452&lt;=20,"11-20",TRUE,"20+")</f>
        <v>0-10</v>
      </c>
      <c r="AM452" t="str" cm="1">
        <f t="array" ref="AM452">_xlfn.IFS(S452&lt;=5000,"0-5k",S452&lt;=10000,"5k-10k",S452&lt;=15000,"10k-15k",TRUE,"15k+")</f>
        <v>5k-10k</v>
      </c>
      <c r="AN452" t="str" cm="1">
        <f t="array" ref="AN452">_xlfn.IFS(AF452&lt;=10,"0-10",AF452&lt;=20,"10-20",AF452&lt;=30,"20-30",TRUE,"30+")</f>
        <v>0-10</v>
      </c>
      <c r="AO452" t="str" cm="1">
        <f t="array" ref="AO452">_xlfn.IFS(Y452=1,"Poor",Y452=2,"Average",Y452=3,"Good",TRUE,"Excellent")</f>
        <v>Good</v>
      </c>
      <c r="AP452" t="str" cm="1">
        <f t="array" ref="AP452">_xlfn.IFS(Q452=1,"Low",Q452=2,"Medium",Q452=3,"High",TRUE,"Very High")</f>
        <v>Very High</v>
      </c>
    </row>
    <row r="453" spans="1:42" x14ac:dyDescent="0.25">
      <c r="A453">
        <v>42</v>
      </c>
      <c r="B453" t="s">
        <v>42</v>
      </c>
      <c r="C453" t="s">
        <v>90</v>
      </c>
      <c r="D453">
        <v>319</v>
      </c>
      <c r="E453" t="s">
        <v>43</v>
      </c>
      <c r="F453">
        <v>24</v>
      </c>
      <c r="G453">
        <v>3</v>
      </c>
      <c r="H453" t="s">
        <v>49</v>
      </c>
      <c r="I453">
        <v>1</v>
      </c>
      <c r="J453">
        <v>605</v>
      </c>
      <c r="K453">
        <v>4</v>
      </c>
      <c r="L453" t="s">
        <v>44</v>
      </c>
      <c r="M453">
        <v>56</v>
      </c>
      <c r="N453">
        <v>3</v>
      </c>
      <c r="O453">
        <v>3</v>
      </c>
      <c r="P453" t="s">
        <v>51</v>
      </c>
      <c r="Q453">
        <v>1</v>
      </c>
      <c r="R453" t="s">
        <v>46</v>
      </c>
      <c r="S453">
        <v>7406</v>
      </c>
      <c r="T453">
        <v>6950</v>
      </c>
      <c r="U453">
        <v>1</v>
      </c>
      <c r="V453" t="s">
        <v>41</v>
      </c>
      <c r="W453" t="s">
        <v>35</v>
      </c>
      <c r="X453">
        <v>21</v>
      </c>
      <c r="Y453">
        <v>4</v>
      </c>
      <c r="Z453">
        <v>4</v>
      </c>
      <c r="AA453">
        <v>80</v>
      </c>
      <c r="AB453">
        <v>1</v>
      </c>
      <c r="AC453">
        <v>10</v>
      </c>
      <c r="AD453">
        <v>5</v>
      </c>
      <c r="AE453">
        <v>2</v>
      </c>
      <c r="AF453">
        <v>10</v>
      </c>
      <c r="AG453">
        <v>9</v>
      </c>
      <c r="AH453">
        <v>5</v>
      </c>
      <c r="AI453">
        <v>8</v>
      </c>
      <c r="AJ453">
        <f t="shared" si="7"/>
        <v>0</v>
      </c>
      <c r="AK453" t="str" cm="1">
        <f t="array" ref="AK453">_xlfn.IFS(A453&lt;=30,"18-30",A453&lt;=45,"31-45",A453&lt;=60,"46-60",TRUE, "60+")</f>
        <v>31-45</v>
      </c>
      <c r="AL453" t="str" cm="1">
        <f t="array" ref="AL453">_xlfn.IFS(F453&lt;=10,"0-10",F453&lt;=20,"11-20",TRUE,"20+")</f>
        <v>20+</v>
      </c>
      <c r="AM453" t="str" cm="1">
        <f t="array" ref="AM453">_xlfn.IFS(S453&lt;=5000,"0-5k",S453&lt;=10000,"5k-10k",S453&lt;=15000,"10k-15k",TRUE,"15k+")</f>
        <v>5k-10k</v>
      </c>
      <c r="AN453" t="str" cm="1">
        <f t="array" ref="AN453">_xlfn.IFS(AF453&lt;=10,"0-10",AF453&lt;=20,"10-20",AF453&lt;=30,"20-30",TRUE,"30+")</f>
        <v>0-10</v>
      </c>
      <c r="AO453" t="str" cm="1">
        <f t="array" ref="AO453">_xlfn.IFS(Y453=1,"Poor",Y453=2,"Average",Y453=3,"Good",TRUE,"Excellent")</f>
        <v>Excellent</v>
      </c>
      <c r="AP453" t="str" cm="1">
        <f t="array" ref="AP453">_xlfn.IFS(Q453=1,"Low",Q453=2,"Medium",Q453=3,"High",TRUE,"Very High")</f>
        <v>Low</v>
      </c>
    </row>
    <row r="454" spans="1:42" x14ac:dyDescent="0.25">
      <c r="A454">
        <v>45</v>
      </c>
      <c r="B454" t="s">
        <v>42</v>
      </c>
      <c r="C454" t="s">
        <v>90</v>
      </c>
      <c r="D454">
        <v>561</v>
      </c>
      <c r="E454" t="s">
        <v>36</v>
      </c>
      <c r="F454">
        <v>2</v>
      </c>
      <c r="G454">
        <v>3</v>
      </c>
      <c r="H454" t="s">
        <v>47</v>
      </c>
      <c r="I454">
        <v>1</v>
      </c>
      <c r="J454">
        <v>606</v>
      </c>
      <c r="K454">
        <v>4</v>
      </c>
      <c r="L454" t="s">
        <v>44</v>
      </c>
      <c r="M454">
        <v>61</v>
      </c>
      <c r="N454">
        <v>3</v>
      </c>
      <c r="O454">
        <v>2</v>
      </c>
      <c r="P454" t="s">
        <v>39</v>
      </c>
      <c r="Q454">
        <v>2</v>
      </c>
      <c r="R454" t="s">
        <v>46</v>
      </c>
      <c r="S454">
        <v>4805</v>
      </c>
      <c r="T454">
        <v>16177</v>
      </c>
      <c r="U454">
        <v>0</v>
      </c>
      <c r="V454" t="s">
        <v>41</v>
      </c>
      <c r="W454" t="s">
        <v>42</v>
      </c>
      <c r="X454">
        <v>19</v>
      </c>
      <c r="Y454">
        <v>3</v>
      </c>
      <c r="Z454">
        <v>2</v>
      </c>
      <c r="AA454">
        <v>80</v>
      </c>
      <c r="AB454">
        <v>1</v>
      </c>
      <c r="AC454">
        <v>9</v>
      </c>
      <c r="AD454">
        <v>3</v>
      </c>
      <c r="AE454">
        <v>4</v>
      </c>
      <c r="AF454">
        <v>8</v>
      </c>
      <c r="AG454">
        <v>7</v>
      </c>
      <c r="AH454">
        <v>3</v>
      </c>
      <c r="AI454">
        <v>7</v>
      </c>
      <c r="AJ454">
        <f t="shared" si="7"/>
        <v>0</v>
      </c>
      <c r="AK454" t="str" cm="1">
        <f t="array" ref="AK454">_xlfn.IFS(A454&lt;=30,"18-30",A454&lt;=45,"31-45",A454&lt;=60,"46-60",TRUE, "60+")</f>
        <v>31-45</v>
      </c>
      <c r="AL454" t="str" cm="1">
        <f t="array" ref="AL454">_xlfn.IFS(F454&lt;=10,"0-10",F454&lt;=20,"11-20",TRUE,"20+")</f>
        <v>0-10</v>
      </c>
      <c r="AM454" t="str" cm="1">
        <f t="array" ref="AM454">_xlfn.IFS(S454&lt;=5000,"0-5k",S454&lt;=10000,"5k-10k",S454&lt;=15000,"10k-15k",TRUE,"15k+")</f>
        <v>0-5k</v>
      </c>
      <c r="AN454" t="str" cm="1">
        <f t="array" ref="AN454">_xlfn.IFS(AF454&lt;=10,"0-10",AF454&lt;=20,"10-20",AF454&lt;=30,"20-30",TRUE,"30+")</f>
        <v>0-10</v>
      </c>
      <c r="AO454" t="str" cm="1">
        <f t="array" ref="AO454">_xlfn.IFS(Y454=1,"Poor",Y454=2,"Average",Y454=3,"Good",TRUE,"Excellent")</f>
        <v>Good</v>
      </c>
      <c r="AP454" t="str" cm="1">
        <f t="array" ref="AP454">_xlfn.IFS(Q454=1,"Low",Q454=2,"Medium",Q454=3,"High",TRUE,"Very High")</f>
        <v>Medium</v>
      </c>
    </row>
    <row r="455" spans="1:42" x14ac:dyDescent="0.25">
      <c r="A455">
        <v>26</v>
      </c>
      <c r="B455" t="s">
        <v>35</v>
      </c>
      <c r="C455" t="s">
        <v>91</v>
      </c>
      <c r="D455">
        <v>426</v>
      </c>
      <c r="E455" t="s">
        <v>59</v>
      </c>
      <c r="F455">
        <v>17</v>
      </c>
      <c r="G455">
        <v>4</v>
      </c>
      <c r="H455" t="s">
        <v>37</v>
      </c>
      <c r="I455">
        <v>1</v>
      </c>
      <c r="J455">
        <v>608</v>
      </c>
      <c r="K455">
        <v>2</v>
      </c>
      <c r="L455" t="s">
        <v>38</v>
      </c>
      <c r="M455">
        <v>58</v>
      </c>
      <c r="N455">
        <v>3</v>
      </c>
      <c r="O455">
        <v>1</v>
      </c>
      <c r="P455" t="s">
        <v>59</v>
      </c>
      <c r="Q455">
        <v>3</v>
      </c>
      <c r="R455" t="s">
        <v>50</v>
      </c>
      <c r="S455">
        <v>2741</v>
      </c>
      <c r="T455">
        <v>22808</v>
      </c>
      <c r="U455">
        <v>0</v>
      </c>
      <c r="V455" t="s">
        <v>41</v>
      </c>
      <c r="W455" t="s">
        <v>35</v>
      </c>
      <c r="X455">
        <v>11</v>
      </c>
      <c r="Y455">
        <v>3</v>
      </c>
      <c r="Z455">
        <v>2</v>
      </c>
      <c r="AA455">
        <v>80</v>
      </c>
      <c r="AB455">
        <v>1</v>
      </c>
      <c r="AC455">
        <v>8</v>
      </c>
      <c r="AD455">
        <v>2</v>
      </c>
      <c r="AE455">
        <v>2</v>
      </c>
      <c r="AF455">
        <v>7</v>
      </c>
      <c r="AG455">
        <v>7</v>
      </c>
      <c r="AH455">
        <v>1</v>
      </c>
      <c r="AI455">
        <v>0</v>
      </c>
      <c r="AJ455">
        <f t="shared" si="7"/>
        <v>1</v>
      </c>
      <c r="AK455" t="str" cm="1">
        <f t="array" ref="AK455">_xlfn.IFS(A455&lt;=30,"18-30",A455&lt;=45,"31-45",A455&lt;=60,"46-60",TRUE, "60+")</f>
        <v>18-30</v>
      </c>
      <c r="AL455" t="str" cm="1">
        <f t="array" ref="AL455">_xlfn.IFS(F455&lt;=10,"0-10",F455&lt;=20,"11-20",TRUE,"20+")</f>
        <v>11-20</v>
      </c>
      <c r="AM455" t="str" cm="1">
        <f t="array" ref="AM455">_xlfn.IFS(S455&lt;=5000,"0-5k",S455&lt;=10000,"5k-10k",S455&lt;=15000,"10k-15k",TRUE,"15k+")</f>
        <v>0-5k</v>
      </c>
      <c r="AN455" t="str" cm="1">
        <f t="array" ref="AN455">_xlfn.IFS(AF455&lt;=10,"0-10",AF455&lt;=20,"10-20",AF455&lt;=30,"20-30",TRUE,"30+")</f>
        <v>0-10</v>
      </c>
      <c r="AO455" t="str" cm="1">
        <f t="array" ref="AO455">_xlfn.IFS(Y455=1,"Poor",Y455=2,"Average",Y455=3,"Good",TRUE,"Excellent")</f>
        <v>Good</v>
      </c>
      <c r="AP455" t="str" cm="1">
        <f t="array" ref="AP455">_xlfn.IFS(Q455=1,"Low",Q455=2,"Medium",Q455=3,"High",TRUE,"Very High")</f>
        <v>High</v>
      </c>
    </row>
    <row r="456" spans="1:42" x14ac:dyDescent="0.25">
      <c r="A456">
        <v>29</v>
      </c>
      <c r="B456" t="s">
        <v>42</v>
      </c>
      <c r="C456" t="s">
        <v>90</v>
      </c>
      <c r="D456">
        <v>232</v>
      </c>
      <c r="E456" t="s">
        <v>43</v>
      </c>
      <c r="F456">
        <v>19</v>
      </c>
      <c r="G456">
        <v>3</v>
      </c>
      <c r="H456" t="s">
        <v>58</v>
      </c>
      <c r="I456">
        <v>1</v>
      </c>
      <c r="J456">
        <v>611</v>
      </c>
      <c r="K456">
        <v>4</v>
      </c>
      <c r="L456" t="s">
        <v>44</v>
      </c>
      <c r="M456">
        <v>34</v>
      </c>
      <c r="N456">
        <v>3</v>
      </c>
      <c r="O456">
        <v>2</v>
      </c>
      <c r="P456" t="s">
        <v>51</v>
      </c>
      <c r="Q456">
        <v>4</v>
      </c>
      <c r="R456" t="s">
        <v>50</v>
      </c>
      <c r="S456">
        <v>4262</v>
      </c>
      <c r="T456">
        <v>22645</v>
      </c>
      <c r="U456">
        <v>4</v>
      </c>
      <c r="V456" t="s">
        <v>41</v>
      </c>
      <c r="W456" t="s">
        <v>42</v>
      </c>
      <c r="X456">
        <v>12</v>
      </c>
      <c r="Y456">
        <v>3</v>
      </c>
      <c r="Z456">
        <v>2</v>
      </c>
      <c r="AA456">
        <v>80</v>
      </c>
      <c r="AB456">
        <v>2</v>
      </c>
      <c r="AC456">
        <v>8</v>
      </c>
      <c r="AD456">
        <v>2</v>
      </c>
      <c r="AE456">
        <v>4</v>
      </c>
      <c r="AF456">
        <v>3</v>
      </c>
      <c r="AG456">
        <v>2</v>
      </c>
      <c r="AH456">
        <v>1</v>
      </c>
      <c r="AI456">
        <v>2</v>
      </c>
      <c r="AJ456">
        <f t="shared" si="7"/>
        <v>0</v>
      </c>
      <c r="AK456" t="str" cm="1">
        <f t="array" ref="AK456">_xlfn.IFS(A456&lt;=30,"18-30",A456&lt;=45,"31-45",A456&lt;=60,"46-60",TRUE, "60+")</f>
        <v>18-30</v>
      </c>
      <c r="AL456" t="str" cm="1">
        <f t="array" ref="AL456">_xlfn.IFS(F456&lt;=10,"0-10",F456&lt;=20,"11-20",TRUE,"20+")</f>
        <v>11-20</v>
      </c>
      <c r="AM456" t="str" cm="1">
        <f t="array" ref="AM456">_xlfn.IFS(S456&lt;=5000,"0-5k",S456&lt;=10000,"5k-10k",S456&lt;=15000,"10k-15k",TRUE,"15k+")</f>
        <v>0-5k</v>
      </c>
      <c r="AN456" t="str" cm="1">
        <f t="array" ref="AN456">_xlfn.IFS(AF456&lt;=10,"0-10",AF456&lt;=20,"10-20",AF456&lt;=30,"20-30",TRUE,"30+")</f>
        <v>0-10</v>
      </c>
      <c r="AO456" t="str" cm="1">
        <f t="array" ref="AO456">_xlfn.IFS(Y456=1,"Poor",Y456=2,"Average",Y456=3,"Good",TRUE,"Excellent")</f>
        <v>Good</v>
      </c>
      <c r="AP456" t="str" cm="1">
        <f t="array" ref="AP456">_xlfn.IFS(Q456=1,"Low",Q456=2,"Medium",Q456=3,"High",TRUE,"Very High")</f>
        <v>Very High</v>
      </c>
    </row>
    <row r="457" spans="1:42" x14ac:dyDescent="0.25">
      <c r="A457">
        <v>33</v>
      </c>
      <c r="B457" t="s">
        <v>42</v>
      </c>
      <c r="C457" t="s">
        <v>90</v>
      </c>
      <c r="D457">
        <v>922</v>
      </c>
      <c r="E457" t="s">
        <v>43</v>
      </c>
      <c r="F457">
        <v>1</v>
      </c>
      <c r="G457">
        <v>5</v>
      </c>
      <c r="H457" t="s">
        <v>49</v>
      </c>
      <c r="I457">
        <v>1</v>
      </c>
      <c r="J457">
        <v>612</v>
      </c>
      <c r="K457">
        <v>1</v>
      </c>
      <c r="L457" t="s">
        <v>38</v>
      </c>
      <c r="M457">
        <v>95</v>
      </c>
      <c r="N457">
        <v>4</v>
      </c>
      <c r="O457">
        <v>4</v>
      </c>
      <c r="P457" t="s">
        <v>56</v>
      </c>
      <c r="Q457">
        <v>3</v>
      </c>
      <c r="R457" t="s">
        <v>50</v>
      </c>
      <c r="S457">
        <v>16184</v>
      </c>
      <c r="T457">
        <v>22578</v>
      </c>
      <c r="U457">
        <v>4</v>
      </c>
      <c r="V457" t="s">
        <v>41</v>
      </c>
      <c r="W457" t="s">
        <v>42</v>
      </c>
      <c r="X457">
        <v>19</v>
      </c>
      <c r="Y457">
        <v>3</v>
      </c>
      <c r="Z457">
        <v>3</v>
      </c>
      <c r="AA457">
        <v>80</v>
      </c>
      <c r="AB457">
        <v>1</v>
      </c>
      <c r="AC457">
        <v>10</v>
      </c>
      <c r="AD457">
        <v>2</v>
      </c>
      <c r="AE457">
        <v>3</v>
      </c>
      <c r="AF457">
        <v>6</v>
      </c>
      <c r="AG457">
        <v>1</v>
      </c>
      <c r="AH457">
        <v>0</v>
      </c>
      <c r="AI457">
        <v>5</v>
      </c>
      <c r="AJ457">
        <f t="shared" si="7"/>
        <v>0</v>
      </c>
      <c r="AK457" t="str" cm="1">
        <f t="array" ref="AK457">_xlfn.IFS(A457&lt;=30,"18-30",A457&lt;=45,"31-45",A457&lt;=60,"46-60",TRUE, "60+")</f>
        <v>31-45</v>
      </c>
      <c r="AL457" t="str" cm="1">
        <f t="array" ref="AL457">_xlfn.IFS(F457&lt;=10,"0-10",F457&lt;=20,"11-20",TRUE,"20+")</f>
        <v>0-10</v>
      </c>
      <c r="AM457" t="str" cm="1">
        <f t="array" ref="AM457">_xlfn.IFS(S457&lt;=5000,"0-5k",S457&lt;=10000,"5k-10k",S457&lt;=15000,"10k-15k",TRUE,"15k+")</f>
        <v>15k+</v>
      </c>
      <c r="AN457" t="str" cm="1">
        <f t="array" ref="AN457">_xlfn.IFS(AF457&lt;=10,"0-10",AF457&lt;=20,"10-20",AF457&lt;=30,"20-30",TRUE,"30+")</f>
        <v>0-10</v>
      </c>
      <c r="AO457" t="str" cm="1">
        <f t="array" ref="AO457">_xlfn.IFS(Y457=1,"Poor",Y457=2,"Average",Y457=3,"Good",TRUE,"Excellent")</f>
        <v>Good</v>
      </c>
      <c r="AP457" t="str" cm="1">
        <f t="array" ref="AP457">_xlfn.IFS(Q457=1,"Low",Q457=2,"Medium",Q457=3,"High",TRUE,"Very High")</f>
        <v>High</v>
      </c>
    </row>
    <row r="458" spans="1:42" x14ac:dyDescent="0.25">
      <c r="A458">
        <v>31</v>
      </c>
      <c r="B458" t="s">
        <v>42</v>
      </c>
      <c r="C458" t="s">
        <v>90</v>
      </c>
      <c r="D458">
        <v>688</v>
      </c>
      <c r="E458" t="s">
        <v>36</v>
      </c>
      <c r="F458">
        <v>7</v>
      </c>
      <c r="G458">
        <v>3</v>
      </c>
      <c r="H458" t="s">
        <v>37</v>
      </c>
      <c r="I458">
        <v>1</v>
      </c>
      <c r="J458">
        <v>613</v>
      </c>
      <c r="K458">
        <v>3</v>
      </c>
      <c r="L458" t="s">
        <v>44</v>
      </c>
      <c r="M458">
        <v>44</v>
      </c>
      <c r="N458">
        <v>2</v>
      </c>
      <c r="O458">
        <v>3</v>
      </c>
      <c r="P458" t="s">
        <v>54</v>
      </c>
      <c r="Q458">
        <v>4</v>
      </c>
      <c r="R458" t="s">
        <v>50</v>
      </c>
      <c r="S458">
        <v>11557</v>
      </c>
      <c r="T458">
        <v>25291</v>
      </c>
      <c r="U458">
        <v>9</v>
      </c>
      <c r="V458" t="s">
        <v>41</v>
      </c>
      <c r="W458" t="s">
        <v>42</v>
      </c>
      <c r="X458">
        <v>21</v>
      </c>
      <c r="Y458">
        <v>4</v>
      </c>
      <c r="Z458">
        <v>3</v>
      </c>
      <c r="AA458">
        <v>80</v>
      </c>
      <c r="AB458">
        <v>1</v>
      </c>
      <c r="AC458">
        <v>10</v>
      </c>
      <c r="AD458">
        <v>3</v>
      </c>
      <c r="AE458">
        <v>2</v>
      </c>
      <c r="AF458">
        <v>5</v>
      </c>
      <c r="AG458">
        <v>4</v>
      </c>
      <c r="AH458">
        <v>0</v>
      </c>
      <c r="AI458">
        <v>1</v>
      </c>
      <c r="AJ458">
        <f t="shared" si="7"/>
        <v>0</v>
      </c>
      <c r="AK458" t="str" cm="1">
        <f t="array" ref="AK458">_xlfn.IFS(A458&lt;=30,"18-30",A458&lt;=45,"31-45",A458&lt;=60,"46-60",TRUE, "60+")</f>
        <v>31-45</v>
      </c>
      <c r="AL458" t="str" cm="1">
        <f t="array" ref="AL458">_xlfn.IFS(F458&lt;=10,"0-10",F458&lt;=20,"11-20",TRUE,"20+")</f>
        <v>0-10</v>
      </c>
      <c r="AM458" t="str" cm="1">
        <f t="array" ref="AM458">_xlfn.IFS(S458&lt;=5000,"0-5k",S458&lt;=10000,"5k-10k",S458&lt;=15000,"10k-15k",TRUE,"15k+")</f>
        <v>10k-15k</v>
      </c>
      <c r="AN458" t="str" cm="1">
        <f t="array" ref="AN458">_xlfn.IFS(AF458&lt;=10,"0-10",AF458&lt;=20,"10-20",AF458&lt;=30,"20-30",TRUE,"30+")</f>
        <v>0-10</v>
      </c>
      <c r="AO458" t="str" cm="1">
        <f t="array" ref="AO458">_xlfn.IFS(Y458=1,"Poor",Y458=2,"Average",Y458=3,"Good",TRUE,"Excellent")</f>
        <v>Excellent</v>
      </c>
      <c r="AP458" t="str" cm="1">
        <f t="array" ref="AP458">_xlfn.IFS(Q458=1,"Low",Q458=2,"Medium",Q458=3,"High",TRUE,"Very High")</f>
        <v>Very High</v>
      </c>
    </row>
    <row r="459" spans="1:42" x14ac:dyDescent="0.25">
      <c r="A459">
        <v>18</v>
      </c>
      <c r="B459" t="s">
        <v>35</v>
      </c>
      <c r="C459" t="s">
        <v>91</v>
      </c>
      <c r="D459">
        <v>1306</v>
      </c>
      <c r="E459" t="s">
        <v>36</v>
      </c>
      <c r="F459">
        <v>5</v>
      </c>
      <c r="G459">
        <v>3</v>
      </c>
      <c r="H459" t="s">
        <v>57</v>
      </c>
      <c r="I459">
        <v>1</v>
      </c>
      <c r="J459">
        <v>614</v>
      </c>
      <c r="K459">
        <v>2</v>
      </c>
      <c r="L459" t="s">
        <v>44</v>
      </c>
      <c r="M459">
        <v>69</v>
      </c>
      <c r="N459">
        <v>3</v>
      </c>
      <c r="O459">
        <v>1</v>
      </c>
      <c r="P459" t="s">
        <v>55</v>
      </c>
      <c r="Q459">
        <v>2</v>
      </c>
      <c r="R459" t="s">
        <v>40</v>
      </c>
      <c r="S459">
        <v>1878</v>
      </c>
      <c r="T459">
        <v>8059</v>
      </c>
      <c r="U459">
        <v>1</v>
      </c>
      <c r="V459" t="s">
        <v>41</v>
      </c>
      <c r="W459" t="s">
        <v>35</v>
      </c>
      <c r="X459">
        <v>14</v>
      </c>
      <c r="Y459">
        <v>3</v>
      </c>
      <c r="Z459">
        <v>4</v>
      </c>
      <c r="AA459">
        <v>80</v>
      </c>
      <c r="AB459">
        <v>0</v>
      </c>
      <c r="AC459">
        <v>0</v>
      </c>
      <c r="AD459">
        <v>3</v>
      </c>
      <c r="AE459">
        <v>3</v>
      </c>
      <c r="AF459">
        <v>0</v>
      </c>
      <c r="AG459">
        <v>0</v>
      </c>
      <c r="AH459">
        <v>0</v>
      </c>
      <c r="AI459">
        <v>0</v>
      </c>
      <c r="AJ459">
        <f t="shared" si="7"/>
        <v>1</v>
      </c>
      <c r="AK459" t="str" cm="1">
        <f t="array" ref="AK459">_xlfn.IFS(A459&lt;=30,"18-30",A459&lt;=45,"31-45",A459&lt;=60,"46-60",TRUE, "60+")</f>
        <v>18-30</v>
      </c>
      <c r="AL459" t="str" cm="1">
        <f t="array" ref="AL459">_xlfn.IFS(F459&lt;=10,"0-10",F459&lt;=20,"11-20",TRUE,"20+")</f>
        <v>0-10</v>
      </c>
      <c r="AM459" t="str" cm="1">
        <f t="array" ref="AM459">_xlfn.IFS(S459&lt;=5000,"0-5k",S459&lt;=10000,"5k-10k",S459&lt;=15000,"10k-15k",TRUE,"15k+")</f>
        <v>0-5k</v>
      </c>
      <c r="AN459" t="str" cm="1">
        <f t="array" ref="AN459">_xlfn.IFS(AF459&lt;=10,"0-10",AF459&lt;=20,"10-20",AF459&lt;=30,"20-30",TRUE,"30+")</f>
        <v>0-10</v>
      </c>
      <c r="AO459" t="str" cm="1">
        <f t="array" ref="AO459">_xlfn.IFS(Y459=1,"Poor",Y459=2,"Average",Y459=3,"Good",TRUE,"Excellent")</f>
        <v>Good</v>
      </c>
      <c r="AP459" t="str" cm="1">
        <f t="array" ref="AP459">_xlfn.IFS(Q459=1,"Low",Q459=2,"Medium",Q459=3,"High",TRUE,"Very High")</f>
        <v>Medium</v>
      </c>
    </row>
    <row r="460" spans="1:42" x14ac:dyDescent="0.25">
      <c r="A460">
        <v>40</v>
      </c>
      <c r="B460" t="s">
        <v>42</v>
      </c>
      <c r="C460" t="s">
        <v>53</v>
      </c>
      <c r="D460">
        <v>1094</v>
      </c>
      <c r="E460" t="s">
        <v>36</v>
      </c>
      <c r="F460">
        <v>28</v>
      </c>
      <c r="G460">
        <v>3</v>
      </c>
      <c r="H460" t="s">
        <v>47</v>
      </c>
      <c r="I460">
        <v>1</v>
      </c>
      <c r="J460">
        <v>615</v>
      </c>
      <c r="K460">
        <v>3</v>
      </c>
      <c r="L460" t="s">
        <v>44</v>
      </c>
      <c r="M460">
        <v>58</v>
      </c>
      <c r="N460">
        <v>1</v>
      </c>
      <c r="O460">
        <v>3</v>
      </c>
      <c r="P460" t="s">
        <v>39</v>
      </c>
      <c r="Q460">
        <v>1</v>
      </c>
      <c r="R460" t="s">
        <v>50</v>
      </c>
      <c r="S460">
        <v>10932</v>
      </c>
      <c r="T460">
        <v>11373</v>
      </c>
      <c r="U460">
        <v>3</v>
      </c>
      <c r="V460" t="s">
        <v>41</v>
      </c>
      <c r="W460" t="s">
        <v>42</v>
      </c>
      <c r="X460">
        <v>15</v>
      </c>
      <c r="Y460">
        <v>3</v>
      </c>
      <c r="Z460">
        <v>3</v>
      </c>
      <c r="AA460">
        <v>80</v>
      </c>
      <c r="AB460">
        <v>1</v>
      </c>
      <c r="AC460">
        <v>20</v>
      </c>
      <c r="AD460">
        <v>2</v>
      </c>
      <c r="AE460">
        <v>3</v>
      </c>
      <c r="AF460">
        <v>1</v>
      </c>
      <c r="AG460">
        <v>0</v>
      </c>
      <c r="AH460">
        <v>0</v>
      </c>
      <c r="AI460">
        <v>1</v>
      </c>
      <c r="AJ460">
        <f t="shared" si="7"/>
        <v>0</v>
      </c>
      <c r="AK460" t="str" cm="1">
        <f t="array" ref="AK460">_xlfn.IFS(A460&lt;=30,"18-30",A460&lt;=45,"31-45",A460&lt;=60,"46-60",TRUE, "60+")</f>
        <v>31-45</v>
      </c>
      <c r="AL460" t="str" cm="1">
        <f t="array" ref="AL460">_xlfn.IFS(F460&lt;=10,"0-10",F460&lt;=20,"11-20",TRUE,"20+")</f>
        <v>20+</v>
      </c>
      <c r="AM460" t="str" cm="1">
        <f t="array" ref="AM460">_xlfn.IFS(S460&lt;=5000,"0-5k",S460&lt;=10000,"5k-10k",S460&lt;=15000,"10k-15k",TRUE,"15k+")</f>
        <v>10k-15k</v>
      </c>
      <c r="AN460" t="str" cm="1">
        <f t="array" ref="AN460">_xlfn.IFS(AF460&lt;=10,"0-10",AF460&lt;=20,"10-20",AF460&lt;=30,"20-30",TRUE,"30+")</f>
        <v>0-10</v>
      </c>
      <c r="AO460" t="str" cm="1">
        <f t="array" ref="AO460">_xlfn.IFS(Y460=1,"Poor",Y460=2,"Average",Y460=3,"Good",TRUE,"Excellent")</f>
        <v>Good</v>
      </c>
      <c r="AP460" t="str" cm="1">
        <f t="array" ref="AP460">_xlfn.IFS(Q460=1,"Low",Q460=2,"Medium",Q460=3,"High",TRUE,"Very High")</f>
        <v>Low</v>
      </c>
    </row>
    <row r="461" spans="1:42" x14ac:dyDescent="0.25">
      <c r="A461">
        <v>41</v>
      </c>
      <c r="B461" t="s">
        <v>42</v>
      </c>
      <c r="C461" t="s">
        <v>53</v>
      </c>
      <c r="D461">
        <v>509</v>
      </c>
      <c r="E461" t="s">
        <v>43</v>
      </c>
      <c r="F461">
        <v>2</v>
      </c>
      <c r="G461">
        <v>4</v>
      </c>
      <c r="H461" t="s">
        <v>47</v>
      </c>
      <c r="I461">
        <v>1</v>
      </c>
      <c r="J461">
        <v>616</v>
      </c>
      <c r="K461">
        <v>1</v>
      </c>
      <c r="L461" t="s">
        <v>38</v>
      </c>
      <c r="M461">
        <v>62</v>
      </c>
      <c r="N461">
        <v>2</v>
      </c>
      <c r="O461">
        <v>2</v>
      </c>
      <c r="P461" t="s">
        <v>52</v>
      </c>
      <c r="Q461">
        <v>3</v>
      </c>
      <c r="R461" t="s">
        <v>40</v>
      </c>
      <c r="S461">
        <v>6811</v>
      </c>
      <c r="T461">
        <v>2112</v>
      </c>
      <c r="U461">
        <v>2</v>
      </c>
      <c r="V461" t="s">
        <v>41</v>
      </c>
      <c r="W461" t="s">
        <v>35</v>
      </c>
      <c r="X461">
        <v>17</v>
      </c>
      <c r="Y461">
        <v>3</v>
      </c>
      <c r="Z461">
        <v>1</v>
      </c>
      <c r="AA461">
        <v>80</v>
      </c>
      <c r="AB461">
        <v>0</v>
      </c>
      <c r="AC461">
        <v>10</v>
      </c>
      <c r="AD461">
        <v>3</v>
      </c>
      <c r="AE461">
        <v>3</v>
      </c>
      <c r="AF461">
        <v>8</v>
      </c>
      <c r="AG461">
        <v>7</v>
      </c>
      <c r="AH461">
        <v>0</v>
      </c>
      <c r="AI461">
        <v>7</v>
      </c>
      <c r="AJ461">
        <f t="shared" si="7"/>
        <v>0</v>
      </c>
      <c r="AK461" t="str" cm="1">
        <f t="array" ref="AK461">_xlfn.IFS(A461&lt;=30,"18-30",A461&lt;=45,"31-45",A461&lt;=60,"46-60",TRUE, "60+")</f>
        <v>31-45</v>
      </c>
      <c r="AL461" t="str" cm="1">
        <f t="array" ref="AL461">_xlfn.IFS(F461&lt;=10,"0-10",F461&lt;=20,"11-20",TRUE,"20+")</f>
        <v>0-10</v>
      </c>
      <c r="AM461" t="str" cm="1">
        <f t="array" ref="AM461">_xlfn.IFS(S461&lt;=5000,"0-5k",S461&lt;=10000,"5k-10k",S461&lt;=15000,"10k-15k",TRUE,"15k+")</f>
        <v>5k-10k</v>
      </c>
      <c r="AN461" t="str" cm="1">
        <f t="array" ref="AN461">_xlfn.IFS(AF461&lt;=10,"0-10",AF461&lt;=20,"10-20",AF461&lt;=30,"20-30",TRUE,"30+")</f>
        <v>0-10</v>
      </c>
      <c r="AO461" t="str" cm="1">
        <f t="array" ref="AO461">_xlfn.IFS(Y461=1,"Poor",Y461=2,"Average",Y461=3,"Good",TRUE,"Excellent")</f>
        <v>Good</v>
      </c>
      <c r="AP461" t="str" cm="1">
        <f t="array" ref="AP461">_xlfn.IFS(Q461=1,"Low",Q461=2,"Medium",Q461=3,"High",TRUE,"Very High")</f>
        <v>High</v>
      </c>
    </row>
    <row r="462" spans="1:42" x14ac:dyDescent="0.25">
      <c r="A462">
        <v>26</v>
      </c>
      <c r="B462" t="s">
        <v>42</v>
      </c>
      <c r="C462" t="s">
        <v>90</v>
      </c>
      <c r="D462">
        <v>775</v>
      </c>
      <c r="E462" t="s">
        <v>36</v>
      </c>
      <c r="F462">
        <v>29</v>
      </c>
      <c r="G462">
        <v>2</v>
      </c>
      <c r="H462" t="s">
        <v>49</v>
      </c>
      <c r="I462">
        <v>1</v>
      </c>
      <c r="J462">
        <v>618</v>
      </c>
      <c r="K462">
        <v>1</v>
      </c>
      <c r="L462" t="s">
        <v>44</v>
      </c>
      <c r="M462">
        <v>45</v>
      </c>
      <c r="N462">
        <v>3</v>
      </c>
      <c r="O462">
        <v>2</v>
      </c>
      <c r="P462" t="s">
        <v>39</v>
      </c>
      <c r="Q462">
        <v>3</v>
      </c>
      <c r="R462" t="s">
        <v>50</v>
      </c>
      <c r="S462">
        <v>4306</v>
      </c>
      <c r="T462">
        <v>4267</v>
      </c>
      <c r="U462">
        <v>5</v>
      </c>
      <c r="V462" t="s">
        <v>41</v>
      </c>
      <c r="W462" t="s">
        <v>42</v>
      </c>
      <c r="X462">
        <v>12</v>
      </c>
      <c r="Y462">
        <v>3</v>
      </c>
      <c r="Z462">
        <v>1</v>
      </c>
      <c r="AA462">
        <v>80</v>
      </c>
      <c r="AB462">
        <v>2</v>
      </c>
      <c r="AC462">
        <v>8</v>
      </c>
      <c r="AD462">
        <v>5</v>
      </c>
      <c r="AE462">
        <v>3</v>
      </c>
      <c r="AF462">
        <v>0</v>
      </c>
      <c r="AG462">
        <v>0</v>
      </c>
      <c r="AH462">
        <v>0</v>
      </c>
      <c r="AI462">
        <v>0</v>
      </c>
      <c r="AJ462">
        <f t="shared" si="7"/>
        <v>0</v>
      </c>
      <c r="AK462" t="str" cm="1">
        <f t="array" ref="AK462">_xlfn.IFS(A462&lt;=30,"18-30",A462&lt;=45,"31-45",A462&lt;=60,"46-60",TRUE, "60+")</f>
        <v>18-30</v>
      </c>
      <c r="AL462" t="str" cm="1">
        <f t="array" ref="AL462">_xlfn.IFS(F462&lt;=10,"0-10",F462&lt;=20,"11-20",TRUE,"20+")</f>
        <v>20+</v>
      </c>
      <c r="AM462" t="str" cm="1">
        <f t="array" ref="AM462">_xlfn.IFS(S462&lt;=5000,"0-5k",S462&lt;=10000,"5k-10k",S462&lt;=15000,"10k-15k",TRUE,"15k+")</f>
        <v>0-5k</v>
      </c>
      <c r="AN462" t="str" cm="1">
        <f t="array" ref="AN462">_xlfn.IFS(AF462&lt;=10,"0-10",AF462&lt;=20,"10-20",AF462&lt;=30,"20-30",TRUE,"30+")</f>
        <v>0-10</v>
      </c>
      <c r="AO462" t="str" cm="1">
        <f t="array" ref="AO462">_xlfn.IFS(Y462=1,"Poor",Y462=2,"Average",Y462=3,"Good",TRUE,"Excellent")</f>
        <v>Good</v>
      </c>
      <c r="AP462" t="str" cm="1">
        <f t="array" ref="AP462">_xlfn.IFS(Q462=1,"Low",Q462=2,"Medium",Q462=3,"High",TRUE,"Very High")</f>
        <v>High</v>
      </c>
    </row>
    <row r="463" spans="1:42" x14ac:dyDescent="0.25">
      <c r="A463">
        <v>35</v>
      </c>
      <c r="B463" t="s">
        <v>42</v>
      </c>
      <c r="C463" t="s">
        <v>90</v>
      </c>
      <c r="D463">
        <v>195</v>
      </c>
      <c r="E463" t="s">
        <v>36</v>
      </c>
      <c r="F463">
        <v>1</v>
      </c>
      <c r="G463">
        <v>3</v>
      </c>
      <c r="H463" t="s">
        <v>49</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c r="AJ463">
        <f t="shared" si="7"/>
        <v>0</v>
      </c>
      <c r="AK463" t="str" cm="1">
        <f t="array" ref="AK463">_xlfn.IFS(A463&lt;=30,"18-30",A463&lt;=45,"31-45",A463&lt;=60,"46-60",TRUE, "60+")</f>
        <v>31-45</v>
      </c>
      <c r="AL463" t="str" cm="1">
        <f t="array" ref="AL463">_xlfn.IFS(F463&lt;=10,"0-10",F463&lt;=20,"11-20",TRUE,"20+")</f>
        <v>0-10</v>
      </c>
      <c r="AM463" t="str" cm="1">
        <f t="array" ref="AM463">_xlfn.IFS(S463&lt;=5000,"0-5k",S463&lt;=10000,"5k-10k",S463&lt;=15000,"10k-15k",TRUE,"15k+")</f>
        <v>0-5k</v>
      </c>
      <c r="AN463" t="str" cm="1">
        <f t="array" ref="AN463">_xlfn.IFS(AF463&lt;=10,"0-10",AF463&lt;=20,"10-20",AF463&lt;=30,"20-30",TRUE,"30+")</f>
        <v>0-10</v>
      </c>
      <c r="AO463" t="str" cm="1">
        <f t="array" ref="AO463">_xlfn.IFS(Y463=1,"Poor",Y463=2,"Average",Y463=3,"Good",TRUE,"Excellent")</f>
        <v>Good</v>
      </c>
      <c r="AP463" t="str" cm="1">
        <f t="array" ref="AP463">_xlfn.IFS(Q463=1,"Low",Q463=2,"Medium",Q463=3,"High",TRUE,"Very High")</f>
        <v>High</v>
      </c>
    </row>
    <row r="464" spans="1:42" x14ac:dyDescent="0.25">
      <c r="A464">
        <v>34</v>
      </c>
      <c r="B464" t="s">
        <v>42</v>
      </c>
      <c r="C464" t="s">
        <v>90</v>
      </c>
      <c r="D464">
        <v>258</v>
      </c>
      <c r="E464" t="s">
        <v>36</v>
      </c>
      <c r="F464">
        <v>21</v>
      </c>
      <c r="G464">
        <v>4</v>
      </c>
      <c r="H464" t="s">
        <v>37</v>
      </c>
      <c r="I464">
        <v>1</v>
      </c>
      <c r="J464">
        <v>621</v>
      </c>
      <c r="K464">
        <v>4</v>
      </c>
      <c r="L464" t="s">
        <v>44</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c r="AJ464">
        <f t="shared" si="7"/>
        <v>0</v>
      </c>
      <c r="AK464" t="str" cm="1">
        <f t="array" ref="AK464">_xlfn.IFS(A464&lt;=30,"18-30",A464&lt;=45,"31-45",A464&lt;=60,"46-60",TRUE, "60+")</f>
        <v>31-45</v>
      </c>
      <c r="AL464" t="str" cm="1">
        <f t="array" ref="AL464">_xlfn.IFS(F464&lt;=10,"0-10",F464&lt;=20,"11-20",TRUE,"20+")</f>
        <v>20+</v>
      </c>
      <c r="AM464" t="str" cm="1">
        <f t="array" ref="AM464">_xlfn.IFS(S464&lt;=5000,"0-5k",S464&lt;=10000,"5k-10k",S464&lt;=15000,"10k-15k",TRUE,"15k+")</f>
        <v>5k-10k</v>
      </c>
      <c r="AN464" t="str" cm="1">
        <f t="array" ref="AN464">_xlfn.IFS(AF464&lt;=10,"0-10",AF464&lt;=20,"10-20",AF464&lt;=30,"20-30",TRUE,"30+")</f>
        <v>0-10</v>
      </c>
      <c r="AO464" t="str" cm="1">
        <f t="array" ref="AO464">_xlfn.IFS(Y464=1,"Poor",Y464=2,"Average",Y464=3,"Good",TRUE,"Excellent")</f>
        <v>Good</v>
      </c>
      <c r="AP464" t="str" cm="1">
        <f t="array" ref="AP464">_xlfn.IFS(Q464=1,"Low",Q464=2,"Medium",Q464=3,"High",TRUE,"Very High")</f>
        <v>Very High</v>
      </c>
    </row>
    <row r="465" spans="1:42" x14ac:dyDescent="0.25">
      <c r="A465">
        <v>26</v>
      </c>
      <c r="B465" t="s">
        <v>35</v>
      </c>
      <c r="C465" t="s">
        <v>90</v>
      </c>
      <c r="D465">
        <v>471</v>
      </c>
      <c r="E465" t="s">
        <v>43</v>
      </c>
      <c r="F465">
        <v>24</v>
      </c>
      <c r="G465">
        <v>3</v>
      </c>
      <c r="H465" t="s">
        <v>58</v>
      </c>
      <c r="I465">
        <v>1</v>
      </c>
      <c r="J465">
        <v>622</v>
      </c>
      <c r="K465">
        <v>3</v>
      </c>
      <c r="L465" t="s">
        <v>44</v>
      </c>
      <c r="M465">
        <v>66</v>
      </c>
      <c r="N465">
        <v>1</v>
      </c>
      <c r="O465">
        <v>1</v>
      </c>
      <c r="P465" t="s">
        <v>48</v>
      </c>
      <c r="Q465">
        <v>4</v>
      </c>
      <c r="R465" t="s">
        <v>40</v>
      </c>
      <c r="S465">
        <v>2340</v>
      </c>
      <c r="T465">
        <v>23213</v>
      </c>
      <c r="U465">
        <v>1</v>
      </c>
      <c r="V465" t="s">
        <v>41</v>
      </c>
      <c r="W465" t="s">
        <v>35</v>
      </c>
      <c r="X465">
        <v>18</v>
      </c>
      <c r="Y465">
        <v>3</v>
      </c>
      <c r="Z465">
        <v>2</v>
      </c>
      <c r="AA465">
        <v>80</v>
      </c>
      <c r="AB465">
        <v>0</v>
      </c>
      <c r="AC465">
        <v>1</v>
      </c>
      <c r="AD465">
        <v>3</v>
      </c>
      <c r="AE465">
        <v>1</v>
      </c>
      <c r="AF465">
        <v>1</v>
      </c>
      <c r="AG465">
        <v>0</v>
      </c>
      <c r="AH465">
        <v>0</v>
      </c>
      <c r="AI465">
        <v>0</v>
      </c>
      <c r="AJ465">
        <f t="shared" si="7"/>
        <v>1</v>
      </c>
      <c r="AK465" t="str" cm="1">
        <f t="array" ref="AK465">_xlfn.IFS(A465&lt;=30,"18-30",A465&lt;=45,"31-45",A465&lt;=60,"46-60",TRUE, "60+")</f>
        <v>18-30</v>
      </c>
      <c r="AL465" t="str" cm="1">
        <f t="array" ref="AL465">_xlfn.IFS(F465&lt;=10,"0-10",F465&lt;=20,"11-20",TRUE,"20+")</f>
        <v>20+</v>
      </c>
      <c r="AM465" t="str" cm="1">
        <f t="array" ref="AM465">_xlfn.IFS(S465&lt;=5000,"0-5k",S465&lt;=10000,"5k-10k",S465&lt;=15000,"10k-15k",TRUE,"15k+")</f>
        <v>0-5k</v>
      </c>
      <c r="AN465" t="str" cm="1">
        <f t="array" ref="AN465">_xlfn.IFS(AF465&lt;=10,"0-10",AF465&lt;=20,"10-20",AF465&lt;=30,"20-30",TRUE,"30+")</f>
        <v>0-10</v>
      </c>
      <c r="AO465" t="str" cm="1">
        <f t="array" ref="AO465">_xlfn.IFS(Y465=1,"Poor",Y465=2,"Average",Y465=3,"Good",TRUE,"Excellent")</f>
        <v>Good</v>
      </c>
      <c r="AP465" t="str" cm="1">
        <f t="array" ref="AP465">_xlfn.IFS(Q465=1,"Low",Q465=2,"Medium",Q465=3,"High",TRUE,"Very High")</f>
        <v>Very High</v>
      </c>
    </row>
    <row r="466" spans="1:42" x14ac:dyDescent="0.25">
      <c r="A466">
        <v>37</v>
      </c>
      <c r="B466" t="s">
        <v>42</v>
      </c>
      <c r="C466" t="s">
        <v>90</v>
      </c>
      <c r="D466">
        <v>799</v>
      </c>
      <c r="E466" t="s">
        <v>43</v>
      </c>
      <c r="F466">
        <v>1</v>
      </c>
      <c r="G466">
        <v>3</v>
      </c>
      <c r="H466" t="s">
        <v>58</v>
      </c>
      <c r="I466">
        <v>1</v>
      </c>
      <c r="J466">
        <v>623</v>
      </c>
      <c r="K466">
        <v>2</v>
      </c>
      <c r="L466" t="s">
        <v>38</v>
      </c>
      <c r="M466">
        <v>59</v>
      </c>
      <c r="N466">
        <v>3</v>
      </c>
      <c r="O466">
        <v>3</v>
      </c>
      <c r="P466" t="s">
        <v>51</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c r="AJ466">
        <f t="shared" si="7"/>
        <v>0</v>
      </c>
      <c r="AK466" t="str" cm="1">
        <f t="array" ref="AK466">_xlfn.IFS(A466&lt;=30,"18-30",A466&lt;=45,"31-45",A466&lt;=60,"46-60",TRUE, "60+")</f>
        <v>31-45</v>
      </c>
      <c r="AL466" t="str" cm="1">
        <f t="array" ref="AL466">_xlfn.IFS(F466&lt;=10,"0-10",F466&lt;=20,"11-20",TRUE,"20+")</f>
        <v>0-10</v>
      </c>
      <c r="AM466" t="str" cm="1">
        <f t="array" ref="AM466">_xlfn.IFS(S466&lt;=5000,"0-5k",S466&lt;=10000,"5k-10k",S466&lt;=15000,"10k-15k",TRUE,"15k+")</f>
        <v>5k-10k</v>
      </c>
      <c r="AN466" t="str" cm="1">
        <f t="array" ref="AN466">_xlfn.IFS(AF466&lt;=10,"0-10",AF466&lt;=20,"10-20",AF466&lt;=30,"20-30",TRUE,"30+")</f>
        <v>0-10</v>
      </c>
      <c r="AO466" t="str" cm="1">
        <f t="array" ref="AO466">_xlfn.IFS(Y466=1,"Poor",Y466=2,"Average",Y466=3,"Good",TRUE,"Excellent")</f>
        <v>Good</v>
      </c>
      <c r="AP466" t="str" cm="1">
        <f t="array" ref="AP466">_xlfn.IFS(Q466=1,"Low",Q466=2,"Medium",Q466=3,"High",TRUE,"Very High")</f>
        <v>Very High</v>
      </c>
    </row>
    <row r="467" spans="1:42" x14ac:dyDescent="0.25">
      <c r="A467">
        <v>46</v>
      </c>
      <c r="B467" t="s">
        <v>42</v>
      </c>
      <c r="C467" t="s">
        <v>91</v>
      </c>
      <c r="D467">
        <v>1034</v>
      </c>
      <c r="E467" t="s">
        <v>43</v>
      </c>
      <c r="F467">
        <v>18</v>
      </c>
      <c r="G467">
        <v>1</v>
      </c>
      <c r="H467" t="s">
        <v>49</v>
      </c>
      <c r="I467">
        <v>1</v>
      </c>
      <c r="J467">
        <v>624</v>
      </c>
      <c r="K467">
        <v>1</v>
      </c>
      <c r="L467" t="s">
        <v>38</v>
      </c>
      <c r="M467">
        <v>86</v>
      </c>
      <c r="N467">
        <v>3</v>
      </c>
      <c r="O467">
        <v>3</v>
      </c>
      <c r="P467" t="s">
        <v>52</v>
      </c>
      <c r="Q467">
        <v>3</v>
      </c>
      <c r="R467" t="s">
        <v>46</v>
      </c>
      <c r="S467">
        <v>10527</v>
      </c>
      <c r="T467">
        <v>8984</v>
      </c>
      <c r="U467">
        <v>5</v>
      </c>
      <c r="V467" t="s">
        <v>41</v>
      </c>
      <c r="W467" t="s">
        <v>42</v>
      </c>
      <c r="X467">
        <v>11</v>
      </c>
      <c r="Y467">
        <v>3</v>
      </c>
      <c r="Z467">
        <v>4</v>
      </c>
      <c r="AA467">
        <v>80</v>
      </c>
      <c r="AB467">
        <v>0</v>
      </c>
      <c r="AC467">
        <v>28</v>
      </c>
      <c r="AD467">
        <v>3</v>
      </c>
      <c r="AE467">
        <v>2</v>
      </c>
      <c r="AF467">
        <v>2</v>
      </c>
      <c r="AG467">
        <v>2</v>
      </c>
      <c r="AH467">
        <v>1</v>
      </c>
      <c r="AI467">
        <v>2</v>
      </c>
      <c r="AJ467">
        <f t="shared" si="7"/>
        <v>0</v>
      </c>
      <c r="AK467" t="str" cm="1">
        <f t="array" ref="AK467">_xlfn.IFS(A467&lt;=30,"18-30",A467&lt;=45,"31-45",A467&lt;=60,"46-60",TRUE, "60+")</f>
        <v>46-60</v>
      </c>
      <c r="AL467" t="str" cm="1">
        <f t="array" ref="AL467">_xlfn.IFS(F467&lt;=10,"0-10",F467&lt;=20,"11-20",TRUE,"20+")</f>
        <v>11-20</v>
      </c>
      <c r="AM467" t="str" cm="1">
        <f t="array" ref="AM467">_xlfn.IFS(S467&lt;=5000,"0-5k",S467&lt;=10000,"5k-10k",S467&lt;=15000,"10k-15k",TRUE,"15k+")</f>
        <v>10k-15k</v>
      </c>
      <c r="AN467" t="str" cm="1">
        <f t="array" ref="AN467">_xlfn.IFS(AF467&lt;=10,"0-10",AF467&lt;=20,"10-20",AF467&lt;=30,"20-30",TRUE,"30+")</f>
        <v>0-10</v>
      </c>
      <c r="AO467" t="str" cm="1">
        <f t="array" ref="AO467">_xlfn.IFS(Y467=1,"Poor",Y467=2,"Average",Y467=3,"Good",TRUE,"Excellent")</f>
        <v>Good</v>
      </c>
      <c r="AP467" t="str" cm="1">
        <f t="array" ref="AP467">_xlfn.IFS(Q467=1,"Low",Q467=2,"Medium",Q467=3,"High",TRUE,"Very High")</f>
        <v>High</v>
      </c>
    </row>
    <row r="468" spans="1:42" x14ac:dyDescent="0.25">
      <c r="A468">
        <v>41</v>
      </c>
      <c r="B468" t="s">
        <v>42</v>
      </c>
      <c r="C468" t="s">
        <v>90</v>
      </c>
      <c r="D468">
        <v>1276</v>
      </c>
      <c r="E468" t="s">
        <v>36</v>
      </c>
      <c r="F468">
        <v>2</v>
      </c>
      <c r="G468">
        <v>5</v>
      </c>
      <c r="H468" t="s">
        <v>37</v>
      </c>
      <c r="I468">
        <v>1</v>
      </c>
      <c r="J468">
        <v>625</v>
      </c>
      <c r="K468">
        <v>2</v>
      </c>
      <c r="L468" t="s">
        <v>38</v>
      </c>
      <c r="M468">
        <v>91</v>
      </c>
      <c r="N468">
        <v>3</v>
      </c>
      <c r="O468">
        <v>4</v>
      </c>
      <c r="P468" t="s">
        <v>54</v>
      </c>
      <c r="Q468">
        <v>1</v>
      </c>
      <c r="R468" t="s">
        <v>46</v>
      </c>
      <c r="S468">
        <v>16595</v>
      </c>
      <c r="T468">
        <v>5626</v>
      </c>
      <c r="U468">
        <v>7</v>
      </c>
      <c r="V468" t="s">
        <v>41</v>
      </c>
      <c r="W468" t="s">
        <v>42</v>
      </c>
      <c r="X468">
        <v>16</v>
      </c>
      <c r="Y468">
        <v>3</v>
      </c>
      <c r="Z468">
        <v>2</v>
      </c>
      <c r="AA468">
        <v>80</v>
      </c>
      <c r="AB468">
        <v>1</v>
      </c>
      <c r="AC468">
        <v>22</v>
      </c>
      <c r="AD468">
        <v>2</v>
      </c>
      <c r="AE468">
        <v>3</v>
      </c>
      <c r="AF468">
        <v>18</v>
      </c>
      <c r="AG468">
        <v>16</v>
      </c>
      <c r="AH468">
        <v>11</v>
      </c>
      <c r="AI468">
        <v>8</v>
      </c>
      <c r="AJ468">
        <f t="shared" si="7"/>
        <v>0</v>
      </c>
      <c r="AK468" t="str" cm="1">
        <f t="array" ref="AK468">_xlfn.IFS(A468&lt;=30,"18-30",A468&lt;=45,"31-45",A468&lt;=60,"46-60",TRUE, "60+")</f>
        <v>31-45</v>
      </c>
      <c r="AL468" t="str" cm="1">
        <f t="array" ref="AL468">_xlfn.IFS(F468&lt;=10,"0-10",F468&lt;=20,"11-20",TRUE,"20+")</f>
        <v>0-10</v>
      </c>
      <c r="AM468" t="str" cm="1">
        <f t="array" ref="AM468">_xlfn.IFS(S468&lt;=5000,"0-5k",S468&lt;=10000,"5k-10k",S468&lt;=15000,"10k-15k",TRUE,"15k+")</f>
        <v>15k+</v>
      </c>
      <c r="AN468" t="str" cm="1">
        <f t="array" ref="AN468">_xlfn.IFS(AF468&lt;=10,"0-10",AF468&lt;=20,"10-20",AF468&lt;=30,"20-30",TRUE,"30+")</f>
        <v>10-20</v>
      </c>
      <c r="AO468" t="str" cm="1">
        <f t="array" ref="AO468">_xlfn.IFS(Y468=1,"Poor",Y468=2,"Average",Y468=3,"Good",TRUE,"Excellent")</f>
        <v>Good</v>
      </c>
      <c r="AP468" t="str" cm="1">
        <f t="array" ref="AP468">_xlfn.IFS(Q468=1,"Low",Q468=2,"Medium",Q468=3,"High",TRUE,"Very High")</f>
        <v>Low</v>
      </c>
    </row>
    <row r="469" spans="1:42" x14ac:dyDescent="0.25">
      <c r="A469">
        <v>37</v>
      </c>
      <c r="B469" t="s">
        <v>42</v>
      </c>
      <c r="C469" t="s">
        <v>53</v>
      </c>
      <c r="D469">
        <v>142</v>
      </c>
      <c r="E469" t="s">
        <v>36</v>
      </c>
      <c r="F469">
        <v>9</v>
      </c>
      <c r="G469">
        <v>4</v>
      </c>
      <c r="H469" t="s">
        <v>49</v>
      </c>
      <c r="I469">
        <v>1</v>
      </c>
      <c r="J469">
        <v>626</v>
      </c>
      <c r="K469">
        <v>1</v>
      </c>
      <c r="L469" t="s">
        <v>44</v>
      </c>
      <c r="M469">
        <v>69</v>
      </c>
      <c r="N469">
        <v>3</v>
      </c>
      <c r="O469">
        <v>3</v>
      </c>
      <c r="P469" t="s">
        <v>39</v>
      </c>
      <c r="Q469">
        <v>2</v>
      </c>
      <c r="R469" t="s">
        <v>50</v>
      </c>
      <c r="S469">
        <v>8834</v>
      </c>
      <c r="T469">
        <v>24666</v>
      </c>
      <c r="U469">
        <v>1</v>
      </c>
      <c r="V469" t="s">
        <v>41</v>
      </c>
      <c r="W469" t="s">
        <v>42</v>
      </c>
      <c r="X469">
        <v>13</v>
      </c>
      <c r="Y469">
        <v>3</v>
      </c>
      <c r="Z469">
        <v>4</v>
      </c>
      <c r="AA469">
        <v>80</v>
      </c>
      <c r="AB469">
        <v>1</v>
      </c>
      <c r="AC469">
        <v>9</v>
      </c>
      <c r="AD469">
        <v>6</v>
      </c>
      <c r="AE469">
        <v>3</v>
      </c>
      <c r="AF469">
        <v>9</v>
      </c>
      <c r="AG469">
        <v>5</v>
      </c>
      <c r="AH469">
        <v>7</v>
      </c>
      <c r="AI469">
        <v>7</v>
      </c>
      <c r="AJ469">
        <f t="shared" si="7"/>
        <v>0</v>
      </c>
      <c r="AK469" t="str" cm="1">
        <f t="array" ref="AK469">_xlfn.IFS(A469&lt;=30,"18-30",A469&lt;=45,"31-45",A469&lt;=60,"46-60",TRUE, "60+")</f>
        <v>31-45</v>
      </c>
      <c r="AL469" t="str" cm="1">
        <f t="array" ref="AL469">_xlfn.IFS(F469&lt;=10,"0-10",F469&lt;=20,"11-20",TRUE,"20+")</f>
        <v>0-10</v>
      </c>
      <c r="AM469" t="str" cm="1">
        <f t="array" ref="AM469">_xlfn.IFS(S469&lt;=5000,"0-5k",S469&lt;=10000,"5k-10k",S469&lt;=15000,"10k-15k",TRUE,"15k+")</f>
        <v>5k-10k</v>
      </c>
      <c r="AN469" t="str" cm="1">
        <f t="array" ref="AN469">_xlfn.IFS(AF469&lt;=10,"0-10",AF469&lt;=20,"10-20",AF469&lt;=30,"20-30",TRUE,"30+")</f>
        <v>0-10</v>
      </c>
      <c r="AO469" t="str" cm="1">
        <f t="array" ref="AO469">_xlfn.IFS(Y469=1,"Poor",Y469=2,"Average",Y469=3,"Good",TRUE,"Excellent")</f>
        <v>Good</v>
      </c>
      <c r="AP469" t="str" cm="1">
        <f t="array" ref="AP469">_xlfn.IFS(Q469=1,"Low",Q469=2,"Medium",Q469=3,"High",TRUE,"Very High")</f>
        <v>Medium</v>
      </c>
    </row>
    <row r="470" spans="1:42" x14ac:dyDescent="0.25">
      <c r="A470">
        <v>52</v>
      </c>
      <c r="B470" t="s">
        <v>42</v>
      </c>
      <c r="C470" t="s">
        <v>90</v>
      </c>
      <c r="D470">
        <v>956</v>
      </c>
      <c r="E470" t="s">
        <v>43</v>
      </c>
      <c r="F470">
        <v>6</v>
      </c>
      <c r="G470">
        <v>2</v>
      </c>
      <c r="H470" t="s">
        <v>58</v>
      </c>
      <c r="I470">
        <v>1</v>
      </c>
      <c r="J470">
        <v>630</v>
      </c>
      <c r="K470">
        <v>4</v>
      </c>
      <c r="L470" t="s">
        <v>44</v>
      </c>
      <c r="M470">
        <v>78</v>
      </c>
      <c r="N470">
        <v>3</v>
      </c>
      <c r="O470">
        <v>2</v>
      </c>
      <c r="P470" t="s">
        <v>45</v>
      </c>
      <c r="Q470">
        <v>1</v>
      </c>
      <c r="R470" t="s">
        <v>50</v>
      </c>
      <c r="S470">
        <v>5577</v>
      </c>
      <c r="T470">
        <v>22087</v>
      </c>
      <c r="U470">
        <v>3</v>
      </c>
      <c r="V470" t="s">
        <v>41</v>
      </c>
      <c r="W470" t="s">
        <v>35</v>
      </c>
      <c r="X470">
        <v>12</v>
      </c>
      <c r="Y470">
        <v>3</v>
      </c>
      <c r="Z470">
        <v>2</v>
      </c>
      <c r="AA470">
        <v>80</v>
      </c>
      <c r="AB470">
        <v>2</v>
      </c>
      <c r="AC470">
        <v>18</v>
      </c>
      <c r="AD470">
        <v>3</v>
      </c>
      <c r="AE470">
        <v>3</v>
      </c>
      <c r="AF470">
        <v>10</v>
      </c>
      <c r="AG470">
        <v>9</v>
      </c>
      <c r="AH470">
        <v>6</v>
      </c>
      <c r="AI470">
        <v>9</v>
      </c>
      <c r="AJ470">
        <f t="shared" si="7"/>
        <v>0</v>
      </c>
      <c r="AK470" t="str" cm="1">
        <f t="array" ref="AK470">_xlfn.IFS(A470&lt;=30,"18-30",A470&lt;=45,"31-45",A470&lt;=60,"46-60",TRUE, "60+")</f>
        <v>46-60</v>
      </c>
      <c r="AL470" t="str" cm="1">
        <f t="array" ref="AL470">_xlfn.IFS(F470&lt;=10,"0-10",F470&lt;=20,"11-20",TRUE,"20+")</f>
        <v>0-10</v>
      </c>
      <c r="AM470" t="str" cm="1">
        <f t="array" ref="AM470">_xlfn.IFS(S470&lt;=5000,"0-5k",S470&lt;=10000,"5k-10k",S470&lt;=15000,"10k-15k",TRUE,"15k+")</f>
        <v>5k-10k</v>
      </c>
      <c r="AN470" t="str" cm="1">
        <f t="array" ref="AN470">_xlfn.IFS(AF470&lt;=10,"0-10",AF470&lt;=20,"10-20",AF470&lt;=30,"20-30",TRUE,"30+")</f>
        <v>0-10</v>
      </c>
      <c r="AO470" t="str" cm="1">
        <f t="array" ref="AO470">_xlfn.IFS(Y470=1,"Poor",Y470=2,"Average",Y470=3,"Good",TRUE,"Excellent")</f>
        <v>Good</v>
      </c>
      <c r="AP470" t="str" cm="1">
        <f t="array" ref="AP470">_xlfn.IFS(Q470=1,"Low",Q470=2,"Medium",Q470=3,"High",TRUE,"Very High")</f>
        <v>Low</v>
      </c>
    </row>
    <row r="471" spans="1:42" x14ac:dyDescent="0.25">
      <c r="A471">
        <v>32</v>
      </c>
      <c r="B471" t="s">
        <v>35</v>
      </c>
      <c r="C471" t="s">
        <v>53</v>
      </c>
      <c r="D471">
        <v>1474</v>
      </c>
      <c r="E471" t="s">
        <v>36</v>
      </c>
      <c r="F471">
        <v>11</v>
      </c>
      <c r="G471">
        <v>4</v>
      </c>
      <c r="H471" t="s">
        <v>47</v>
      </c>
      <c r="I471">
        <v>1</v>
      </c>
      <c r="J471">
        <v>631</v>
      </c>
      <c r="K471">
        <v>4</v>
      </c>
      <c r="L471" t="s">
        <v>44</v>
      </c>
      <c r="M471">
        <v>60</v>
      </c>
      <c r="N471">
        <v>4</v>
      </c>
      <c r="O471">
        <v>2</v>
      </c>
      <c r="P471" t="s">
        <v>39</v>
      </c>
      <c r="Q471">
        <v>3</v>
      </c>
      <c r="R471" t="s">
        <v>46</v>
      </c>
      <c r="S471">
        <v>4707</v>
      </c>
      <c r="T471">
        <v>23914</v>
      </c>
      <c r="U471">
        <v>8</v>
      </c>
      <c r="V471" t="s">
        <v>41</v>
      </c>
      <c r="W471" t="s">
        <v>42</v>
      </c>
      <c r="X471">
        <v>12</v>
      </c>
      <c r="Y471">
        <v>3</v>
      </c>
      <c r="Z471">
        <v>4</v>
      </c>
      <c r="AA471">
        <v>80</v>
      </c>
      <c r="AB471">
        <v>0</v>
      </c>
      <c r="AC471">
        <v>6</v>
      </c>
      <c r="AD471">
        <v>2</v>
      </c>
      <c r="AE471">
        <v>3</v>
      </c>
      <c r="AF471">
        <v>4</v>
      </c>
      <c r="AG471">
        <v>2</v>
      </c>
      <c r="AH471">
        <v>1</v>
      </c>
      <c r="AI471">
        <v>2</v>
      </c>
      <c r="AJ471">
        <f t="shared" si="7"/>
        <v>1</v>
      </c>
      <c r="AK471" t="str" cm="1">
        <f t="array" ref="AK471">_xlfn.IFS(A471&lt;=30,"18-30",A471&lt;=45,"31-45",A471&lt;=60,"46-60",TRUE, "60+")</f>
        <v>31-45</v>
      </c>
      <c r="AL471" t="str" cm="1">
        <f t="array" ref="AL471">_xlfn.IFS(F471&lt;=10,"0-10",F471&lt;=20,"11-20",TRUE,"20+")</f>
        <v>11-20</v>
      </c>
      <c r="AM471" t="str" cm="1">
        <f t="array" ref="AM471">_xlfn.IFS(S471&lt;=5000,"0-5k",S471&lt;=10000,"5k-10k",S471&lt;=15000,"10k-15k",TRUE,"15k+")</f>
        <v>0-5k</v>
      </c>
      <c r="AN471" t="str" cm="1">
        <f t="array" ref="AN471">_xlfn.IFS(AF471&lt;=10,"0-10",AF471&lt;=20,"10-20",AF471&lt;=30,"20-30",TRUE,"30+")</f>
        <v>0-10</v>
      </c>
      <c r="AO471" t="str" cm="1">
        <f t="array" ref="AO471">_xlfn.IFS(Y471=1,"Poor",Y471=2,"Average",Y471=3,"Good",TRUE,"Excellent")</f>
        <v>Good</v>
      </c>
      <c r="AP471" t="str" cm="1">
        <f t="array" ref="AP471">_xlfn.IFS(Q471=1,"Low",Q471=2,"Medium",Q471=3,"High",TRUE,"Very High")</f>
        <v>High</v>
      </c>
    </row>
    <row r="472" spans="1:42" x14ac:dyDescent="0.25">
      <c r="A472">
        <v>24</v>
      </c>
      <c r="B472" t="s">
        <v>42</v>
      </c>
      <c r="C472" t="s">
        <v>91</v>
      </c>
      <c r="D472">
        <v>535</v>
      </c>
      <c r="E472" t="s">
        <v>36</v>
      </c>
      <c r="F472">
        <v>24</v>
      </c>
      <c r="G472">
        <v>3</v>
      </c>
      <c r="H472" t="s">
        <v>49</v>
      </c>
      <c r="I472">
        <v>1</v>
      </c>
      <c r="J472">
        <v>632</v>
      </c>
      <c r="K472">
        <v>4</v>
      </c>
      <c r="L472" t="s">
        <v>44</v>
      </c>
      <c r="M472">
        <v>38</v>
      </c>
      <c r="N472">
        <v>3</v>
      </c>
      <c r="O472">
        <v>1</v>
      </c>
      <c r="P472" t="s">
        <v>55</v>
      </c>
      <c r="Q472">
        <v>4</v>
      </c>
      <c r="R472" t="s">
        <v>46</v>
      </c>
      <c r="S472">
        <v>2400</v>
      </c>
      <c r="T472">
        <v>5530</v>
      </c>
      <c r="U472">
        <v>0</v>
      </c>
      <c r="V472" t="s">
        <v>41</v>
      </c>
      <c r="W472" t="s">
        <v>42</v>
      </c>
      <c r="X472">
        <v>13</v>
      </c>
      <c r="Y472">
        <v>3</v>
      </c>
      <c r="Z472">
        <v>3</v>
      </c>
      <c r="AA472">
        <v>80</v>
      </c>
      <c r="AB472">
        <v>2</v>
      </c>
      <c r="AC472">
        <v>3</v>
      </c>
      <c r="AD472">
        <v>3</v>
      </c>
      <c r="AE472">
        <v>3</v>
      </c>
      <c r="AF472">
        <v>2</v>
      </c>
      <c r="AG472">
        <v>2</v>
      </c>
      <c r="AH472">
        <v>2</v>
      </c>
      <c r="AI472">
        <v>1</v>
      </c>
      <c r="AJ472">
        <f t="shared" si="7"/>
        <v>0</v>
      </c>
      <c r="AK472" t="str" cm="1">
        <f t="array" ref="AK472">_xlfn.IFS(A472&lt;=30,"18-30",A472&lt;=45,"31-45",A472&lt;=60,"46-60",TRUE, "60+")</f>
        <v>18-30</v>
      </c>
      <c r="AL472" t="str" cm="1">
        <f t="array" ref="AL472">_xlfn.IFS(F472&lt;=10,"0-10",F472&lt;=20,"11-20",TRUE,"20+")</f>
        <v>20+</v>
      </c>
      <c r="AM472" t="str" cm="1">
        <f t="array" ref="AM472">_xlfn.IFS(S472&lt;=5000,"0-5k",S472&lt;=10000,"5k-10k",S472&lt;=15000,"10k-15k",TRUE,"15k+")</f>
        <v>0-5k</v>
      </c>
      <c r="AN472" t="str" cm="1">
        <f t="array" ref="AN472">_xlfn.IFS(AF472&lt;=10,"0-10",AF472&lt;=20,"10-20",AF472&lt;=30,"20-30",TRUE,"30+")</f>
        <v>0-10</v>
      </c>
      <c r="AO472" t="str" cm="1">
        <f t="array" ref="AO472">_xlfn.IFS(Y472=1,"Poor",Y472=2,"Average",Y472=3,"Good",TRUE,"Excellent")</f>
        <v>Good</v>
      </c>
      <c r="AP472" t="str" cm="1">
        <f t="array" ref="AP472">_xlfn.IFS(Q472=1,"Low",Q472=2,"Medium",Q472=3,"High",TRUE,"Very High")</f>
        <v>Very High</v>
      </c>
    </row>
    <row r="473" spans="1:42" x14ac:dyDescent="0.25">
      <c r="A473">
        <v>38</v>
      </c>
      <c r="B473" t="s">
        <v>42</v>
      </c>
      <c r="C473" t="s">
        <v>90</v>
      </c>
      <c r="D473">
        <v>1495</v>
      </c>
      <c r="E473" t="s">
        <v>43</v>
      </c>
      <c r="F473">
        <v>10</v>
      </c>
      <c r="G473">
        <v>3</v>
      </c>
      <c r="H473" t="s">
        <v>49</v>
      </c>
      <c r="I473">
        <v>1</v>
      </c>
      <c r="J473">
        <v>634</v>
      </c>
      <c r="K473">
        <v>3</v>
      </c>
      <c r="L473" t="s">
        <v>38</v>
      </c>
      <c r="M473">
        <v>76</v>
      </c>
      <c r="N473">
        <v>3</v>
      </c>
      <c r="O473">
        <v>2</v>
      </c>
      <c r="P473" t="s">
        <v>52</v>
      </c>
      <c r="Q473">
        <v>3</v>
      </c>
      <c r="R473" t="s">
        <v>46</v>
      </c>
      <c r="S473">
        <v>9824</v>
      </c>
      <c r="T473">
        <v>22174</v>
      </c>
      <c r="U473">
        <v>3</v>
      </c>
      <c r="V473" t="s">
        <v>41</v>
      </c>
      <c r="W473" t="s">
        <v>42</v>
      </c>
      <c r="X473">
        <v>19</v>
      </c>
      <c r="Y473">
        <v>3</v>
      </c>
      <c r="Z473">
        <v>3</v>
      </c>
      <c r="AA473">
        <v>80</v>
      </c>
      <c r="AB473">
        <v>1</v>
      </c>
      <c r="AC473">
        <v>18</v>
      </c>
      <c r="AD473">
        <v>4</v>
      </c>
      <c r="AE473">
        <v>3</v>
      </c>
      <c r="AF473">
        <v>1</v>
      </c>
      <c r="AG473">
        <v>0</v>
      </c>
      <c r="AH473">
        <v>0</v>
      </c>
      <c r="AI473">
        <v>0</v>
      </c>
      <c r="AJ473">
        <f t="shared" si="7"/>
        <v>0</v>
      </c>
      <c r="AK473" t="str" cm="1">
        <f t="array" ref="AK473">_xlfn.IFS(A473&lt;=30,"18-30",A473&lt;=45,"31-45",A473&lt;=60,"46-60",TRUE, "60+")</f>
        <v>31-45</v>
      </c>
      <c r="AL473" t="str" cm="1">
        <f t="array" ref="AL473">_xlfn.IFS(F473&lt;=10,"0-10",F473&lt;=20,"11-20",TRUE,"20+")</f>
        <v>0-10</v>
      </c>
      <c r="AM473" t="str" cm="1">
        <f t="array" ref="AM473">_xlfn.IFS(S473&lt;=5000,"0-5k",S473&lt;=10000,"5k-10k",S473&lt;=15000,"10k-15k",TRUE,"15k+")</f>
        <v>5k-10k</v>
      </c>
      <c r="AN473" t="str" cm="1">
        <f t="array" ref="AN473">_xlfn.IFS(AF473&lt;=10,"0-10",AF473&lt;=20,"10-20",AF473&lt;=30,"20-30",TRUE,"30+")</f>
        <v>0-10</v>
      </c>
      <c r="AO473" t="str" cm="1">
        <f t="array" ref="AO473">_xlfn.IFS(Y473=1,"Poor",Y473=2,"Average",Y473=3,"Good",TRUE,"Excellent")</f>
        <v>Good</v>
      </c>
      <c r="AP473" t="str" cm="1">
        <f t="array" ref="AP473">_xlfn.IFS(Q473=1,"Low",Q473=2,"Medium",Q473=3,"High",TRUE,"Very High")</f>
        <v>High</v>
      </c>
    </row>
    <row r="474" spans="1:42" x14ac:dyDescent="0.25">
      <c r="A474">
        <v>37</v>
      </c>
      <c r="B474" t="s">
        <v>42</v>
      </c>
      <c r="C474" t="s">
        <v>90</v>
      </c>
      <c r="D474">
        <v>446</v>
      </c>
      <c r="E474" t="s">
        <v>43</v>
      </c>
      <c r="F474">
        <v>1</v>
      </c>
      <c r="G474">
        <v>4</v>
      </c>
      <c r="H474" t="s">
        <v>37</v>
      </c>
      <c r="I474">
        <v>1</v>
      </c>
      <c r="J474">
        <v>635</v>
      </c>
      <c r="K474">
        <v>2</v>
      </c>
      <c r="L474" t="s">
        <v>38</v>
      </c>
      <c r="M474">
        <v>65</v>
      </c>
      <c r="N474">
        <v>3</v>
      </c>
      <c r="O474">
        <v>2</v>
      </c>
      <c r="P474" t="s">
        <v>51</v>
      </c>
      <c r="Q474">
        <v>2</v>
      </c>
      <c r="R474" t="s">
        <v>46</v>
      </c>
      <c r="S474">
        <v>6447</v>
      </c>
      <c r="T474">
        <v>15701</v>
      </c>
      <c r="U474">
        <v>6</v>
      </c>
      <c r="V474" t="s">
        <v>41</v>
      </c>
      <c r="W474" t="s">
        <v>42</v>
      </c>
      <c r="X474">
        <v>12</v>
      </c>
      <c r="Y474">
        <v>3</v>
      </c>
      <c r="Z474">
        <v>2</v>
      </c>
      <c r="AA474">
        <v>80</v>
      </c>
      <c r="AB474">
        <v>1</v>
      </c>
      <c r="AC474">
        <v>8</v>
      </c>
      <c r="AD474">
        <v>2</v>
      </c>
      <c r="AE474">
        <v>2</v>
      </c>
      <c r="AF474">
        <v>6</v>
      </c>
      <c r="AG474">
        <v>5</v>
      </c>
      <c r="AH474">
        <v>4</v>
      </c>
      <c r="AI474">
        <v>3</v>
      </c>
      <c r="AJ474">
        <f t="shared" si="7"/>
        <v>0</v>
      </c>
      <c r="AK474" t="str" cm="1">
        <f t="array" ref="AK474">_xlfn.IFS(A474&lt;=30,"18-30",A474&lt;=45,"31-45",A474&lt;=60,"46-60",TRUE, "60+")</f>
        <v>31-45</v>
      </c>
      <c r="AL474" t="str" cm="1">
        <f t="array" ref="AL474">_xlfn.IFS(F474&lt;=10,"0-10",F474&lt;=20,"11-20",TRUE,"20+")</f>
        <v>0-10</v>
      </c>
      <c r="AM474" t="str" cm="1">
        <f t="array" ref="AM474">_xlfn.IFS(S474&lt;=5000,"0-5k",S474&lt;=10000,"5k-10k",S474&lt;=15000,"10k-15k",TRUE,"15k+")</f>
        <v>5k-10k</v>
      </c>
      <c r="AN474" t="str" cm="1">
        <f t="array" ref="AN474">_xlfn.IFS(AF474&lt;=10,"0-10",AF474&lt;=20,"10-20",AF474&lt;=30,"20-30",TRUE,"30+")</f>
        <v>0-10</v>
      </c>
      <c r="AO474" t="str" cm="1">
        <f t="array" ref="AO474">_xlfn.IFS(Y474=1,"Poor",Y474=2,"Average",Y474=3,"Good",TRUE,"Excellent")</f>
        <v>Good</v>
      </c>
      <c r="AP474" t="str" cm="1">
        <f t="array" ref="AP474">_xlfn.IFS(Q474=1,"Low",Q474=2,"Medium",Q474=3,"High",TRUE,"Very High")</f>
        <v>Medium</v>
      </c>
    </row>
    <row r="475" spans="1:42" x14ac:dyDescent="0.25">
      <c r="A475">
        <v>49</v>
      </c>
      <c r="B475" t="s">
        <v>42</v>
      </c>
      <c r="C475" t="s">
        <v>90</v>
      </c>
      <c r="D475">
        <v>1245</v>
      </c>
      <c r="E475" t="s">
        <v>43</v>
      </c>
      <c r="F475">
        <v>18</v>
      </c>
      <c r="G475">
        <v>4</v>
      </c>
      <c r="H475" t="s">
        <v>37</v>
      </c>
      <c r="I475">
        <v>1</v>
      </c>
      <c r="J475">
        <v>638</v>
      </c>
      <c r="K475">
        <v>4</v>
      </c>
      <c r="L475" t="s">
        <v>44</v>
      </c>
      <c r="M475">
        <v>58</v>
      </c>
      <c r="N475">
        <v>2</v>
      </c>
      <c r="O475">
        <v>5</v>
      </c>
      <c r="P475" t="s">
        <v>56</v>
      </c>
      <c r="Q475">
        <v>3</v>
      </c>
      <c r="R475" t="s">
        <v>50</v>
      </c>
      <c r="S475">
        <v>19502</v>
      </c>
      <c r="T475">
        <v>2125</v>
      </c>
      <c r="U475">
        <v>1</v>
      </c>
      <c r="V475" t="s">
        <v>41</v>
      </c>
      <c r="W475" t="s">
        <v>35</v>
      </c>
      <c r="X475">
        <v>17</v>
      </c>
      <c r="Y475">
        <v>3</v>
      </c>
      <c r="Z475">
        <v>3</v>
      </c>
      <c r="AA475">
        <v>80</v>
      </c>
      <c r="AB475">
        <v>1</v>
      </c>
      <c r="AC475">
        <v>31</v>
      </c>
      <c r="AD475">
        <v>5</v>
      </c>
      <c r="AE475">
        <v>3</v>
      </c>
      <c r="AF475">
        <v>31</v>
      </c>
      <c r="AG475">
        <v>9</v>
      </c>
      <c r="AH475">
        <v>0</v>
      </c>
      <c r="AI475">
        <v>9</v>
      </c>
      <c r="AJ475">
        <f t="shared" si="7"/>
        <v>0</v>
      </c>
      <c r="AK475" t="str" cm="1">
        <f t="array" ref="AK475">_xlfn.IFS(A475&lt;=30,"18-30",A475&lt;=45,"31-45",A475&lt;=60,"46-60",TRUE, "60+")</f>
        <v>46-60</v>
      </c>
      <c r="AL475" t="str" cm="1">
        <f t="array" ref="AL475">_xlfn.IFS(F475&lt;=10,"0-10",F475&lt;=20,"11-20",TRUE,"20+")</f>
        <v>11-20</v>
      </c>
      <c r="AM475" t="str" cm="1">
        <f t="array" ref="AM475">_xlfn.IFS(S475&lt;=5000,"0-5k",S475&lt;=10000,"5k-10k",S475&lt;=15000,"10k-15k",TRUE,"15k+")</f>
        <v>15k+</v>
      </c>
      <c r="AN475" t="str" cm="1">
        <f t="array" ref="AN475">_xlfn.IFS(AF475&lt;=10,"0-10",AF475&lt;=20,"10-20",AF475&lt;=30,"20-30",TRUE,"30+")</f>
        <v>30+</v>
      </c>
      <c r="AO475" t="str" cm="1">
        <f t="array" ref="AO475">_xlfn.IFS(Y475=1,"Poor",Y475=2,"Average",Y475=3,"Good",TRUE,"Excellent")</f>
        <v>Good</v>
      </c>
      <c r="AP475" t="str" cm="1">
        <f t="array" ref="AP475">_xlfn.IFS(Q475=1,"Low",Q475=2,"Medium",Q475=3,"High",TRUE,"Very High")</f>
        <v>High</v>
      </c>
    </row>
    <row r="476" spans="1:42" x14ac:dyDescent="0.25">
      <c r="A476">
        <v>24</v>
      </c>
      <c r="B476" t="s">
        <v>42</v>
      </c>
      <c r="C476" t="s">
        <v>90</v>
      </c>
      <c r="D476">
        <v>691</v>
      </c>
      <c r="E476" t="s">
        <v>43</v>
      </c>
      <c r="F476">
        <v>23</v>
      </c>
      <c r="G476">
        <v>3</v>
      </c>
      <c r="H476" t="s">
        <v>49</v>
      </c>
      <c r="I476">
        <v>1</v>
      </c>
      <c r="J476">
        <v>639</v>
      </c>
      <c r="K476">
        <v>2</v>
      </c>
      <c r="L476" t="s">
        <v>44</v>
      </c>
      <c r="M476">
        <v>89</v>
      </c>
      <c r="N476">
        <v>4</v>
      </c>
      <c r="O476">
        <v>1</v>
      </c>
      <c r="P476" t="s">
        <v>45</v>
      </c>
      <c r="Q476">
        <v>4</v>
      </c>
      <c r="R476" t="s">
        <v>46</v>
      </c>
      <c r="S476">
        <v>2725</v>
      </c>
      <c r="T476">
        <v>21630</v>
      </c>
      <c r="U476">
        <v>1</v>
      </c>
      <c r="V476" t="s">
        <v>41</v>
      </c>
      <c r="W476" t="s">
        <v>35</v>
      </c>
      <c r="X476">
        <v>11</v>
      </c>
      <c r="Y476">
        <v>3</v>
      </c>
      <c r="Z476">
        <v>2</v>
      </c>
      <c r="AA476">
        <v>80</v>
      </c>
      <c r="AB476">
        <v>2</v>
      </c>
      <c r="AC476">
        <v>6</v>
      </c>
      <c r="AD476">
        <v>3</v>
      </c>
      <c r="AE476">
        <v>3</v>
      </c>
      <c r="AF476">
        <v>6</v>
      </c>
      <c r="AG476">
        <v>5</v>
      </c>
      <c r="AH476">
        <v>1</v>
      </c>
      <c r="AI476">
        <v>4</v>
      </c>
      <c r="AJ476">
        <f t="shared" si="7"/>
        <v>0</v>
      </c>
      <c r="AK476" t="str" cm="1">
        <f t="array" ref="AK476">_xlfn.IFS(A476&lt;=30,"18-30",A476&lt;=45,"31-45",A476&lt;=60,"46-60",TRUE, "60+")</f>
        <v>18-30</v>
      </c>
      <c r="AL476" t="str" cm="1">
        <f t="array" ref="AL476">_xlfn.IFS(F476&lt;=10,"0-10",F476&lt;=20,"11-20",TRUE,"20+")</f>
        <v>20+</v>
      </c>
      <c r="AM476" t="str" cm="1">
        <f t="array" ref="AM476">_xlfn.IFS(S476&lt;=5000,"0-5k",S476&lt;=10000,"5k-10k",S476&lt;=15000,"10k-15k",TRUE,"15k+")</f>
        <v>0-5k</v>
      </c>
      <c r="AN476" t="str" cm="1">
        <f t="array" ref="AN476">_xlfn.IFS(AF476&lt;=10,"0-10",AF476&lt;=20,"10-20",AF476&lt;=30,"20-30",TRUE,"30+")</f>
        <v>0-10</v>
      </c>
      <c r="AO476" t="str" cm="1">
        <f t="array" ref="AO476">_xlfn.IFS(Y476=1,"Poor",Y476=2,"Average",Y476=3,"Good",TRUE,"Excellent")</f>
        <v>Good</v>
      </c>
      <c r="AP476" t="str" cm="1">
        <f t="array" ref="AP476">_xlfn.IFS(Q476=1,"Low",Q476=2,"Medium",Q476=3,"High",TRUE,"Very High")</f>
        <v>Very High</v>
      </c>
    </row>
    <row r="477" spans="1:42" x14ac:dyDescent="0.25">
      <c r="A477">
        <v>26</v>
      </c>
      <c r="B477" t="s">
        <v>42</v>
      </c>
      <c r="C477" t="s">
        <v>90</v>
      </c>
      <c r="D477">
        <v>703</v>
      </c>
      <c r="E477" t="s">
        <v>36</v>
      </c>
      <c r="F477">
        <v>28</v>
      </c>
      <c r="G477">
        <v>2</v>
      </c>
      <c r="H477" t="s">
        <v>57</v>
      </c>
      <c r="I477">
        <v>1</v>
      </c>
      <c r="J477">
        <v>641</v>
      </c>
      <c r="K477">
        <v>1</v>
      </c>
      <c r="L477" t="s">
        <v>44</v>
      </c>
      <c r="M477">
        <v>66</v>
      </c>
      <c r="N477">
        <v>3</v>
      </c>
      <c r="O477">
        <v>2</v>
      </c>
      <c r="P477" t="s">
        <v>39</v>
      </c>
      <c r="Q477">
        <v>2</v>
      </c>
      <c r="R477" t="s">
        <v>46</v>
      </c>
      <c r="S477">
        <v>6272</v>
      </c>
      <c r="T477">
        <v>7428</v>
      </c>
      <c r="U477">
        <v>1</v>
      </c>
      <c r="V477" t="s">
        <v>41</v>
      </c>
      <c r="W477" t="s">
        <v>42</v>
      </c>
      <c r="X477">
        <v>20</v>
      </c>
      <c r="Y477">
        <v>4</v>
      </c>
      <c r="Z477">
        <v>4</v>
      </c>
      <c r="AA477">
        <v>80</v>
      </c>
      <c r="AB477">
        <v>2</v>
      </c>
      <c r="AC477">
        <v>6</v>
      </c>
      <c r="AD477">
        <v>5</v>
      </c>
      <c r="AE477">
        <v>4</v>
      </c>
      <c r="AF477">
        <v>5</v>
      </c>
      <c r="AG477">
        <v>3</v>
      </c>
      <c r="AH477">
        <v>1</v>
      </c>
      <c r="AI477">
        <v>4</v>
      </c>
      <c r="AJ477">
        <f t="shared" si="7"/>
        <v>0</v>
      </c>
      <c r="AK477" t="str" cm="1">
        <f t="array" ref="AK477">_xlfn.IFS(A477&lt;=30,"18-30",A477&lt;=45,"31-45",A477&lt;=60,"46-60",TRUE, "60+")</f>
        <v>18-30</v>
      </c>
      <c r="AL477" t="str" cm="1">
        <f t="array" ref="AL477">_xlfn.IFS(F477&lt;=10,"0-10",F477&lt;=20,"11-20",TRUE,"20+")</f>
        <v>20+</v>
      </c>
      <c r="AM477" t="str" cm="1">
        <f t="array" ref="AM477">_xlfn.IFS(S477&lt;=5000,"0-5k",S477&lt;=10000,"5k-10k",S477&lt;=15000,"10k-15k",TRUE,"15k+")</f>
        <v>5k-10k</v>
      </c>
      <c r="AN477" t="str" cm="1">
        <f t="array" ref="AN477">_xlfn.IFS(AF477&lt;=10,"0-10",AF477&lt;=20,"10-20",AF477&lt;=30,"20-30",TRUE,"30+")</f>
        <v>0-10</v>
      </c>
      <c r="AO477" t="str" cm="1">
        <f t="array" ref="AO477">_xlfn.IFS(Y477=1,"Poor",Y477=2,"Average",Y477=3,"Good",TRUE,"Excellent")</f>
        <v>Excellent</v>
      </c>
      <c r="AP477" t="str" cm="1">
        <f t="array" ref="AP477">_xlfn.IFS(Q477=1,"Low",Q477=2,"Medium",Q477=3,"High",TRUE,"Very High")</f>
        <v>Medium</v>
      </c>
    </row>
    <row r="478" spans="1:42" x14ac:dyDescent="0.25">
      <c r="A478">
        <v>24</v>
      </c>
      <c r="B478" t="s">
        <v>42</v>
      </c>
      <c r="C478" t="s">
        <v>90</v>
      </c>
      <c r="D478">
        <v>823</v>
      </c>
      <c r="E478" t="s">
        <v>43</v>
      </c>
      <c r="F478">
        <v>17</v>
      </c>
      <c r="G478">
        <v>2</v>
      </c>
      <c r="H478" t="s">
        <v>47</v>
      </c>
      <c r="I478">
        <v>1</v>
      </c>
      <c r="J478">
        <v>643</v>
      </c>
      <c r="K478">
        <v>4</v>
      </c>
      <c r="L478" t="s">
        <v>44</v>
      </c>
      <c r="M478">
        <v>94</v>
      </c>
      <c r="N478">
        <v>2</v>
      </c>
      <c r="O478">
        <v>1</v>
      </c>
      <c r="P478" t="s">
        <v>48</v>
      </c>
      <c r="Q478">
        <v>2</v>
      </c>
      <c r="R478" t="s">
        <v>46</v>
      </c>
      <c r="S478">
        <v>2127</v>
      </c>
      <c r="T478">
        <v>9100</v>
      </c>
      <c r="U478">
        <v>1</v>
      </c>
      <c r="V478" t="s">
        <v>41</v>
      </c>
      <c r="W478" t="s">
        <v>42</v>
      </c>
      <c r="X478">
        <v>21</v>
      </c>
      <c r="Y478">
        <v>4</v>
      </c>
      <c r="Z478">
        <v>4</v>
      </c>
      <c r="AA478">
        <v>80</v>
      </c>
      <c r="AB478">
        <v>1</v>
      </c>
      <c r="AC478">
        <v>1</v>
      </c>
      <c r="AD478">
        <v>2</v>
      </c>
      <c r="AE478">
        <v>3</v>
      </c>
      <c r="AF478">
        <v>1</v>
      </c>
      <c r="AG478">
        <v>0</v>
      </c>
      <c r="AH478">
        <v>0</v>
      </c>
      <c r="AI478">
        <v>0</v>
      </c>
      <c r="AJ478">
        <f t="shared" si="7"/>
        <v>0</v>
      </c>
      <c r="AK478" t="str" cm="1">
        <f t="array" ref="AK478">_xlfn.IFS(A478&lt;=30,"18-30",A478&lt;=45,"31-45",A478&lt;=60,"46-60",TRUE, "60+")</f>
        <v>18-30</v>
      </c>
      <c r="AL478" t="str" cm="1">
        <f t="array" ref="AL478">_xlfn.IFS(F478&lt;=10,"0-10",F478&lt;=20,"11-20",TRUE,"20+")</f>
        <v>11-20</v>
      </c>
      <c r="AM478" t="str" cm="1">
        <f t="array" ref="AM478">_xlfn.IFS(S478&lt;=5000,"0-5k",S478&lt;=10000,"5k-10k",S478&lt;=15000,"10k-15k",TRUE,"15k+")</f>
        <v>0-5k</v>
      </c>
      <c r="AN478" t="str" cm="1">
        <f t="array" ref="AN478">_xlfn.IFS(AF478&lt;=10,"0-10",AF478&lt;=20,"10-20",AF478&lt;=30,"20-30",TRUE,"30+")</f>
        <v>0-10</v>
      </c>
      <c r="AO478" t="str" cm="1">
        <f t="array" ref="AO478">_xlfn.IFS(Y478=1,"Poor",Y478=2,"Average",Y478=3,"Good",TRUE,"Excellent")</f>
        <v>Excellent</v>
      </c>
      <c r="AP478" t="str" cm="1">
        <f t="array" ref="AP478">_xlfn.IFS(Q478=1,"Low",Q478=2,"Medium",Q478=3,"High",TRUE,"Very High")</f>
        <v>Medium</v>
      </c>
    </row>
    <row r="479" spans="1:42" x14ac:dyDescent="0.25">
      <c r="A479">
        <v>50</v>
      </c>
      <c r="B479" t="s">
        <v>42</v>
      </c>
      <c r="C479" t="s">
        <v>91</v>
      </c>
      <c r="D479">
        <v>1246</v>
      </c>
      <c r="E479" t="s">
        <v>59</v>
      </c>
      <c r="F479">
        <v>3</v>
      </c>
      <c r="G479">
        <v>3</v>
      </c>
      <c r="H479" t="s">
        <v>49</v>
      </c>
      <c r="I479">
        <v>1</v>
      </c>
      <c r="J479">
        <v>644</v>
      </c>
      <c r="K479">
        <v>1</v>
      </c>
      <c r="L479" t="s">
        <v>44</v>
      </c>
      <c r="M479">
        <v>99</v>
      </c>
      <c r="N479">
        <v>3</v>
      </c>
      <c r="O479">
        <v>5</v>
      </c>
      <c r="P479" t="s">
        <v>54</v>
      </c>
      <c r="Q479">
        <v>2</v>
      </c>
      <c r="R479" t="s">
        <v>46</v>
      </c>
      <c r="S479">
        <v>18200</v>
      </c>
      <c r="T479">
        <v>7999</v>
      </c>
      <c r="U479">
        <v>1</v>
      </c>
      <c r="V479" t="s">
        <v>41</v>
      </c>
      <c r="W479" t="s">
        <v>42</v>
      </c>
      <c r="X479">
        <v>11</v>
      </c>
      <c r="Y479">
        <v>3</v>
      </c>
      <c r="Z479">
        <v>3</v>
      </c>
      <c r="AA479">
        <v>80</v>
      </c>
      <c r="AB479">
        <v>1</v>
      </c>
      <c r="AC479">
        <v>32</v>
      </c>
      <c r="AD479">
        <v>2</v>
      </c>
      <c r="AE479">
        <v>3</v>
      </c>
      <c r="AF479">
        <v>32</v>
      </c>
      <c r="AG479">
        <v>5</v>
      </c>
      <c r="AH479">
        <v>10</v>
      </c>
      <c r="AI479">
        <v>7</v>
      </c>
      <c r="AJ479">
        <f t="shared" si="7"/>
        <v>0</v>
      </c>
      <c r="AK479" t="str" cm="1">
        <f t="array" ref="AK479">_xlfn.IFS(A479&lt;=30,"18-30",A479&lt;=45,"31-45",A479&lt;=60,"46-60",TRUE, "60+")</f>
        <v>46-60</v>
      </c>
      <c r="AL479" t="str" cm="1">
        <f t="array" ref="AL479">_xlfn.IFS(F479&lt;=10,"0-10",F479&lt;=20,"11-20",TRUE,"20+")</f>
        <v>0-10</v>
      </c>
      <c r="AM479" t="str" cm="1">
        <f t="array" ref="AM479">_xlfn.IFS(S479&lt;=5000,"0-5k",S479&lt;=10000,"5k-10k",S479&lt;=15000,"10k-15k",TRUE,"15k+")</f>
        <v>15k+</v>
      </c>
      <c r="AN479" t="str" cm="1">
        <f t="array" ref="AN479">_xlfn.IFS(AF479&lt;=10,"0-10",AF479&lt;=20,"10-20",AF479&lt;=30,"20-30",TRUE,"30+")</f>
        <v>30+</v>
      </c>
      <c r="AO479" t="str" cm="1">
        <f t="array" ref="AO479">_xlfn.IFS(Y479=1,"Poor",Y479=2,"Average",Y479=3,"Good",TRUE,"Excellent")</f>
        <v>Good</v>
      </c>
      <c r="AP479" t="str" cm="1">
        <f t="array" ref="AP479">_xlfn.IFS(Q479=1,"Low",Q479=2,"Medium",Q479=3,"High",TRUE,"Very High")</f>
        <v>Medium</v>
      </c>
    </row>
    <row r="480" spans="1:42" x14ac:dyDescent="0.25">
      <c r="A480">
        <v>25</v>
      </c>
      <c r="B480" t="s">
        <v>42</v>
      </c>
      <c r="C480" t="s">
        <v>90</v>
      </c>
      <c r="D480">
        <v>622</v>
      </c>
      <c r="E480" t="s">
        <v>36</v>
      </c>
      <c r="F480">
        <v>13</v>
      </c>
      <c r="G480">
        <v>1</v>
      </c>
      <c r="H480" t="s">
        <v>49</v>
      </c>
      <c r="I480">
        <v>1</v>
      </c>
      <c r="J480">
        <v>645</v>
      </c>
      <c r="K480">
        <v>2</v>
      </c>
      <c r="L480" t="s">
        <v>44</v>
      </c>
      <c r="M480">
        <v>40</v>
      </c>
      <c r="N480">
        <v>3</v>
      </c>
      <c r="O480">
        <v>1</v>
      </c>
      <c r="P480" t="s">
        <v>55</v>
      </c>
      <c r="Q480">
        <v>3</v>
      </c>
      <c r="R480" t="s">
        <v>46</v>
      </c>
      <c r="S480">
        <v>2096</v>
      </c>
      <c r="T480">
        <v>26376</v>
      </c>
      <c r="U480">
        <v>1</v>
      </c>
      <c r="V480" t="s">
        <v>41</v>
      </c>
      <c r="W480" t="s">
        <v>42</v>
      </c>
      <c r="X480">
        <v>11</v>
      </c>
      <c r="Y480">
        <v>3</v>
      </c>
      <c r="Z480">
        <v>3</v>
      </c>
      <c r="AA480">
        <v>80</v>
      </c>
      <c r="AB480">
        <v>0</v>
      </c>
      <c r="AC480">
        <v>7</v>
      </c>
      <c r="AD480">
        <v>1</v>
      </c>
      <c r="AE480">
        <v>3</v>
      </c>
      <c r="AF480">
        <v>7</v>
      </c>
      <c r="AG480">
        <v>4</v>
      </c>
      <c r="AH480">
        <v>0</v>
      </c>
      <c r="AI480">
        <v>6</v>
      </c>
      <c r="AJ480">
        <f t="shared" si="7"/>
        <v>0</v>
      </c>
      <c r="AK480" t="str" cm="1">
        <f t="array" ref="AK480">_xlfn.IFS(A480&lt;=30,"18-30",A480&lt;=45,"31-45",A480&lt;=60,"46-60",TRUE, "60+")</f>
        <v>18-30</v>
      </c>
      <c r="AL480" t="str" cm="1">
        <f t="array" ref="AL480">_xlfn.IFS(F480&lt;=10,"0-10",F480&lt;=20,"11-20",TRUE,"20+")</f>
        <v>11-20</v>
      </c>
      <c r="AM480" t="str" cm="1">
        <f t="array" ref="AM480">_xlfn.IFS(S480&lt;=5000,"0-5k",S480&lt;=10000,"5k-10k",S480&lt;=15000,"10k-15k",TRUE,"15k+")</f>
        <v>0-5k</v>
      </c>
      <c r="AN480" t="str" cm="1">
        <f t="array" ref="AN480">_xlfn.IFS(AF480&lt;=10,"0-10",AF480&lt;=20,"10-20",AF480&lt;=30,"20-30",TRUE,"30+")</f>
        <v>0-10</v>
      </c>
      <c r="AO480" t="str" cm="1">
        <f t="array" ref="AO480">_xlfn.IFS(Y480=1,"Poor",Y480=2,"Average",Y480=3,"Good",TRUE,"Excellent")</f>
        <v>Good</v>
      </c>
      <c r="AP480" t="str" cm="1">
        <f t="array" ref="AP480">_xlfn.IFS(Q480=1,"Low",Q480=2,"Medium",Q480=3,"High",TRUE,"Very High")</f>
        <v>High</v>
      </c>
    </row>
    <row r="481" spans="1:42" x14ac:dyDescent="0.25">
      <c r="A481">
        <v>24</v>
      </c>
      <c r="B481" t="s">
        <v>35</v>
      </c>
      <c r="C481" t="s">
        <v>91</v>
      </c>
      <c r="D481">
        <v>1287</v>
      </c>
      <c r="E481" t="s">
        <v>43</v>
      </c>
      <c r="F481">
        <v>7</v>
      </c>
      <c r="G481">
        <v>3</v>
      </c>
      <c r="H481" t="s">
        <v>37</v>
      </c>
      <c r="I481">
        <v>1</v>
      </c>
      <c r="J481">
        <v>647</v>
      </c>
      <c r="K481">
        <v>1</v>
      </c>
      <c r="L481" t="s">
        <v>38</v>
      </c>
      <c r="M481">
        <v>55</v>
      </c>
      <c r="N481">
        <v>3</v>
      </c>
      <c r="O481">
        <v>1</v>
      </c>
      <c r="P481" t="s">
        <v>48</v>
      </c>
      <c r="Q481">
        <v>3</v>
      </c>
      <c r="R481" t="s">
        <v>46</v>
      </c>
      <c r="S481">
        <v>2886</v>
      </c>
      <c r="T481">
        <v>14168</v>
      </c>
      <c r="U481">
        <v>1</v>
      </c>
      <c r="V481" t="s">
        <v>41</v>
      </c>
      <c r="W481" t="s">
        <v>35</v>
      </c>
      <c r="X481">
        <v>16</v>
      </c>
      <c r="Y481">
        <v>3</v>
      </c>
      <c r="Z481">
        <v>4</v>
      </c>
      <c r="AA481">
        <v>80</v>
      </c>
      <c r="AB481">
        <v>1</v>
      </c>
      <c r="AC481">
        <v>6</v>
      </c>
      <c r="AD481">
        <v>4</v>
      </c>
      <c r="AE481">
        <v>3</v>
      </c>
      <c r="AF481">
        <v>6</v>
      </c>
      <c r="AG481">
        <v>3</v>
      </c>
      <c r="AH481">
        <v>1</v>
      </c>
      <c r="AI481">
        <v>2</v>
      </c>
      <c r="AJ481">
        <f t="shared" si="7"/>
        <v>1</v>
      </c>
      <c r="AK481" t="str" cm="1">
        <f t="array" ref="AK481">_xlfn.IFS(A481&lt;=30,"18-30",A481&lt;=45,"31-45",A481&lt;=60,"46-60",TRUE, "60+")</f>
        <v>18-30</v>
      </c>
      <c r="AL481" t="str" cm="1">
        <f t="array" ref="AL481">_xlfn.IFS(F481&lt;=10,"0-10",F481&lt;=20,"11-20",TRUE,"20+")</f>
        <v>0-10</v>
      </c>
      <c r="AM481" t="str" cm="1">
        <f t="array" ref="AM481">_xlfn.IFS(S481&lt;=5000,"0-5k",S481&lt;=10000,"5k-10k",S481&lt;=15000,"10k-15k",TRUE,"15k+")</f>
        <v>0-5k</v>
      </c>
      <c r="AN481" t="str" cm="1">
        <f t="array" ref="AN481">_xlfn.IFS(AF481&lt;=10,"0-10",AF481&lt;=20,"10-20",AF481&lt;=30,"20-30",TRUE,"30+")</f>
        <v>0-10</v>
      </c>
      <c r="AO481" t="str" cm="1">
        <f t="array" ref="AO481">_xlfn.IFS(Y481=1,"Poor",Y481=2,"Average",Y481=3,"Good",TRUE,"Excellent")</f>
        <v>Good</v>
      </c>
      <c r="AP481" t="str" cm="1">
        <f t="array" ref="AP481">_xlfn.IFS(Q481=1,"Low",Q481=2,"Medium",Q481=3,"High",TRUE,"Very High")</f>
        <v>High</v>
      </c>
    </row>
    <row r="482" spans="1:42" x14ac:dyDescent="0.25">
      <c r="A482">
        <v>30</v>
      </c>
      <c r="B482" t="s">
        <v>35</v>
      </c>
      <c r="C482" t="s">
        <v>91</v>
      </c>
      <c r="D482">
        <v>448</v>
      </c>
      <c r="E482" t="s">
        <v>36</v>
      </c>
      <c r="F482">
        <v>12</v>
      </c>
      <c r="G482">
        <v>4</v>
      </c>
      <c r="H482" t="s">
        <v>37</v>
      </c>
      <c r="I482">
        <v>1</v>
      </c>
      <c r="J482">
        <v>648</v>
      </c>
      <c r="K482">
        <v>2</v>
      </c>
      <c r="L482" t="s">
        <v>44</v>
      </c>
      <c r="M482">
        <v>74</v>
      </c>
      <c r="N482">
        <v>2</v>
      </c>
      <c r="O482">
        <v>1</v>
      </c>
      <c r="P482" t="s">
        <v>55</v>
      </c>
      <c r="Q482">
        <v>1</v>
      </c>
      <c r="R482" t="s">
        <v>46</v>
      </c>
      <c r="S482">
        <v>2033</v>
      </c>
      <c r="T482">
        <v>14470</v>
      </c>
      <c r="U482">
        <v>1</v>
      </c>
      <c r="V482" t="s">
        <v>41</v>
      </c>
      <c r="W482" t="s">
        <v>42</v>
      </c>
      <c r="X482">
        <v>18</v>
      </c>
      <c r="Y482">
        <v>3</v>
      </c>
      <c r="Z482">
        <v>3</v>
      </c>
      <c r="AA482">
        <v>80</v>
      </c>
      <c r="AB482">
        <v>1</v>
      </c>
      <c r="AC482">
        <v>1</v>
      </c>
      <c r="AD482">
        <v>2</v>
      </c>
      <c r="AE482">
        <v>4</v>
      </c>
      <c r="AF482">
        <v>1</v>
      </c>
      <c r="AG482">
        <v>0</v>
      </c>
      <c r="AH482">
        <v>0</v>
      </c>
      <c r="AI482">
        <v>0</v>
      </c>
      <c r="AJ482">
        <f t="shared" si="7"/>
        <v>1</v>
      </c>
      <c r="AK482" t="str" cm="1">
        <f t="array" ref="AK482">_xlfn.IFS(A482&lt;=30,"18-30",A482&lt;=45,"31-45",A482&lt;=60,"46-60",TRUE, "60+")</f>
        <v>18-30</v>
      </c>
      <c r="AL482" t="str" cm="1">
        <f t="array" ref="AL482">_xlfn.IFS(F482&lt;=10,"0-10",F482&lt;=20,"11-20",TRUE,"20+")</f>
        <v>11-20</v>
      </c>
      <c r="AM482" t="str" cm="1">
        <f t="array" ref="AM482">_xlfn.IFS(S482&lt;=5000,"0-5k",S482&lt;=10000,"5k-10k",S482&lt;=15000,"10k-15k",TRUE,"15k+")</f>
        <v>0-5k</v>
      </c>
      <c r="AN482" t="str" cm="1">
        <f t="array" ref="AN482">_xlfn.IFS(AF482&lt;=10,"0-10",AF482&lt;=20,"10-20",AF482&lt;=30,"20-30",TRUE,"30+")</f>
        <v>0-10</v>
      </c>
      <c r="AO482" t="str" cm="1">
        <f t="array" ref="AO482">_xlfn.IFS(Y482=1,"Poor",Y482=2,"Average",Y482=3,"Good",TRUE,"Excellent")</f>
        <v>Good</v>
      </c>
      <c r="AP482" t="str" cm="1">
        <f t="array" ref="AP482">_xlfn.IFS(Q482=1,"Low",Q482=2,"Medium",Q482=3,"High",TRUE,"Very High")</f>
        <v>Low</v>
      </c>
    </row>
    <row r="483" spans="1:42" x14ac:dyDescent="0.25">
      <c r="A483">
        <v>34</v>
      </c>
      <c r="B483" t="s">
        <v>42</v>
      </c>
      <c r="C483" t="s">
        <v>90</v>
      </c>
      <c r="D483">
        <v>254</v>
      </c>
      <c r="E483" t="s">
        <v>43</v>
      </c>
      <c r="F483">
        <v>1</v>
      </c>
      <c r="G483">
        <v>2</v>
      </c>
      <c r="H483" t="s">
        <v>37</v>
      </c>
      <c r="I483">
        <v>1</v>
      </c>
      <c r="J483">
        <v>649</v>
      </c>
      <c r="K483">
        <v>2</v>
      </c>
      <c r="L483" t="s">
        <v>44</v>
      </c>
      <c r="M483">
        <v>83</v>
      </c>
      <c r="N483">
        <v>2</v>
      </c>
      <c r="O483">
        <v>1</v>
      </c>
      <c r="P483" t="s">
        <v>45</v>
      </c>
      <c r="Q483">
        <v>4</v>
      </c>
      <c r="R483" t="s">
        <v>46</v>
      </c>
      <c r="S483">
        <v>3622</v>
      </c>
      <c r="T483">
        <v>22794</v>
      </c>
      <c r="U483">
        <v>1</v>
      </c>
      <c r="V483" t="s">
        <v>41</v>
      </c>
      <c r="W483" t="s">
        <v>35</v>
      </c>
      <c r="X483">
        <v>13</v>
      </c>
      <c r="Y483">
        <v>3</v>
      </c>
      <c r="Z483">
        <v>4</v>
      </c>
      <c r="AA483">
        <v>80</v>
      </c>
      <c r="AB483">
        <v>1</v>
      </c>
      <c r="AC483">
        <v>6</v>
      </c>
      <c r="AD483">
        <v>3</v>
      </c>
      <c r="AE483">
        <v>3</v>
      </c>
      <c r="AF483">
        <v>6</v>
      </c>
      <c r="AG483">
        <v>5</v>
      </c>
      <c r="AH483">
        <v>1</v>
      </c>
      <c r="AI483">
        <v>3</v>
      </c>
      <c r="AJ483">
        <f t="shared" si="7"/>
        <v>0</v>
      </c>
      <c r="AK483" t="str" cm="1">
        <f t="array" ref="AK483">_xlfn.IFS(A483&lt;=30,"18-30",A483&lt;=45,"31-45",A483&lt;=60,"46-60",TRUE, "60+")</f>
        <v>31-45</v>
      </c>
      <c r="AL483" t="str" cm="1">
        <f t="array" ref="AL483">_xlfn.IFS(F483&lt;=10,"0-10",F483&lt;=20,"11-20",TRUE,"20+")</f>
        <v>0-10</v>
      </c>
      <c r="AM483" t="str" cm="1">
        <f t="array" ref="AM483">_xlfn.IFS(S483&lt;=5000,"0-5k",S483&lt;=10000,"5k-10k",S483&lt;=15000,"10k-15k",TRUE,"15k+")</f>
        <v>0-5k</v>
      </c>
      <c r="AN483" t="str" cm="1">
        <f t="array" ref="AN483">_xlfn.IFS(AF483&lt;=10,"0-10",AF483&lt;=20,"10-20",AF483&lt;=30,"20-30",TRUE,"30+")</f>
        <v>0-10</v>
      </c>
      <c r="AO483" t="str" cm="1">
        <f t="array" ref="AO483">_xlfn.IFS(Y483=1,"Poor",Y483=2,"Average",Y483=3,"Good",TRUE,"Excellent")</f>
        <v>Good</v>
      </c>
      <c r="AP483" t="str" cm="1">
        <f t="array" ref="AP483">_xlfn.IFS(Q483=1,"Low",Q483=2,"Medium",Q483=3,"High",TRUE,"Very High")</f>
        <v>Very High</v>
      </c>
    </row>
    <row r="484" spans="1:42" x14ac:dyDescent="0.25">
      <c r="A484">
        <v>31</v>
      </c>
      <c r="B484" t="s">
        <v>35</v>
      </c>
      <c r="C484" t="s">
        <v>90</v>
      </c>
      <c r="D484">
        <v>1365</v>
      </c>
      <c r="E484" t="s">
        <v>36</v>
      </c>
      <c r="F484">
        <v>13</v>
      </c>
      <c r="G484">
        <v>4</v>
      </c>
      <c r="H484" t="s">
        <v>49</v>
      </c>
      <c r="I484">
        <v>1</v>
      </c>
      <c r="J484">
        <v>650</v>
      </c>
      <c r="K484">
        <v>2</v>
      </c>
      <c r="L484" t="s">
        <v>44</v>
      </c>
      <c r="M484">
        <v>46</v>
      </c>
      <c r="N484">
        <v>3</v>
      </c>
      <c r="O484">
        <v>2</v>
      </c>
      <c r="P484" t="s">
        <v>39</v>
      </c>
      <c r="Q484">
        <v>1</v>
      </c>
      <c r="R484" t="s">
        <v>50</v>
      </c>
      <c r="S484">
        <v>4233</v>
      </c>
      <c r="T484">
        <v>11512</v>
      </c>
      <c r="U484">
        <v>2</v>
      </c>
      <c r="V484" t="s">
        <v>41</v>
      </c>
      <c r="W484" t="s">
        <v>42</v>
      </c>
      <c r="X484">
        <v>17</v>
      </c>
      <c r="Y484">
        <v>3</v>
      </c>
      <c r="Z484">
        <v>3</v>
      </c>
      <c r="AA484">
        <v>80</v>
      </c>
      <c r="AB484">
        <v>0</v>
      </c>
      <c r="AC484">
        <v>9</v>
      </c>
      <c r="AD484">
        <v>2</v>
      </c>
      <c r="AE484">
        <v>1</v>
      </c>
      <c r="AF484">
        <v>3</v>
      </c>
      <c r="AG484">
        <v>1</v>
      </c>
      <c r="AH484">
        <v>1</v>
      </c>
      <c r="AI484">
        <v>2</v>
      </c>
      <c r="AJ484">
        <f t="shared" si="7"/>
        <v>1</v>
      </c>
      <c r="AK484" t="str" cm="1">
        <f t="array" ref="AK484">_xlfn.IFS(A484&lt;=30,"18-30",A484&lt;=45,"31-45",A484&lt;=60,"46-60",TRUE, "60+")</f>
        <v>31-45</v>
      </c>
      <c r="AL484" t="str" cm="1">
        <f t="array" ref="AL484">_xlfn.IFS(F484&lt;=10,"0-10",F484&lt;=20,"11-20",TRUE,"20+")</f>
        <v>11-20</v>
      </c>
      <c r="AM484" t="str" cm="1">
        <f t="array" ref="AM484">_xlfn.IFS(S484&lt;=5000,"0-5k",S484&lt;=10000,"5k-10k",S484&lt;=15000,"10k-15k",TRUE,"15k+")</f>
        <v>0-5k</v>
      </c>
      <c r="AN484" t="str" cm="1">
        <f t="array" ref="AN484">_xlfn.IFS(AF484&lt;=10,"0-10",AF484&lt;=20,"10-20",AF484&lt;=30,"20-30",TRUE,"30+")</f>
        <v>0-10</v>
      </c>
      <c r="AO484" t="str" cm="1">
        <f t="array" ref="AO484">_xlfn.IFS(Y484=1,"Poor",Y484=2,"Average",Y484=3,"Good",TRUE,"Excellent")</f>
        <v>Good</v>
      </c>
      <c r="AP484" t="str" cm="1">
        <f t="array" ref="AP484">_xlfn.IFS(Q484=1,"Low",Q484=2,"Medium",Q484=3,"High",TRUE,"Very High")</f>
        <v>Low</v>
      </c>
    </row>
    <row r="485" spans="1:42" x14ac:dyDescent="0.25">
      <c r="A485">
        <v>35</v>
      </c>
      <c r="B485" t="s">
        <v>42</v>
      </c>
      <c r="C485" t="s">
        <v>90</v>
      </c>
      <c r="D485">
        <v>538</v>
      </c>
      <c r="E485" t="s">
        <v>43</v>
      </c>
      <c r="F485">
        <v>25</v>
      </c>
      <c r="G485">
        <v>2</v>
      </c>
      <c r="H485" t="s">
        <v>47</v>
      </c>
      <c r="I485">
        <v>1</v>
      </c>
      <c r="J485">
        <v>652</v>
      </c>
      <c r="K485">
        <v>1</v>
      </c>
      <c r="L485" t="s">
        <v>44</v>
      </c>
      <c r="M485">
        <v>54</v>
      </c>
      <c r="N485">
        <v>2</v>
      </c>
      <c r="O485">
        <v>2</v>
      </c>
      <c r="P485" t="s">
        <v>48</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c r="AJ485">
        <f t="shared" si="7"/>
        <v>0</v>
      </c>
      <c r="AK485" t="str" cm="1">
        <f t="array" ref="AK485">_xlfn.IFS(A485&lt;=30,"18-30",A485&lt;=45,"31-45",A485&lt;=60,"46-60",TRUE, "60+")</f>
        <v>31-45</v>
      </c>
      <c r="AL485" t="str" cm="1">
        <f t="array" ref="AL485">_xlfn.IFS(F485&lt;=10,"0-10",F485&lt;=20,"11-20",TRUE,"20+")</f>
        <v>20+</v>
      </c>
      <c r="AM485" t="str" cm="1">
        <f t="array" ref="AM485">_xlfn.IFS(S485&lt;=5000,"0-5k",S485&lt;=10000,"5k-10k",S485&lt;=15000,"10k-15k",TRUE,"15k+")</f>
        <v>0-5k</v>
      </c>
      <c r="AN485" t="str" cm="1">
        <f t="array" ref="AN485">_xlfn.IFS(AF485&lt;=10,"0-10",AF485&lt;=20,"10-20",AF485&lt;=30,"20-30",TRUE,"30+")</f>
        <v>0-10</v>
      </c>
      <c r="AO485" t="str" cm="1">
        <f t="array" ref="AO485">_xlfn.IFS(Y485=1,"Poor",Y485=2,"Average",Y485=3,"Good",TRUE,"Excellent")</f>
        <v>Good</v>
      </c>
      <c r="AP485" t="str" cm="1">
        <f t="array" ref="AP485">_xlfn.IFS(Q485=1,"Low",Q485=2,"Medium",Q485=3,"High",TRUE,"Very High")</f>
        <v>Very High</v>
      </c>
    </row>
    <row r="486" spans="1:42" x14ac:dyDescent="0.25">
      <c r="A486">
        <v>31</v>
      </c>
      <c r="B486" t="s">
        <v>42</v>
      </c>
      <c r="C486" t="s">
        <v>90</v>
      </c>
      <c r="D486">
        <v>525</v>
      </c>
      <c r="E486" t="s">
        <v>36</v>
      </c>
      <c r="F486">
        <v>6</v>
      </c>
      <c r="G486">
        <v>4</v>
      </c>
      <c r="H486" t="s">
        <v>49</v>
      </c>
      <c r="I486">
        <v>1</v>
      </c>
      <c r="J486">
        <v>653</v>
      </c>
      <c r="K486">
        <v>1</v>
      </c>
      <c r="L486" t="s">
        <v>44</v>
      </c>
      <c r="M486">
        <v>66</v>
      </c>
      <c r="N486">
        <v>4</v>
      </c>
      <c r="O486">
        <v>2</v>
      </c>
      <c r="P486" t="s">
        <v>39</v>
      </c>
      <c r="Q486">
        <v>4</v>
      </c>
      <c r="R486" t="s">
        <v>50</v>
      </c>
      <c r="S486">
        <v>5460</v>
      </c>
      <c r="T486">
        <v>6219</v>
      </c>
      <c r="U486">
        <v>4</v>
      </c>
      <c r="V486" t="s">
        <v>41</v>
      </c>
      <c r="W486" t="s">
        <v>42</v>
      </c>
      <c r="X486">
        <v>22</v>
      </c>
      <c r="Y486">
        <v>4</v>
      </c>
      <c r="Z486">
        <v>4</v>
      </c>
      <c r="AA486">
        <v>80</v>
      </c>
      <c r="AB486">
        <v>2</v>
      </c>
      <c r="AC486">
        <v>13</v>
      </c>
      <c r="AD486">
        <v>4</v>
      </c>
      <c r="AE486">
        <v>4</v>
      </c>
      <c r="AF486">
        <v>7</v>
      </c>
      <c r="AG486">
        <v>7</v>
      </c>
      <c r="AH486">
        <v>5</v>
      </c>
      <c r="AI486">
        <v>7</v>
      </c>
      <c r="AJ486">
        <f t="shared" si="7"/>
        <v>0</v>
      </c>
      <c r="AK486" t="str" cm="1">
        <f t="array" ref="AK486">_xlfn.IFS(A486&lt;=30,"18-30",A486&lt;=45,"31-45",A486&lt;=60,"46-60",TRUE, "60+")</f>
        <v>31-45</v>
      </c>
      <c r="AL486" t="str" cm="1">
        <f t="array" ref="AL486">_xlfn.IFS(F486&lt;=10,"0-10",F486&lt;=20,"11-20",TRUE,"20+")</f>
        <v>0-10</v>
      </c>
      <c r="AM486" t="str" cm="1">
        <f t="array" ref="AM486">_xlfn.IFS(S486&lt;=5000,"0-5k",S486&lt;=10000,"5k-10k",S486&lt;=15000,"10k-15k",TRUE,"15k+")</f>
        <v>5k-10k</v>
      </c>
      <c r="AN486" t="str" cm="1">
        <f t="array" ref="AN486">_xlfn.IFS(AF486&lt;=10,"0-10",AF486&lt;=20,"10-20",AF486&lt;=30,"20-30",TRUE,"30+")</f>
        <v>0-10</v>
      </c>
      <c r="AO486" t="str" cm="1">
        <f t="array" ref="AO486">_xlfn.IFS(Y486=1,"Poor",Y486=2,"Average",Y486=3,"Good",TRUE,"Excellent")</f>
        <v>Excellent</v>
      </c>
      <c r="AP486" t="str" cm="1">
        <f t="array" ref="AP486">_xlfn.IFS(Q486=1,"Low",Q486=2,"Medium",Q486=3,"High",TRUE,"Very High")</f>
        <v>Very High</v>
      </c>
    </row>
    <row r="487" spans="1:42" x14ac:dyDescent="0.25">
      <c r="A487">
        <v>27</v>
      </c>
      <c r="B487" t="s">
        <v>42</v>
      </c>
      <c r="C487" t="s">
        <v>90</v>
      </c>
      <c r="D487">
        <v>798</v>
      </c>
      <c r="E487" t="s">
        <v>43</v>
      </c>
      <c r="F487">
        <v>6</v>
      </c>
      <c r="G487">
        <v>4</v>
      </c>
      <c r="H487" t="s">
        <v>49</v>
      </c>
      <c r="I487">
        <v>1</v>
      </c>
      <c r="J487">
        <v>655</v>
      </c>
      <c r="K487">
        <v>1</v>
      </c>
      <c r="L487" t="s">
        <v>38</v>
      </c>
      <c r="M487">
        <v>66</v>
      </c>
      <c r="N487">
        <v>2</v>
      </c>
      <c r="O487">
        <v>1</v>
      </c>
      <c r="P487" t="s">
        <v>45</v>
      </c>
      <c r="Q487">
        <v>3</v>
      </c>
      <c r="R487" t="s">
        <v>50</v>
      </c>
      <c r="S487">
        <v>2187</v>
      </c>
      <c r="T487">
        <v>5013</v>
      </c>
      <c r="U487">
        <v>0</v>
      </c>
      <c r="V487" t="s">
        <v>41</v>
      </c>
      <c r="W487" t="s">
        <v>42</v>
      </c>
      <c r="X487">
        <v>12</v>
      </c>
      <c r="Y487">
        <v>3</v>
      </c>
      <c r="Z487">
        <v>3</v>
      </c>
      <c r="AA487">
        <v>80</v>
      </c>
      <c r="AB487">
        <v>2</v>
      </c>
      <c r="AC487">
        <v>6</v>
      </c>
      <c r="AD487">
        <v>5</v>
      </c>
      <c r="AE487">
        <v>2</v>
      </c>
      <c r="AF487">
        <v>5</v>
      </c>
      <c r="AG487">
        <v>3</v>
      </c>
      <c r="AH487">
        <v>0</v>
      </c>
      <c r="AI487">
        <v>3</v>
      </c>
      <c r="AJ487">
        <f t="shared" si="7"/>
        <v>0</v>
      </c>
      <c r="AK487" t="str" cm="1">
        <f t="array" ref="AK487">_xlfn.IFS(A487&lt;=30,"18-30",A487&lt;=45,"31-45",A487&lt;=60,"46-60",TRUE, "60+")</f>
        <v>18-30</v>
      </c>
      <c r="AL487" t="str" cm="1">
        <f t="array" ref="AL487">_xlfn.IFS(F487&lt;=10,"0-10",F487&lt;=20,"11-20",TRUE,"20+")</f>
        <v>0-10</v>
      </c>
      <c r="AM487" t="str" cm="1">
        <f t="array" ref="AM487">_xlfn.IFS(S487&lt;=5000,"0-5k",S487&lt;=10000,"5k-10k",S487&lt;=15000,"10k-15k",TRUE,"15k+")</f>
        <v>0-5k</v>
      </c>
      <c r="AN487" t="str" cm="1">
        <f t="array" ref="AN487">_xlfn.IFS(AF487&lt;=10,"0-10",AF487&lt;=20,"10-20",AF487&lt;=30,"20-30",TRUE,"30+")</f>
        <v>0-10</v>
      </c>
      <c r="AO487" t="str" cm="1">
        <f t="array" ref="AO487">_xlfn.IFS(Y487=1,"Poor",Y487=2,"Average",Y487=3,"Good",TRUE,"Excellent")</f>
        <v>Good</v>
      </c>
      <c r="AP487" t="str" cm="1">
        <f t="array" ref="AP487">_xlfn.IFS(Q487=1,"Low",Q487=2,"Medium",Q487=3,"High",TRUE,"Very High")</f>
        <v>High</v>
      </c>
    </row>
    <row r="488" spans="1:42" x14ac:dyDescent="0.25">
      <c r="A488">
        <v>37</v>
      </c>
      <c r="B488" t="s">
        <v>42</v>
      </c>
      <c r="C488" t="s">
        <v>90</v>
      </c>
      <c r="D488">
        <v>558</v>
      </c>
      <c r="E488" t="s">
        <v>36</v>
      </c>
      <c r="F488">
        <v>2</v>
      </c>
      <c r="G488">
        <v>3</v>
      </c>
      <c r="H488" t="s">
        <v>57</v>
      </c>
      <c r="I488">
        <v>1</v>
      </c>
      <c r="J488">
        <v>656</v>
      </c>
      <c r="K488">
        <v>4</v>
      </c>
      <c r="L488" t="s">
        <v>44</v>
      </c>
      <c r="M488">
        <v>75</v>
      </c>
      <c r="N488">
        <v>3</v>
      </c>
      <c r="O488">
        <v>2</v>
      </c>
      <c r="P488" t="s">
        <v>39</v>
      </c>
      <c r="Q488">
        <v>3</v>
      </c>
      <c r="R488" t="s">
        <v>46</v>
      </c>
      <c r="S488">
        <v>9602</v>
      </c>
      <c r="T488">
        <v>3010</v>
      </c>
      <c r="U488">
        <v>4</v>
      </c>
      <c r="V488" t="s">
        <v>41</v>
      </c>
      <c r="W488" t="s">
        <v>35</v>
      </c>
      <c r="X488">
        <v>11</v>
      </c>
      <c r="Y488">
        <v>3</v>
      </c>
      <c r="Z488">
        <v>3</v>
      </c>
      <c r="AA488">
        <v>80</v>
      </c>
      <c r="AB488">
        <v>1</v>
      </c>
      <c r="AC488">
        <v>17</v>
      </c>
      <c r="AD488">
        <v>3</v>
      </c>
      <c r="AE488">
        <v>2</v>
      </c>
      <c r="AF488">
        <v>3</v>
      </c>
      <c r="AG488">
        <v>0</v>
      </c>
      <c r="AH488">
        <v>1</v>
      </c>
      <c r="AI488">
        <v>0</v>
      </c>
      <c r="AJ488">
        <f t="shared" si="7"/>
        <v>0</v>
      </c>
      <c r="AK488" t="str" cm="1">
        <f t="array" ref="AK488">_xlfn.IFS(A488&lt;=30,"18-30",A488&lt;=45,"31-45",A488&lt;=60,"46-60",TRUE, "60+")</f>
        <v>31-45</v>
      </c>
      <c r="AL488" t="str" cm="1">
        <f t="array" ref="AL488">_xlfn.IFS(F488&lt;=10,"0-10",F488&lt;=20,"11-20",TRUE,"20+")</f>
        <v>0-10</v>
      </c>
      <c r="AM488" t="str" cm="1">
        <f t="array" ref="AM488">_xlfn.IFS(S488&lt;=5000,"0-5k",S488&lt;=10000,"5k-10k",S488&lt;=15000,"10k-15k",TRUE,"15k+")</f>
        <v>5k-10k</v>
      </c>
      <c r="AN488" t="str" cm="1">
        <f t="array" ref="AN488">_xlfn.IFS(AF488&lt;=10,"0-10",AF488&lt;=20,"10-20",AF488&lt;=30,"20-30",TRUE,"30+")</f>
        <v>0-10</v>
      </c>
      <c r="AO488" t="str" cm="1">
        <f t="array" ref="AO488">_xlfn.IFS(Y488=1,"Poor",Y488=2,"Average",Y488=3,"Good",TRUE,"Excellent")</f>
        <v>Good</v>
      </c>
      <c r="AP488" t="str" cm="1">
        <f t="array" ref="AP488">_xlfn.IFS(Q488=1,"Low",Q488=2,"Medium",Q488=3,"High",TRUE,"Very High")</f>
        <v>High</v>
      </c>
    </row>
    <row r="489" spans="1:42" x14ac:dyDescent="0.25">
      <c r="A489">
        <v>20</v>
      </c>
      <c r="B489" t="s">
        <v>42</v>
      </c>
      <c r="C489" t="s">
        <v>90</v>
      </c>
      <c r="D489">
        <v>959</v>
      </c>
      <c r="E489" t="s">
        <v>43</v>
      </c>
      <c r="F489">
        <v>1</v>
      </c>
      <c r="G489">
        <v>3</v>
      </c>
      <c r="H489" t="s">
        <v>37</v>
      </c>
      <c r="I489">
        <v>1</v>
      </c>
      <c r="J489">
        <v>657</v>
      </c>
      <c r="K489">
        <v>4</v>
      </c>
      <c r="L489" t="s">
        <v>38</v>
      </c>
      <c r="M489">
        <v>83</v>
      </c>
      <c r="N489">
        <v>2</v>
      </c>
      <c r="O489">
        <v>1</v>
      </c>
      <c r="P489" t="s">
        <v>45</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c r="AJ489">
        <f t="shared" si="7"/>
        <v>0</v>
      </c>
      <c r="AK489" t="str" cm="1">
        <f t="array" ref="AK489">_xlfn.IFS(A489&lt;=30,"18-30",A489&lt;=45,"31-45",A489&lt;=60,"46-60",TRUE, "60+")</f>
        <v>18-30</v>
      </c>
      <c r="AL489" t="str" cm="1">
        <f t="array" ref="AL489">_xlfn.IFS(F489&lt;=10,"0-10",F489&lt;=20,"11-20",TRUE,"20+")</f>
        <v>0-10</v>
      </c>
      <c r="AM489" t="str" cm="1">
        <f t="array" ref="AM489">_xlfn.IFS(S489&lt;=5000,"0-5k",S489&lt;=10000,"5k-10k",S489&lt;=15000,"10k-15k",TRUE,"15k+")</f>
        <v>0-5k</v>
      </c>
      <c r="AN489" t="str" cm="1">
        <f t="array" ref="AN489">_xlfn.IFS(AF489&lt;=10,"0-10",AF489&lt;=20,"10-20",AF489&lt;=30,"20-30",TRUE,"30+")</f>
        <v>0-10</v>
      </c>
      <c r="AO489" t="str" cm="1">
        <f t="array" ref="AO489">_xlfn.IFS(Y489=1,"Poor",Y489=2,"Average",Y489=3,"Good",TRUE,"Excellent")</f>
        <v>Good</v>
      </c>
      <c r="AP489" t="str" cm="1">
        <f t="array" ref="AP489">_xlfn.IFS(Q489=1,"Low",Q489=2,"Medium",Q489=3,"High",TRUE,"Very High")</f>
        <v>Medium</v>
      </c>
    </row>
    <row r="490" spans="1:42" x14ac:dyDescent="0.25">
      <c r="A490">
        <v>42</v>
      </c>
      <c r="B490" t="s">
        <v>42</v>
      </c>
      <c r="C490" t="s">
        <v>90</v>
      </c>
      <c r="D490">
        <v>622</v>
      </c>
      <c r="E490" t="s">
        <v>43</v>
      </c>
      <c r="F490">
        <v>2</v>
      </c>
      <c r="G490">
        <v>4</v>
      </c>
      <c r="H490" t="s">
        <v>37</v>
      </c>
      <c r="I490">
        <v>1</v>
      </c>
      <c r="J490">
        <v>659</v>
      </c>
      <c r="K490">
        <v>3</v>
      </c>
      <c r="L490" t="s">
        <v>38</v>
      </c>
      <c r="M490">
        <v>81</v>
      </c>
      <c r="N490">
        <v>3</v>
      </c>
      <c r="O490">
        <v>2</v>
      </c>
      <c r="P490" t="s">
        <v>52</v>
      </c>
      <c r="Q490">
        <v>4</v>
      </c>
      <c r="R490" t="s">
        <v>46</v>
      </c>
      <c r="S490">
        <v>4089</v>
      </c>
      <c r="T490">
        <v>5718</v>
      </c>
      <c r="U490">
        <v>1</v>
      </c>
      <c r="V490" t="s">
        <v>41</v>
      </c>
      <c r="W490" t="s">
        <v>42</v>
      </c>
      <c r="X490">
        <v>13</v>
      </c>
      <c r="Y490">
        <v>3</v>
      </c>
      <c r="Z490">
        <v>2</v>
      </c>
      <c r="AA490">
        <v>80</v>
      </c>
      <c r="AB490">
        <v>2</v>
      </c>
      <c r="AC490">
        <v>10</v>
      </c>
      <c r="AD490">
        <v>4</v>
      </c>
      <c r="AE490">
        <v>3</v>
      </c>
      <c r="AF490">
        <v>10</v>
      </c>
      <c r="AG490">
        <v>2</v>
      </c>
      <c r="AH490">
        <v>2</v>
      </c>
      <c r="AI490">
        <v>2</v>
      </c>
      <c r="AJ490">
        <f t="shared" si="7"/>
        <v>0</v>
      </c>
      <c r="AK490" t="str" cm="1">
        <f t="array" ref="AK490">_xlfn.IFS(A490&lt;=30,"18-30",A490&lt;=45,"31-45",A490&lt;=60,"46-60",TRUE, "60+")</f>
        <v>31-45</v>
      </c>
      <c r="AL490" t="str" cm="1">
        <f t="array" ref="AL490">_xlfn.IFS(F490&lt;=10,"0-10",F490&lt;=20,"11-20",TRUE,"20+")</f>
        <v>0-10</v>
      </c>
      <c r="AM490" t="str" cm="1">
        <f t="array" ref="AM490">_xlfn.IFS(S490&lt;=5000,"0-5k",S490&lt;=10000,"5k-10k",S490&lt;=15000,"10k-15k",TRUE,"15k+")</f>
        <v>0-5k</v>
      </c>
      <c r="AN490" t="str" cm="1">
        <f t="array" ref="AN490">_xlfn.IFS(AF490&lt;=10,"0-10",AF490&lt;=20,"10-20",AF490&lt;=30,"20-30",TRUE,"30+")</f>
        <v>0-10</v>
      </c>
      <c r="AO490" t="str" cm="1">
        <f t="array" ref="AO490">_xlfn.IFS(Y490=1,"Poor",Y490=2,"Average",Y490=3,"Good",TRUE,"Excellent")</f>
        <v>Good</v>
      </c>
      <c r="AP490" t="str" cm="1">
        <f t="array" ref="AP490">_xlfn.IFS(Q490=1,"Low",Q490=2,"Medium",Q490=3,"High",TRUE,"Very High")</f>
        <v>Very High</v>
      </c>
    </row>
    <row r="491" spans="1:42" x14ac:dyDescent="0.25">
      <c r="A491">
        <v>43</v>
      </c>
      <c r="B491" t="s">
        <v>42</v>
      </c>
      <c r="C491" t="s">
        <v>90</v>
      </c>
      <c r="D491">
        <v>782</v>
      </c>
      <c r="E491" t="s">
        <v>43</v>
      </c>
      <c r="F491">
        <v>6</v>
      </c>
      <c r="G491">
        <v>4</v>
      </c>
      <c r="H491" t="s">
        <v>47</v>
      </c>
      <c r="I491">
        <v>1</v>
      </c>
      <c r="J491">
        <v>661</v>
      </c>
      <c r="K491">
        <v>2</v>
      </c>
      <c r="L491" t="s">
        <v>44</v>
      </c>
      <c r="M491">
        <v>50</v>
      </c>
      <c r="N491">
        <v>2</v>
      </c>
      <c r="O491">
        <v>4</v>
      </c>
      <c r="P491" t="s">
        <v>56</v>
      </c>
      <c r="Q491">
        <v>4</v>
      </c>
      <c r="R491" t="s">
        <v>50</v>
      </c>
      <c r="S491">
        <v>16627</v>
      </c>
      <c r="T491">
        <v>2671</v>
      </c>
      <c r="U491">
        <v>4</v>
      </c>
      <c r="V491" t="s">
        <v>41</v>
      </c>
      <c r="W491" t="s">
        <v>35</v>
      </c>
      <c r="X491">
        <v>14</v>
      </c>
      <c r="Y491">
        <v>3</v>
      </c>
      <c r="Z491">
        <v>3</v>
      </c>
      <c r="AA491">
        <v>80</v>
      </c>
      <c r="AB491">
        <v>1</v>
      </c>
      <c r="AC491">
        <v>21</v>
      </c>
      <c r="AD491">
        <v>3</v>
      </c>
      <c r="AE491">
        <v>2</v>
      </c>
      <c r="AF491">
        <v>1</v>
      </c>
      <c r="AG491">
        <v>0</v>
      </c>
      <c r="AH491">
        <v>0</v>
      </c>
      <c r="AI491">
        <v>0</v>
      </c>
      <c r="AJ491">
        <f t="shared" si="7"/>
        <v>0</v>
      </c>
      <c r="AK491" t="str" cm="1">
        <f t="array" ref="AK491">_xlfn.IFS(A491&lt;=30,"18-30",A491&lt;=45,"31-45",A491&lt;=60,"46-60",TRUE, "60+")</f>
        <v>31-45</v>
      </c>
      <c r="AL491" t="str" cm="1">
        <f t="array" ref="AL491">_xlfn.IFS(F491&lt;=10,"0-10",F491&lt;=20,"11-20",TRUE,"20+")</f>
        <v>0-10</v>
      </c>
      <c r="AM491" t="str" cm="1">
        <f t="array" ref="AM491">_xlfn.IFS(S491&lt;=5000,"0-5k",S491&lt;=10000,"5k-10k",S491&lt;=15000,"10k-15k",TRUE,"15k+")</f>
        <v>15k+</v>
      </c>
      <c r="AN491" t="str" cm="1">
        <f t="array" ref="AN491">_xlfn.IFS(AF491&lt;=10,"0-10",AF491&lt;=20,"10-20",AF491&lt;=30,"20-30",TRUE,"30+")</f>
        <v>0-10</v>
      </c>
      <c r="AO491" t="str" cm="1">
        <f t="array" ref="AO491">_xlfn.IFS(Y491=1,"Poor",Y491=2,"Average",Y491=3,"Good",TRUE,"Excellent")</f>
        <v>Good</v>
      </c>
      <c r="AP491" t="str" cm="1">
        <f t="array" ref="AP491">_xlfn.IFS(Q491=1,"Low",Q491=2,"Medium",Q491=3,"High",TRUE,"Very High")</f>
        <v>Very High</v>
      </c>
    </row>
    <row r="492" spans="1:42" x14ac:dyDescent="0.25">
      <c r="A492">
        <v>38</v>
      </c>
      <c r="B492" t="s">
        <v>42</v>
      </c>
      <c r="C492" t="s">
        <v>90</v>
      </c>
      <c r="D492">
        <v>362</v>
      </c>
      <c r="E492" t="s">
        <v>43</v>
      </c>
      <c r="F492">
        <v>1</v>
      </c>
      <c r="G492">
        <v>1</v>
      </c>
      <c r="H492" t="s">
        <v>37</v>
      </c>
      <c r="I492">
        <v>1</v>
      </c>
      <c r="J492">
        <v>662</v>
      </c>
      <c r="K492">
        <v>3</v>
      </c>
      <c r="L492" t="s">
        <v>38</v>
      </c>
      <c r="M492">
        <v>43</v>
      </c>
      <c r="N492">
        <v>3</v>
      </c>
      <c r="O492">
        <v>1</v>
      </c>
      <c r="P492" t="s">
        <v>45</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c r="AJ492">
        <f t="shared" si="7"/>
        <v>0</v>
      </c>
      <c r="AK492" t="str" cm="1">
        <f t="array" ref="AK492">_xlfn.IFS(A492&lt;=30,"18-30",A492&lt;=45,"31-45",A492&lt;=60,"46-60",TRUE, "60+")</f>
        <v>31-45</v>
      </c>
      <c r="AL492" t="str" cm="1">
        <f t="array" ref="AL492">_xlfn.IFS(F492&lt;=10,"0-10",F492&lt;=20,"11-20",TRUE,"20+")</f>
        <v>0-10</v>
      </c>
      <c r="AM492" t="str" cm="1">
        <f t="array" ref="AM492">_xlfn.IFS(S492&lt;=5000,"0-5k",S492&lt;=10000,"5k-10k",S492&lt;=15000,"10k-15k",TRUE,"15k+")</f>
        <v>0-5k</v>
      </c>
      <c r="AN492" t="str" cm="1">
        <f t="array" ref="AN492">_xlfn.IFS(AF492&lt;=10,"0-10",AF492&lt;=20,"10-20",AF492&lt;=30,"20-30",TRUE,"30+")</f>
        <v>0-10</v>
      </c>
      <c r="AO492" t="str" cm="1">
        <f t="array" ref="AO492">_xlfn.IFS(Y492=1,"Poor",Y492=2,"Average",Y492=3,"Good",TRUE,"Excellent")</f>
        <v>Good</v>
      </c>
      <c r="AP492" t="str" cm="1">
        <f t="array" ref="AP492">_xlfn.IFS(Q492=1,"Low",Q492=2,"Medium",Q492=3,"High",TRUE,"Very High")</f>
        <v>Low</v>
      </c>
    </row>
    <row r="493" spans="1:42" x14ac:dyDescent="0.25">
      <c r="A493">
        <v>43</v>
      </c>
      <c r="B493" t="s">
        <v>42</v>
      </c>
      <c r="C493" t="s">
        <v>91</v>
      </c>
      <c r="D493">
        <v>1001</v>
      </c>
      <c r="E493" t="s">
        <v>43</v>
      </c>
      <c r="F493">
        <v>9</v>
      </c>
      <c r="G493">
        <v>5</v>
      </c>
      <c r="H493" t="s">
        <v>49</v>
      </c>
      <c r="I493">
        <v>1</v>
      </c>
      <c r="J493">
        <v>663</v>
      </c>
      <c r="K493">
        <v>4</v>
      </c>
      <c r="L493" t="s">
        <v>44</v>
      </c>
      <c r="M493">
        <v>72</v>
      </c>
      <c r="N493">
        <v>3</v>
      </c>
      <c r="O493">
        <v>2</v>
      </c>
      <c r="P493" t="s">
        <v>48</v>
      </c>
      <c r="Q493">
        <v>3</v>
      </c>
      <c r="R493" t="s">
        <v>50</v>
      </c>
      <c r="S493">
        <v>5679</v>
      </c>
      <c r="T493">
        <v>19627</v>
      </c>
      <c r="U493">
        <v>3</v>
      </c>
      <c r="V493" t="s">
        <v>41</v>
      </c>
      <c r="W493" t="s">
        <v>35</v>
      </c>
      <c r="X493">
        <v>13</v>
      </c>
      <c r="Y493">
        <v>3</v>
      </c>
      <c r="Z493">
        <v>2</v>
      </c>
      <c r="AA493">
        <v>80</v>
      </c>
      <c r="AB493">
        <v>1</v>
      </c>
      <c r="AC493">
        <v>10</v>
      </c>
      <c r="AD493">
        <v>3</v>
      </c>
      <c r="AE493">
        <v>3</v>
      </c>
      <c r="AF493">
        <v>8</v>
      </c>
      <c r="AG493">
        <v>7</v>
      </c>
      <c r="AH493">
        <v>4</v>
      </c>
      <c r="AI493">
        <v>7</v>
      </c>
      <c r="AJ493">
        <f t="shared" si="7"/>
        <v>0</v>
      </c>
      <c r="AK493" t="str" cm="1">
        <f t="array" ref="AK493">_xlfn.IFS(A493&lt;=30,"18-30",A493&lt;=45,"31-45",A493&lt;=60,"46-60",TRUE, "60+")</f>
        <v>31-45</v>
      </c>
      <c r="AL493" t="str" cm="1">
        <f t="array" ref="AL493">_xlfn.IFS(F493&lt;=10,"0-10",F493&lt;=20,"11-20",TRUE,"20+")</f>
        <v>0-10</v>
      </c>
      <c r="AM493" t="str" cm="1">
        <f t="array" ref="AM493">_xlfn.IFS(S493&lt;=5000,"0-5k",S493&lt;=10000,"5k-10k",S493&lt;=15000,"10k-15k",TRUE,"15k+")</f>
        <v>5k-10k</v>
      </c>
      <c r="AN493" t="str" cm="1">
        <f t="array" ref="AN493">_xlfn.IFS(AF493&lt;=10,"0-10",AF493&lt;=20,"10-20",AF493&lt;=30,"20-30",TRUE,"30+")</f>
        <v>0-10</v>
      </c>
      <c r="AO493" t="str" cm="1">
        <f t="array" ref="AO493">_xlfn.IFS(Y493=1,"Poor",Y493=2,"Average",Y493=3,"Good",TRUE,"Excellent")</f>
        <v>Good</v>
      </c>
      <c r="AP493" t="str" cm="1">
        <f t="array" ref="AP493">_xlfn.IFS(Q493=1,"Low",Q493=2,"Medium",Q493=3,"High",TRUE,"Very High")</f>
        <v>High</v>
      </c>
    </row>
    <row r="494" spans="1:42" x14ac:dyDescent="0.25">
      <c r="A494">
        <v>48</v>
      </c>
      <c r="B494" t="s">
        <v>42</v>
      </c>
      <c r="C494" t="s">
        <v>90</v>
      </c>
      <c r="D494">
        <v>1236</v>
      </c>
      <c r="E494" t="s">
        <v>43</v>
      </c>
      <c r="F494">
        <v>1</v>
      </c>
      <c r="G494">
        <v>4</v>
      </c>
      <c r="H494" t="s">
        <v>37</v>
      </c>
      <c r="I494">
        <v>1</v>
      </c>
      <c r="J494">
        <v>664</v>
      </c>
      <c r="K494">
        <v>4</v>
      </c>
      <c r="L494" t="s">
        <v>38</v>
      </c>
      <c r="M494">
        <v>40</v>
      </c>
      <c r="N494">
        <v>2</v>
      </c>
      <c r="O494">
        <v>4</v>
      </c>
      <c r="P494" t="s">
        <v>54</v>
      </c>
      <c r="Q494">
        <v>1</v>
      </c>
      <c r="R494" t="s">
        <v>46</v>
      </c>
      <c r="S494">
        <v>15402</v>
      </c>
      <c r="T494">
        <v>17997</v>
      </c>
      <c r="U494">
        <v>7</v>
      </c>
      <c r="V494" t="s">
        <v>41</v>
      </c>
      <c r="W494" t="s">
        <v>42</v>
      </c>
      <c r="X494">
        <v>11</v>
      </c>
      <c r="Y494">
        <v>3</v>
      </c>
      <c r="Z494">
        <v>1</v>
      </c>
      <c r="AA494">
        <v>80</v>
      </c>
      <c r="AB494">
        <v>1</v>
      </c>
      <c r="AC494">
        <v>21</v>
      </c>
      <c r="AD494">
        <v>3</v>
      </c>
      <c r="AE494">
        <v>1</v>
      </c>
      <c r="AF494">
        <v>3</v>
      </c>
      <c r="AG494">
        <v>2</v>
      </c>
      <c r="AH494">
        <v>0</v>
      </c>
      <c r="AI494">
        <v>2</v>
      </c>
      <c r="AJ494">
        <f t="shared" si="7"/>
        <v>0</v>
      </c>
      <c r="AK494" t="str" cm="1">
        <f t="array" ref="AK494">_xlfn.IFS(A494&lt;=30,"18-30",A494&lt;=45,"31-45",A494&lt;=60,"46-60",TRUE, "60+")</f>
        <v>46-60</v>
      </c>
      <c r="AL494" t="str" cm="1">
        <f t="array" ref="AL494">_xlfn.IFS(F494&lt;=10,"0-10",F494&lt;=20,"11-20",TRUE,"20+")</f>
        <v>0-10</v>
      </c>
      <c r="AM494" t="str" cm="1">
        <f t="array" ref="AM494">_xlfn.IFS(S494&lt;=5000,"0-5k",S494&lt;=10000,"5k-10k",S494&lt;=15000,"10k-15k",TRUE,"15k+")</f>
        <v>15k+</v>
      </c>
      <c r="AN494" t="str" cm="1">
        <f t="array" ref="AN494">_xlfn.IFS(AF494&lt;=10,"0-10",AF494&lt;=20,"10-20",AF494&lt;=30,"20-30",TRUE,"30+")</f>
        <v>0-10</v>
      </c>
      <c r="AO494" t="str" cm="1">
        <f t="array" ref="AO494">_xlfn.IFS(Y494=1,"Poor",Y494=2,"Average",Y494=3,"Good",TRUE,"Excellent")</f>
        <v>Good</v>
      </c>
      <c r="AP494" t="str" cm="1">
        <f t="array" ref="AP494">_xlfn.IFS(Q494=1,"Low",Q494=2,"Medium",Q494=3,"High",TRUE,"Very High")</f>
        <v>Low</v>
      </c>
    </row>
    <row r="495" spans="1:42" x14ac:dyDescent="0.25">
      <c r="A495">
        <v>44</v>
      </c>
      <c r="B495" t="s">
        <v>42</v>
      </c>
      <c r="C495" t="s">
        <v>90</v>
      </c>
      <c r="D495">
        <v>1112</v>
      </c>
      <c r="E495" t="s">
        <v>59</v>
      </c>
      <c r="F495">
        <v>1</v>
      </c>
      <c r="G495">
        <v>4</v>
      </c>
      <c r="H495" t="s">
        <v>37</v>
      </c>
      <c r="I495">
        <v>1</v>
      </c>
      <c r="J495">
        <v>665</v>
      </c>
      <c r="K495">
        <v>1</v>
      </c>
      <c r="L495" t="s">
        <v>38</v>
      </c>
      <c r="M495">
        <v>50</v>
      </c>
      <c r="N495">
        <v>2</v>
      </c>
      <c r="O495">
        <v>2</v>
      </c>
      <c r="P495" t="s">
        <v>59</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c r="AJ495">
        <f t="shared" si="7"/>
        <v>0</v>
      </c>
      <c r="AK495" t="str" cm="1">
        <f t="array" ref="AK495">_xlfn.IFS(A495&lt;=30,"18-30",A495&lt;=45,"31-45",A495&lt;=60,"46-60",TRUE, "60+")</f>
        <v>31-45</v>
      </c>
      <c r="AL495" t="str" cm="1">
        <f t="array" ref="AL495">_xlfn.IFS(F495&lt;=10,"0-10",F495&lt;=20,"11-20",TRUE,"20+")</f>
        <v>0-10</v>
      </c>
      <c r="AM495" t="str" cm="1">
        <f t="array" ref="AM495">_xlfn.IFS(S495&lt;=5000,"0-5k",S495&lt;=10000,"5k-10k",S495&lt;=15000,"10k-15k",TRUE,"15k+")</f>
        <v>5k-10k</v>
      </c>
      <c r="AN495" t="str" cm="1">
        <f t="array" ref="AN495">_xlfn.IFS(AF495&lt;=10,"0-10",AF495&lt;=20,"10-20",AF495&lt;=30,"20-30",TRUE,"30+")</f>
        <v>0-10</v>
      </c>
      <c r="AO495" t="str" cm="1">
        <f t="array" ref="AO495">_xlfn.IFS(Y495=1,"Poor",Y495=2,"Average",Y495=3,"Good",TRUE,"Excellent")</f>
        <v>Good</v>
      </c>
      <c r="AP495" t="str" cm="1">
        <f t="array" ref="AP495">_xlfn.IFS(Q495=1,"Low",Q495=2,"Medium",Q495=3,"High",TRUE,"Very High")</f>
        <v>High</v>
      </c>
    </row>
    <row r="496" spans="1:42" x14ac:dyDescent="0.25">
      <c r="A496">
        <v>34</v>
      </c>
      <c r="B496" t="s">
        <v>42</v>
      </c>
      <c r="C496" t="s">
        <v>90</v>
      </c>
      <c r="D496">
        <v>204</v>
      </c>
      <c r="E496" t="s">
        <v>36</v>
      </c>
      <c r="F496">
        <v>14</v>
      </c>
      <c r="G496">
        <v>3</v>
      </c>
      <c r="H496" t="s">
        <v>58</v>
      </c>
      <c r="I496">
        <v>1</v>
      </c>
      <c r="J496">
        <v>666</v>
      </c>
      <c r="K496">
        <v>3</v>
      </c>
      <c r="L496" t="s">
        <v>38</v>
      </c>
      <c r="M496">
        <v>31</v>
      </c>
      <c r="N496">
        <v>3</v>
      </c>
      <c r="O496">
        <v>1</v>
      </c>
      <c r="P496" t="s">
        <v>55</v>
      </c>
      <c r="Q496">
        <v>3</v>
      </c>
      <c r="R496" t="s">
        <v>50</v>
      </c>
      <c r="S496">
        <v>2579</v>
      </c>
      <c r="T496">
        <v>2912</v>
      </c>
      <c r="U496">
        <v>1</v>
      </c>
      <c r="V496" t="s">
        <v>41</v>
      </c>
      <c r="W496" t="s">
        <v>35</v>
      </c>
      <c r="X496">
        <v>18</v>
      </c>
      <c r="Y496">
        <v>3</v>
      </c>
      <c r="Z496">
        <v>4</v>
      </c>
      <c r="AA496">
        <v>80</v>
      </c>
      <c r="AB496">
        <v>2</v>
      </c>
      <c r="AC496">
        <v>8</v>
      </c>
      <c r="AD496">
        <v>3</v>
      </c>
      <c r="AE496">
        <v>3</v>
      </c>
      <c r="AF496">
        <v>8</v>
      </c>
      <c r="AG496">
        <v>2</v>
      </c>
      <c r="AH496">
        <v>0</v>
      </c>
      <c r="AI496">
        <v>6</v>
      </c>
      <c r="AJ496">
        <f t="shared" si="7"/>
        <v>0</v>
      </c>
      <c r="AK496" t="str" cm="1">
        <f t="array" ref="AK496">_xlfn.IFS(A496&lt;=30,"18-30",A496&lt;=45,"31-45",A496&lt;=60,"46-60",TRUE, "60+")</f>
        <v>31-45</v>
      </c>
      <c r="AL496" t="str" cm="1">
        <f t="array" ref="AL496">_xlfn.IFS(F496&lt;=10,"0-10",F496&lt;=20,"11-20",TRUE,"20+")</f>
        <v>11-20</v>
      </c>
      <c r="AM496" t="str" cm="1">
        <f t="array" ref="AM496">_xlfn.IFS(S496&lt;=5000,"0-5k",S496&lt;=10000,"5k-10k",S496&lt;=15000,"10k-15k",TRUE,"15k+")</f>
        <v>0-5k</v>
      </c>
      <c r="AN496" t="str" cm="1">
        <f t="array" ref="AN496">_xlfn.IFS(AF496&lt;=10,"0-10",AF496&lt;=20,"10-20",AF496&lt;=30,"20-30",TRUE,"30+")</f>
        <v>0-10</v>
      </c>
      <c r="AO496" t="str" cm="1">
        <f t="array" ref="AO496">_xlfn.IFS(Y496=1,"Poor",Y496=2,"Average",Y496=3,"Good",TRUE,"Excellent")</f>
        <v>Good</v>
      </c>
      <c r="AP496" t="str" cm="1">
        <f t="array" ref="AP496">_xlfn.IFS(Q496=1,"Low",Q496=2,"Medium",Q496=3,"High",TRUE,"Very High")</f>
        <v>High</v>
      </c>
    </row>
    <row r="497" spans="1:42" x14ac:dyDescent="0.25">
      <c r="A497">
        <v>27</v>
      </c>
      <c r="B497" t="s">
        <v>35</v>
      </c>
      <c r="C497" t="s">
        <v>90</v>
      </c>
      <c r="D497">
        <v>1420</v>
      </c>
      <c r="E497" t="s">
        <v>36</v>
      </c>
      <c r="F497">
        <v>2</v>
      </c>
      <c r="G497">
        <v>1</v>
      </c>
      <c r="H497" t="s">
        <v>57</v>
      </c>
      <c r="I497">
        <v>1</v>
      </c>
      <c r="J497">
        <v>667</v>
      </c>
      <c r="K497">
        <v>3</v>
      </c>
      <c r="L497" t="s">
        <v>44</v>
      </c>
      <c r="M497">
        <v>85</v>
      </c>
      <c r="N497">
        <v>3</v>
      </c>
      <c r="O497">
        <v>1</v>
      </c>
      <c r="P497" t="s">
        <v>55</v>
      </c>
      <c r="Q497">
        <v>1</v>
      </c>
      <c r="R497" t="s">
        <v>50</v>
      </c>
      <c r="S497">
        <v>3041</v>
      </c>
      <c r="T497">
        <v>16346</v>
      </c>
      <c r="U497">
        <v>0</v>
      </c>
      <c r="V497" t="s">
        <v>41</v>
      </c>
      <c r="W497" t="s">
        <v>42</v>
      </c>
      <c r="X497">
        <v>11</v>
      </c>
      <c r="Y497">
        <v>3</v>
      </c>
      <c r="Z497">
        <v>2</v>
      </c>
      <c r="AA497">
        <v>80</v>
      </c>
      <c r="AB497">
        <v>1</v>
      </c>
      <c r="AC497">
        <v>5</v>
      </c>
      <c r="AD497">
        <v>3</v>
      </c>
      <c r="AE497">
        <v>3</v>
      </c>
      <c r="AF497">
        <v>4</v>
      </c>
      <c r="AG497">
        <v>3</v>
      </c>
      <c r="AH497">
        <v>0</v>
      </c>
      <c r="AI497">
        <v>2</v>
      </c>
      <c r="AJ497">
        <f t="shared" si="7"/>
        <v>1</v>
      </c>
      <c r="AK497" t="str" cm="1">
        <f t="array" ref="AK497">_xlfn.IFS(A497&lt;=30,"18-30",A497&lt;=45,"31-45",A497&lt;=60,"46-60",TRUE, "60+")</f>
        <v>18-30</v>
      </c>
      <c r="AL497" t="str" cm="1">
        <f t="array" ref="AL497">_xlfn.IFS(F497&lt;=10,"0-10",F497&lt;=20,"11-20",TRUE,"20+")</f>
        <v>0-10</v>
      </c>
      <c r="AM497" t="str" cm="1">
        <f t="array" ref="AM497">_xlfn.IFS(S497&lt;=5000,"0-5k",S497&lt;=10000,"5k-10k",S497&lt;=15000,"10k-15k",TRUE,"15k+")</f>
        <v>0-5k</v>
      </c>
      <c r="AN497" t="str" cm="1">
        <f t="array" ref="AN497">_xlfn.IFS(AF497&lt;=10,"0-10",AF497&lt;=20,"10-20",AF497&lt;=30,"20-30",TRUE,"30+")</f>
        <v>0-10</v>
      </c>
      <c r="AO497" t="str" cm="1">
        <f t="array" ref="AO497">_xlfn.IFS(Y497=1,"Poor",Y497=2,"Average",Y497=3,"Good",TRUE,"Excellent")</f>
        <v>Good</v>
      </c>
      <c r="AP497" t="str" cm="1">
        <f t="array" ref="AP497">_xlfn.IFS(Q497=1,"Low",Q497=2,"Medium",Q497=3,"High",TRUE,"Very High")</f>
        <v>Low</v>
      </c>
    </row>
    <row r="498" spans="1:42" x14ac:dyDescent="0.25">
      <c r="A498">
        <v>21</v>
      </c>
      <c r="B498" t="s">
        <v>42</v>
      </c>
      <c r="C498" t="s">
        <v>90</v>
      </c>
      <c r="D498">
        <v>1343</v>
      </c>
      <c r="E498" t="s">
        <v>36</v>
      </c>
      <c r="F498">
        <v>22</v>
      </c>
      <c r="G498">
        <v>1</v>
      </c>
      <c r="H498" t="s">
        <v>58</v>
      </c>
      <c r="I498">
        <v>1</v>
      </c>
      <c r="J498">
        <v>669</v>
      </c>
      <c r="K498">
        <v>3</v>
      </c>
      <c r="L498" t="s">
        <v>44</v>
      </c>
      <c r="M498">
        <v>49</v>
      </c>
      <c r="N498">
        <v>3</v>
      </c>
      <c r="O498">
        <v>1</v>
      </c>
      <c r="P498" t="s">
        <v>55</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c r="AJ498">
        <f t="shared" si="7"/>
        <v>0</v>
      </c>
      <c r="AK498" t="str" cm="1">
        <f t="array" ref="AK498">_xlfn.IFS(A498&lt;=30,"18-30",A498&lt;=45,"31-45",A498&lt;=60,"46-60",TRUE, "60+")</f>
        <v>18-30</v>
      </c>
      <c r="AL498" t="str" cm="1">
        <f t="array" ref="AL498">_xlfn.IFS(F498&lt;=10,"0-10",F498&lt;=20,"11-20",TRUE,"20+")</f>
        <v>20+</v>
      </c>
      <c r="AM498" t="str" cm="1">
        <f t="array" ref="AM498">_xlfn.IFS(S498&lt;=5000,"0-5k",S498&lt;=10000,"5k-10k",S498&lt;=15000,"10k-15k",TRUE,"15k+")</f>
        <v>0-5k</v>
      </c>
      <c r="AN498" t="str" cm="1">
        <f t="array" ref="AN498">_xlfn.IFS(AF498&lt;=10,"0-10",AF498&lt;=20,"10-20",AF498&lt;=30,"20-30",TRUE,"30+")</f>
        <v>0-10</v>
      </c>
      <c r="AO498" t="str" cm="1">
        <f t="array" ref="AO498">_xlfn.IFS(Y498=1,"Poor",Y498=2,"Average",Y498=3,"Good",TRUE,"Excellent")</f>
        <v>Good</v>
      </c>
      <c r="AP498" t="str" cm="1">
        <f t="array" ref="AP498">_xlfn.IFS(Q498=1,"Low",Q498=2,"Medium",Q498=3,"High",TRUE,"Very High")</f>
        <v>High</v>
      </c>
    </row>
    <row r="499" spans="1:42" x14ac:dyDescent="0.25">
      <c r="A499">
        <v>44</v>
      </c>
      <c r="B499" t="s">
        <v>42</v>
      </c>
      <c r="C499" t="s">
        <v>90</v>
      </c>
      <c r="D499">
        <v>1315</v>
      </c>
      <c r="E499" t="s">
        <v>43</v>
      </c>
      <c r="F499">
        <v>3</v>
      </c>
      <c r="G499">
        <v>4</v>
      </c>
      <c r="H499" t="s">
        <v>47</v>
      </c>
      <c r="I499">
        <v>1</v>
      </c>
      <c r="J499">
        <v>671</v>
      </c>
      <c r="K499">
        <v>4</v>
      </c>
      <c r="L499" t="s">
        <v>44</v>
      </c>
      <c r="M499">
        <v>35</v>
      </c>
      <c r="N499">
        <v>3</v>
      </c>
      <c r="O499">
        <v>5</v>
      </c>
      <c r="P499" t="s">
        <v>54</v>
      </c>
      <c r="Q499">
        <v>4</v>
      </c>
      <c r="R499" t="s">
        <v>46</v>
      </c>
      <c r="S499">
        <v>19513</v>
      </c>
      <c r="T499">
        <v>9358</v>
      </c>
      <c r="U499">
        <v>4</v>
      </c>
      <c r="V499" t="s">
        <v>41</v>
      </c>
      <c r="W499" t="s">
        <v>35</v>
      </c>
      <c r="X499">
        <v>12</v>
      </c>
      <c r="Y499">
        <v>3</v>
      </c>
      <c r="Z499">
        <v>1</v>
      </c>
      <c r="AA499">
        <v>80</v>
      </c>
      <c r="AB499">
        <v>1</v>
      </c>
      <c r="AC499">
        <v>26</v>
      </c>
      <c r="AD499">
        <v>2</v>
      </c>
      <c r="AE499">
        <v>4</v>
      </c>
      <c r="AF499">
        <v>2</v>
      </c>
      <c r="AG499">
        <v>2</v>
      </c>
      <c r="AH499">
        <v>0</v>
      </c>
      <c r="AI499">
        <v>1</v>
      </c>
      <c r="AJ499">
        <f t="shared" si="7"/>
        <v>0</v>
      </c>
      <c r="AK499" t="str" cm="1">
        <f t="array" ref="AK499">_xlfn.IFS(A499&lt;=30,"18-30",A499&lt;=45,"31-45",A499&lt;=60,"46-60",TRUE, "60+")</f>
        <v>31-45</v>
      </c>
      <c r="AL499" t="str" cm="1">
        <f t="array" ref="AL499">_xlfn.IFS(F499&lt;=10,"0-10",F499&lt;=20,"11-20",TRUE,"20+")</f>
        <v>0-10</v>
      </c>
      <c r="AM499" t="str" cm="1">
        <f t="array" ref="AM499">_xlfn.IFS(S499&lt;=5000,"0-5k",S499&lt;=10000,"5k-10k",S499&lt;=15000,"10k-15k",TRUE,"15k+")</f>
        <v>15k+</v>
      </c>
      <c r="AN499" t="str" cm="1">
        <f t="array" ref="AN499">_xlfn.IFS(AF499&lt;=10,"0-10",AF499&lt;=20,"10-20",AF499&lt;=30,"20-30",TRUE,"30+")</f>
        <v>0-10</v>
      </c>
      <c r="AO499" t="str" cm="1">
        <f t="array" ref="AO499">_xlfn.IFS(Y499=1,"Poor",Y499=2,"Average",Y499=3,"Good",TRUE,"Excellent")</f>
        <v>Good</v>
      </c>
      <c r="AP499" t="str" cm="1">
        <f t="array" ref="AP499">_xlfn.IFS(Q499=1,"Low",Q499=2,"Medium",Q499=3,"High",TRUE,"Very High")</f>
        <v>Very High</v>
      </c>
    </row>
    <row r="500" spans="1:42" x14ac:dyDescent="0.25">
      <c r="A500">
        <v>22</v>
      </c>
      <c r="B500" t="s">
        <v>42</v>
      </c>
      <c r="C500" t="s">
        <v>90</v>
      </c>
      <c r="D500">
        <v>604</v>
      </c>
      <c r="E500" t="s">
        <v>43</v>
      </c>
      <c r="F500">
        <v>6</v>
      </c>
      <c r="G500">
        <v>1</v>
      </c>
      <c r="H500" t="s">
        <v>49</v>
      </c>
      <c r="I500">
        <v>1</v>
      </c>
      <c r="J500">
        <v>675</v>
      </c>
      <c r="K500">
        <v>1</v>
      </c>
      <c r="L500" t="s">
        <v>44</v>
      </c>
      <c r="M500">
        <v>69</v>
      </c>
      <c r="N500">
        <v>3</v>
      </c>
      <c r="O500">
        <v>1</v>
      </c>
      <c r="P500" t="s">
        <v>45</v>
      </c>
      <c r="Q500">
        <v>3</v>
      </c>
      <c r="R500" t="s">
        <v>46</v>
      </c>
      <c r="S500">
        <v>2773</v>
      </c>
      <c r="T500">
        <v>12145</v>
      </c>
      <c r="U500">
        <v>0</v>
      </c>
      <c r="V500" t="s">
        <v>41</v>
      </c>
      <c r="W500" t="s">
        <v>42</v>
      </c>
      <c r="X500">
        <v>20</v>
      </c>
      <c r="Y500">
        <v>4</v>
      </c>
      <c r="Z500">
        <v>4</v>
      </c>
      <c r="AA500">
        <v>80</v>
      </c>
      <c r="AB500">
        <v>0</v>
      </c>
      <c r="AC500">
        <v>3</v>
      </c>
      <c r="AD500">
        <v>3</v>
      </c>
      <c r="AE500">
        <v>3</v>
      </c>
      <c r="AF500">
        <v>2</v>
      </c>
      <c r="AG500">
        <v>2</v>
      </c>
      <c r="AH500">
        <v>2</v>
      </c>
      <c r="AI500">
        <v>2</v>
      </c>
      <c r="AJ500">
        <f t="shared" si="7"/>
        <v>0</v>
      </c>
      <c r="AK500" t="str" cm="1">
        <f t="array" ref="AK500">_xlfn.IFS(A500&lt;=30,"18-30",A500&lt;=45,"31-45",A500&lt;=60,"46-60",TRUE, "60+")</f>
        <v>18-30</v>
      </c>
      <c r="AL500" t="str" cm="1">
        <f t="array" ref="AL500">_xlfn.IFS(F500&lt;=10,"0-10",F500&lt;=20,"11-20",TRUE,"20+")</f>
        <v>0-10</v>
      </c>
      <c r="AM500" t="str" cm="1">
        <f t="array" ref="AM500">_xlfn.IFS(S500&lt;=5000,"0-5k",S500&lt;=10000,"5k-10k",S500&lt;=15000,"10k-15k",TRUE,"15k+")</f>
        <v>0-5k</v>
      </c>
      <c r="AN500" t="str" cm="1">
        <f t="array" ref="AN500">_xlfn.IFS(AF500&lt;=10,"0-10",AF500&lt;=20,"10-20",AF500&lt;=30,"20-30",TRUE,"30+")</f>
        <v>0-10</v>
      </c>
      <c r="AO500" t="str" cm="1">
        <f t="array" ref="AO500">_xlfn.IFS(Y500=1,"Poor",Y500=2,"Average",Y500=3,"Good",TRUE,"Excellent")</f>
        <v>Excellent</v>
      </c>
      <c r="AP500" t="str" cm="1">
        <f t="array" ref="AP500">_xlfn.IFS(Q500=1,"Low",Q500=2,"Medium",Q500=3,"High",TRUE,"Very High")</f>
        <v>High</v>
      </c>
    </row>
    <row r="501" spans="1:42" x14ac:dyDescent="0.25">
      <c r="A501">
        <v>33</v>
      </c>
      <c r="B501" t="s">
        <v>42</v>
      </c>
      <c r="C501" t="s">
        <v>90</v>
      </c>
      <c r="D501">
        <v>1216</v>
      </c>
      <c r="E501" t="s">
        <v>36</v>
      </c>
      <c r="F501">
        <v>8</v>
      </c>
      <c r="G501">
        <v>4</v>
      </c>
      <c r="H501" t="s">
        <v>57</v>
      </c>
      <c r="I501">
        <v>1</v>
      </c>
      <c r="J501">
        <v>677</v>
      </c>
      <c r="K501">
        <v>3</v>
      </c>
      <c r="L501" t="s">
        <v>44</v>
      </c>
      <c r="M501">
        <v>39</v>
      </c>
      <c r="N501">
        <v>3</v>
      </c>
      <c r="O501">
        <v>2</v>
      </c>
      <c r="P501" t="s">
        <v>39</v>
      </c>
      <c r="Q501">
        <v>3</v>
      </c>
      <c r="R501" t="s">
        <v>50</v>
      </c>
      <c r="S501">
        <v>7104</v>
      </c>
      <c r="T501">
        <v>20431</v>
      </c>
      <c r="U501">
        <v>0</v>
      </c>
      <c r="V501" t="s">
        <v>41</v>
      </c>
      <c r="W501" t="s">
        <v>42</v>
      </c>
      <c r="X501">
        <v>12</v>
      </c>
      <c r="Y501">
        <v>3</v>
      </c>
      <c r="Z501">
        <v>4</v>
      </c>
      <c r="AA501">
        <v>80</v>
      </c>
      <c r="AB501">
        <v>0</v>
      </c>
      <c r="AC501">
        <v>6</v>
      </c>
      <c r="AD501">
        <v>3</v>
      </c>
      <c r="AE501">
        <v>3</v>
      </c>
      <c r="AF501">
        <v>5</v>
      </c>
      <c r="AG501">
        <v>0</v>
      </c>
      <c r="AH501">
        <v>1</v>
      </c>
      <c r="AI501">
        <v>2</v>
      </c>
      <c r="AJ501">
        <f t="shared" si="7"/>
        <v>0</v>
      </c>
      <c r="AK501" t="str" cm="1">
        <f t="array" ref="AK501">_xlfn.IFS(A501&lt;=30,"18-30",A501&lt;=45,"31-45",A501&lt;=60,"46-60",TRUE, "60+")</f>
        <v>31-45</v>
      </c>
      <c r="AL501" t="str" cm="1">
        <f t="array" ref="AL501">_xlfn.IFS(F501&lt;=10,"0-10",F501&lt;=20,"11-20",TRUE,"20+")</f>
        <v>0-10</v>
      </c>
      <c r="AM501" t="str" cm="1">
        <f t="array" ref="AM501">_xlfn.IFS(S501&lt;=5000,"0-5k",S501&lt;=10000,"5k-10k",S501&lt;=15000,"10k-15k",TRUE,"15k+")</f>
        <v>5k-10k</v>
      </c>
      <c r="AN501" t="str" cm="1">
        <f t="array" ref="AN501">_xlfn.IFS(AF501&lt;=10,"0-10",AF501&lt;=20,"10-20",AF501&lt;=30,"20-30",TRUE,"30+")</f>
        <v>0-10</v>
      </c>
      <c r="AO501" t="str" cm="1">
        <f t="array" ref="AO501">_xlfn.IFS(Y501=1,"Poor",Y501=2,"Average",Y501=3,"Good",TRUE,"Excellent")</f>
        <v>Good</v>
      </c>
      <c r="AP501" t="str" cm="1">
        <f t="array" ref="AP501">_xlfn.IFS(Q501=1,"Low",Q501=2,"Medium",Q501=3,"High",TRUE,"Very High")</f>
        <v>High</v>
      </c>
    </row>
    <row r="502" spans="1:42" x14ac:dyDescent="0.25">
      <c r="A502">
        <v>32</v>
      </c>
      <c r="B502" t="s">
        <v>42</v>
      </c>
      <c r="C502" t="s">
        <v>90</v>
      </c>
      <c r="D502">
        <v>646</v>
      </c>
      <c r="E502" t="s">
        <v>43</v>
      </c>
      <c r="F502">
        <v>9</v>
      </c>
      <c r="G502">
        <v>4</v>
      </c>
      <c r="H502" t="s">
        <v>37</v>
      </c>
      <c r="I502">
        <v>1</v>
      </c>
      <c r="J502">
        <v>679</v>
      </c>
      <c r="K502">
        <v>1</v>
      </c>
      <c r="L502" t="s">
        <v>38</v>
      </c>
      <c r="M502">
        <v>92</v>
      </c>
      <c r="N502">
        <v>3</v>
      </c>
      <c r="O502">
        <v>2</v>
      </c>
      <c r="P502" t="s">
        <v>45</v>
      </c>
      <c r="Q502">
        <v>4</v>
      </c>
      <c r="R502" t="s">
        <v>46</v>
      </c>
      <c r="S502">
        <v>6322</v>
      </c>
      <c r="T502">
        <v>18089</v>
      </c>
      <c r="U502">
        <v>1</v>
      </c>
      <c r="V502" t="s">
        <v>41</v>
      </c>
      <c r="W502" t="s">
        <v>35</v>
      </c>
      <c r="X502">
        <v>12</v>
      </c>
      <c r="Y502">
        <v>3</v>
      </c>
      <c r="Z502">
        <v>4</v>
      </c>
      <c r="AA502">
        <v>80</v>
      </c>
      <c r="AB502">
        <v>1</v>
      </c>
      <c r="AC502">
        <v>6</v>
      </c>
      <c r="AD502">
        <v>2</v>
      </c>
      <c r="AE502">
        <v>2</v>
      </c>
      <c r="AF502">
        <v>6</v>
      </c>
      <c r="AG502">
        <v>4</v>
      </c>
      <c r="AH502">
        <v>0</v>
      </c>
      <c r="AI502">
        <v>5</v>
      </c>
      <c r="AJ502">
        <f t="shared" si="7"/>
        <v>0</v>
      </c>
      <c r="AK502" t="str" cm="1">
        <f t="array" ref="AK502">_xlfn.IFS(A502&lt;=30,"18-30",A502&lt;=45,"31-45",A502&lt;=60,"46-60",TRUE, "60+")</f>
        <v>31-45</v>
      </c>
      <c r="AL502" t="str" cm="1">
        <f t="array" ref="AL502">_xlfn.IFS(F502&lt;=10,"0-10",F502&lt;=20,"11-20",TRUE,"20+")</f>
        <v>0-10</v>
      </c>
      <c r="AM502" t="str" cm="1">
        <f t="array" ref="AM502">_xlfn.IFS(S502&lt;=5000,"0-5k",S502&lt;=10000,"5k-10k",S502&lt;=15000,"10k-15k",TRUE,"15k+")</f>
        <v>5k-10k</v>
      </c>
      <c r="AN502" t="str" cm="1">
        <f t="array" ref="AN502">_xlfn.IFS(AF502&lt;=10,"0-10",AF502&lt;=20,"10-20",AF502&lt;=30,"20-30",TRUE,"30+")</f>
        <v>0-10</v>
      </c>
      <c r="AO502" t="str" cm="1">
        <f t="array" ref="AO502">_xlfn.IFS(Y502=1,"Poor",Y502=2,"Average",Y502=3,"Good",TRUE,"Excellent")</f>
        <v>Good</v>
      </c>
      <c r="AP502" t="str" cm="1">
        <f t="array" ref="AP502">_xlfn.IFS(Q502=1,"Low",Q502=2,"Medium",Q502=3,"High",TRUE,"Very High")</f>
        <v>Very High</v>
      </c>
    </row>
    <row r="503" spans="1:42" x14ac:dyDescent="0.25">
      <c r="A503">
        <v>30</v>
      </c>
      <c r="B503" t="s">
        <v>42</v>
      </c>
      <c r="C503" t="s">
        <v>91</v>
      </c>
      <c r="D503">
        <v>160</v>
      </c>
      <c r="E503" t="s">
        <v>43</v>
      </c>
      <c r="F503">
        <v>3</v>
      </c>
      <c r="G503">
        <v>3</v>
      </c>
      <c r="H503" t="s">
        <v>49</v>
      </c>
      <c r="I503">
        <v>1</v>
      </c>
      <c r="J503">
        <v>680</v>
      </c>
      <c r="K503">
        <v>3</v>
      </c>
      <c r="L503" t="s">
        <v>38</v>
      </c>
      <c r="M503">
        <v>71</v>
      </c>
      <c r="N503">
        <v>3</v>
      </c>
      <c r="O503">
        <v>1</v>
      </c>
      <c r="P503" t="s">
        <v>45</v>
      </c>
      <c r="Q503">
        <v>3</v>
      </c>
      <c r="R503" t="s">
        <v>50</v>
      </c>
      <c r="S503">
        <v>2083</v>
      </c>
      <c r="T503">
        <v>22653</v>
      </c>
      <c r="U503">
        <v>1</v>
      </c>
      <c r="V503" t="s">
        <v>41</v>
      </c>
      <c r="W503" t="s">
        <v>42</v>
      </c>
      <c r="X503">
        <v>20</v>
      </c>
      <c r="Y503">
        <v>4</v>
      </c>
      <c r="Z503">
        <v>3</v>
      </c>
      <c r="AA503">
        <v>80</v>
      </c>
      <c r="AB503">
        <v>1</v>
      </c>
      <c r="AC503">
        <v>1</v>
      </c>
      <c r="AD503">
        <v>2</v>
      </c>
      <c r="AE503">
        <v>3</v>
      </c>
      <c r="AF503">
        <v>1</v>
      </c>
      <c r="AG503">
        <v>0</v>
      </c>
      <c r="AH503">
        <v>0</v>
      </c>
      <c r="AI503">
        <v>0</v>
      </c>
      <c r="AJ503">
        <f t="shared" si="7"/>
        <v>0</v>
      </c>
      <c r="AK503" t="str" cm="1">
        <f t="array" ref="AK503">_xlfn.IFS(A503&lt;=30,"18-30",A503&lt;=45,"31-45",A503&lt;=60,"46-60",TRUE, "60+")</f>
        <v>18-30</v>
      </c>
      <c r="AL503" t="str" cm="1">
        <f t="array" ref="AL503">_xlfn.IFS(F503&lt;=10,"0-10",F503&lt;=20,"11-20",TRUE,"20+")</f>
        <v>0-10</v>
      </c>
      <c r="AM503" t="str" cm="1">
        <f t="array" ref="AM503">_xlfn.IFS(S503&lt;=5000,"0-5k",S503&lt;=10000,"5k-10k",S503&lt;=15000,"10k-15k",TRUE,"15k+")</f>
        <v>0-5k</v>
      </c>
      <c r="AN503" t="str" cm="1">
        <f t="array" ref="AN503">_xlfn.IFS(AF503&lt;=10,"0-10",AF503&lt;=20,"10-20",AF503&lt;=30,"20-30",TRUE,"30+")</f>
        <v>0-10</v>
      </c>
      <c r="AO503" t="str" cm="1">
        <f t="array" ref="AO503">_xlfn.IFS(Y503=1,"Poor",Y503=2,"Average",Y503=3,"Good",TRUE,"Excellent")</f>
        <v>Excellent</v>
      </c>
      <c r="AP503" t="str" cm="1">
        <f t="array" ref="AP503">_xlfn.IFS(Q503=1,"Low",Q503=2,"Medium",Q503=3,"High",TRUE,"Very High")</f>
        <v>High</v>
      </c>
    </row>
    <row r="504" spans="1:42" x14ac:dyDescent="0.25">
      <c r="A504">
        <v>53</v>
      </c>
      <c r="B504" t="s">
        <v>42</v>
      </c>
      <c r="C504" t="s">
        <v>90</v>
      </c>
      <c r="D504">
        <v>238</v>
      </c>
      <c r="E504" t="s">
        <v>36</v>
      </c>
      <c r="F504">
        <v>1</v>
      </c>
      <c r="G504">
        <v>1</v>
      </c>
      <c r="H504" t="s">
        <v>49</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c r="AJ504">
        <f t="shared" si="7"/>
        <v>0</v>
      </c>
      <c r="AK504" t="str" cm="1">
        <f t="array" ref="AK504">_xlfn.IFS(A504&lt;=30,"18-30",A504&lt;=45,"31-45",A504&lt;=60,"46-60",TRUE, "60+")</f>
        <v>46-60</v>
      </c>
      <c r="AL504" t="str" cm="1">
        <f t="array" ref="AL504">_xlfn.IFS(F504&lt;=10,"0-10",F504&lt;=20,"11-20",TRUE,"20+")</f>
        <v>0-10</v>
      </c>
      <c r="AM504" t="str" cm="1">
        <f t="array" ref="AM504">_xlfn.IFS(S504&lt;=5000,"0-5k",S504&lt;=10000,"5k-10k",S504&lt;=15000,"10k-15k",TRUE,"15k+")</f>
        <v>5k-10k</v>
      </c>
      <c r="AN504" t="str" cm="1">
        <f t="array" ref="AN504">_xlfn.IFS(AF504&lt;=10,"0-10",AF504&lt;=20,"10-20",AF504&lt;=30,"20-30",TRUE,"30+")</f>
        <v>10-20</v>
      </c>
      <c r="AO504" t="str" cm="1">
        <f t="array" ref="AO504">_xlfn.IFS(Y504=1,"Poor",Y504=2,"Average",Y504=3,"Good",TRUE,"Excellent")</f>
        <v>Excellent</v>
      </c>
      <c r="AP504" t="str" cm="1">
        <f t="array" ref="AP504">_xlfn.IFS(Q504=1,"Low",Q504=2,"Medium",Q504=3,"High",TRUE,"Very High")</f>
        <v>Low</v>
      </c>
    </row>
    <row r="505" spans="1:42" x14ac:dyDescent="0.25">
      <c r="A505">
        <v>34</v>
      </c>
      <c r="B505" t="s">
        <v>42</v>
      </c>
      <c r="C505" t="s">
        <v>90</v>
      </c>
      <c r="D505">
        <v>1397</v>
      </c>
      <c r="E505" t="s">
        <v>43</v>
      </c>
      <c r="F505">
        <v>1</v>
      </c>
      <c r="G505">
        <v>5</v>
      </c>
      <c r="H505" t="s">
        <v>37</v>
      </c>
      <c r="I505">
        <v>1</v>
      </c>
      <c r="J505">
        <v>683</v>
      </c>
      <c r="K505">
        <v>2</v>
      </c>
      <c r="L505" t="s">
        <v>44</v>
      </c>
      <c r="M505">
        <v>42</v>
      </c>
      <c r="N505">
        <v>3</v>
      </c>
      <c r="O505">
        <v>1</v>
      </c>
      <c r="P505" t="s">
        <v>45</v>
      </c>
      <c r="Q505">
        <v>4</v>
      </c>
      <c r="R505" t="s">
        <v>46</v>
      </c>
      <c r="S505">
        <v>2691</v>
      </c>
      <c r="T505">
        <v>7660</v>
      </c>
      <c r="U505">
        <v>1</v>
      </c>
      <c r="V505" t="s">
        <v>41</v>
      </c>
      <c r="W505" t="s">
        <v>42</v>
      </c>
      <c r="X505">
        <v>12</v>
      </c>
      <c r="Y505">
        <v>3</v>
      </c>
      <c r="Z505">
        <v>4</v>
      </c>
      <c r="AA505">
        <v>80</v>
      </c>
      <c r="AB505">
        <v>1</v>
      </c>
      <c r="AC505">
        <v>10</v>
      </c>
      <c r="AD505">
        <v>4</v>
      </c>
      <c r="AE505">
        <v>2</v>
      </c>
      <c r="AF505">
        <v>10</v>
      </c>
      <c r="AG505">
        <v>9</v>
      </c>
      <c r="AH505">
        <v>8</v>
      </c>
      <c r="AI505">
        <v>8</v>
      </c>
      <c r="AJ505">
        <f t="shared" si="7"/>
        <v>0</v>
      </c>
      <c r="AK505" t="str" cm="1">
        <f t="array" ref="AK505">_xlfn.IFS(A505&lt;=30,"18-30",A505&lt;=45,"31-45",A505&lt;=60,"46-60",TRUE, "60+")</f>
        <v>31-45</v>
      </c>
      <c r="AL505" t="str" cm="1">
        <f t="array" ref="AL505">_xlfn.IFS(F505&lt;=10,"0-10",F505&lt;=20,"11-20",TRUE,"20+")</f>
        <v>0-10</v>
      </c>
      <c r="AM505" t="str" cm="1">
        <f t="array" ref="AM505">_xlfn.IFS(S505&lt;=5000,"0-5k",S505&lt;=10000,"5k-10k",S505&lt;=15000,"10k-15k",TRUE,"15k+")</f>
        <v>0-5k</v>
      </c>
      <c r="AN505" t="str" cm="1">
        <f t="array" ref="AN505">_xlfn.IFS(AF505&lt;=10,"0-10",AF505&lt;=20,"10-20",AF505&lt;=30,"20-30",TRUE,"30+")</f>
        <v>0-10</v>
      </c>
      <c r="AO505" t="str" cm="1">
        <f t="array" ref="AO505">_xlfn.IFS(Y505=1,"Poor",Y505=2,"Average",Y505=3,"Good",TRUE,"Excellent")</f>
        <v>Good</v>
      </c>
      <c r="AP505" t="str" cm="1">
        <f t="array" ref="AP505">_xlfn.IFS(Q505=1,"Low",Q505=2,"Medium",Q505=3,"High",TRUE,"Very High")</f>
        <v>Very High</v>
      </c>
    </row>
    <row r="506" spans="1:42" x14ac:dyDescent="0.25">
      <c r="A506">
        <v>45</v>
      </c>
      <c r="B506" t="s">
        <v>35</v>
      </c>
      <c r="C506" t="s">
        <v>91</v>
      </c>
      <c r="D506">
        <v>306</v>
      </c>
      <c r="E506" t="s">
        <v>36</v>
      </c>
      <c r="F506">
        <v>26</v>
      </c>
      <c r="G506">
        <v>4</v>
      </c>
      <c r="H506" t="s">
        <v>37</v>
      </c>
      <c r="I506">
        <v>1</v>
      </c>
      <c r="J506">
        <v>684</v>
      </c>
      <c r="K506">
        <v>1</v>
      </c>
      <c r="L506" t="s">
        <v>38</v>
      </c>
      <c r="M506">
        <v>100</v>
      </c>
      <c r="N506">
        <v>3</v>
      </c>
      <c r="O506">
        <v>2</v>
      </c>
      <c r="P506" t="s">
        <v>39</v>
      </c>
      <c r="Q506">
        <v>1</v>
      </c>
      <c r="R506" t="s">
        <v>46</v>
      </c>
      <c r="S506">
        <v>4286</v>
      </c>
      <c r="T506">
        <v>5630</v>
      </c>
      <c r="U506">
        <v>2</v>
      </c>
      <c r="V506" t="s">
        <v>41</v>
      </c>
      <c r="W506" t="s">
        <v>42</v>
      </c>
      <c r="X506">
        <v>14</v>
      </c>
      <c r="Y506">
        <v>3</v>
      </c>
      <c r="Z506">
        <v>4</v>
      </c>
      <c r="AA506">
        <v>80</v>
      </c>
      <c r="AB506">
        <v>2</v>
      </c>
      <c r="AC506">
        <v>5</v>
      </c>
      <c r="AD506">
        <v>4</v>
      </c>
      <c r="AE506">
        <v>3</v>
      </c>
      <c r="AF506">
        <v>1</v>
      </c>
      <c r="AG506">
        <v>1</v>
      </c>
      <c r="AH506">
        <v>0</v>
      </c>
      <c r="AI506">
        <v>0</v>
      </c>
      <c r="AJ506">
        <f t="shared" si="7"/>
        <v>1</v>
      </c>
      <c r="AK506" t="str" cm="1">
        <f t="array" ref="AK506">_xlfn.IFS(A506&lt;=30,"18-30",A506&lt;=45,"31-45",A506&lt;=60,"46-60",TRUE, "60+")</f>
        <v>31-45</v>
      </c>
      <c r="AL506" t="str" cm="1">
        <f t="array" ref="AL506">_xlfn.IFS(F506&lt;=10,"0-10",F506&lt;=20,"11-20",TRUE,"20+")</f>
        <v>20+</v>
      </c>
      <c r="AM506" t="str" cm="1">
        <f t="array" ref="AM506">_xlfn.IFS(S506&lt;=5000,"0-5k",S506&lt;=10000,"5k-10k",S506&lt;=15000,"10k-15k",TRUE,"15k+")</f>
        <v>0-5k</v>
      </c>
      <c r="AN506" t="str" cm="1">
        <f t="array" ref="AN506">_xlfn.IFS(AF506&lt;=10,"0-10",AF506&lt;=20,"10-20",AF506&lt;=30,"20-30",TRUE,"30+")</f>
        <v>0-10</v>
      </c>
      <c r="AO506" t="str" cm="1">
        <f t="array" ref="AO506">_xlfn.IFS(Y506=1,"Poor",Y506=2,"Average",Y506=3,"Good",TRUE,"Excellent")</f>
        <v>Good</v>
      </c>
      <c r="AP506" t="str" cm="1">
        <f t="array" ref="AP506">_xlfn.IFS(Q506=1,"Low",Q506=2,"Medium",Q506=3,"High",TRUE,"Very High")</f>
        <v>Low</v>
      </c>
    </row>
    <row r="507" spans="1:42" x14ac:dyDescent="0.25">
      <c r="A507">
        <v>26</v>
      </c>
      <c r="B507" t="s">
        <v>42</v>
      </c>
      <c r="C507" t="s">
        <v>90</v>
      </c>
      <c r="D507">
        <v>991</v>
      </c>
      <c r="E507" t="s">
        <v>43</v>
      </c>
      <c r="F507">
        <v>6</v>
      </c>
      <c r="G507">
        <v>3</v>
      </c>
      <c r="H507" t="s">
        <v>37</v>
      </c>
      <c r="I507">
        <v>1</v>
      </c>
      <c r="J507">
        <v>686</v>
      </c>
      <c r="K507">
        <v>3</v>
      </c>
      <c r="L507" t="s">
        <v>38</v>
      </c>
      <c r="M507">
        <v>71</v>
      </c>
      <c r="N507">
        <v>3</v>
      </c>
      <c r="O507">
        <v>1</v>
      </c>
      <c r="P507" t="s">
        <v>48</v>
      </c>
      <c r="Q507">
        <v>4</v>
      </c>
      <c r="R507" t="s">
        <v>46</v>
      </c>
      <c r="S507">
        <v>2659</v>
      </c>
      <c r="T507">
        <v>17759</v>
      </c>
      <c r="U507">
        <v>1</v>
      </c>
      <c r="V507" t="s">
        <v>41</v>
      </c>
      <c r="W507" t="s">
        <v>35</v>
      </c>
      <c r="X507">
        <v>13</v>
      </c>
      <c r="Y507">
        <v>3</v>
      </c>
      <c r="Z507">
        <v>3</v>
      </c>
      <c r="AA507">
        <v>80</v>
      </c>
      <c r="AB507">
        <v>1</v>
      </c>
      <c r="AC507">
        <v>3</v>
      </c>
      <c r="AD507">
        <v>2</v>
      </c>
      <c r="AE507">
        <v>3</v>
      </c>
      <c r="AF507">
        <v>3</v>
      </c>
      <c r="AG507">
        <v>2</v>
      </c>
      <c r="AH507">
        <v>0</v>
      </c>
      <c r="AI507">
        <v>2</v>
      </c>
      <c r="AJ507">
        <f t="shared" si="7"/>
        <v>0</v>
      </c>
      <c r="AK507" t="str" cm="1">
        <f t="array" ref="AK507">_xlfn.IFS(A507&lt;=30,"18-30",A507&lt;=45,"31-45",A507&lt;=60,"46-60",TRUE, "60+")</f>
        <v>18-30</v>
      </c>
      <c r="AL507" t="str" cm="1">
        <f t="array" ref="AL507">_xlfn.IFS(F507&lt;=10,"0-10",F507&lt;=20,"11-20",TRUE,"20+")</f>
        <v>0-10</v>
      </c>
      <c r="AM507" t="str" cm="1">
        <f t="array" ref="AM507">_xlfn.IFS(S507&lt;=5000,"0-5k",S507&lt;=10000,"5k-10k",S507&lt;=15000,"10k-15k",TRUE,"15k+")</f>
        <v>0-5k</v>
      </c>
      <c r="AN507" t="str" cm="1">
        <f t="array" ref="AN507">_xlfn.IFS(AF507&lt;=10,"0-10",AF507&lt;=20,"10-20",AF507&lt;=30,"20-30",TRUE,"30+")</f>
        <v>0-10</v>
      </c>
      <c r="AO507" t="str" cm="1">
        <f t="array" ref="AO507">_xlfn.IFS(Y507=1,"Poor",Y507=2,"Average",Y507=3,"Good",TRUE,"Excellent")</f>
        <v>Good</v>
      </c>
      <c r="AP507" t="str" cm="1">
        <f t="array" ref="AP507">_xlfn.IFS(Q507=1,"Low",Q507=2,"Medium",Q507=3,"High",TRUE,"Very High")</f>
        <v>Very High</v>
      </c>
    </row>
    <row r="508" spans="1:42" x14ac:dyDescent="0.25">
      <c r="A508">
        <v>37</v>
      </c>
      <c r="B508" t="s">
        <v>42</v>
      </c>
      <c r="C508" t="s">
        <v>90</v>
      </c>
      <c r="D508">
        <v>482</v>
      </c>
      <c r="E508" t="s">
        <v>43</v>
      </c>
      <c r="F508">
        <v>3</v>
      </c>
      <c r="G508">
        <v>3</v>
      </c>
      <c r="H508" t="s">
        <v>47</v>
      </c>
      <c r="I508">
        <v>1</v>
      </c>
      <c r="J508">
        <v>689</v>
      </c>
      <c r="K508">
        <v>3</v>
      </c>
      <c r="L508" t="s">
        <v>44</v>
      </c>
      <c r="M508">
        <v>36</v>
      </c>
      <c r="N508">
        <v>3</v>
      </c>
      <c r="O508">
        <v>3</v>
      </c>
      <c r="P508" t="s">
        <v>51</v>
      </c>
      <c r="Q508">
        <v>3</v>
      </c>
      <c r="R508" t="s">
        <v>46</v>
      </c>
      <c r="S508">
        <v>9434</v>
      </c>
      <c r="T508">
        <v>9606</v>
      </c>
      <c r="U508">
        <v>1</v>
      </c>
      <c r="V508" t="s">
        <v>41</v>
      </c>
      <c r="W508" t="s">
        <v>42</v>
      </c>
      <c r="X508">
        <v>15</v>
      </c>
      <c r="Y508">
        <v>3</v>
      </c>
      <c r="Z508">
        <v>3</v>
      </c>
      <c r="AA508">
        <v>80</v>
      </c>
      <c r="AB508">
        <v>1</v>
      </c>
      <c r="AC508">
        <v>10</v>
      </c>
      <c r="AD508">
        <v>2</v>
      </c>
      <c r="AE508">
        <v>3</v>
      </c>
      <c r="AF508">
        <v>10</v>
      </c>
      <c r="AG508">
        <v>7</v>
      </c>
      <c r="AH508">
        <v>7</v>
      </c>
      <c r="AI508">
        <v>8</v>
      </c>
      <c r="AJ508">
        <f t="shared" si="7"/>
        <v>0</v>
      </c>
      <c r="AK508" t="str" cm="1">
        <f t="array" ref="AK508">_xlfn.IFS(A508&lt;=30,"18-30",A508&lt;=45,"31-45",A508&lt;=60,"46-60",TRUE, "60+")</f>
        <v>31-45</v>
      </c>
      <c r="AL508" t="str" cm="1">
        <f t="array" ref="AL508">_xlfn.IFS(F508&lt;=10,"0-10",F508&lt;=20,"11-20",TRUE,"20+")</f>
        <v>0-10</v>
      </c>
      <c r="AM508" t="str" cm="1">
        <f t="array" ref="AM508">_xlfn.IFS(S508&lt;=5000,"0-5k",S508&lt;=10000,"5k-10k",S508&lt;=15000,"10k-15k",TRUE,"15k+")</f>
        <v>5k-10k</v>
      </c>
      <c r="AN508" t="str" cm="1">
        <f t="array" ref="AN508">_xlfn.IFS(AF508&lt;=10,"0-10",AF508&lt;=20,"10-20",AF508&lt;=30,"20-30",TRUE,"30+")</f>
        <v>0-10</v>
      </c>
      <c r="AO508" t="str" cm="1">
        <f t="array" ref="AO508">_xlfn.IFS(Y508=1,"Poor",Y508=2,"Average",Y508=3,"Good",TRUE,"Excellent")</f>
        <v>Good</v>
      </c>
      <c r="AP508" t="str" cm="1">
        <f t="array" ref="AP508">_xlfn.IFS(Q508=1,"Low",Q508=2,"Medium",Q508=3,"High",TRUE,"Very High")</f>
        <v>High</v>
      </c>
    </row>
    <row r="509" spans="1:42" x14ac:dyDescent="0.25">
      <c r="A509">
        <v>29</v>
      </c>
      <c r="B509" t="s">
        <v>42</v>
      </c>
      <c r="C509" t="s">
        <v>90</v>
      </c>
      <c r="D509">
        <v>1176</v>
      </c>
      <c r="E509" t="s">
        <v>36</v>
      </c>
      <c r="F509">
        <v>3</v>
      </c>
      <c r="G509">
        <v>2</v>
      </c>
      <c r="H509" t="s">
        <v>49</v>
      </c>
      <c r="I509">
        <v>1</v>
      </c>
      <c r="J509">
        <v>690</v>
      </c>
      <c r="K509">
        <v>2</v>
      </c>
      <c r="L509" t="s">
        <v>38</v>
      </c>
      <c r="M509">
        <v>62</v>
      </c>
      <c r="N509">
        <v>3</v>
      </c>
      <c r="O509">
        <v>2</v>
      </c>
      <c r="P509" t="s">
        <v>39</v>
      </c>
      <c r="Q509">
        <v>3</v>
      </c>
      <c r="R509" t="s">
        <v>46</v>
      </c>
      <c r="S509">
        <v>5561</v>
      </c>
      <c r="T509">
        <v>3487</v>
      </c>
      <c r="U509">
        <v>1</v>
      </c>
      <c r="V509" t="s">
        <v>41</v>
      </c>
      <c r="W509" t="s">
        <v>42</v>
      </c>
      <c r="X509">
        <v>14</v>
      </c>
      <c r="Y509">
        <v>3</v>
      </c>
      <c r="Z509">
        <v>1</v>
      </c>
      <c r="AA509">
        <v>80</v>
      </c>
      <c r="AB509">
        <v>1</v>
      </c>
      <c r="AC509">
        <v>6</v>
      </c>
      <c r="AD509">
        <v>5</v>
      </c>
      <c r="AE509">
        <v>2</v>
      </c>
      <c r="AF509">
        <v>6</v>
      </c>
      <c r="AG509">
        <v>0</v>
      </c>
      <c r="AH509">
        <v>1</v>
      </c>
      <c r="AI509">
        <v>2</v>
      </c>
      <c r="AJ509">
        <f t="shared" si="7"/>
        <v>0</v>
      </c>
      <c r="AK509" t="str" cm="1">
        <f t="array" ref="AK509">_xlfn.IFS(A509&lt;=30,"18-30",A509&lt;=45,"31-45",A509&lt;=60,"46-60",TRUE, "60+")</f>
        <v>18-30</v>
      </c>
      <c r="AL509" t="str" cm="1">
        <f t="array" ref="AL509">_xlfn.IFS(F509&lt;=10,"0-10",F509&lt;=20,"11-20",TRUE,"20+")</f>
        <v>0-10</v>
      </c>
      <c r="AM509" t="str" cm="1">
        <f t="array" ref="AM509">_xlfn.IFS(S509&lt;=5000,"0-5k",S509&lt;=10000,"5k-10k",S509&lt;=15000,"10k-15k",TRUE,"15k+")</f>
        <v>5k-10k</v>
      </c>
      <c r="AN509" t="str" cm="1">
        <f t="array" ref="AN509">_xlfn.IFS(AF509&lt;=10,"0-10",AF509&lt;=20,"10-20",AF509&lt;=30,"20-30",TRUE,"30+")</f>
        <v>0-10</v>
      </c>
      <c r="AO509" t="str" cm="1">
        <f t="array" ref="AO509">_xlfn.IFS(Y509=1,"Poor",Y509=2,"Average",Y509=3,"Good",TRUE,"Excellent")</f>
        <v>Good</v>
      </c>
      <c r="AP509" t="str" cm="1">
        <f t="array" ref="AP509">_xlfn.IFS(Q509=1,"Low",Q509=2,"Medium",Q509=3,"High",TRUE,"Very High")</f>
        <v>High</v>
      </c>
    </row>
    <row r="510" spans="1:42" x14ac:dyDescent="0.25">
      <c r="A510">
        <v>35</v>
      </c>
      <c r="B510" t="s">
        <v>42</v>
      </c>
      <c r="C510" t="s">
        <v>90</v>
      </c>
      <c r="D510">
        <v>1017</v>
      </c>
      <c r="E510" t="s">
        <v>43</v>
      </c>
      <c r="F510">
        <v>6</v>
      </c>
      <c r="G510">
        <v>4</v>
      </c>
      <c r="H510" t="s">
        <v>37</v>
      </c>
      <c r="I510">
        <v>1</v>
      </c>
      <c r="J510">
        <v>691</v>
      </c>
      <c r="K510">
        <v>2</v>
      </c>
      <c r="L510" t="s">
        <v>44</v>
      </c>
      <c r="M510">
        <v>82</v>
      </c>
      <c r="N510">
        <v>1</v>
      </c>
      <c r="O510">
        <v>2</v>
      </c>
      <c r="P510" t="s">
        <v>45</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c r="AJ510">
        <f t="shared" si="7"/>
        <v>0</v>
      </c>
      <c r="AK510" t="str" cm="1">
        <f t="array" ref="AK510">_xlfn.IFS(A510&lt;=30,"18-30",A510&lt;=45,"31-45",A510&lt;=60,"46-60",TRUE, "60+")</f>
        <v>31-45</v>
      </c>
      <c r="AL510" t="str" cm="1">
        <f t="array" ref="AL510">_xlfn.IFS(F510&lt;=10,"0-10",F510&lt;=20,"11-20",TRUE,"20+")</f>
        <v>0-10</v>
      </c>
      <c r="AM510" t="str" cm="1">
        <f t="array" ref="AM510">_xlfn.IFS(S510&lt;=5000,"0-5k",S510&lt;=10000,"5k-10k",S510&lt;=15000,"10k-15k",TRUE,"15k+")</f>
        <v>5k-10k</v>
      </c>
      <c r="AN510" t="str" cm="1">
        <f t="array" ref="AN510">_xlfn.IFS(AF510&lt;=10,"0-10",AF510&lt;=20,"10-20",AF510&lt;=30,"20-30",TRUE,"30+")</f>
        <v>10-20</v>
      </c>
      <c r="AO510" t="str" cm="1">
        <f t="array" ref="AO510">_xlfn.IFS(Y510=1,"Poor",Y510=2,"Average",Y510=3,"Good",TRUE,"Excellent")</f>
        <v>Good</v>
      </c>
      <c r="AP510" t="str" cm="1">
        <f t="array" ref="AP510">_xlfn.IFS(Q510=1,"Low",Q510=2,"Medium",Q510=3,"High",TRUE,"Very High")</f>
        <v>Very High</v>
      </c>
    </row>
    <row r="511" spans="1:42" x14ac:dyDescent="0.25">
      <c r="A511">
        <v>33</v>
      </c>
      <c r="B511" t="s">
        <v>42</v>
      </c>
      <c r="C511" t="s">
        <v>91</v>
      </c>
      <c r="D511">
        <v>1296</v>
      </c>
      <c r="E511" t="s">
        <v>43</v>
      </c>
      <c r="F511">
        <v>6</v>
      </c>
      <c r="G511">
        <v>3</v>
      </c>
      <c r="H511" t="s">
        <v>37</v>
      </c>
      <c r="I511">
        <v>1</v>
      </c>
      <c r="J511">
        <v>692</v>
      </c>
      <c r="K511">
        <v>3</v>
      </c>
      <c r="L511" t="s">
        <v>44</v>
      </c>
      <c r="M511">
        <v>30</v>
      </c>
      <c r="N511">
        <v>3</v>
      </c>
      <c r="O511">
        <v>2</v>
      </c>
      <c r="P511" t="s">
        <v>52</v>
      </c>
      <c r="Q511">
        <v>4</v>
      </c>
      <c r="R511" t="s">
        <v>50</v>
      </c>
      <c r="S511">
        <v>7725</v>
      </c>
      <c r="T511">
        <v>5335</v>
      </c>
      <c r="U511">
        <v>3</v>
      </c>
      <c r="V511" t="s">
        <v>41</v>
      </c>
      <c r="W511" t="s">
        <v>42</v>
      </c>
      <c r="X511">
        <v>23</v>
      </c>
      <c r="Y511">
        <v>4</v>
      </c>
      <c r="Z511">
        <v>3</v>
      </c>
      <c r="AA511">
        <v>80</v>
      </c>
      <c r="AB511">
        <v>1</v>
      </c>
      <c r="AC511">
        <v>15</v>
      </c>
      <c r="AD511">
        <v>2</v>
      </c>
      <c r="AE511">
        <v>1</v>
      </c>
      <c r="AF511">
        <v>13</v>
      </c>
      <c r="AG511">
        <v>11</v>
      </c>
      <c r="AH511">
        <v>4</v>
      </c>
      <c r="AI511">
        <v>7</v>
      </c>
      <c r="AJ511">
        <f t="shared" si="7"/>
        <v>0</v>
      </c>
      <c r="AK511" t="str" cm="1">
        <f t="array" ref="AK511">_xlfn.IFS(A511&lt;=30,"18-30",A511&lt;=45,"31-45",A511&lt;=60,"46-60",TRUE, "60+")</f>
        <v>31-45</v>
      </c>
      <c r="AL511" t="str" cm="1">
        <f t="array" ref="AL511">_xlfn.IFS(F511&lt;=10,"0-10",F511&lt;=20,"11-20",TRUE,"20+")</f>
        <v>0-10</v>
      </c>
      <c r="AM511" t="str" cm="1">
        <f t="array" ref="AM511">_xlfn.IFS(S511&lt;=5000,"0-5k",S511&lt;=10000,"5k-10k",S511&lt;=15000,"10k-15k",TRUE,"15k+")</f>
        <v>5k-10k</v>
      </c>
      <c r="AN511" t="str" cm="1">
        <f t="array" ref="AN511">_xlfn.IFS(AF511&lt;=10,"0-10",AF511&lt;=20,"10-20",AF511&lt;=30,"20-30",TRUE,"30+")</f>
        <v>10-20</v>
      </c>
      <c r="AO511" t="str" cm="1">
        <f t="array" ref="AO511">_xlfn.IFS(Y511=1,"Poor",Y511=2,"Average",Y511=3,"Good",TRUE,"Excellent")</f>
        <v>Excellent</v>
      </c>
      <c r="AP511" t="str" cm="1">
        <f t="array" ref="AP511">_xlfn.IFS(Q511=1,"Low",Q511=2,"Medium",Q511=3,"High",TRUE,"Very High")</f>
        <v>Very High</v>
      </c>
    </row>
    <row r="512" spans="1:42" x14ac:dyDescent="0.25">
      <c r="A512">
        <v>54</v>
      </c>
      <c r="B512" t="s">
        <v>42</v>
      </c>
      <c r="C512" t="s">
        <v>90</v>
      </c>
      <c r="D512">
        <v>397</v>
      </c>
      <c r="E512" t="s">
        <v>59</v>
      </c>
      <c r="F512">
        <v>19</v>
      </c>
      <c r="G512">
        <v>4</v>
      </c>
      <c r="H512" t="s">
        <v>49</v>
      </c>
      <c r="I512">
        <v>1</v>
      </c>
      <c r="J512">
        <v>698</v>
      </c>
      <c r="K512">
        <v>3</v>
      </c>
      <c r="L512" t="s">
        <v>44</v>
      </c>
      <c r="M512">
        <v>88</v>
      </c>
      <c r="N512">
        <v>3</v>
      </c>
      <c r="O512">
        <v>3</v>
      </c>
      <c r="P512" t="s">
        <v>59</v>
      </c>
      <c r="Q512">
        <v>2</v>
      </c>
      <c r="R512" t="s">
        <v>46</v>
      </c>
      <c r="S512">
        <v>10725</v>
      </c>
      <c r="T512">
        <v>6729</v>
      </c>
      <c r="U512">
        <v>2</v>
      </c>
      <c r="V512" t="s">
        <v>41</v>
      </c>
      <c r="W512" t="s">
        <v>42</v>
      </c>
      <c r="X512">
        <v>15</v>
      </c>
      <c r="Y512">
        <v>3</v>
      </c>
      <c r="Z512">
        <v>3</v>
      </c>
      <c r="AA512">
        <v>80</v>
      </c>
      <c r="AB512">
        <v>1</v>
      </c>
      <c r="AC512">
        <v>16</v>
      </c>
      <c r="AD512">
        <v>1</v>
      </c>
      <c r="AE512">
        <v>4</v>
      </c>
      <c r="AF512">
        <v>9</v>
      </c>
      <c r="AG512">
        <v>7</v>
      </c>
      <c r="AH512">
        <v>7</v>
      </c>
      <c r="AI512">
        <v>1</v>
      </c>
      <c r="AJ512">
        <f t="shared" si="7"/>
        <v>0</v>
      </c>
      <c r="AK512" t="str" cm="1">
        <f t="array" ref="AK512">_xlfn.IFS(A512&lt;=30,"18-30",A512&lt;=45,"31-45",A512&lt;=60,"46-60",TRUE, "60+")</f>
        <v>46-60</v>
      </c>
      <c r="AL512" t="str" cm="1">
        <f t="array" ref="AL512">_xlfn.IFS(F512&lt;=10,"0-10",F512&lt;=20,"11-20",TRUE,"20+")</f>
        <v>11-20</v>
      </c>
      <c r="AM512" t="str" cm="1">
        <f t="array" ref="AM512">_xlfn.IFS(S512&lt;=5000,"0-5k",S512&lt;=10000,"5k-10k",S512&lt;=15000,"10k-15k",TRUE,"15k+")</f>
        <v>10k-15k</v>
      </c>
      <c r="AN512" t="str" cm="1">
        <f t="array" ref="AN512">_xlfn.IFS(AF512&lt;=10,"0-10",AF512&lt;=20,"10-20",AF512&lt;=30,"20-30",TRUE,"30+")</f>
        <v>0-10</v>
      </c>
      <c r="AO512" t="str" cm="1">
        <f t="array" ref="AO512">_xlfn.IFS(Y512=1,"Poor",Y512=2,"Average",Y512=3,"Good",TRUE,"Excellent")</f>
        <v>Good</v>
      </c>
      <c r="AP512" t="str" cm="1">
        <f t="array" ref="AP512">_xlfn.IFS(Q512=1,"Low",Q512=2,"Medium",Q512=3,"High",TRUE,"Very High")</f>
        <v>Medium</v>
      </c>
    </row>
    <row r="513" spans="1:42" x14ac:dyDescent="0.25">
      <c r="A513">
        <v>36</v>
      </c>
      <c r="B513" t="s">
        <v>42</v>
      </c>
      <c r="C513" t="s">
        <v>90</v>
      </c>
      <c r="D513">
        <v>913</v>
      </c>
      <c r="E513" t="s">
        <v>43</v>
      </c>
      <c r="F513">
        <v>9</v>
      </c>
      <c r="G513">
        <v>2</v>
      </c>
      <c r="H513" t="s">
        <v>49</v>
      </c>
      <c r="I513">
        <v>1</v>
      </c>
      <c r="J513">
        <v>699</v>
      </c>
      <c r="K513">
        <v>2</v>
      </c>
      <c r="L513" t="s">
        <v>44</v>
      </c>
      <c r="M513">
        <v>48</v>
      </c>
      <c r="N513">
        <v>2</v>
      </c>
      <c r="O513">
        <v>2</v>
      </c>
      <c r="P513" t="s">
        <v>51</v>
      </c>
      <c r="Q513">
        <v>2</v>
      </c>
      <c r="R513" t="s">
        <v>50</v>
      </c>
      <c r="S513">
        <v>8847</v>
      </c>
      <c r="T513">
        <v>13934</v>
      </c>
      <c r="U513">
        <v>2</v>
      </c>
      <c r="V513" t="s">
        <v>41</v>
      </c>
      <c r="W513" t="s">
        <v>35</v>
      </c>
      <c r="X513">
        <v>11</v>
      </c>
      <c r="Y513">
        <v>3</v>
      </c>
      <c r="Z513">
        <v>3</v>
      </c>
      <c r="AA513">
        <v>80</v>
      </c>
      <c r="AB513">
        <v>1</v>
      </c>
      <c r="AC513">
        <v>13</v>
      </c>
      <c r="AD513">
        <v>2</v>
      </c>
      <c r="AE513">
        <v>3</v>
      </c>
      <c r="AF513">
        <v>3</v>
      </c>
      <c r="AG513">
        <v>2</v>
      </c>
      <c r="AH513">
        <v>0</v>
      </c>
      <c r="AI513">
        <v>2</v>
      </c>
      <c r="AJ513">
        <f t="shared" si="7"/>
        <v>0</v>
      </c>
      <c r="AK513" t="str" cm="1">
        <f t="array" ref="AK513">_xlfn.IFS(A513&lt;=30,"18-30",A513&lt;=45,"31-45",A513&lt;=60,"46-60",TRUE, "60+")</f>
        <v>31-45</v>
      </c>
      <c r="AL513" t="str" cm="1">
        <f t="array" ref="AL513">_xlfn.IFS(F513&lt;=10,"0-10",F513&lt;=20,"11-20",TRUE,"20+")</f>
        <v>0-10</v>
      </c>
      <c r="AM513" t="str" cm="1">
        <f t="array" ref="AM513">_xlfn.IFS(S513&lt;=5000,"0-5k",S513&lt;=10000,"5k-10k",S513&lt;=15000,"10k-15k",TRUE,"15k+")</f>
        <v>5k-10k</v>
      </c>
      <c r="AN513" t="str" cm="1">
        <f t="array" ref="AN513">_xlfn.IFS(AF513&lt;=10,"0-10",AF513&lt;=20,"10-20",AF513&lt;=30,"20-30",TRUE,"30+")</f>
        <v>0-10</v>
      </c>
      <c r="AO513" t="str" cm="1">
        <f t="array" ref="AO513">_xlfn.IFS(Y513=1,"Poor",Y513=2,"Average",Y513=3,"Good",TRUE,"Excellent")</f>
        <v>Good</v>
      </c>
      <c r="AP513" t="str" cm="1">
        <f t="array" ref="AP513">_xlfn.IFS(Q513=1,"Low",Q513=2,"Medium",Q513=3,"High",TRUE,"Very High")</f>
        <v>Medium</v>
      </c>
    </row>
    <row r="514" spans="1:42" x14ac:dyDescent="0.25">
      <c r="A514">
        <v>27</v>
      </c>
      <c r="B514" t="s">
        <v>42</v>
      </c>
      <c r="C514" t="s">
        <v>90</v>
      </c>
      <c r="D514">
        <v>1115</v>
      </c>
      <c r="E514" t="s">
        <v>43</v>
      </c>
      <c r="F514">
        <v>3</v>
      </c>
      <c r="G514">
        <v>4</v>
      </c>
      <c r="H514" t="s">
        <v>49</v>
      </c>
      <c r="I514">
        <v>1</v>
      </c>
      <c r="J514">
        <v>700</v>
      </c>
      <c r="K514">
        <v>1</v>
      </c>
      <c r="L514" t="s">
        <v>44</v>
      </c>
      <c r="M514">
        <v>54</v>
      </c>
      <c r="N514">
        <v>2</v>
      </c>
      <c r="O514">
        <v>1</v>
      </c>
      <c r="P514" t="s">
        <v>45</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c r="AJ514">
        <f t="shared" ref="AJ514:AJ577" si="8">IF(B514="yes",1,0)</f>
        <v>0</v>
      </c>
      <c r="AK514" t="str" cm="1">
        <f t="array" ref="AK514">_xlfn.IFS(A514&lt;=30,"18-30",A514&lt;=45,"31-45",A514&lt;=60,"46-60",TRUE, "60+")</f>
        <v>18-30</v>
      </c>
      <c r="AL514" t="str" cm="1">
        <f t="array" ref="AL514">_xlfn.IFS(F514&lt;=10,"0-10",F514&lt;=20,"11-20",TRUE,"20+")</f>
        <v>0-10</v>
      </c>
      <c r="AM514" t="str" cm="1">
        <f t="array" ref="AM514">_xlfn.IFS(S514&lt;=5000,"0-5k",S514&lt;=10000,"5k-10k",S514&lt;=15000,"10k-15k",TRUE,"15k+")</f>
        <v>0-5k</v>
      </c>
      <c r="AN514" t="str" cm="1">
        <f t="array" ref="AN514">_xlfn.IFS(AF514&lt;=10,"0-10",AF514&lt;=20,"10-20",AF514&lt;=30,"20-30",TRUE,"30+")</f>
        <v>0-10</v>
      </c>
      <c r="AO514" t="str" cm="1">
        <f t="array" ref="AO514">_xlfn.IFS(Y514=1,"Poor",Y514=2,"Average",Y514=3,"Good",TRUE,"Excellent")</f>
        <v>Good</v>
      </c>
      <c r="AP514" t="str" cm="1">
        <f t="array" ref="AP514">_xlfn.IFS(Q514=1,"Low",Q514=2,"Medium",Q514=3,"High",TRUE,"Very High")</f>
        <v>Very High</v>
      </c>
    </row>
    <row r="515" spans="1:42" x14ac:dyDescent="0.25">
      <c r="A515">
        <v>20</v>
      </c>
      <c r="B515" t="s">
        <v>35</v>
      </c>
      <c r="C515" t="s">
        <v>90</v>
      </c>
      <c r="D515">
        <v>1362</v>
      </c>
      <c r="E515" t="s">
        <v>43</v>
      </c>
      <c r="F515">
        <v>10</v>
      </c>
      <c r="G515">
        <v>1</v>
      </c>
      <c r="H515" t="s">
        <v>49</v>
      </c>
      <c r="I515">
        <v>1</v>
      </c>
      <c r="J515">
        <v>701</v>
      </c>
      <c r="K515">
        <v>4</v>
      </c>
      <c r="L515" t="s">
        <v>44</v>
      </c>
      <c r="M515">
        <v>32</v>
      </c>
      <c r="N515">
        <v>3</v>
      </c>
      <c r="O515">
        <v>1</v>
      </c>
      <c r="P515" t="s">
        <v>45</v>
      </c>
      <c r="Q515">
        <v>3</v>
      </c>
      <c r="R515" t="s">
        <v>40</v>
      </c>
      <c r="S515">
        <v>1009</v>
      </c>
      <c r="T515">
        <v>26999</v>
      </c>
      <c r="U515">
        <v>1</v>
      </c>
      <c r="V515" t="s">
        <v>41</v>
      </c>
      <c r="W515" t="s">
        <v>35</v>
      </c>
      <c r="X515">
        <v>11</v>
      </c>
      <c r="Y515">
        <v>3</v>
      </c>
      <c r="Z515">
        <v>4</v>
      </c>
      <c r="AA515">
        <v>80</v>
      </c>
      <c r="AB515">
        <v>0</v>
      </c>
      <c r="AC515">
        <v>1</v>
      </c>
      <c r="AD515">
        <v>5</v>
      </c>
      <c r="AE515">
        <v>3</v>
      </c>
      <c r="AF515">
        <v>1</v>
      </c>
      <c r="AG515">
        <v>0</v>
      </c>
      <c r="AH515">
        <v>1</v>
      </c>
      <c r="AI515">
        <v>1</v>
      </c>
      <c r="AJ515">
        <f t="shared" si="8"/>
        <v>1</v>
      </c>
      <c r="AK515" t="str" cm="1">
        <f t="array" ref="AK515">_xlfn.IFS(A515&lt;=30,"18-30",A515&lt;=45,"31-45",A515&lt;=60,"46-60",TRUE, "60+")</f>
        <v>18-30</v>
      </c>
      <c r="AL515" t="str" cm="1">
        <f t="array" ref="AL515">_xlfn.IFS(F515&lt;=10,"0-10",F515&lt;=20,"11-20",TRUE,"20+")</f>
        <v>0-10</v>
      </c>
      <c r="AM515" t="str" cm="1">
        <f t="array" ref="AM515">_xlfn.IFS(S515&lt;=5000,"0-5k",S515&lt;=10000,"5k-10k",S515&lt;=15000,"10k-15k",TRUE,"15k+")</f>
        <v>0-5k</v>
      </c>
      <c r="AN515" t="str" cm="1">
        <f t="array" ref="AN515">_xlfn.IFS(AF515&lt;=10,"0-10",AF515&lt;=20,"10-20",AF515&lt;=30,"20-30",TRUE,"30+")</f>
        <v>0-10</v>
      </c>
      <c r="AO515" t="str" cm="1">
        <f t="array" ref="AO515">_xlfn.IFS(Y515=1,"Poor",Y515=2,"Average",Y515=3,"Good",TRUE,"Excellent")</f>
        <v>Good</v>
      </c>
      <c r="AP515" t="str" cm="1">
        <f t="array" ref="AP515">_xlfn.IFS(Q515=1,"Low",Q515=2,"Medium",Q515=3,"High",TRUE,"Very High")</f>
        <v>High</v>
      </c>
    </row>
    <row r="516" spans="1:42" x14ac:dyDescent="0.25">
      <c r="A516">
        <v>33</v>
      </c>
      <c r="B516" t="s">
        <v>35</v>
      </c>
      <c r="C516" t="s">
        <v>91</v>
      </c>
      <c r="D516">
        <v>1076</v>
      </c>
      <c r="E516" t="s">
        <v>43</v>
      </c>
      <c r="F516">
        <v>3</v>
      </c>
      <c r="G516">
        <v>3</v>
      </c>
      <c r="H516" t="s">
        <v>37</v>
      </c>
      <c r="I516">
        <v>1</v>
      </c>
      <c r="J516">
        <v>702</v>
      </c>
      <c r="K516">
        <v>1</v>
      </c>
      <c r="L516" t="s">
        <v>44</v>
      </c>
      <c r="M516">
        <v>70</v>
      </c>
      <c r="N516">
        <v>3</v>
      </c>
      <c r="O516">
        <v>1</v>
      </c>
      <c r="P516" t="s">
        <v>45</v>
      </c>
      <c r="Q516">
        <v>1</v>
      </c>
      <c r="R516" t="s">
        <v>40</v>
      </c>
      <c r="S516">
        <v>3348</v>
      </c>
      <c r="T516">
        <v>3164</v>
      </c>
      <c r="U516">
        <v>1</v>
      </c>
      <c r="V516" t="s">
        <v>41</v>
      </c>
      <c r="W516" t="s">
        <v>35</v>
      </c>
      <c r="X516">
        <v>11</v>
      </c>
      <c r="Y516">
        <v>3</v>
      </c>
      <c r="Z516">
        <v>1</v>
      </c>
      <c r="AA516">
        <v>80</v>
      </c>
      <c r="AB516">
        <v>0</v>
      </c>
      <c r="AC516">
        <v>10</v>
      </c>
      <c r="AD516">
        <v>3</v>
      </c>
      <c r="AE516">
        <v>3</v>
      </c>
      <c r="AF516">
        <v>10</v>
      </c>
      <c r="AG516">
        <v>8</v>
      </c>
      <c r="AH516">
        <v>9</v>
      </c>
      <c r="AI516">
        <v>7</v>
      </c>
      <c r="AJ516">
        <f t="shared" si="8"/>
        <v>1</v>
      </c>
      <c r="AK516" t="str" cm="1">
        <f t="array" ref="AK516">_xlfn.IFS(A516&lt;=30,"18-30",A516&lt;=45,"31-45",A516&lt;=60,"46-60",TRUE, "60+")</f>
        <v>31-45</v>
      </c>
      <c r="AL516" t="str" cm="1">
        <f t="array" ref="AL516">_xlfn.IFS(F516&lt;=10,"0-10",F516&lt;=20,"11-20",TRUE,"20+")</f>
        <v>0-10</v>
      </c>
      <c r="AM516" t="str" cm="1">
        <f t="array" ref="AM516">_xlfn.IFS(S516&lt;=5000,"0-5k",S516&lt;=10000,"5k-10k",S516&lt;=15000,"10k-15k",TRUE,"15k+")</f>
        <v>0-5k</v>
      </c>
      <c r="AN516" t="str" cm="1">
        <f t="array" ref="AN516">_xlfn.IFS(AF516&lt;=10,"0-10",AF516&lt;=20,"10-20",AF516&lt;=30,"20-30",TRUE,"30+")</f>
        <v>0-10</v>
      </c>
      <c r="AO516" t="str" cm="1">
        <f t="array" ref="AO516">_xlfn.IFS(Y516=1,"Poor",Y516=2,"Average",Y516=3,"Good",TRUE,"Excellent")</f>
        <v>Good</v>
      </c>
      <c r="AP516" t="str" cm="1">
        <f t="array" ref="AP516">_xlfn.IFS(Q516=1,"Low",Q516=2,"Medium",Q516=3,"High",TRUE,"Very High")</f>
        <v>Low</v>
      </c>
    </row>
    <row r="517" spans="1:42" x14ac:dyDescent="0.25">
      <c r="A517">
        <v>35</v>
      </c>
      <c r="B517" t="s">
        <v>42</v>
      </c>
      <c r="C517" t="s">
        <v>53</v>
      </c>
      <c r="D517">
        <v>727</v>
      </c>
      <c r="E517" t="s">
        <v>43</v>
      </c>
      <c r="F517">
        <v>3</v>
      </c>
      <c r="G517">
        <v>3</v>
      </c>
      <c r="H517" t="s">
        <v>37</v>
      </c>
      <c r="I517">
        <v>1</v>
      </c>
      <c r="J517">
        <v>704</v>
      </c>
      <c r="K517">
        <v>3</v>
      </c>
      <c r="L517" t="s">
        <v>44</v>
      </c>
      <c r="M517">
        <v>41</v>
      </c>
      <c r="N517">
        <v>2</v>
      </c>
      <c r="O517">
        <v>1</v>
      </c>
      <c r="P517" t="s">
        <v>48</v>
      </c>
      <c r="Q517">
        <v>3</v>
      </c>
      <c r="R517" t="s">
        <v>46</v>
      </c>
      <c r="S517">
        <v>1281</v>
      </c>
      <c r="T517">
        <v>16900</v>
      </c>
      <c r="U517">
        <v>1</v>
      </c>
      <c r="V517" t="s">
        <v>41</v>
      </c>
      <c r="W517" t="s">
        <v>42</v>
      </c>
      <c r="X517">
        <v>18</v>
      </c>
      <c r="Y517">
        <v>3</v>
      </c>
      <c r="Z517">
        <v>3</v>
      </c>
      <c r="AA517">
        <v>80</v>
      </c>
      <c r="AB517">
        <v>2</v>
      </c>
      <c r="AC517">
        <v>1</v>
      </c>
      <c r="AD517">
        <v>3</v>
      </c>
      <c r="AE517">
        <v>3</v>
      </c>
      <c r="AF517">
        <v>1</v>
      </c>
      <c r="AG517">
        <v>0</v>
      </c>
      <c r="AH517">
        <v>0</v>
      </c>
      <c r="AI517">
        <v>0</v>
      </c>
      <c r="AJ517">
        <f t="shared" si="8"/>
        <v>0</v>
      </c>
      <c r="AK517" t="str" cm="1">
        <f t="array" ref="AK517">_xlfn.IFS(A517&lt;=30,"18-30",A517&lt;=45,"31-45",A517&lt;=60,"46-60",TRUE, "60+")</f>
        <v>31-45</v>
      </c>
      <c r="AL517" t="str" cm="1">
        <f t="array" ref="AL517">_xlfn.IFS(F517&lt;=10,"0-10",F517&lt;=20,"11-20",TRUE,"20+")</f>
        <v>0-10</v>
      </c>
      <c r="AM517" t="str" cm="1">
        <f t="array" ref="AM517">_xlfn.IFS(S517&lt;=5000,"0-5k",S517&lt;=10000,"5k-10k",S517&lt;=15000,"10k-15k",TRUE,"15k+")</f>
        <v>0-5k</v>
      </c>
      <c r="AN517" t="str" cm="1">
        <f t="array" ref="AN517">_xlfn.IFS(AF517&lt;=10,"0-10",AF517&lt;=20,"10-20",AF517&lt;=30,"20-30",TRUE,"30+")</f>
        <v>0-10</v>
      </c>
      <c r="AO517" t="str" cm="1">
        <f t="array" ref="AO517">_xlfn.IFS(Y517=1,"Poor",Y517=2,"Average",Y517=3,"Good",TRUE,"Excellent")</f>
        <v>Good</v>
      </c>
      <c r="AP517" t="str" cm="1">
        <f t="array" ref="AP517">_xlfn.IFS(Q517=1,"Low",Q517=2,"Medium",Q517=3,"High",TRUE,"Very High")</f>
        <v>High</v>
      </c>
    </row>
    <row r="518" spans="1:42" x14ac:dyDescent="0.25">
      <c r="A518">
        <v>23</v>
      </c>
      <c r="B518" t="s">
        <v>42</v>
      </c>
      <c r="C518" t="s">
        <v>90</v>
      </c>
      <c r="D518">
        <v>885</v>
      </c>
      <c r="E518" t="s">
        <v>43</v>
      </c>
      <c r="F518">
        <v>4</v>
      </c>
      <c r="G518">
        <v>3</v>
      </c>
      <c r="H518" t="s">
        <v>49</v>
      </c>
      <c r="I518">
        <v>1</v>
      </c>
      <c r="J518">
        <v>705</v>
      </c>
      <c r="K518">
        <v>1</v>
      </c>
      <c r="L518" t="s">
        <v>44</v>
      </c>
      <c r="M518">
        <v>58</v>
      </c>
      <c r="N518">
        <v>4</v>
      </c>
      <c r="O518">
        <v>1</v>
      </c>
      <c r="P518" t="s">
        <v>45</v>
      </c>
      <c r="Q518">
        <v>1</v>
      </c>
      <c r="R518" t="s">
        <v>46</v>
      </c>
      <c r="S518">
        <v>2819</v>
      </c>
      <c r="T518">
        <v>8544</v>
      </c>
      <c r="U518">
        <v>2</v>
      </c>
      <c r="V518" t="s">
        <v>41</v>
      </c>
      <c r="W518" t="s">
        <v>42</v>
      </c>
      <c r="X518">
        <v>16</v>
      </c>
      <c r="Y518">
        <v>3</v>
      </c>
      <c r="Z518">
        <v>1</v>
      </c>
      <c r="AA518">
        <v>80</v>
      </c>
      <c r="AB518">
        <v>1</v>
      </c>
      <c r="AC518">
        <v>5</v>
      </c>
      <c r="AD518">
        <v>3</v>
      </c>
      <c r="AE518">
        <v>4</v>
      </c>
      <c r="AF518">
        <v>3</v>
      </c>
      <c r="AG518">
        <v>2</v>
      </c>
      <c r="AH518">
        <v>0</v>
      </c>
      <c r="AI518">
        <v>2</v>
      </c>
      <c r="AJ518">
        <f t="shared" si="8"/>
        <v>0</v>
      </c>
      <c r="AK518" t="str" cm="1">
        <f t="array" ref="AK518">_xlfn.IFS(A518&lt;=30,"18-30",A518&lt;=45,"31-45",A518&lt;=60,"46-60",TRUE, "60+")</f>
        <v>18-30</v>
      </c>
      <c r="AL518" t="str" cm="1">
        <f t="array" ref="AL518">_xlfn.IFS(F518&lt;=10,"0-10",F518&lt;=20,"11-20",TRUE,"20+")</f>
        <v>0-10</v>
      </c>
      <c r="AM518" t="str" cm="1">
        <f t="array" ref="AM518">_xlfn.IFS(S518&lt;=5000,"0-5k",S518&lt;=10000,"5k-10k",S518&lt;=15000,"10k-15k",TRUE,"15k+")</f>
        <v>0-5k</v>
      </c>
      <c r="AN518" t="str" cm="1">
        <f t="array" ref="AN518">_xlfn.IFS(AF518&lt;=10,"0-10",AF518&lt;=20,"10-20",AF518&lt;=30,"20-30",TRUE,"30+")</f>
        <v>0-10</v>
      </c>
      <c r="AO518" t="str" cm="1">
        <f t="array" ref="AO518">_xlfn.IFS(Y518=1,"Poor",Y518=2,"Average",Y518=3,"Good",TRUE,"Excellent")</f>
        <v>Good</v>
      </c>
      <c r="AP518" t="str" cm="1">
        <f t="array" ref="AP518">_xlfn.IFS(Q518=1,"Low",Q518=2,"Medium",Q518=3,"High",TRUE,"Very High")</f>
        <v>Low</v>
      </c>
    </row>
    <row r="519" spans="1:42" x14ac:dyDescent="0.25">
      <c r="A519">
        <v>25</v>
      </c>
      <c r="B519" t="s">
        <v>42</v>
      </c>
      <c r="C519" t="s">
        <v>90</v>
      </c>
      <c r="D519">
        <v>810</v>
      </c>
      <c r="E519" t="s">
        <v>36</v>
      </c>
      <c r="F519">
        <v>8</v>
      </c>
      <c r="G519">
        <v>3</v>
      </c>
      <c r="H519" t="s">
        <v>37</v>
      </c>
      <c r="I519">
        <v>1</v>
      </c>
      <c r="J519">
        <v>707</v>
      </c>
      <c r="K519">
        <v>4</v>
      </c>
      <c r="L519" t="s">
        <v>44</v>
      </c>
      <c r="M519">
        <v>57</v>
      </c>
      <c r="N519">
        <v>4</v>
      </c>
      <c r="O519">
        <v>2</v>
      </c>
      <c r="P519" t="s">
        <v>39</v>
      </c>
      <c r="Q519">
        <v>2</v>
      </c>
      <c r="R519" t="s">
        <v>46</v>
      </c>
      <c r="S519">
        <v>4851</v>
      </c>
      <c r="T519">
        <v>15678</v>
      </c>
      <c r="U519">
        <v>0</v>
      </c>
      <c r="V519" t="s">
        <v>41</v>
      </c>
      <c r="W519" t="s">
        <v>42</v>
      </c>
      <c r="X519">
        <v>22</v>
      </c>
      <c r="Y519">
        <v>4</v>
      </c>
      <c r="Z519">
        <v>3</v>
      </c>
      <c r="AA519">
        <v>80</v>
      </c>
      <c r="AB519">
        <v>1</v>
      </c>
      <c r="AC519">
        <v>4</v>
      </c>
      <c r="AD519">
        <v>4</v>
      </c>
      <c r="AE519">
        <v>3</v>
      </c>
      <c r="AF519">
        <v>3</v>
      </c>
      <c r="AG519">
        <v>2</v>
      </c>
      <c r="AH519">
        <v>1</v>
      </c>
      <c r="AI519">
        <v>2</v>
      </c>
      <c r="AJ519">
        <f t="shared" si="8"/>
        <v>0</v>
      </c>
      <c r="AK519" t="str" cm="1">
        <f t="array" ref="AK519">_xlfn.IFS(A519&lt;=30,"18-30",A519&lt;=45,"31-45",A519&lt;=60,"46-60",TRUE, "60+")</f>
        <v>18-30</v>
      </c>
      <c r="AL519" t="str" cm="1">
        <f t="array" ref="AL519">_xlfn.IFS(F519&lt;=10,"0-10",F519&lt;=20,"11-20",TRUE,"20+")</f>
        <v>0-10</v>
      </c>
      <c r="AM519" t="str" cm="1">
        <f t="array" ref="AM519">_xlfn.IFS(S519&lt;=5000,"0-5k",S519&lt;=10000,"5k-10k",S519&lt;=15000,"10k-15k",TRUE,"15k+")</f>
        <v>0-5k</v>
      </c>
      <c r="AN519" t="str" cm="1">
        <f t="array" ref="AN519">_xlfn.IFS(AF519&lt;=10,"0-10",AF519&lt;=20,"10-20",AF519&lt;=30,"20-30",TRUE,"30+")</f>
        <v>0-10</v>
      </c>
      <c r="AO519" t="str" cm="1">
        <f t="array" ref="AO519">_xlfn.IFS(Y519=1,"Poor",Y519=2,"Average",Y519=3,"Good",TRUE,"Excellent")</f>
        <v>Excellent</v>
      </c>
      <c r="AP519" t="str" cm="1">
        <f t="array" ref="AP519">_xlfn.IFS(Q519=1,"Low",Q519=2,"Medium",Q519=3,"High",TRUE,"Very High")</f>
        <v>Medium</v>
      </c>
    </row>
    <row r="520" spans="1:42" x14ac:dyDescent="0.25">
      <c r="A520">
        <v>38</v>
      </c>
      <c r="B520" t="s">
        <v>42</v>
      </c>
      <c r="C520" t="s">
        <v>90</v>
      </c>
      <c r="D520">
        <v>243</v>
      </c>
      <c r="E520" t="s">
        <v>36</v>
      </c>
      <c r="F520">
        <v>7</v>
      </c>
      <c r="G520">
        <v>4</v>
      </c>
      <c r="H520" t="s">
        <v>57</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c r="AJ520">
        <f t="shared" si="8"/>
        <v>0</v>
      </c>
      <c r="AK520" t="str" cm="1">
        <f t="array" ref="AK520">_xlfn.IFS(A520&lt;=30,"18-30",A520&lt;=45,"31-45",A520&lt;=60,"46-60",TRUE, "60+")</f>
        <v>31-45</v>
      </c>
      <c r="AL520" t="str" cm="1">
        <f t="array" ref="AL520">_xlfn.IFS(F520&lt;=10,"0-10",F520&lt;=20,"11-20",TRUE,"20+")</f>
        <v>0-10</v>
      </c>
      <c r="AM520" t="str" cm="1">
        <f t="array" ref="AM520">_xlfn.IFS(S520&lt;=5000,"0-5k",S520&lt;=10000,"5k-10k",S520&lt;=15000,"10k-15k",TRUE,"15k+")</f>
        <v>0-5k</v>
      </c>
      <c r="AN520" t="str" cm="1">
        <f t="array" ref="AN520">_xlfn.IFS(AF520&lt;=10,"0-10",AF520&lt;=20,"10-20",AF520&lt;=30,"20-30",TRUE,"30+")</f>
        <v>0-10</v>
      </c>
      <c r="AO520" t="str" cm="1">
        <f t="array" ref="AO520">_xlfn.IFS(Y520=1,"Poor",Y520=2,"Average",Y520=3,"Good",TRUE,"Excellent")</f>
        <v>Excellent</v>
      </c>
      <c r="AP520" t="str" cm="1">
        <f t="array" ref="AP520">_xlfn.IFS(Q520=1,"Low",Q520=2,"Medium",Q520=3,"High",TRUE,"Very High")</f>
        <v>Very High</v>
      </c>
    </row>
    <row r="521" spans="1:42" x14ac:dyDescent="0.25">
      <c r="A521">
        <v>29</v>
      </c>
      <c r="B521" t="s">
        <v>42</v>
      </c>
      <c r="C521" t="s">
        <v>91</v>
      </c>
      <c r="D521">
        <v>806</v>
      </c>
      <c r="E521" t="s">
        <v>43</v>
      </c>
      <c r="F521">
        <v>1</v>
      </c>
      <c r="G521">
        <v>4</v>
      </c>
      <c r="H521" t="s">
        <v>37</v>
      </c>
      <c r="I521">
        <v>1</v>
      </c>
      <c r="J521">
        <v>710</v>
      </c>
      <c r="K521">
        <v>2</v>
      </c>
      <c r="L521" t="s">
        <v>44</v>
      </c>
      <c r="M521">
        <v>76</v>
      </c>
      <c r="N521">
        <v>1</v>
      </c>
      <c r="O521">
        <v>1</v>
      </c>
      <c r="P521" t="s">
        <v>45</v>
      </c>
      <c r="Q521">
        <v>4</v>
      </c>
      <c r="R521" t="s">
        <v>50</v>
      </c>
      <c r="S521">
        <v>2720</v>
      </c>
      <c r="T521">
        <v>18959</v>
      </c>
      <c r="U521">
        <v>1</v>
      </c>
      <c r="V521" t="s">
        <v>41</v>
      </c>
      <c r="W521" t="s">
        <v>42</v>
      </c>
      <c r="X521">
        <v>18</v>
      </c>
      <c r="Y521">
        <v>3</v>
      </c>
      <c r="Z521">
        <v>4</v>
      </c>
      <c r="AA521">
        <v>80</v>
      </c>
      <c r="AB521">
        <v>1</v>
      </c>
      <c r="AC521">
        <v>10</v>
      </c>
      <c r="AD521">
        <v>5</v>
      </c>
      <c r="AE521">
        <v>3</v>
      </c>
      <c r="AF521">
        <v>10</v>
      </c>
      <c r="AG521">
        <v>7</v>
      </c>
      <c r="AH521">
        <v>2</v>
      </c>
      <c r="AI521">
        <v>8</v>
      </c>
      <c r="AJ521">
        <f t="shared" si="8"/>
        <v>0</v>
      </c>
      <c r="AK521" t="str" cm="1">
        <f t="array" ref="AK521">_xlfn.IFS(A521&lt;=30,"18-30",A521&lt;=45,"31-45",A521&lt;=60,"46-60",TRUE, "60+")</f>
        <v>18-30</v>
      </c>
      <c r="AL521" t="str" cm="1">
        <f t="array" ref="AL521">_xlfn.IFS(F521&lt;=10,"0-10",F521&lt;=20,"11-20",TRUE,"20+")</f>
        <v>0-10</v>
      </c>
      <c r="AM521" t="str" cm="1">
        <f t="array" ref="AM521">_xlfn.IFS(S521&lt;=5000,"0-5k",S521&lt;=10000,"5k-10k",S521&lt;=15000,"10k-15k",TRUE,"15k+")</f>
        <v>0-5k</v>
      </c>
      <c r="AN521" t="str" cm="1">
        <f t="array" ref="AN521">_xlfn.IFS(AF521&lt;=10,"0-10",AF521&lt;=20,"10-20",AF521&lt;=30,"20-30",TRUE,"30+")</f>
        <v>0-10</v>
      </c>
      <c r="AO521" t="str" cm="1">
        <f t="array" ref="AO521">_xlfn.IFS(Y521=1,"Poor",Y521=2,"Average",Y521=3,"Good",TRUE,"Excellent")</f>
        <v>Good</v>
      </c>
      <c r="AP521" t="str" cm="1">
        <f t="array" ref="AP521">_xlfn.IFS(Q521=1,"Low",Q521=2,"Medium",Q521=3,"High",TRUE,"Very High")</f>
        <v>Very High</v>
      </c>
    </row>
    <row r="522" spans="1:42" x14ac:dyDescent="0.25">
      <c r="A522">
        <v>48</v>
      </c>
      <c r="B522" t="s">
        <v>42</v>
      </c>
      <c r="C522" t="s">
        <v>90</v>
      </c>
      <c r="D522">
        <v>817</v>
      </c>
      <c r="E522" t="s">
        <v>36</v>
      </c>
      <c r="F522">
        <v>2</v>
      </c>
      <c r="G522">
        <v>1</v>
      </c>
      <c r="H522" t="s">
        <v>57</v>
      </c>
      <c r="I522">
        <v>1</v>
      </c>
      <c r="J522">
        <v>712</v>
      </c>
      <c r="K522">
        <v>2</v>
      </c>
      <c r="L522" t="s">
        <v>44</v>
      </c>
      <c r="M522">
        <v>56</v>
      </c>
      <c r="N522">
        <v>4</v>
      </c>
      <c r="O522">
        <v>2</v>
      </c>
      <c r="P522" t="s">
        <v>39</v>
      </c>
      <c r="Q522">
        <v>2</v>
      </c>
      <c r="R522" t="s">
        <v>46</v>
      </c>
      <c r="S522">
        <v>8120</v>
      </c>
      <c r="T522">
        <v>18597</v>
      </c>
      <c r="U522">
        <v>3</v>
      </c>
      <c r="V522" t="s">
        <v>41</v>
      </c>
      <c r="W522" t="s">
        <v>42</v>
      </c>
      <c r="X522">
        <v>12</v>
      </c>
      <c r="Y522">
        <v>3</v>
      </c>
      <c r="Z522">
        <v>4</v>
      </c>
      <c r="AA522">
        <v>80</v>
      </c>
      <c r="AB522">
        <v>0</v>
      </c>
      <c r="AC522">
        <v>12</v>
      </c>
      <c r="AD522">
        <v>3</v>
      </c>
      <c r="AE522">
        <v>3</v>
      </c>
      <c r="AF522">
        <v>2</v>
      </c>
      <c r="AG522">
        <v>2</v>
      </c>
      <c r="AH522">
        <v>2</v>
      </c>
      <c r="AI522">
        <v>2</v>
      </c>
      <c r="AJ522">
        <f t="shared" si="8"/>
        <v>0</v>
      </c>
      <c r="AK522" t="str" cm="1">
        <f t="array" ref="AK522">_xlfn.IFS(A522&lt;=30,"18-30",A522&lt;=45,"31-45",A522&lt;=60,"46-60",TRUE, "60+")</f>
        <v>46-60</v>
      </c>
      <c r="AL522" t="str" cm="1">
        <f t="array" ref="AL522">_xlfn.IFS(F522&lt;=10,"0-10",F522&lt;=20,"11-20",TRUE,"20+")</f>
        <v>0-10</v>
      </c>
      <c r="AM522" t="str" cm="1">
        <f t="array" ref="AM522">_xlfn.IFS(S522&lt;=5000,"0-5k",S522&lt;=10000,"5k-10k",S522&lt;=15000,"10k-15k",TRUE,"15k+")</f>
        <v>5k-10k</v>
      </c>
      <c r="AN522" t="str" cm="1">
        <f t="array" ref="AN522">_xlfn.IFS(AF522&lt;=10,"0-10",AF522&lt;=20,"10-20",AF522&lt;=30,"20-30",TRUE,"30+")</f>
        <v>0-10</v>
      </c>
      <c r="AO522" t="str" cm="1">
        <f t="array" ref="AO522">_xlfn.IFS(Y522=1,"Poor",Y522=2,"Average",Y522=3,"Good",TRUE,"Excellent")</f>
        <v>Good</v>
      </c>
      <c r="AP522" t="str" cm="1">
        <f t="array" ref="AP522">_xlfn.IFS(Q522=1,"Low",Q522=2,"Medium",Q522=3,"High",TRUE,"Very High")</f>
        <v>Medium</v>
      </c>
    </row>
    <row r="523" spans="1:42" x14ac:dyDescent="0.25">
      <c r="A523">
        <v>27</v>
      </c>
      <c r="B523" t="s">
        <v>42</v>
      </c>
      <c r="C523" t="s">
        <v>91</v>
      </c>
      <c r="D523">
        <v>1410</v>
      </c>
      <c r="E523" t="s">
        <v>36</v>
      </c>
      <c r="F523">
        <v>3</v>
      </c>
      <c r="G523">
        <v>1</v>
      </c>
      <c r="H523" t="s">
        <v>49</v>
      </c>
      <c r="I523">
        <v>1</v>
      </c>
      <c r="J523">
        <v>714</v>
      </c>
      <c r="K523">
        <v>4</v>
      </c>
      <c r="L523" t="s">
        <v>38</v>
      </c>
      <c r="M523">
        <v>71</v>
      </c>
      <c r="N523">
        <v>4</v>
      </c>
      <c r="O523">
        <v>2</v>
      </c>
      <c r="P523" t="s">
        <v>39</v>
      </c>
      <c r="Q523">
        <v>4</v>
      </c>
      <c r="R523" t="s">
        <v>50</v>
      </c>
      <c r="S523">
        <v>4647</v>
      </c>
      <c r="T523">
        <v>16673</v>
      </c>
      <c r="U523">
        <v>1</v>
      </c>
      <c r="V523" t="s">
        <v>41</v>
      </c>
      <c r="W523" t="s">
        <v>35</v>
      </c>
      <c r="X523">
        <v>20</v>
      </c>
      <c r="Y523">
        <v>4</v>
      </c>
      <c r="Z523">
        <v>2</v>
      </c>
      <c r="AA523">
        <v>80</v>
      </c>
      <c r="AB523">
        <v>2</v>
      </c>
      <c r="AC523">
        <v>6</v>
      </c>
      <c r="AD523">
        <v>3</v>
      </c>
      <c r="AE523">
        <v>3</v>
      </c>
      <c r="AF523">
        <v>6</v>
      </c>
      <c r="AG523">
        <v>5</v>
      </c>
      <c r="AH523">
        <v>0</v>
      </c>
      <c r="AI523">
        <v>4</v>
      </c>
      <c r="AJ523">
        <f t="shared" si="8"/>
        <v>0</v>
      </c>
      <c r="AK523" t="str" cm="1">
        <f t="array" ref="AK523">_xlfn.IFS(A523&lt;=30,"18-30",A523&lt;=45,"31-45",A523&lt;=60,"46-60",TRUE, "60+")</f>
        <v>18-30</v>
      </c>
      <c r="AL523" t="str" cm="1">
        <f t="array" ref="AL523">_xlfn.IFS(F523&lt;=10,"0-10",F523&lt;=20,"11-20",TRUE,"20+")</f>
        <v>0-10</v>
      </c>
      <c r="AM523" t="str" cm="1">
        <f t="array" ref="AM523">_xlfn.IFS(S523&lt;=5000,"0-5k",S523&lt;=10000,"5k-10k",S523&lt;=15000,"10k-15k",TRUE,"15k+")</f>
        <v>0-5k</v>
      </c>
      <c r="AN523" t="str" cm="1">
        <f t="array" ref="AN523">_xlfn.IFS(AF523&lt;=10,"0-10",AF523&lt;=20,"10-20",AF523&lt;=30,"20-30",TRUE,"30+")</f>
        <v>0-10</v>
      </c>
      <c r="AO523" t="str" cm="1">
        <f t="array" ref="AO523">_xlfn.IFS(Y523=1,"Poor",Y523=2,"Average",Y523=3,"Good",TRUE,"Excellent")</f>
        <v>Excellent</v>
      </c>
      <c r="AP523" t="str" cm="1">
        <f t="array" ref="AP523">_xlfn.IFS(Q523=1,"Low",Q523=2,"Medium",Q523=3,"High",TRUE,"Very High")</f>
        <v>Very High</v>
      </c>
    </row>
    <row r="524" spans="1:42" x14ac:dyDescent="0.25">
      <c r="A524">
        <v>37</v>
      </c>
      <c r="B524" t="s">
        <v>42</v>
      </c>
      <c r="C524" t="s">
        <v>90</v>
      </c>
      <c r="D524">
        <v>1225</v>
      </c>
      <c r="E524" t="s">
        <v>43</v>
      </c>
      <c r="F524">
        <v>10</v>
      </c>
      <c r="G524">
        <v>2</v>
      </c>
      <c r="H524" t="s">
        <v>37</v>
      </c>
      <c r="I524">
        <v>1</v>
      </c>
      <c r="J524">
        <v>715</v>
      </c>
      <c r="K524">
        <v>4</v>
      </c>
      <c r="L524" t="s">
        <v>44</v>
      </c>
      <c r="M524">
        <v>80</v>
      </c>
      <c r="N524">
        <v>4</v>
      </c>
      <c r="O524">
        <v>1</v>
      </c>
      <c r="P524" t="s">
        <v>45</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c r="AJ524">
        <f t="shared" si="8"/>
        <v>0</v>
      </c>
      <c r="AK524" t="str" cm="1">
        <f t="array" ref="AK524">_xlfn.IFS(A524&lt;=30,"18-30",A524&lt;=45,"31-45",A524&lt;=60,"46-60",TRUE, "60+")</f>
        <v>31-45</v>
      </c>
      <c r="AL524" t="str" cm="1">
        <f t="array" ref="AL524">_xlfn.IFS(F524&lt;=10,"0-10",F524&lt;=20,"11-20",TRUE,"20+")</f>
        <v>0-10</v>
      </c>
      <c r="AM524" t="str" cm="1">
        <f t="array" ref="AM524">_xlfn.IFS(S524&lt;=5000,"0-5k",S524&lt;=10000,"5k-10k",S524&lt;=15000,"10k-15k",TRUE,"15k+")</f>
        <v>0-5k</v>
      </c>
      <c r="AN524" t="str" cm="1">
        <f t="array" ref="AN524">_xlfn.IFS(AF524&lt;=10,"0-10",AF524&lt;=20,"10-20",AF524&lt;=30,"20-30",TRUE,"30+")</f>
        <v>0-10</v>
      </c>
      <c r="AO524" t="str" cm="1">
        <f t="array" ref="AO524">_xlfn.IFS(Y524=1,"Poor",Y524=2,"Average",Y524=3,"Good",TRUE,"Excellent")</f>
        <v>Good</v>
      </c>
      <c r="AP524" t="str" cm="1">
        <f t="array" ref="AP524">_xlfn.IFS(Q524=1,"Low",Q524=2,"Medium",Q524=3,"High",TRUE,"Very High")</f>
        <v>Very High</v>
      </c>
    </row>
    <row r="525" spans="1:42" x14ac:dyDescent="0.25">
      <c r="A525">
        <v>50</v>
      </c>
      <c r="B525" t="s">
        <v>42</v>
      </c>
      <c r="C525" t="s">
        <v>90</v>
      </c>
      <c r="D525">
        <v>1207</v>
      </c>
      <c r="E525" t="s">
        <v>43</v>
      </c>
      <c r="F525">
        <v>28</v>
      </c>
      <c r="G525">
        <v>1</v>
      </c>
      <c r="H525" t="s">
        <v>49</v>
      </c>
      <c r="I525">
        <v>1</v>
      </c>
      <c r="J525">
        <v>716</v>
      </c>
      <c r="K525">
        <v>4</v>
      </c>
      <c r="L525" t="s">
        <v>44</v>
      </c>
      <c r="M525">
        <v>74</v>
      </c>
      <c r="N525">
        <v>4</v>
      </c>
      <c r="O525">
        <v>1</v>
      </c>
      <c r="P525" t="s">
        <v>48</v>
      </c>
      <c r="Q525">
        <v>3</v>
      </c>
      <c r="R525" t="s">
        <v>46</v>
      </c>
      <c r="S525">
        <v>3221</v>
      </c>
      <c r="T525">
        <v>3297</v>
      </c>
      <c r="U525">
        <v>1</v>
      </c>
      <c r="V525" t="s">
        <v>41</v>
      </c>
      <c r="W525" t="s">
        <v>35</v>
      </c>
      <c r="X525">
        <v>11</v>
      </c>
      <c r="Y525">
        <v>3</v>
      </c>
      <c r="Z525">
        <v>3</v>
      </c>
      <c r="AA525">
        <v>80</v>
      </c>
      <c r="AB525">
        <v>3</v>
      </c>
      <c r="AC525">
        <v>20</v>
      </c>
      <c r="AD525">
        <v>3</v>
      </c>
      <c r="AE525">
        <v>3</v>
      </c>
      <c r="AF525">
        <v>20</v>
      </c>
      <c r="AG525">
        <v>8</v>
      </c>
      <c r="AH525">
        <v>3</v>
      </c>
      <c r="AI525">
        <v>8</v>
      </c>
      <c r="AJ525">
        <f t="shared" si="8"/>
        <v>0</v>
      </c>
      <c r="AK525" t="str" cm="1">
        <f t="array" ref="AK525">_xlfn.IFS(A525&lt;=30,"18-30",A525&lt;=45,"31-45",A525&lt;=60,"46-60",TRUE, "60+")</f>
        <v>46-60</v>
      </c>
      <c r="AL525" t="str" cm="1">
        <f t="array" ref="AL525">_xlfn.IFS(F525&lt;=10,"0-10",F525&lt;=20,"11-20",TRUE,"20+")</f>
        <v>20+</v>
      </c>
      <c r="AM525" t="str" cm="1">
        <f t="array" ref="AM525">_xlfn.IFS(S525&lt;=5000,"0-5k",S525&lt;=10000,"5k-10k",S525&lt;=15000,"10k-15k",TRUE,"15k+")</f>
        <v>0-5k</v>
      </c>
      <c r="AN525" t="str" cm="1">
        <f t="array" ref="AN525">_xlfn.IFS(AF525&lt;=10,"0-10",AF525&lt;=20,"10-20",AF525&lt;=30,"20-30",TRUE,"30+")</f>
        <v>10-20</v>
      </c>
      <c r="AO525" t="str" cm="1">
        <f t="array" ref="AO525">_xlfn.IFS(Y525=1,"Poor",Y525=2,"Average",Y525=3,"Good",TRUE,"Excellent")</f>
        <v>Good</v>
      </c>
      <c r="AP525" t="str" cm="1">
        <f t="array" ref="AP525">_xlfn.IFS(Q525=1,"Low",Q525=2,"Medium",Q525=3,"High",TRUE,"Very High")</f>
        <v>High</v>
      </c>
    </row>
    <row r="526" spans="1:42" x14ac:dyDescent="0.25">
      <c r="A526">
        <v>34</v>
      </c>
      <c r="B526" t="s">
        <v>42</v>
      </c>
      <c r="C526" t="s">
        <v>90</v>
      </c>
      <c r="D526">
        <v>1442</v>
      </c>
      <c r="E526" t="s">
        <v>43</v>
      </c>
      <c r="F526">
        <v>9</v>
      </c>
      <c r="G526">
        <v>3</v>
      </c>
      <c r="H526" t="s">
        <v>49</v>
      </c>
      <c r="I526">
        <v>1</v>
      </c>
      <c r="J526">
        <v>717</v>
      </c>
      <c r="K526">
        <v>4</v>
      </c>
      <c r="L526" t="s">
        <v>38</v>
      </c>
      <c r="M526">
        <v>46</v>
      </c>
      <c r="N526">
        <v>2</v>
      </c>
      <c r="O526">
        <v>3</v>
      </c>
      <c r="P526" t="s">
        <v>52</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c r="AJ526">
        <f t="shared" si="8"/>
        <v>0</v>
      </c>
      <c r="AK526" t="str" cm="1">
        <f t="array" ref="AK526">_xlfn.IFS(A526&lt;=30,"18-30",A526&lt;=45,"31-45",A526&lt;=60,"46-60",TRUE, "60+")</f>
        <v>31-45</v>
      </c>
      <c r="AL526" t="str" cm="1">
        <f t="array" ref="AL526">_xlfn.IFS(F526&lt;=10,"0-10",F526&lt;=20,"11-20",TRUE,"20+")</f>
        <v>0-10</v>
      </c>
      <c r="AM526" t="str" cm="1">
        <f t="array" ref="AM526">_xlfn.IFS(S526&lt;=5000,"0-5k",S526&lt;=10000,"5k-10k",S526&lt;=15000,"10k-15k",TRUE,"15k+")</f>
        <v>5k-10k</v>
      </c>
      <c r="AN526" t="str" cm="1">
        <f t="array" ref="AN526">_xlfn.IFS(AF526&lt;=10,"0-10",AF526&lt;=20,"10-20",AF526&lt;=30,"20-30",TRUE,"30+")</f>
        <v>0-10</v>
      </c>
      <c r="AO526" t="str" cm="1">
        <f t="array" ref="AO526">_xlfn.IFS(Y526=1,"Poor",Y526=2,"Average",Y526=3,"Good",TRUE,"Excellent")</f>
        <v>Good</v>
      </c>
      <c r="AP526" t="str" cm="1">
        <f t="array" ref="AP526">_xlfn.IFS(Q526=1,"Low",Q526=2,"Medium",Q526=3,"High",TRUE,"Very High")</f>
        <v>Medium</v>
      </c>
    </row>
    <row r="527" spans="1:42" x14ac:dyDescent="0.25">
      <c r="A527">
        <v>24</v>
      </c>
      <c r="B527" t="s">
        <v>35</v>
      </c>
      <c r="C527" t="s">
        <v>90</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c r="AJ527">
        <f t="shared" si="8"/>
        <v>1</v>
      </c>
      <c r="AK527" t="str" cm="1">
        <f t="array" ref="AK527">_xlfn.IFS(A527&lt;=30,"18-30",A527&lt;=45,"31-45",A527&lt;=60,"46-60",TRUE, "60+")</f>
        <v>18-30</v>
      </c>
      <c r="AL527" t="str" cm="1">
        <f t="array" ref="AL527">_xlfn.IFS(F527&lt;=10,"0-10",F527&lt;=20,"11-20",TRUE,"20+")</f>
        <v>0-10</v>
      </c>
      <c r="AM527" t="str" cm="1">
        <f t="array" ref="AM527">_xlfn.IFS(S527&lt;=5000,"0-5k",S527&lt;=10000,"5k-10k",S527&lt;=15000,"10k-15k",TRUE,"15k+")</f>
        <v>0-5k</v>
      </c>
      <c r="AN527" t="str" cm="1">
        <f t="array" ref="AN527">_xlfn.IFS(AF527&lt;=10,"0-10",AF527&lt;=20,"10-20",AF527&lt;=30,"20-30",TRUE,"30+")</f>
        <v>0-10</v>
      </c>
      <c r="AO527" t="str" cm="1">
        <f t="array" ref="AO527">_xlfn.IFS(Y527=1,"Poor",Y527=2,"Average",Y527=3,"Good",TRUE,"Excellent")</f>
        <v>Good</v>
      </c>
      <c r="AP527" t="str" cm="1">
        <f t="array" ref="AP527">_xlfn.IFS(Q527=1,"Low",Q527=2,"Medium",Q527=3,"High",TRUE,"Very High")</f>
        <v>High</v>
      </c>
    </row>
    <row r="528" spans="1:42" x14ac:dyDescent="0.25">
      <c r="A528">
        <v>39</v>
      </c>
      <c r="B528" t="s">
        <v>42</v>
      </c>
      <c r="C528" t="s">
        <v>90</v>
      </c>
      <c r="D528">
        <v>408</v>
      </c>
      <c r="E528" t="s">
        <v>43</v>
      </c>
      <c r="F528">
        <v>2</v>
      </c>
      <c r="G528">
        <v>4</v>
      </c>
      <c r="H528" t="s">
        <v>58</v>
      </c>
      <c r="I528">
        <v>1</v>
      </c>
      <c r="J528">
        <v>721</v>
      </c>
      <c r="K528">
        <v>4</v>
      </c>
      <c r="L528" t="s">
        <v>38</v>
      </c>
      <c r="M528">
        <v>80</v>
      </c>
      <c r="N528">
        <v>2</v>
      </c>
      <c r="O528">
        <v>2</v>
      </c>
      <c r="P528" t="s">
        <v>52</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c r="AJ528">
        <f t="shared" si="8"/>
        <v>0</v>
      </c>
      <c r="AK528" t="str" cm="1">
        <f t="array" ref="AK528">_xlfn.IFS(A528&lt;=30,"18-30",A528&lt;=45,"31-45",A528&lt;=60,"46-60",TRUE, "60+")</f>
        <v>31-45</v>
      </c>
      <c r="AL528" t="str" cm="1">
        <f t="array" ref="AL528">_xlfn.IFS(F528&lt;=10,"0-10",F528&lt;=20,"11-20",TRUE,"20+")</f>
        <v>0-10</v>
      </c>
      <c r="AM528" t="str" cm="1">
        <f t="array" ref="AM528">_xlfn.IFS(S528&lt;=5000,"0-5k",S528&lt;=10000,"5k-10k",S528&lt;=15000,"10k-15k",TRUE,"15k+")</f>
        <v>0-5k</v>
      </c>
      <c r="AN528" t="str" cm="1">
        <f t="array" ref="AN528">_xlfn.IFS(AF528&lt;=10,"0-10",AF528&lt;=20,"10-20",AF528&lt;=30,"20-30",TRUE,"30+")</f>
        <v>10-20</v>
      </c>
      <c r="AO528" t="str" cm="1">
        <f t="array" ref="AO528">_xlfn.IFS(Y528=1,"Poor",Y528=2,"Average",Y528=3,"Good",TRUE,"Excellent")</f>
        <v>Good</v>
      </c>
      <c r="AP528" t="str" cm="1">
        <f t="array" ref="AP528">_xlfn.IFS(Q528=1,"Low",Q528=2,"Medium",Q528=3,"High",TRUE,"Very High")</f>
        <v>High</v>
      </c>
    </row>
    <row r="529" spans="1:42" x14ac:dyDescent="0.25">
      <c r="A529">
        <v>32</v>
      </c>
      <c r="B529" t="s">
        <v>42</v>
      </c>
      <c r="C529" t="s">
        <v>90</v>
      </c>
      <c r="D529">
        <v>929</v>
      </c>
      <c r="E529" t="s">
        <v>36</v>
      </c>
      <c r="F529">
        <v>10</v>
      </c>
      <c r="G529">
        <v>3</v>
      </c>
      <c r="H529" t="s">
        <v>57</v>
      </c>
      <c r="I529">
        <v>1</v>
      </c>
      <c r="J529">
        <v>722</v>
      </c>
      <c r="K529">
        <v>4</v>
      </c>
      <c r="L529" t="s">
        <v>44</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c r="AJ529">
        <f t="shared" si="8"/>
        <v>0</v>
      </c>
      <c r="AK529" t="str" cm="1">
        <f t="array" ref="AK529">_xlfn.IFS(A529&lt;=30,"18-30",A529&lt;=45,"31-45",A529&lt;=60,"46-60",TRUE, "60+")</f>
        <v>31-45</v>
      </c>
      <c r="AL529" t="str" cm="1">
        <f t="array" ref="AL529">_xlfn.IFS(F529&lt;=10,"0-10",F529&lt;=20,"11-20",TRUE,"20+")</f>
        <v>0-10</v>
      </c>
      <c r="AM529" t="str" cm="1">
        <f t="array" ref="AM529">_xlfn.IFS(S529&lt;=5000,"0-5k",S529&lt;=10000,"5k-10k",S529&lt;=15000,"10k-15k",TRUE,"15k+")</f>
        <v>5k-10k</v>
      </c>
      <c r="AN529" t="str" cm="1">
        <f t="array" ref="AN529">_xlfn.IFS(AF529&lt;=10,"0-10",AF529&lt;=20,"10-20",AF529&lt;=30,"20-30",TRUE,"30+")</f>
        <v>0-10</v>
      </c>
      <c r="AO529" t="str" cm="1">
        <f t="array" ref="AO529">_xlfn.IFS(Y529=1,"Poor",Y529=2,"Average",Y529=3,"Good",TRUE,"Excellent")</f>
        <v>Good</v>
      </c>
      <c r="AP529" t="str" cm="1">
        <f t="array" ref="AP529">_xlfn.IFS(Q529=1,"Low",Q529=2,"Medium",Q529=3,"High",TRUE,"Very High")</f>
        <v>Very High</v>
      </c>
    </row>
    <row r="530" spans="1:42" x14ac:dyDescent="0.25">
      <c r="A530">
        <v>50</v>
      </c>
      <c r="B530" t="s">
        <v>35</v>
      </c>
      <c r="C530" t="s">
        <v>91</v>
      </c>
      <c r="D530">
        <v>562</v>
      </c>
      <c r="E530" t="s">
        <v>36</v>
      </c>
      <c r="F530">
        <v>8</v>
      </c>
      <c r="G530">
        <v>2</v>
      </c>
      <c r="H530" t="s">
        <v>58</v>
      </c>
      <c r="I530">
        <v>1</v>
      </c>
      <c r="J530">
        <v>723</v>
      </c>
      <c r="K530">
        <v>2</v>
      </c>
      <c r="L530" t="s">
        <v>44</v>
      </c>
      <c r="M530">
        <v>50</v>
      </c>
      <c r="N530">
        <v>3</v>
      </c>
      <c r="O530">
        <v>2</v>
      </c>
      <c r="P530" t="s">
        <v>39</v>
      </c>
      <c r="Q530">
        <v>3</v>
      </c>
      <c r="R530" t="s">
        <v>46</v>
      </c>
      <c r="S530">
        <v>6796</v>
      </c>
      <c r="T530">
        <v>23452</v>
      </c>
      <c r="U530">
        <v>3</v>
      </c>
      <c r="V530" t="s">
        <v>41</v>
      </c>
      <c r="W530" t="s">
        <v>35</v>
      </c>
      <c r="X530">
        <v>14</v>
      </c>
      <c r="Y530">
        <v>3</v>
      </c>
      <c r="Z530">
        <v>1</v>
      </c>
      <c r="AA530">
        <v>80</v>
      </c>
      <c r="AB530">
        <v>1</v>
      </c>
      <c r="AC530">
        <v>18</v>
      </c>
      <c r="AD530">
        <v>4</v>
      </c>
      <c r="AE530">
        <v>3</v>
      </c>
      <c r="AF530">
        <v>4</v>
      </c>
      <c r="AG530">
        <v>3</v>
      </c>
      <c r="AH530">
        <v>1</v>
      </c>
      <c r="AI530">
        <v>3</v>
      </c>
      <c r="AJ530">
        <f t="shared" si="8"/>
        <v>1</v>
      </c>
      <c r="AK530" t="str" cm="1">
        <f t="array" ref="AK530">_xlfn.IFS(A530&lt;=30,"18-30",A530&lt;=45,"31-45",A530&lt;=60,"46-60",TRUE, "60+")</f>
        <v>46-60</v>
      </c>
      <c r="AL530" t="str" cm="1">
        <f t="array" ref="AL530">_xlfn.IFS(F530&lt;=10,"0-10",F530&lt;=20,"11-20",TRUE,"20+")</f>
        <v>0-10</v>
      </c>
      <c r="AM530" t="str" cm="1">
        <f t="array" ref="AM530">_xlfn.IFS(S530&lt;=5000,"0-5k",S530&lt;=10000,"5k-10k",S530&lt;=15000,"10k-15k",TRUE,"15k+")</f>
        <v>5k-10k</v>
      </c>
      <c r="AN530" t="str" cm="1">
        <f t="array" ref="AN530">_xlfn.IFS(AF530&lt;=10,"0-10",AF530&lt;=20,"10-20",AF530&lt;=30,"20-30",TRUE,"30+")</f>
        <v>0-10</v>
      </c>
      <c r="AO530" t="str" cm="1">
        <f t="array" ref="AO530">_xlfn.IFS(Y530=1,"Poor",Y530=2,"Average",Y530=3,"Good",TRUE,"Excellent")</f>
        <v>Good</v>
      </c>
      <c r="AP530" t="str" cm="1">
        <f t="array" ref="AP530">_xlfn.IFS(Q530=1,"Low",Q530=2,"Medium",Q530=3,"High",TRUE,"Very High")</f>
        <v>High</v>
      </c>
    </row>
    <row r="531" spans="1:42" x14ac:dyDescent="0.25">
      <c r="A531">
        <v>38</v>
      </c>
      <c r="B531" t="s">
        <v>42</v>
      </c>
      <c r="C531" t="s">
        <v>90</v>
      </c>
      <c r="D531">
        <v>827</v>
      </c>
      <c r="E531" t="s">
        <v>43</v>
      </c>
      <c r="F531">
        <v>1</v>
      </c>
      <c r="G531">
        <v>4</v>
      </c>
      <c r="H531" t="s">
        <v>37</v>
      </c>
      <c r="I531">
        <v>1</v>
      </c>
      <c r="J531">
        <v>724</v>
      </c>
      <c r="K531">
        <v>2</v>
      </c>
      <c r="L531" t="s">
        <v>38</v>
      </c>
      <c r="M531">
        <v>33</v>
      </c>
      <c r="N531">
        <v>4</v>
      </c>
      <c r="O531">
        <v>2</v>
      </c>
      <c r="P531" t="s">
        <v>52</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c r="AJ531">
        <f t="shared" si="8"/>
        <v>0</v>
      </c>
      <c r="AK531" t="str" cm="1">
        <f t="array" ref="AK531">_xlfn.IFS(A531&lt;=30,"18-30",A531&lt;=45,"31-45",A531&lt;=60,"46-60",TRUE, "60+")</f>
        <v>31-45</v>
      </c>
      <c r="AL531" t="str" cm="1">
        <f t="array" ref="AL531">_xlfn.IFS(F531&lt;=10,"0-10",F531&lt;=20,"11-20",TRUE,"20+")</f>
        <v>0-10</v>
      </c>
      <c r="AM531" t="str" cm="1">
        <f t="array" ref="AM531">_xlfn.IFS(S531&lt;=5000,"0-5k",S531&lt;=10000,"5k-10k",S531&lt;=15000,"10k-15k",TRUE,"15k+")</f>
        <v>5k-10k</v>
      </c>
      <c r="AN531" t="str" cm="1">
        <f t="array" ref="AN531">_xlfn.IFS(AF531&lt;=10,"0-10",AF531&lt;=20,"10-20",AF531&lt;=30,"20-30",TRUE,"30+")</f>
        <v>0-10</v>
      </c>
      <c r="AO531" t="str" cm="1">
        <f t="array" ref="AO531">_xlfn.IFS(Y531=1,"Poor",Y531=2,"Average",Y531=3,"Good",TRUE,"Excellent")</f>
        <v>Good</v>
      </c>
      <c r="AP531" t="str" cm="1">
        <f t="array" ref="AP531">_xlfn.IFS(Q531=1,"Low",Q531=2,"Medium",Q531=3,"High",TRUE,"Very High")</f>
        <v>Very High</v>
      </c>
    </row>
    <row r="532" spans="1:42" x14ac:dyDescent="0.25">
      <c r="A532">
        <v>27</v>
      </c>
      <c r="B532" t="s">
        <v>42</v>
      </c>
      <c r="C532" t="s">
        <v>90</v>
      </c>
      <c r="D532">
        <v>608</v>
      </c>
      <c r="E532" t="s">
        <v>43</v>
      </c>
      <c r="F532">
        <v>1</v>
      </c>
      <c r="G532">
        <v>2</v>
      </c>
      <c r="H532" t="s">
        <v>37</v>
      </c>
      <c r="I532">
        <v>1</v>
      </c>
      <c r="J532">
        <v>725</v>
      </c>
      <c r="K532">
        <v>3</v>
      </c>
      <c r="L532" t="s">
        <v>38</v>
      </c>
      <c r="M532">
        <v>68</v>
      </c>
      <c r="N532">
        <v>3</v>
      </c>
      <c r="O532">
        <v>3</v>
      </c>
      <c r="P532" t="s">
        <v>51</v>
      </c>
      <c r="Q532">
        <v>1</v>
      </c>
      <c r="R532" t="s">
        <v>46</v>
      </c>
      <c r="S532">
        <v>7412</v>
      </c>
      <c r="T532">
        <v>6009</v>
      </c>
      <c r="U532">
        <v>1</v>
      </c>
      <c r="V532" t="s">
        <v>41</v>
      </c>
      <c r="W532" t="s">
        <v>42</v>
      </c>
      <c r="X532">
        <v>11</v>
      </c>
      <c r="Y532">
        <v>3</v>
      </c>
      <c r="Z532">
        <v>4</v>
      </c>
      <c r="AA532">
        <v>80</v>
      </c>
      <c r="AB532">
        <v>0</v>
      </c>
      <c r="AC532">
        <v>9</v>
      </c>
      <c r="AD532">
        <v>3</v>
      </c>
      <c r="AE532">
        <v>3</v>
      </c>
      <c r="AF532">
        <v>9</v>
      </c>
      <c r="AG532">
        <v>7</v>
      </c>
      <c r="AH532">
        <v>0</v>
      </c>
      <c r="AI532">
        <v>7</v>
      </c>
      <c r="AJ532">
        <f t="shared" si="8"/>
        <v>0</v>
      </c>
      <c r="AK532" t="str" cm="1">
        <f t="array" ref="AK532">_xlfn.IFS(A532&lt;=30,"18-30",A532&lt;=45,"31-45",A532&lt;=60,"46-60",TRUE, "60+")</f>
        <v>18-30</v>
      </c>
      <c r="AL532" t="str" cm="1">
        <f t="array" ref="AL532">_xlfn.IFS(F532&lt;=10,"0-10",F532&lt;=20,"11-20",TRUE,"20+")</f>
        <v>0-10</v>
      </c>
      <c r="AM532" t="str" cm="1">
        <f t="array" ref="AM532">_xlfn.IFS(S532&lt;=5000,"0-5k",S532&lt;=10000,"5k-10k",S532&lt;=15000,"10k-15k",TRUE,"15k+")</f>
        <v>5k-10k</v>
      </c>
      <c r="AN532" t="str" cm="1">
        <f t="array" ref="AN532">_xlfn.IFS(AF532&lt;=10,"0-10",AF532&lt;=20,"10-20",AF532&lt;=30,"20-30",TRUE,"30+")</f>
        <v>0-10</v>
      </c>
      <c r="AO532" t="str" cm="1">
        <f t="array" ref="AO532">_xlfn.IFS(Y532=1,"Poor",Y532=2,"Average",Y532=3,"Good",TRUE,"Excellent")</f>
        <v>Good</v>
      </c>
      <c r="AP532" t="str" cm="1">
        <f t="array" ref="AP532">_xlfn.IFS(Q532=1,"Low",Q532=2,"Medium",Q532=3,"High",TRUE,"Very High")</f>
        <v>Low</v>
      </c>
    </row>
    <row r="533" spans="1:42" x14ac:dyDescent="0.25">
      <c r="A533">
        <v>32</v>
      </c>
      <c r="B533" t="s">
        <v>42</v>
      </c>
      <c r="C533" t="s">
        <v>90</v>
      </c>
      <c r="D533">
        <v>1018</v>
      </c>
      <c r="E533" t="s">
        <v>43</v>
      </c>
      <c r="F533">
        <v>3</v>
      </c>
      <c r="G533">
        <v>2</v>
      </c>
      <c r="H533" t="s">
        <v>37</v>
      </c>
      <c r="I533">
        <v>1</v>
      </c>
      <c r="J533">
        <v>727</v>
      </c>
      <c r="K533">
        <v>3</v>
      </c>
      <c r="L533" t="s">
        <v>38</v>
      </c>
      <c r="M533">
        <v>39</v>
      </c>
      <c r="N533">
        <v>3</v>
      </c>
      <c r="O533">
        <v>3</v>
      </c>
      <c r="P533" t="s">
        <v>56</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c r="AJ533">
        <f t="shared" si="8"/>
        <v>0</v>
      </c>
      <c r="AK533" t="str" cm="1">
        <f t="array" ref="AK533">_xlfn.IFS(A533&lt;=30,"18-30",A533&lt;=45,"31-45",A533&lt;=60,"46-60",TRUE, "60+")</f>
        <v>31-45</v>
      </c>
      <c r="AL533" t="str" cm="1">
        <f t="array" ref="AL533">_xlfn.IFS(F533&lt;=10,"0-10",F533&lt;=20,"11-20",TRUE,"20+")</f>
        <v>0-10</v>
      </c>
      <c r="AM533" t="str" cm="1">
        <f t="array" ref="AM533">_xlfn.IFS(S533&lt;=5000,"0-5k",S533&lt;=10000,"5k-10k",S533&lt;=15000,"10k-15k",TRUE,"15k+")</f>
        <v>10k-15k</v>
      </c>
      <c r="AN533" t="str" cm="1">
        <f t="array" ref="AN533">_xlfn.IFS(AF533&lt;=10,"0-10",AF533&lt;=20,"10-20",AF533&lt;=30,"20-30",TRUE,"30+")</f>
        <v>0-10</v>
      </c>
      <c r="AO533" t="str" cm="1">
        <f t="array" ref="AO533">_xlfn.IFS(Y533=1,"Poor",Y533=2,"Average",Y533=3,"Good",TRUE,"Excellent")</f>
        <v>Good</v>
      </c>
      <c r="AP533" t="str" cm="1">
        <f t="array" ref="AP533">_xlfn.IFS(Q533=1,"Low",Q533=2,"Medium",Q533=3,"High",TRUE,"Very High")</f>
        <v>Very High</v>
      </c>
    </row>
    <row r="534" spans="1:42" x14ac:dyDescent="0.25">
      <c r="A534">
        <v>47</v>
      </c>
      <c r="B534" t="s">
        <v>42</v>
      </c>
      <c r="C534" t="s">
        <v>90</v>
      </c>
      <c r="D534">
        <v>703</v>
      </c>
      <c r="E534" t="s">
        <v>36</v>
      </c>
      <c r="F534">
        <v>14</v>
      </c>
      <c r="G534">
        <v>4</v>
      </c>
      <c r="H534" t="s">
        <v>57</v>
      </c>
      <c r="I534">
        <v>1</v>
      </c>
      <c r="J534">
        <v>728</v>
      </c>
      <c r="K534">
        <v>4</v>
      </c>
      <c r="L534" t="s">
        <v>44</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c r="AJ534">
        <f t="shared" si="8"/>
        <v>0</v>
      </c>
      <c r="AK534" t="str" cm="1">
        <f t="array" ref="AK534">_xlfn.IFS(A534&lt;=30,"18-30",A534&lt;=45,"31-45",A534&lt;=60,"46-60",TRUE, "60+")</f>
        <v>46-60</v>
      </c>
      <c r="AL534" t="str" cm="1">
        <f t="array" ref="AL534">_xlfn.IFS(F534&lt;=10,"0-10",F534&lt;=20,"11-20",TRUE,"20+")</f>
        <v>11-20</v>
      </c>
      <c r="AM534" t="str" cm="1">
        <f t="array" ref="AM534">_xlfn.IFS(S534&lt;=5000,"0-5k",S534&lt;=10000,"5k-10k",S534&lt;=15000,"10k-15k",TRUE,"15k+")</f>
        <v>0-5k</v>
      </c>
      <c r="AN534" t="str" cm="1">
        <f t="array" ref="AN534">_xlfn.IFS(AF534&lt;=10,"0-10",AF534&lt;=20,"10-20",AF534&lt;=30,"20-30",TRUE,"30+")</f>
        <v>0-10</v>
      </c>
      <c r="AO534" t="str" cm="1">
        <f t="array" ref="AO534">_xlfn.IFS(Y534=1,"Poor",Y534=2,"Average",Y534=3,"Good",TRUE,"Excellent")</f>
        <v>Good</v>
      </c>
      <c r="AP534" t="str" cm="1">
        <f t="array" ref="AP534">_xlfn.IFS(Q534=1,"Low",Q534=2,"Medium",Q534=3,"High",TRUE,"Very High")</f>
        <v>Low</v>
      </c>
    </row>
    <row r="535" spans="1:42" x14ac:dyDescent="0.25">
      <c r="A535">
        <v>40</v>
      </c>
      <c r="B535" t="s">
        <v>42</v>
      </c>
      <c r="C535" t="s">
        <v>91</v>
      </c>
      <c r="D535">
        <v>580</v>
      </c>
      <c r="E535" t="s">
        <v>36</v>
      </c>
      <c r="F535">
        <v>5</v>
      </c>
      <c r="G535">
        <v>4</v>
      </c>
      <c r="H535" t="s">
        <v>37</v>
      </c>
      <c r="I535">
        <v>1</v>
      </c>
      <c r="J535">
        <v>729</v>
      </c>
      <c r="K535">
        <v>4</v>
      </c>
      <c r="L535" t="s">
        <v>44</v>
      </c>
      <c r="M535">
        <v>48</v>
      </c>
      <c r="N535">
        <v>2</v>
      </c>
      <c r="O535">
        <v>3</v>
      </c>
      <c r="P535" t="s">
        <v>39</v>
      </c>
      <c r="Q535">
        <v>1</v>
      </c>
      <c r="R535" t="s">
        <v>46</v>
      </c>
      <c r="S535">
        <v>10475</v>
      </c>
      <c r="T535">
        <v>23772</v>
      </c>
      <c r="U535">
        <v>5</v>
      </c>
      <c r="V535" t="s">
        <v>41</v>
      </c>
      <c r="W535" t="s">
        <v>35</v>
      </c>
      <c r="X535">
        <v>21</v>
      </c>
      <c r="Y535">
        <v>4</v>
      </c>
      <c r="Z535">
        <v>3</v>
      </c>
      <c r="AA535">
        <v>80</v>
      </c>
      <c r="AB535">
        <v>1</v>
      </c>
      <c r="AC535">
        <v>20</v>
      </c>
      <c r="AD535">
        <v>2</v>
      </c>
      <c r="AE535">
        <v>3</v>
      </c>
      <c r="AF535">
        <v>18</v>
      </c>
      <c r="AG535">
        <v>13</v>
      </c>
      <c r="AH535">
        <v>1</v>
      </c>
      <c r="AI535">
        <v>12</v>
      </c>
      <c r="AJ535">
        <f t="shared" si="8"/>
        <v>0</v>
      </c>
      <c r="AK535" t="str" cm="1">
        <f t="array" ref="AK535">_xlfn.IFS(A535&lt;=30,"18-30",A535&lt;=45,"31-45",A535&lt;=60,"46-60",TRUE, "60+")</f>
        <v>31-45</v>
      </c>
      <c r="AL535" t="str" cm="1">
        <f t="array" ref="AL535">_xlfn.IFS(F535&lt;=10,"0-10",F535&lt;=20,"11-20",TRUE,"20+")</f>
        <v>0-10</v>
      </c>
      <c r="AM535" t="str" cm="1">
        <f t="array" ref="AM535">_xlfn.IFS(S535&lt;=5000,"0-5k",S535&lt;=10000,"5k-10k",S535&lt;=15000,"10k-15k",TRUE,"15k+")</f>
        <v>10k-15k</v>
      </c>
      <c r="AN535" t="str" cm="1">
        <f t="array" ref="AN535">_xlfn.IFS(AF535&lt;=10,"0-10",AF535&lt;=20,"10-20",AF535&lt;=30,"20-30",TRUE,"30+")</f>
        <v>10-20</v>
      </c>
      <c r="AO535" t="str" cm="1">
        <f t="array" ref="AO535">_xlfn.IFS(Y535=1,"Poor",Y535=2,"Average",Y535=3,"Good",TRUE,"Excellent")</f>
        <v>Excellent</v>
      </c>
      <c r="AP535" t="str" cm="1">
        <f t="array" ref="AP535">_xlfn.IFS(Q535=1,"Low",Q535=2,"Medium",Q535=3,"High",TRUE,"Very High")</f>
        <v>Low</v>
      </c>
    </row>
    <row r="536" spans="1:42" x14ac:dyDescent="0.25">
      <c r="A536">
        <v>53</v>
      </c>
      <c r="B536" t="s">
        <v>42</v>
      </c>
      <c r="C536" t="s">
        <v>90</v>
      </c>
      <c r="D536">
        <v>970</v>
      </c>
      <c r="E536" t="s">
        <v>43</v>
      </c>
      <c r="F536">
        <v>7</v>
      </c>
      <c r="G536">
        <v>3</v>
      </c>
      <c r="H536" t="s">
        <v>37</v>
      </c>
      <c r="I536">
        <v>1</v>
      </c>
      <c r="J536">
        <v>730</v>
      </c>
      <c r="K536">
        <v>3</v>
      </c>
      <c r="L536" t="s">
        <v>44</v>
      </c>
      <c r="M536">
        <v>59</v>
      </c>
      <c r="N536">
        <v>4</v>
      </c>
      <c r="O536">
        <v>4</v>
      </c>
      <c r="P536" t="s">
        <v>56</v>
      </c>
      <c r="Q536">
        <v>3</v>
      </c>
      <c r="R536" t="s">
        <v>46</v>
      </c>
      <c r="S536">
        <v>14814</v>
      </c>
      <c r="T536">
        <v>13514</v>
      </c>
      <c r="U536">
        <v>3</v>
      </c>
      <c r="V536" t="s">
        <v>41</v>
      </c>
      <c r="W536" t="s">
        <v>42</v>
      </c>
      <c r="X536">
        <v>19</v>
      </c>
      <c r="Y536">
        <v>3</v>
      </c>
      <c r="Z536">
        <v>3</v>
      </c>
      <c r="AA536">
        <v>80</v>
      </c>
      <c r="AB536">
        <v>0</v>
      </c>
      <c r="AC536">
        <v>32</v>
      </c>
      <c r="AD536">
        <v>3</v>
      </c>
      <c r="AE536">
        <v>3</v>
      </c>
      <c r="AF536">
        <v>5</v>
      </c>
      <c r="AG536">
        <v>1</v>
      </c>
      <c r="AH536">
        <v>1</v>
      </c>
      <c r="AI536">
        <v>3</v>
      </c>
      <c r="AJ536">
        <f t="shared" si="8"/>
        <v>0</v>
      </c>
      <c r="AK536" t="str" cm="1">
        <f t="array" ref="AK536">_xlfn.IFS(A536&lt;=30,"18-30",A536&lt;=45,"31-45",A536&lt;=60,"46-60",TRUE, "60+")</f>
        <v>46-60</v>
      </c>
      <c r="AL536" t="str" cm="1">
        <f t="array" ref="AL536">_xlfn.IFS(F536&lt;=10,"0-10",F536&lt;=20,"11-20",TRUE,"20+")</f>
        <v>0-10</v>
      </c>
      <c r="AM536" t="str" cm="1">
        <f t="array" ref="AM536">_xlfn.IFS(S536&lt;=5000,"0-5k",S536&lt;=10000,"5k-10k",S536&lt;=15000,"10k-15k",TRUE,"15k+")</f>
        <v>10k-15k</v>
      </c>
      <c r="AN536" t="str" cm="1">
        <f t="array" ref="AN536">_xlfn.IFS(AF536&lt;=10,"0-10",AF536&lt;=20,"10-20",AF536&lt;=30,"20-30",TRUE,"30+")</f>
        <v>0-10</v>
      </c>
      <c r="AO536" t="str" cm="1">
        <f t="array" ref="AO536">_xlfn.IFS(Y536=1,"Poor",Y536=2,"Average",Y536=3,"Good",TRUE,"Excellent")</f>
        <v>Good</v>
      </c>
      <c r="AP536" t="str" cm="1">
        <f t="array" ref="AP536">_xlfn.IFS(Q536=1,"Low",Q536=2,"Medium",Q536=3,"High",TRUE,"Very High")</f>
        <v>High</v>
      </c>
    </row>
    <row r="537" spans="1:42" x14ac:dyDescent="0.25">
      <c r="A537">
        <v>41</v>
      </c>
      <c r="B537" t="s">
        <v>42</v>
      </c>
      <c r="C537" t="s">
        <v>90</v>
      </c>
      <c r="D537">
        <v>427</v>
      </c>
      <c r="E537" t="s">
        <v>59</v>
      </c>
      <c r="F537">
        <v>10</v>
      </c>
      <c r="G537">
        <v>4</v>
      </c>
      <c r="H537" t="s">
        <v>59</v>
      </c>
      <c r="I537">
        <v>1</v>
      </c>
      <c r="J537">
        <v>731</v>
      </c>
      <c r="K537">
        <v>2</v>
      </c>
      <c r="L537" t="s">
        <v>44</v>
      </c>
      <c r="M537">
        <v>73</v>
      </c>
      <c r="N537">
        <v>2</v>
      </c>
      <c r="O537">
        <v>5</v>
      </c>
      <c r="P537" t="s">
        <v>54</v>
      </c>
      <c r="Q537">
        <v>4</v>
      </c>
      <c r="R537" t="s">
        <v>50</v>
      </c>
      <c r="S537">
        <v>19141</v>
      </c>
      <c r="T537">
        <v>8861</v>
      </c>
      <c r="U537">
        <v>3</v>
      </c>
      <c r="V537" t="s">
        <v>41</v>
      </c>
      <c r="W537" t="s">
        <v>42</v>
      </c>
      <c r="X537">
        <v>15</v>
      </c>
      <c r="Y537">
        <v>3</v>
      </c>
      <c r="Z537">
        <v>2</v>
      </c>
      <c r="AA537">
        <v>80</v>
      </c>
      <c r="AB537">
        <v>3</v>
      </c>
      <c r="AC537">
        <v>23</v>
      </c>
      <c r="AD537">
        <v>2</v>
      </c>
      <c r="AE537">
        <v>2</v>
      </c>
      <c r="AF537">
        <v>21</v>
      </c>
      <c r="AG537">
        <v>6</v>
      </c>
      <c r="AH537">
        <v>12</v>
      </c>
      <c r="AI537">
        <v>6</v>
      </c>
      <c r="AJ537">
        <f t="shared" si="8"/>
        <v>0</v>
      </c>
      <c r="AK537" t="str" cm="1">
        <f t="array" ref="AK537">_xlfn.IFS(A537&lt;=30,"18-30",A537&lt;=45,"31-45",A537&lt;=60,"46-60",TRUE, "60+")</f>
        <v>31-45</v>
      </c>
      <c r="AL537" t="str" cm="1">
        <f t="array" ref="AL537">_xlfn.IFS(F537&lt;=10,"0-10",F537&lt;=20,"11-20",TRUE,"20+")</f>
        <v>0-10</v>
      </c>
      <c r="AM537" t="str" cm="1">
        <f t="array" ref="AM537">_xlfn.IFS(S537&lt;=5000,"0-5k",S537&lt;=10000,"5k-10k",S537&lt;=15000,"10k-15k",TRUE,"15k+")</f>
        <v>15k+</v>
      </c>
      <c r="AN537" t="str" cm="1">
        <f t="array" ref="AN537">_xlfn.IFS(AF537&lt;=10,"0-10",AF537&lt;=20,"10-20",AF537&lt;=30,"20-30",TRUE,"30+")</f>
        <v>20-30</v>
      </c>
      <c r="AO537" t="str" cm="1">
        <f t="array" ref="AO537">_xlfn.IFS(Y537=1,"Poor",Y537=2,"Average",Y537=3,"Good",TRUE,"Excellent")</f>
        <v>Good</v>
      </c>
      <c r="AP537" t="str" cm="1">
        <f t="array" ref="AP537">_xlfn.IFS(Q537=1,"Low",Q537=2,"Medium",Q537=3,"High",TRUE,"Very High")</f>
        <v>Very High</v>
      </c>
    </row>
    <row r="538" spans="1:42" x14ac:dyDescent="0.25">
      <c r="A538">
        <v>60</v>
      </c>
      <c r="B538" t="s">
        <v>42</v>
      </c>
      <c r="C538" t="s">
        <v>90</v>
      </c>
      <c r="D538">
        <v>1179</v>
      </c>
      <c r="E538" t="s">
        <v>36</v>
      </c>
      <c r="F538">
        <v>16</v>
      </c>
      <c r="G538">
        <v>4</v>
      </c>
      <c r="H538" t="s">
        <v>57</v>
      </c>
      <c r="I538">
        <v>1</v>
      </c>
      <c r="J538">
        <v>732</v>
      </c>
      <c r="K538">
        <v>1</v>
      </c>
      <c r="L538" t="s">
        <v>44</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c r="AJ538">
        <f t="shared" si="8"/>
        <v>0</v>
      </c>
      <c r="AK538" t="str" cm="1">
        <f t="array" ref="AK538">_xlfn.IFS(A538&lt;=30,"18-30",A538&lt;=45,"31-45",A538&lt;=60,"46-60",TRUE, "60+")</f>
        <v>46-60</v>
      </c>
      <c r="AL538" t="str" cm="1">
        <f t="array" ref="AL538">_xlfn.IFS(F538&lt;=10,"0-10",F538&lt;=20,"11-20",TRUE,"20+")</f>
        <v>11-20</v>
      </c>
      <c r="AM538" t="str" cm="1">
        <f t="array" ref="AM538">_xlfn.IFS(S538&lt;=5000,"0-5k",S538&lt;=10000,"5k-10k",S538&lt;=15000,"10k-15k",TRUE,"15k+")</f>
        <v>5k-10k</v>
      </c>
      <c r="AN538" t="str" cm="1">
        <f t="array" ref="AN538">_xlfn.IFS(AF538&lt;=10,"0-10",AF538&lt;=20,"10-20",AF538&lt;=30,"20-30",TRUE,"30+")</f>
        <v>0-10</v>
      </c>
      <c r="AO538" t="str" cm="1">
        <f t="array" ref="AO538">_xlfn.IFS(Y538=1,"Poor",Y538=2,"Average",Y538=3,"Good",TRUE,"Excellent")</f>
        <v>Good</v>
      </c>
      <c r="AP538" t="str" cm="1">
        <f t="array" ref="AP538">_xlfn.IFS(Q538=1,"Low",Q538=2,"Medium",Q538=3,"High",TRUE,"Very High")</f>
        <v>Low</v>
      </c>
    </row>
    <row r="539" spans="1:42" x14ac:dyDescent="0.25">
      <c r="A539">
        <v>27</v>
      </c>
      <c r="B539" t="s">
        <v>42</v>
      </c>
      <c r="C539" t="s">
        <v>91</v>
      </c>
      <c r="D539">
        <v>294</v>
      </c>
      <c r="E539" t="s">
        <v>43</v>
      </c>
      <c r="F539">
        <v>10</v>
      </c>
      <c r="G539">
        <v>2</v>
      </c>
      <c r="H539" t="s">
        <v>37</v>
      </c>
      <c r="I539">
        <v>1</v>
      </c>
      <c r="J539">
        <v>733</v>
      </c>
      <c r="K539">
        <v>4</v>
      </c>
      <c r="L539" t="s">
        <v>44</v>
      </c>
      <c r="M539">
        <v>32</v>
      </c>
      <c r="N539">
        <v>3</v>
      </c>
      <c r="O539">
        <v>3</v>
      </c>
      <c r="P539" t="s">
        <v>51</v>
      </c>
      <c r="Q539">
        <v>1</v>
      </c>
      <c r="R539" t="s">
        <v>50</v>
      </c>
      <c r="S539">
        <v>8793</v>
      </c>
      <c r="T539">
        <v>4809</v>
      </c>
      <c r="U539">
        <v>1</v>
      </c>
      <c r="V539" t="s">
        <v>41</v>
      </c>
      <c r="W539" t="s">
        <v>42</v>
      </c>
      <c r="X539">
        <v>21</v>
      </c>
      <c r="Y539">
        <v>4</v>
      </c>
      <c r="Z539">
        <v>3</v>
      </c>
      <c r="AA539">
        <v>80</v>
      </c>
      <c r="AB539">
        <v>2</v>
      </c>
      <c r="AC539">
        <v>9</v>
      </c>
      <c r="AD539">
        <v>4</v>
      </c>
      <c r="AE539">
        <v>2</v>
      </c>
      <c r="AF539">
        <v>9</v>
      </c>
      <c r="AG539">
        <v>7</v>
      </c>
      <c r="AH539">
        <v>1</v>
      </c>
      <c r="AI539">
        <v>7</v>
      </c>
      <c r="AJ539">
        <f t="shared" si="8"/>
        <v>0</v>
      </c>
      <c r="AK539" t="str" cm="1">
        <f t="array" ref="AK539">_xlfn.IFS(A539&lt;=30,"18-30",A539&lt;=45,"31-45",A539&lt;=60,"46-60",TRUE, "60+")</f>
        <v>18-30</v>
      </c>
      <c r="AL539" t="str" cm="1">
        <f t="array" ref="AL539">_xlfn.IFS(F539&lt;=10,"0-10",F539&lt;=20,"11-20",TRUE,"20+")</f>
        <v>0-10</v>
      </c>
      <c r="AM539" t="str" cm="1">
        <f t="array" ref="AM539">_xlfn.IFS(S539&lt;=5000,"0-5k",S539&lt;=10000,"5k-10k",S539&lt;=15000,"10k-15k",TRUE,"15k+")</f>
        <v>5k-10k</v>
      </c>
      <c r="AN539" t="str" cm="1">
        <f t="array" ref="AN539">_xlfn.IFS(AF539&lt;=10,"0-10",AF539&lt;=20,"10-20",AF539&lt;=30,"20-30",TRUE,"30+")</f>
        <v>0-10</v>
      </c>
      <c r="AO539" t="str" cm="1">
        <f t="array" ref="AO539">_xlfn.IFS(Y539=1,"Poor",Y539=2,"Average",Y539=3,"Good",TRUE,"Excellent")</f>
        <v>Excellent</v>
      </c>
      <c r="AP539" t="str" cm="1">
        <f t="array" ref="AP539">_xlfn.IFS(Q539=1,"Low",Q539=2,"Medium",Q539=3,"High",TRUE,"Very High")</f>
        <v>Low</v>
      </c>
    </row>
    <row r="540" spans="1:42" x14ac:dyDescent="0.25">
      <c r="A540">
        <v>41</v>
      </c>
      <c r="B540" t="s">
        <v>42</v>
      </c>
      <c r="C540" t="s">
        <v>90</v>
      </c>
      <c r="D540">
        <v>314</v>
      </c>
      <c r="E540" t="s">
        <v>59</v>
      </c>
      <c r="F540">
        <v>1</v>
      </c>
      <c r="G540">
        <v>3</v>
      </c>
      <c r="H540" t="s">
        <v>59</v>
      </c>
      <c r="I540">
        <v>1</v>
      </c>
      <c r="J540">
        <v>734</v>
      </c>
      <c r="K540">
        <v>4</v>
      </c>
      <c r="L540" t="s">
        <v>44</v>
      </c>
      <c r="M540">
        <v>59</v>
      </c>
      <c r="N540">
        <v>2</v>
      </c>
      <c r="O540">
        <v>5</v>
      </c>
      <c r="P540" t="s">
        <v>54</v>
      </c>
      <c r="Q540">
        <v>3</v>
      </c>
      <c r="R540" t="s">
        <v>46</v>
      </c>
      <c r="S540">
        <v>19189</v>
      </c>
      <c r="T540">
        <v>19562</v>
      </c>
      <c r="U540">
        <v>1</v>
      </c>
      <c r="V540" t="s">
        <v>41</v>
      </c>
      <c r="W540" t="s">
        <v>42</v>
      </c>
      <c r="X540">
        <v>12</v>
      </c>
      <c r="Y540">
        <v>3</v>
      </c>
      <c r="Z540">
        <v>2</v>
      </c>
      <c r="AA540">
        <v>80</v>
      </c>
      <c r="AB540">
        <v>1</v>
      </c>
      <c r="AC540">
        <v>22</v>
      </c>
      <c r="AD540">
        <v>3</v>
      </c>
      <c r="AE540">
        <v>3</v>
      </c>
      <c r="AF540">
        <v>22</v>
      </c>
      <c r="AG540">
        <v>7</v>
      </c>
      <c r="AH540">
        <v>2</v>
      </c>
      <c r="AI540">
        <v>10</v>
      </c>
      <c r="AJ540">
        <f t="shared" si="8"/>
        <v>0</v>
      </c>
      <c r="AK540" t="str" cm="1">
        <f t="array" ref="AK540">_xlfn.IFS(A540&lt;=30,"18-30",A540&lt;=45,"31-45",A540&lt;=60,"46-60",TRUE, "60+")</f>
        <v>31-45</v>
      </c>
      <c r="AL540" t="str" cm="1">
        <f t="array" ref="AL540">_xlfn.IFS(F540&lt;=10,"0-10",F540&lt;=20,"11-20",TRUE,"20+")</f>
        <v>0-10</v>
      </c>
      <c r="AM540" t="str" cm="1">
        <f t="array" ref="AM540">_xlfn.IFS(S540&lt;=5000,"0-5k",S540&lt;=10000,"5k-10k",S540&lt;=15000,"10k-15k",TRUE,"15k+")</f>
        <v>15k+</v>
      </c>
      <c r="AN540" t="str" cm="1">
        <f t="array" ref="AN540">_xlfn.IFS(AF540&lt;=10,"0-10",AF540&lt;=20,"10-20",AF540&lt;=30,"20-30",TRUE,"30+")</f>
        <v>20-30</v>
      </c>
      <c r="AO540" t="str" cm="1">
        <f t="array" ref="AO540">_xlfn.IFS(Y540=1,"Poor",Y540=2,"Average",Y540=3,"Good",TRUE,"Excellent")</f>
        <v>Good</v>
      </c>
      <c r="AP540" t="str" cm="1">
        <f t="array" ref="AP540">_xlfn.IFS(Q540=1,"Low",Q540=2,"Medium",Q540=3,"High",TRUE,"Very High")</f>
        <v>High</v>
      </c>
    </row>
    <row r="541" spans="1:42" x14ac:dyDescent="0.25">
      <c r="A541">
        <v>50</v>
      </c>
      <c r="B541" t="s">
        <v>42</v>
      </c>
      <c r="C541" t="s">
        <v>90</v>
      </c>
      <c r="D541">
        <v>316</v>
      </c>
      <c r="E541" t="s">
        <v>36</v>
      </c>
      <c r="F541">
        <v>8</v>
      </c>
      <c r="G541">
        <v>4</v>
      </c>
      <c r="H541" t="s">
        <v>57</v>
      </c>
      <c r="I541">
        <v>1</v>
      </c>
      <c r="J541">
        <v>738</v>
      </c>
      <c r="K541">
        <v>4</v>
      </c>
      <c r="L541" t="s">
        <v>44</v>
      </c>
      <c r="M541">
        <v>54</v>
      </c>
      <c r="N541">
        <v>3</v>
      </c>
      <c r="O541">
        <v>1</v>
      </c>
      <c r="P541" t="s">
        <v>55</v>
      </c>
      <c r="Q541">
        <v>2</v>
      </c>
      <c r="R541" t="s">
        <v>46</v>
      </c>
      <c r="S541">
        <v>3875</v>
      </c>
      <c r="T541">
        <v>9983</v>
      </c>
      <c r="U541">
        <v>7</v>
      </c>
      <c r="V541" t="s">
        <v>41</v>
      </c>
      <c r="W541" t="s">
        <v>42</v>
      </c>
      <c r="X541">
        <v>15</v>
      </c>
      <c r="Y541">
        <v>3</v>
      </c>
      <c r="Z541">
        <v>4</v>
      </c>
      <c r="AA541">
        <v>80</v>
      </c>
      <c r="AB541">
        <v>1</v>
      </c>
      <c r="AC541">
        <v>4</v>
      </c>
      <c r="AD541">
        <v>2</v>
      </c>
      <c r="AE541">
        <v>3</v>
      </c>
      <c r="AF541">
        <v>2</v>
      </c>
      <c r="AG541">
        <v>2</v>
      </c>
      <c r="AH541">
        <v>2</v>
      </c>
      <c r="AI541">
        <v>2</v>
      </c>
      <c r="AJ541">
        <f t="shared" si="8"/>
        <v>0</v>
      </c>
      <c r="AK541" t="str" cm="1">
        <f t="array" ref="AK541">_xlfn.IFS(A541&lt;=30,"18-30",A541&lt;=45,"31-45",A541&lt;=60,"46-60",TRUE, "60+")</f>
        <v>46-60</v>
      </c>
      <c r="AL541" t="str" cm="1">
        <f t="array" ref="AL541">_xlfn.IFS(F541&lt;=10,"0-10",F541&lt;=20,"11-20",TRUE,"20+")</f>
        <v>0-10</v>
      </c>
      <c r="AM541" t="str" cm="1">
        <f t="array" ref="AM541">_xlfn.IFS(S541&lt;=5000,"0-5k",S541&lt;=10000,"5k-10k",S541&lt;=15000,"10k-15k",TRUE,"15k+")</f>
        <v>0-5k</v>
      </c>
      <c r="AN541" t="str" cm="1">
        <f t="array" ref="AN541">_xlfn.IFS(AF541&lt;=10,"0-10",AF541&lt;=20,"10-20",AF541&lt;=30,"20-30",TRUE,"30+")</f>
        <v>0-10</v>
      </c>
      <c r="AO541" t="str" cm="1">
        <f t="array" ref="AO541">_xlfn.IFS(Y541=1,"Poor",Y541=2,"Average",Y541=3,"Good",TRUE,"Excellent")</f>
        <v>Good</v>
      </c>
      <c r="AP541" t="str" cm="1">
        <f t="array" ref="AP541">_xlfn.IFS(Q541=1,"Low",Q541=2,"Medium",Q541=3,"High",TRUE,"Very High")</f>
        <v>Medium</v>
      </c>
    </row>
    <row r="542" spans="1:42" x14ac:dyDescent="0.25">
      <c r="A542">
        <v>28</v>
      </c>
      <c r="B542" t="s">
        <v>35</v>
      </c>
      <c r="C542" t="s">
        <v>90</v>
      </c>
      <c r="D542">
        <v>654</v>
      </c>
      <c r="E542" t="s">
        <v>43</v>
      </c>
      <c r="F542">
        <v>1</v>
      </c>
      <c r="G542">
        <v>2</v>
      </c>
      <c r="H542" t="s">
        <v>37</v>
      </c>
      <c r="I542">
        <v>1</v>
      </c>
      <c r="J542">
        <v>741</v>
      </c>
      <c r="K542">
        <v>1</v>
      </c>
      <c r="L542" t="s">
        <v>38</v>
      </c>
      <c r="M542">
        <v>67</v>
      </c>
      <c r="N542">
        <v>1</v>
      </c>
      <c r="O542">
        <v>1</v>
      </c>
      <c r="P542" t="s">
        <v>45</v>
      </c>
      <c r="Q542">
        <v>2</v>
      </c>
      <c r="R542" t="s">
        <v>40</v>
      </c>
      <c r="S542">
        <v>2216</v>
      </c>
      <c r="T542">
        <v>3872</v>
      </c>
      <c r="U542">
        <v>7</v>
      </c>
      <c r="V542" t="s">
        <v>41</v>
      </c>
      <c r="W542" t="s">
        <v>35</v>
      </c>
      <c r="X542">
        <v>13</v>
      </c>
      <c r="Y542">
        <v>3</v>
      </c>
      <c r="Z542">
        <v>4</v>
      </c>
      <c r="AA542">
        <v>80</v>
      </c>
      <c r="AB542">
        <v>0</v>
      </c>
      <c r="AC542">
        <v>10</v>
      </c>
      <c r="AD542">
        <v>4</v>
      </c>
      <c r="AE542">
        <v>3</v>
      </c>
      <c r="AF542">
        <v>7</v>
      </c>
      <c r="AG542">
        <v>7</v>
      </c>
      <c r="AH542">
        <v>3</v>
      </c>
      <c r="AI542">
        <v>7</v>
      </c>
      <c r="AJ542">
        <f t="shared" si="8"/>
        <v>1</v>
      </c>
      <c r="AK542" t="str" cm="1">
        <f t="array" ref="AK542">_xlfn.IFS(A542&lt;=30,"18-30",A542&lt;=45,"31-45",A542&lt;=60,"46-60",TRUE, "60+")</f>
        <v>18-30</v>
      </c>
      <c r="AL542" t="str" cm="1">
        <f t="array" ref="AL542">_xlfn.IFS(F542&lt;=10,"0-10",F542&lt;=20,"11-20",TRUE,"20+")</f>
        <v>0-10</v>
      </c>
      <c r="AM542" t="str" cm="1">
        <f t="array" ref="AM542">_xlfn.IFS(S542&lt;=5000,"0-5k",S542&lt;=10000,"5k-10k",S542&lt;=15000,"10k-15k",TRUE,"15k+")</f>
        <v>0-5k</v>
      </c>
      <c r="AN542" t="str" cm="1">
        <f t="array" ref="AN542">_xlfn.IFS(AF542&lt;=10,"0-10",AF542&lt;=20,"10-20",AF542&lt;=30,"20-30",TRUE,"30+")</f>
        <v>0-10</v>
      </c>
      <c r="AO542" t="str" cm="1">
        <f t="array" ref="AO542">_xlfn.IFS(Y542=1,"Poor",Y542=2,"Average",Y542=3,"Good",TRUE,"Excellent")</f>
        <v>Good</v>
      </c>
      <c r="AP542" t="str" cm="1">
        <f t="array" ref="AP542">_xlfn.IFS(Q542=1,"Low",Q542=2,"Medium",Q542=3,"High",TRUE,"Very High")</f>
        <v>Medium</v>
      </c>
    </row>
    <row r="543" spans="1:42" x14ac:dyDescent="0.25">
      <c r="A543">
        <v>36</v>
      </c>
      <c r="B543" t="s">
        <v>42</v>
      </c>
      <c r="C543" t="s">
        <v>53</v>
      </c>
      <c r="D543">
        <v>427</v>
      </c>
      <c r="E543" t="s">
        <v>43</v>
      </c>
      <c r="F543">
        <v>8</v>
      </c>
      <c r="G543">
        <v>3</v>
      </c>
      <c r="H543" t="s">
        <v>37</v>
      </c>
      <c r="I543">
        <v>1</v>
      </c>
      <c r="J543">
        <v>742</v>
      </c>
      <c r="K543">
        <v>1</v>
      </c>
      <c r="L543" t="s">
        <v>38</v>
      </c>
      <c r="M543">
        <v>63</v>
      </c>
      <c r="N543">
        <v>4</v>
      </c>
      <c r="O543">
        <v>3</v>
      </c>
      <c r="P543" t="s">
        <v>56</v>
      </c>
      <c r="Q543">
        <v>1</v>
      </c>
      <c r="R543" t="s">
        <v>46</v>
      </c>
      <c r="S543">
        <v>11713</v>
      </c>
      <c r="T543">
        <v>20335</v>
      </c>
      <c r="U543">
        <v>9</v>
      </c>
      <c r="V543" t="s">
        <v>41</v>
      </c>
      <c r="W543" t="s">
        <v>42</v>
      </c>
      <c r="X543">
        <v>14</v>
      </c>
      <c r="Y543">
        <v>3</v>
      </c>
      <c r="Z543">
        <v>1</v>
      </c>
      <c r="AA543">
        <v>80</v>
      </c>
      <c r="AB543">
        <v>1</v>
      </c>
      <c r="AC543">
        <v>10</v>
      </c>
      <c r="AD543">
        <v>2</v>
      </c>
      <c r="AE543">
        <v>3</v>
      </c>
      <c r="AF543">
        <v>8</v>
      </c>
      <c r="AG543">
        <v>7</v>
      </c>
      <c r="AH543">
        <v>0</v>
      </c>
      <c r="AI543">
        <v>5</v>
      </c>
      <c r="AJ543">
        <f t="shared" si="8"/>
        <v>0</v>
      </c>
      <c r="AK543" t="str" cm="1">
        <f t="array" ref="AK543">_xlfn.IFS(A543&lt;=30,"18-30",A543&lt;=45,"31-45",A543&lt;=60,"46-60",TRUE, "60+")</f>
        <v>31-45</v>
      </c>
      <c r="AL543" t="str" cm="1">
        <f t="array" ref="AL543">_xlfn.IFS(F543&lt;=10,"0-10",F543&lt;=20,"11-20",TRUE,"20+")</f>
        <v>0-10</v>
      </c>
      <c r="AM543" t="str" cm="1">
        <f t="array" ref="AM543">_xlfn.IFS(S543&lt;=5000,"0-5k",S543&lt;=10000,"5k-10k",S543&lt;=15000,"10k-15k",TRUE,"15k+")</f>
        <v>10k-15k</v>
      </c>
      <c r="AN543" t="str" cm="1">
        <f t="array" ref="AN543">_xlfn.IFS(AF543&lt;=10,"0-10",AF543&lt;=20,"10-20",AF543&lt;=30,"20-30",TRUE,"30+")</f>
        <v>0-10</v>
      </c>
      <c r="AO543" t="str" cm="1">
        <f t="array" ref="AO543">_xlfn.IFS(Y543=1,"Poor",Y543=2,"Average",Y543=3,"Good",TRUE,"Excellent")</f>
        <v>Good</v>
      </c>
      <c r="AP543" t="str" cm="1">
        <f t="array" ref="AP543">_xlfn.IFS(Q543=1,"Low",Q543=2,"Medium",Q543=3,"High",TRUE,"Very High")</f>
        <v>Low</v>
      </c>
    </row>
    <row r="544" spans="1:42" x14ac:dyDescent="0.25">
      <c r="A544">
        <v>38</v>
      </c>
      <c r="B544" t="s">
        <v>42</v>
      </c>
      <c r="C544" t="s">
        <v>90</v>
      </c>
      <c r="D544">
        <v>168</v>
      </c>
      <c r="E544" t="s">
        <v>43</v>
      </c>
      <c r="F544">
        <v>1</v>
      </c>
      <c r="G544">
        <v>3</v>
      </c>
      <c r="H544" t="s">
        <v>37</v>
      </c>
      <c r="I544">
        <v>1</v>
      </c>
      <c r="J544">
        <v>743</v>
      </c>
      <c r="K544">
        <v>3</v>
      </c>
      <c r="L544" t="s">
        <v>38</v>
      </c>
      <c r="M544">
        <v>81</v>
      </c>
      <c r="N544">
        <v>3</v>
      </c>
      <c r="O544">
        <v>3</v>
      </c>
      <c r="P544" t="s">
        <v>51</v>
      </c>
      <c r="Q544">
        <v>3</v>
      </c>
      <c r="R544" t="s">
        <v>40</v>
      </c>
      <c r="S544">
        <v>7861</v>
      </c>
      <c r="T544">
        <v>15397</v>
      </c>
      <c r="U544">
        <v>4</v>
      </c>
      <c r="V544" t="s">
        <v>41</v>
      </c>
      <c r="W544" t="s">
        <v>35</v>
      </c>
      <c r="X544">
        <v>14</v>
      </c>
      <c r="Y544">
        <v>3</v>
      </c>
      <c r="Z544">
        <v>4</v>
      </c>
      <c r="AA544">
        <v>80</v>
      </c>
      <c r="AB544">
        <v>0</v>
      </c>
      <c r="AC544">
        <v>10</v>
      </c>
      <c r="AD544">
        <v>4</v>
      </c>
      <c r="AE544">
        <v>4</v>
      </c>
      <c r="AF544">
        <v>1</v>
      </c>
      <c r="AG544">
        <v>0</v>
      </c>
      <c r="AH544">
        <v>0</v>
      </c>
      <c r="AI544">
        <v>0</v>
      </c>
      <c r="AJ544">
        <f t="shared" si="8"/>
        <v>0</v>
      </c>
      <c r="AK544" t="str" cm="1">
        <f t="array" ref="AK544">_xlfn.IFS(A544&lt;=30,"18-30",A544&lt;=45,"31-45",A544&lt;=60,"46-60",TRUE, "60+")</f>
        <v>31-45</v>
      </c>
      <c r="AL544" t="str" cm="1">
        <f t="array" ref="AL544">_xlfn.IFS(F544&lt;=10,"0-10",F544&lt;=20,"11-20",TRUE,"20+")</f>
        <v>0-10</v>
      </c>
      <c r="AM544" t="str" cm="1">
        <f t="array" ref="AM544">_xlfn.IFS(S544&lt;=5000,"0-5k",S544&lt;=10000,"5k-10k",S544&lt;=15000,"10k-15k",TRUE,"15k+")</f>
        <v>5k-10k</v>
      </c>
      <c r="AN544" t="str" cm="1">
        <f t="array" ref="AN544">_xlfn.IFS(AF544&lt;=10,"0-10",AF544&lt;=20,"10-20",AF544&lt;=30,"20-30",TRUE,"30+")</f>
        <v>0-10</v>
      </c>
      <c r="AO544" t="str" cm="1">
        <f t="array" ref="AO544">_xlfn.IFS(Y544=1,"Poor",Y544=2,"Average",Y544=3,"Good",TRUE,"Excellent")</f>
        <v>Good</v>
      </c>
      <c r="AP544" t="str" cm="1">
        <f t="array" ref="AP544">_xlfn.IFS(Q544=1,"Low",Q544=2,"Medium",Q544=3,"High",TRUE,"Very High")</f>
        <v>High</v>
      </c>
    </row>
    <row r="545" spans="1:42" x14ac:dyDescent="0.25">
      <c r="A545">
        <v>44</v>
      </c>
      <c r="B545" t="s">
        <v>42</v>
      </c>
      <c r="C545" t="s">
        <v>53</v>
      </c>
      <c r="D545">
        <v>381</v>
      </c>
      <c r="E545" t="s">
        <v>43</v>
      </c>
      <c r="F545">
        <v>24</v>
      </c>
      <c r="G545">
        <v>3</v>
      </c>
      <c r="H545" t="s">
        <v>49</v>
      </c>
      <c r="I545">
        <v>1</v>
      </c>
      <c r="J545">
        <v>744</v>
      </c>
      <c r="K545">
        <v>1</v>
      </c>
      <c r="L545" t="s">
        <v>44</v>
      </c>
      <c r="M545">
        <v>49</v>
      </c>
      <c r="N545">
        <v>1</v>
      </c>
      <c r="O545">
        <v>1</v>
      </c>
      <c r="P545" t="s">
        <v>48</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c r="AJ545">
        <f t="shared" si="8"/>
        <v>0</v>
      </c>
      <c r="AK545" t="str" cm="1">
        <f t="array" ref="AK545">_xlfn.IFS(A545&lt;=30,"18-30",A545&lt;=45,"31-45",A545&lt;=60,"46-60",TRUE, "60+")</f>
        <v>31-45</v>
      </c>
      <c r="AL545" t="str" cm="1">
        <f t="array" ref="AL545">_xlfn.IFS(F545&lt;=10,"0-10",F545&lt;=20,"11-20",TRUE,"20+")</f>
        <v>20+</v>
      </c>
      <c r="AM545" t="str" cm="1">
        <f t="array" ref="AM545">_xlfn.IFS(S545&lt;=5000,"0-5k",S545&lt;=10000,"5k-10k",S545&lt;=15000,"10k-15k",TRUE,"15k+")</f>
        <v>0-5k</v>
      </c>
      <c r="AN545" t="str" cm="1">
        <f t="array" ref="AN545">_xlfn.IFS(AF545&lt;=10,"0-10",AF545&lt;=20,"10-20",AF545&lt;=30,"20-30",TRUE,"30+")</f>
        <v>0-10</v>
      </c>
      <c r="AO545" t="str" cm="1">
        <f t="array" ref="AO545">_xlfn.IFS(Y545=1,"Poor",Y545=2,"Average",Y545=3,"Good",TRUE,"Excellent")</f>
        <v>Good</v>
      </c>
      <c r="AP545" t="str" cm="1">
        <f t="array" ref="AP545">_xlfn.IFS(Q545=1,"Low",Q545=2,"Medium",Q545=3,"High",TRUE,"Very High")</f>
        <v>High</v>
      </c>
    </row>
    <row r="546" spans="1:42" x14ac:dyDescent="0.25">
      <c r="A546">
        <v>47</v>
      </c>
      <c r="B546" t="s">
        <v>42</v>
      </c>
      <c r="C546" t="s">
        <v>91</v>
      </c>
      <c r="D546">
        <v>217</v>
      </c>
      <c r="E546" t="s">
        <v>36</v>
      </c>
      <c r="F546">
        <v>3</v>
      </c>
      <c r="G546">
        <v>3</v>
      </c>
      <c r="H546" t="s">
        <v>49</v>
      </c>
      <c r="I546">
        <v>1</v>
      </c>
      <c r="J546">
        <v>746</v>
      </c>
      <c r="K546">
        <v>4</v>
      </c>
      <c r="L546" t="s">
        <v>38</v>
      </c>
      <c r="M546">
        <v>49</v>
      </c>
      <c r="N546">
        <v>3</v>
      </c>
      <c r="O546">
        <v>4</v>
      </c>
      <c r="P546" t="s">
        <v>39</v>
      </c>
      <c r="Q546">
        <v>3</v>
      </c>
      <c r="R546" t="s">
        <v>50</v>
      </c>
      <c r="S546">
        <v>13770</v>
      </c>
      <c r="T546">
        <v>10225</v>
      </c>
      <c r="U546">
        <v>9</v>
      </c>
      <c r="V546" t="s">
        <v>41</v>
      </c>
      <c r="W546" t="s">
        <v>35</v>
      </c>
      <c r="X546">
        <v>12</v>
      </c>
      <c r="Y546">
        <v>3</v>
      </c>
      <c r="Z546">
        <v>4</v>
      </c>
      <c r="AA546">
        <v>80</v>
      </c>
      <c r="AB546">
        <v>2</v>
      </c>
      <c r="AC546">
        <v>28</v>
      </c>
      <c r="AD546">
        <v>2</v>
      </c>
      <c r="AE546">
        <v>2</v>
      </c>
      <c r="AF546">
        <v>22</v>
      </c>
      <c r="AG546">
        <v>2</v>
      </c>
      <c r="AH546">
        <v>11</v>
      </c>
      <c r="AI546">
        <v>13</v>
      </c>
      <c r="AJ546">
        <f t="shared" si="8"/>
        <v>0</v>
      </c>
      <c r="AK546" t="str" cm="1">
        <f t="array" ref="AK546">_xlfn.IFS(A546&lt;=30,"18-30",A546&lt;=45,"31-45",A546&lt;=60,"46-60",TRUE, "60+")</f>
        <v>46-60</v>
      </c>
      <c r="AL546" t="str" cm="1">
        <f t="array" ref="AL546">_xlfn.IFS(F546&lt;=10,"0-10",F546&lt;=20,"11-20",TRUE,"20+")</f>
        <v>0-10</v>
      </c>
      <c r="AM546" t="str" cm="1">
        <f t="array" ref="AM546">_xlfn.IFS(S546&lt;=5000,"0-5k",S546&lt;=10000,"5k-10k",S546&lt;=15000,"10k-15k",TRUE,"15k+")</f>
        <v>10k-15k</v>
      </c>
      <c r="AN546" t="str" cm="1">
        <f t="array" ref="AN546">_xlfn.IFS(AF546&lt;=10,"0-10",AF546&lt;=20,"10-20",AF546&lt;=30,"20-30",TRUE,"30+")</f>
        <v>20-30</v>
      </c>
      <c r="AO546" t="str" cm="1">
        <f t="array" ref="AO546">_xlfn.IFS(Y546=1,"Poor",Y546=2,"Average",Y546=3,"Good",TRUE,"Excellent")</f>
        <v>Good</v>
      </c>
      <c r="AP546" t="str" cm="1">
        <f t="array" ref="AP546">_xlfn.IFS(Q546=1,"Low",Q546=2,"Medium",Q546=3,"High",TRUE,"Very High")</f>
        <v>High</v>
      </c>
    </row>
    <row r="547" spans="1:42" x14ac:dyDescent="0.25">
      <c r="A547">
        <v>30</v>
      </c>
      <c r="B547" t="s">
        <v>42</v>
      </c>
      <c r="C547" t="s">
        <v>90</v>
      </c>
      <c r="D547">
        <v>501</v>
      </c>
      <c r="E547" t="s">
        <v>36</v>
      </c>
      <c r="F547">
        <v>27</v>
      </c>
      <c r="G547">
        <v>5</v>
      </c>
      <c r="H547" t="s">
        <v>57</v>
      </c>
      <c r="I547">
        <v>1</v>
      </c>
      <c r="J547">
        <v>747</v>
      </c>
      <c r="K547">
        <v>3</v>
      </c>
      <c r="L547" t="s">
        <v>44</v>
      </c>
      <c r="M547">
        <v>99</v>
      </c>
      <c r="N547">
        <v>3</v>
      </c>
      <c r="O547">
        <v>2</v>
      </c>
      <c r="P547" t="s">
        <v>39</v>
      </c>
      <c r="Q547">
        <v>4</v>
      </c>
      <c r="R547" t="s">
        <v>50</v>
      </c>
      <c r="S547">
        <v>5304</v>
      </c>
      <c r="T547">
        <v>25275</v>
      </c>
      <c r="U547">
        <v>7</v>
      </c>
      <c r="V547" t="s">
        <v>41</v>
      </c>
      <c r="W547" t="s">
        <v>42</v>
      </c>
      <c r="X547">
        <v>23</v>
      </c>
      <c r="Y547">
        <v>4</v>
      </c>
      <c r="Z547">
        <v>4</v>
      </c>
      <c r="AA547">
        <v>80</v>
      </c>
      <c r="AB547">
        <v>1</v>
      </c>
      <c r="AC547">
        <v>10</v>
      </c>
      <c r="AD547">
        <v>2</v>
      </c>
      <c r="AE547">
        <v>2</v>
      </c>
      <c r="AF547">
        <v>8</v>
      </c>
      <c r="AG547">
        <v>7</v>
      </c>
      <c r="AH547">
        <v>7</v>
      </c>
      <c r="AI547">
        <v>7</v>
      </c>
      <c r="AJ547">
        <f t="shared" si="8"/>
        <v>0</v>
      </c>
      <c r="AK547" t="str" cm="1">
        <f t="array" ref="AK547">_xlfn.IFS(A547&lt;=30,"18-30",A547&lt;=45,"31-45",A547&lt;=60,"46-60",TRUE, "60+")</f>
        <v>18-30</v>
      </c>
      <c r="AL547" t="str" cm="1">
        <f t="array" ref="AL547">_xlfn.IFS(F547&lt;=10,"0-10",F547&lt;=20,"11-20",TRUE,"20+")</f>
        <v>20+</v>
      </c>
      <c r="AM547" t="str" cm="1">
        <f t="array" ref="AM547">_xlfn.IFS(S547&lt;=5000,"0-5k",S547&lt;=10000,"5k-10k",S547&lt;=15000,"10k-15k",TRUE,"15k+")</f>
        <v>5k-10k</v>
      </c>
      <c r="AN547" t="str" cm="1">
        <f t="array" ref="AN547">_xlfn.IFS(AF547&lt;=10,"0-10",AF547&lt;=20,"10-20",AF547&lt;=30,"20-30",TRUE,"30+")</f>
        <v>0-10</v>
      </c>
      <c r="AO547" t="str" cm="1">
        <f t="array" ref="AO547">_xlfn.IFS(Y547=1,"Poor",Y547=2,"Average",Y547=3,"Good",TRUE,"Excellent")</f>
        <v>Excellent</v>
      </c>
      <c r="AP547" t="str" cm="1">
        <f t="array" ref="AP547">_xlfn.IFS(Q547=1,"Low",Q547=2,"Medium",Q547=3,"High",TRUE,"Very High")</f>
        <v>Very High</v>
      </c>
    </row>
    <row r="548" spans="1:42" x14ac:dyDescent="0.25">
      <c r="A548">
        <v>29</v>
      </c>
      <c r="B548" t="s">
        <v>42</v>
      </c>
      <c r="C548" t="s">
        <v>90</v>
      </c>
      <c r="D548">
        <v>1396</v>
      </c>
      <c r="E548" t="s">
        <v>36</v>
      </c>
      <c r="F548">
        <v>10</v>
      </c>
      <c r="G548">
        <v>3</v>
      </c>
      <c r="H548" t="s">
        <v>37</v>
      </c>
      <c r="I548">
        <v>1</v>
      </c>
      <c r="J548">
        <v>749</v>
      </c>
      <c r="K548">
        <v>3</v>
      </c>
      <c r="L548" t="s">
        <v>44</v>
      </c>
      <c r="M548">
        <v>99</v>
      </c>
      <c r="N548">
        <v>3</v>
      </c>
      <c r="O548">
        <v>1</v>
      </c>
      <c r="P548" t="s">
        <v>55</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c r="AJ548">
        <f t="shared" si="8"/>
        <v>0</v>
      </c>
      <c r="AK548" t="str" cm="1">
        <f t="array" ref="AK548">_xlfn.IFS(A548&lt;=30,"18-30",A548&lt;=45,"31-45",A548&lt;=60,"46-60",TRUE, "60+")</f>
        <v>18-30</v>
      </c>
      <c r="AL548" t="str" cm="1">
        <f t="array" ref="AL548">_xlfn.IFS(F548&lt;=10,"0-10",F548&lt;=20,"11-20",TRUE,"20+")</f>
        <v>0-10</v>
      </c>
      <c r="AM548" t="str" cm="1">
        <f t="array" ref="AM548">_xlfn.IFS(S548&lt;=5000,"0-5k",S548&lt;=10000,"5k-10k",S548&lt;=15000,"10k-15k",TRUE,"15k+")</f>
        <v>0-5k</v>
      </c>
      <c r="AN548" t="str" cm="1">
        <f t="array" ref="AN548">_xlfn.IFS(AF548&lt;=10,"0-10",AF548&lt;=20,"10-20",AF548&lt;=30,"20-30",TRUE,"30+")</f>
        <v>0-10</v>
      </c>
      <c r="AO548" t="str" cm="1">
        <f t="array" ref="AO548">_xlfn.IFS(Y548=1,"Poor",Y548=2,"Average",Y548=3,"Good",TRUE,"Excellent")</f>
        <v>Good</v>
      </c>
      <c r="AP548" t="str" cm="1">
        <f t="array" ref="AP548">_xlfn.IFS(Q548=1,"Low",Q548=2,"Medium",Q548=3,"High",TRUE,"Very High")</f>
        <v>High</v>
      </c>
    </row>
    <row r="549" spans="1:42" x14ac:dyDescent="0.25">
      <c r="A549">
        <v>42</v>
      </c>
      <c r="B549" t="s">
        <v>35</v>
      </c>
      <c r="C549" t="s">
        <v>91</v>
      </c>
      <c r="D549">
        <v>933</v>
      </c>
      <c r="E549" t="s">
        <v>43</v>
      </c>
      <c r="F549">
        <v>19</v>
      </c>
      <c r="G549">
        <v>3</v>
      </c>
      <c r="H549" t="s">
        <v>49</v>
      </c>
      <c r="I549">
        <v>1</v>
      </c>
      <c r="J549">
        <v>752</v>
      </c>
      <c r="K549">
        <v>3</v>
      </c>
      <c r="L549" t="s">
        <v>44</v>
      </c>
      <c r="M549">
        <v>57</v>
      </c>
      <c r="N549">
        <v>4</v>
      </c>
      <c r="O549">
        <v>1</v>
      </c>
      <c r="P549" t="s">
        <v>45</v>
      </c>
      <c r="Q549">
        <v>3</v>
      </c>
      <c r="R549" t="s">
        <v>50</v>
      </c>
      <c r="S549">
        <v>2759</v>
      </c>
      <c r="T549">
        <v>20366</v>
      </c>
      <c r="U549">
        <v>6</v>
      </c>
      <c r="V549" t="s">
        <v>41</v>
      </c>
      <c r="W549" t="s">
        <v>35</v>
      </c>
      <c r="X549">
        <v>12</v>
      </c>
      <c r="Y549">
        <v>3</v>
      </c>
      <c r="Z549">
        <v>4</v>
      </c>
      <c r="AA549">
        <v>80</v>
      </c>
      <c r="AB549">
        <v>0</v>
      </c>
      <c r="AC549">
        <v>7</v>
      </c>
      <c r="AD549">
        <v>2</v>
      </c>
      <c r="AE549">
        <v>3</v>
      </c>
      <c r="AF549">
        <v>2</v>
      </c>
      <c r="AG549">
        <v>2</v>
      </c>
      <c r="AH549">
        <v>2</v>
      </c>
      <c r="AI549">
        <v>2</v>
      </c>
      <c r="AJ549">
        <f t="shared" si="8"/>
        <v>1</v>
      </c>
      <c r="AK549" t="str" cm="1">
        <f t="array" ref="AK549">_xlfn.IFS(A549&lt;=30,"18-30",A549&lt;=45,"31-45",A549&lt;=60,"46-60",TRUE, "60+")</f>
        <v>31-45</v>
      </c>
      <c r="AL549" t="str" cm="1">
        <f t="array" ref="AL549">_xlfn.IFS(F549&lt;=10,"0-10",F549&lt;=20,"11-20",TRUE,"20+")</f>
        <v>11-20</v>
      </c>
      <c r="AM549" t="str" cm="1">
        <f t="array" ref="AM549">_xlfn.IFS(S549&lt;=5000,"0-5k",S549&lt;=10000,"5k-10k",S549&lt;=15000,"10k-15k",TRUE,"15k+")</f>
        <v>0-5k</v>
      </c>
      <c r="AN549" t="str" cm="1">
        <f t="array" ref="AN549">_xlfn.IFS(AF549&lt;=10,"0-10",AF549&lt;=20,"10-20",AF549&lt;=30,"20-30",TRUE,"30+")</f>
        <v>0-10</v>
      </c>
      <c r="AO549" t="str" cm="1">
        <f t="array" ref="AO549">_xlfn.IFS(Y549=1,"Poor",Y549=2,"Average",Y549=3,"Good",TRUE,"Excellent")</f>
        <v>Good</v>
      </c>
      <c r="AP549" t="str" cm="1">
        <f t="array" ref="AP549">_xlfn.IFS(Q549=1,"Low",Q549=2,"Medium",Q549=3,"High",TRUE,"Very High")</f>
        <v>High</v>
      </c>
    </row>
    <row r="550" spans="1:42" x14ac:dyDescent="0.25">
      <c r="A550">
        <v>43</v>
      </c>
      <c r="B550" t="s">
        <v>42</v>
      </c>
      <c r="C550" t="s">
        <v>91</v>
      </c>
      <c r="D550">
        <v>775</v>
      </c>
      <c r="E550" t="s">
        <v>36</v>
      </c>
      <c r="F550">
        <v>15</v>
      </c>
      <c r="G550">
        <v>3</v>
      </c>
      <c r="H550" t="s">
        <v>37</v>
      </c>
      <c r="I550">
        <v>1</v>
      </c>
      <c r="J550">
        <v>754</v>
      </c>
      <c r="K550">
        <v>4</v>
      </c>
      <c r="L550" t="s">
        <v>44</v>
      </c>
      <c r="M550">
        <v>47</v>
      </c>
      <c r="N550">
        <v>2</v>
      </c>
      <c r="O550">
        <v>2</v>
      </c>
      <c r="P550" t="s">
        <v>39</v>
      </c>
      <c r="Q550">
        <v>4</v>
      </c>
      <c r="R550" t="s">
        <v>46</v>
      </c>
      <c r="S550">
        <v>6804</v>
      </c>
      <c r="T550">
        <v>23683</v>
      </c>
      <c r="U550">
        <v>3</v>
      </c>
      <c r="V550" t="s">
        <v>41</v>
      </c>
      <c r="W550" t="s">
        <v>42</v>
      </c>
      <c r="X550">
        <v>18</v>
      </c>
      <c r="Y550">
        <v>3</v>
      </c>
      <c r="Z550">
        <v>3</v>
      </c>
      <c r="AA550">
        <v>80</v>
      </c>
      <c r="AB550">
        <v>1</v>
      </c>
      <c r="AC550">
        <v>7</v>
      </c>
      <c r="AD550">
        <v>5</v>
      </c>
      <c r="AE550">
        <v>3</v>
      </c>
      <c r="AF550">
        <v>2</v>
      </c>
      <c r="AG550">
        <v>2</v>
      </c>
      <c r="AH550">
        <v>2</v>
      </c>
      <c r="AI550">
        <v>2</v>
      </c>
      <c r="AJ550">
        <f t="shared" si="8"/>
        <v>0</v>
      </c>
      <c r="AK550" t="str" cm="1">
        <f t="array" ref="AK550">_xlfn.IFS(A550&lt;=30,"18-30",A550&lt;=45,"31-45",A550&lt;=60,"46-60",TRUE, "60+")</f>
        <v>31-45</v>
      </c>
      <c r="AL550" t="str" cm="1">
        <f t="array" ref="AL550">_xlfn.IFS(F550&lt;=10,"0-10",F550&lt;=20,"11-20",TRUE,"20+")</f>
        <v>11-20</v>
      </c>
      <c r="AM550" t="str" cm="1">
        <f t="array" ref="AM550">_xlfn.IFS(S550&lt;=5000,"0-5k",S550&lt;=10000,"5k-10k",S550&lt;=15000,"10k-15k",TRUE,"15k+")</f>
        <v>5k-10k</v>
      </c>
      <c r="AN550" t="str" cm="1">
        <f t="array" ref="AN550">_xlfn.IFS(AF550&lt;=10,"0-10",AF550&lt;=20,"10-20",AF550&lt;=30,"20-30",TRUE,"30+")</f>
        <v>0-10</v>
      </c>
      <c r="AO550" t="str" cm="1">
        <f t="array" ref="AO550">_xlfn.IFS(Y550=1,"Poor",Y550=2,"Average",Y550=3,"Good",TRUE,"Excellent")</f>
        <v>Good</v>
      </c>
      <c r="AP550" t="str" cm="1">
        <f t="array" ref="AP550">_xlfn.IFS(Q550=1,"Low",Q550=2,"Medium",Q550=3,"High",TRUE,"Very High")</f>
        <v>Very High</v>
      </c>
    </row>
    <row r="551" spans="1:42" x14ac:dyDescent="0.25">
      <c r="A551">
        <v>34</v>
      </c>
      <c r="B551" t="s">
        <v>42</v>
      </c>
      <c r="C551" t="s">
        <v>90</v>
      </c>
      <c r="D551">
        <v>970</v>
      </c>
      <c r="E551" t="s">
        <v>43</v>
      </c>
      <c r="F551">
        <v>8</v>
      </c>
      <c r="G551">
        <v>2</v>
      </c>
      <c r="H551" t="s">
        <v>49</v>
      </c>
      <c r="I551">
        <v>1</v>
      </c>
      <c r="J551">
        <v>757</v>
      </c>
      <c r="K551">
        <v>2</v>
      </c>
      <c r="L551" t="s">
        <v>38</v>
      </c>
      <c r="M551">
        <v>96</v>
      </c>
      <c r="N551">
        <v>3</v>
      </c>
      <c r="O551">
        <v>2</v>
      </c>
      <c r="P551" t="s">
        <v>52</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c r="AJ551">
        <f t="shared" si="8"/>
        <v>0</v>
      </c>
      <c r="AK551" t="str" cm="1">
        <f t="array" ref="AK551">_xlfn.IFS(A551&lt;=30,"18-30",A551&lt;=45,"31-45",A551&lt;=60,"46-60",TRUE, "60+")</f>
        <v>31-45</v>
      </c>
      <c r="AL551" t="str" cm="1">
        <f t="array" ref="AL551">_xlfn.IFS(F551&lt;=10,"0-10",F551&lt;=20,"11-20",TRUE,"20+")</f>
        <v>0-10</v>
      </c>
      <c r="AM551" t="str" cm="1">
        <f t="array" ref="AM551">_xlfn.IFS(S551&lt;=5000,"0-5k",S551&lt;=10000,"5k-10k",S551&lt;=15000,"10k-15k",TRUE,"15k+")</f>
        <v>5k-10k</v>
      </c>
      <c r="AN551" t="str" cm="1">
        <f t="array" ref="AN551">_xlfn.IFS(AF551&lt;=10,"0-10",AF551&lt;=20,"10-20",AF551&lt;=30,"20-30",TRUE,"30+")</f>
        <v>0-10</v>
      </c>
      <c r="AO551" t="str" cm="1">
        <f t="array" ref="AO551">_xlfn.IFS(Y551=1,"Poor",Y551=2,"Average",Y551=3,"Good",TRUE,"Excellent")</f>
        <v>Good</v>
      </c>
      <c r="AP551" t="str" cm="1">
        <f t="array" ref="AP551">_xlfn.IFS(Q551=1,"Low",Q551=2,"Medium",Q551=3,"High",TRUE,"Very High")</f>
        <v>High</v>
      </c>
    </row>
    <row r="552" spans="1:42" x14ac:dyDescent="0.25">
      <c r="A552">
        <v>23</v>
      </c>
      <c r="B552" t="s">
        <v>42</v>
      </c>
      <c r="C552" t="s">
        <v>90</v>
      </c>
      <c r="D552">
        <v>650</v>
      </c>
      <c r="E552" t="s">
        <v>43</v>
      </c>
      <c r="F552">
        <v>9</v>
      </c>
      <c r="G552">
        <v>1</v>
      </c>
      <c r="H552" t="s">
        <v>49</v>
      </c>
      <c r="I552">
        <v>1</v>
      </c>
      <c r="J552">
        <v>758</v>
      </c>
      <c r="K552">
        <v>2</v>
      </c>
      <c r="L552" t="s">
        <v>44</v>
      </c>
      <c r="M552">
        <v>37</v>
      </c>
      <c r="N552">
        <v>3</v>
      </c>
      <c r="O552">
        <v>1</v>
      </c>
      <c r="P552" t="s">
        <v>48</v>
      </c>
      <c r="Q552">
        <v>1</v>
      </c>
      <c r="R552" t="s">
        <v>46</v>
      </c>
      <c r="S552">
        <v>2500</v>
      </c>
      <c r="T552">
        <v>4344</v>
      </c>
      <c r="U552">
        <v>1</v>
      </c>
      <c r="V552" t="s">
        <v>41</v>
      </c>
      <c r="W552" t="s">
        <v>42</v>
      </c>
      <c r="X552">
        <v>14</v>
      </c>
      <c r="Y552">
        <v>3</v>
      </c>
      <c r="Z552">
        <v>4</v>
      </c>
      <c r="AA552">
        <v>80</v>
      </c>
      <c r="AB552">
        <v>1</v>
      </c>
      <c r="AC552">
        <v>5</v>
      </c>
      <c r="AD552">
        <v>2</v>
      </c>
      <c r="AE552">
        <v>4</v>
      </c>
      <c r="AF552">
        <v>4</v>
      </c>
      <c r="AG552">
        <v>3</v>
      </c>
      <c r="AH552">
        <v>0</v>
      </c>
      <c r="AI552">
        <v>2</v>
      </c>
      <c r="AJ552">
        <f t="shared" si="8"/>
        <v>0</v>
      </c>
      <c r="AK552" t="str" cm="1">
        <f t="array" ref="AK552">_xlfn.IFS(A552&lt;=30,"18-30",A552&lt;=45,"31-45",A552&lt;=60,"46-60",TRUE, "60+")</f>
        <v>18-30</v>
      </c>
      <c r="AL552" t="str" cm="1">
        <f t="array" ref="AL552">_xlfn.IFS(F552&lt;=10,"0-10",F552&lt;=20,"11-20",TRUE,"20+")</f>
        <v>0-10</v>
      </c>
      <c r="AM552" t="str" cm="1">
        <f t="array" ref="AM552">_xlfn.IFS(S552&lt;=5000,"0-5k",S552&lt;=10000,"5k-10k",S552&lt;=15000,"10k-15k",TRUE,"15k+")</f>
        <v>0-5k</v>
      </c>
      <c r="AN552" t="str" cm="1">
        <f t="array" ref="AN552">_xlfn.IFS(AF552&lt;=10,"0-10",AF552&lt;=20,"10-20",AF552&lt;=30,"20-30",TRUE,"30+")</f>
        <v>0-10</v>
      </c>
      <c r="AO552" t="str" cm="1">
        <f t="array" ref="AO552">_xlfn.IFS(Y552=1,"Poor",Y552=2,"Average",Y552=3,"Good",TRUE,"Excellent")</f>
        <v>Good</v>
      </c>
      <c r="AP552" t="str" cm="1">
        <f t="array" ref="AP552">_xlfn.IFS(Q552=1,"Low",Q552=2,"Medium",Q552=3,"High",TRUE,"Very High")</f>
        <v>Low</v>
      </c>
    </row>
    <row r="553" spans="1:42" x14ac:dyDescent="0.25">
      <c r="A553">
        <v>39</v>
      </c>
      <c r="B553" t="s">
        <v>42</v>
      </c>
      <c r="C553" t="s">
        <v>90</v>
      </c>
      <c r="D553">
        <v>141</v>
      </c>
      <c r="E553" t="s">
        <v>59</v>
      </c>
      <c r="F553">
        <v>3</v>
      </c>
      <c r="G553">
        <v>3</v>
      </c>
      <c r="H553" t="s">
        <v>59</v>
      </c>
      <c r="I553">
        <v>1</v>
      </c>
      <c r="J553">
        <v>760</v>
      </c>
      <c r="K553">
        <v>3</v>
      </c>
      <c r="L553" t="s">
        <v>38</v>
      </c>
      <c r="M553">
        <v>44</v>
      </c>
      <c r="N553">
        <v>4</v>
      </c>
      <c r="O553">
        <v>2</v>
      </c>
      <c r="P553" t="s">
        <v>59</v>
      </c>
      <c r="Q553">
        <v>2</v>
      </c>
      <c r="R553" t="s">
        <v>46</v>
      </c>
      <c r="S553">
        <v>6389</v>
      </c>
      <c r="T553">
        <v>18767</v>
      </c>
      <c r="U553">
        <v>9</v>
      </c>
      <c r="V553" t="s">
        <v>41</v>
      </c>
      <c r="W553" t="s">
        <v>42</v>
      </c>
      <c r="X553">
        <v>15</v>
      </c>
      <c r="Y553">
        <v>3</v>
      </c>
      <c r="Z553">
        <v>3</v>
      </c>
      <c r="AA553">
        <v>80</v>
      </c>
      <c r="AB553">
        <v>1</v>
      </c>
      <c r="AC553">
        <v>12</v>
      </c>
      <c r="AD553">
        <v>3</v>
      </c>
      <c r="AE553">
        <v>1</v>
      </c>
      <c r="AF553">
        <v>8</v>
      </c>
      <c r="AG553">
        <v>3</v>
      </c>
      <c r="AH553">
        <v>3</v>
      </c>
      <c r="AI553">
        <v>6</v>
      </c>
      <c r="AJ553">
        <f t="shared" si="8"/>
        <v>0</v>
      </c>
      <c r="AK553" t="str" cm="1">
        <f t="array" ref="AK553">_xlfn.IFS(A553&lt;=30,"18-30",A553&lt;=45,"31-45",A553&lt;=60,"46-60",TRUE, "60+")</f>
        <v>31-45</v>
      </c>
      <c r="AL553" t="str" cm="1">
        <f t="array" ref="AL553">_xlfn.IFS(F553&lt;=10,"0-10",F553&lt;=20,"11-20",TRUE,"20+")</f>
        <v>0-10</v>
      </c>
      <c r="AM553" t="str" cm="1">
        <f t="array" ref="AM553">_xlfn.IFS(S553&lt;=5000,"0-5k",S553&lt;=10000,"5k-10k",S553&lt;=15000,"10k-15k",TRUE,"15k+")</f>
        <v>5k-10k</v>
      </c>
      <c r="AN553" t="str" cm="1">
        <f t="array" ref="AN553">_xlfn.IFS(AF553&lt;=10,"0-10",AF553&lt;=20,"10-20",AF553&lt;=30,"20-30",TRUE,"30+")</f>
        <v>0-10</v>
      </c>
      <c r="AO553" t="str" cm="1">
        <f t="array" ref="AO553">_xlfn.IFS(Y553=1,"Poor",Y553=2,"Average",Y553=3,"Good",TRUE,"Excellent")</f>
        <v>Good</v>
      </c>
      <c r="AP553" t="str" cm="1">
        <f t="array" ref="AP553">_xlfn.IFS(Q553=1,"Low",Q553=2,"Medium",Q553=3,"High",TRUE,"Very High")</f>
        <v>Medium</v>
      </c>
    </row>
    <row r="554" spans="1:42" x14ac:dyDescent="0.25">
      <c r="A554">
        <v>56</v>
      </c>
      <c r="B554" t="s">
        <v>42</v>
      </c>
      <c r="C554" t="s">
        <v>90</v>
      </c>
      <c r="D554">
        <v>832</v>
      </c>
      <c r="E554" t="s">
        <v>43</v>
      </c>
      <c r="F554">
        <v>9</v>
      </c>
      <c r="G554">
        <v>3</v>
      </c>
      <c r="H554" t="s">
        <v>49</v>
      </c>
      <c r="I554">
        <v>1</v>
      </c>
      <c r="J554">
        <v>762</v>
      </c>
      <c r="K554">
        <v>3</v>
      </c>
      <c r="L554" t="s">
        <v>44</v>
      </c>
      <c r="M554">
        <v>81</v>
      </c>
      <c r="N554">
        <v>3</v>
      </c>
      <c r="O554">
        <v>4</v>
      </c>
      <c r="P554" t="s">
        <v>52</v>
      </c>
      <c r="Q554">
        <v>4</v>
      </c>
      <c r="R554" t="s">
        <v>46</v>
      </c>
      <c r="S554">
        <v>11103</v>
      </c>
      <c r="T554">
        <v>20420</v>
      </c>
      <c r="U554">
        <v>7</v>
      </c>
      <c r="V554" t="s">
        <v>41</v>
      </c>
      <c r="W554" t="s">
        <v>42</v>
      </c>
      <c r="X554">
        <v>11</v>
      </c>
      <c r="Y554">
        <v>3</v>
      </c>
      <c r="Z554">
        <v>3</v>
      </c>
      <c r="AA554">
        <v>80</v>
      </c>
      <c r="AB554">
        <v>0</v>
      </c>
      <c r="AC554">
        <v>30</v>
      </c>
      <c r="AD554">
        <v>1</v>
      </c>
      <c r="AE554">
        <v>2</v>
      </c>
      <c r="AF554">
        <v>10</v>
      </c>
      <c r="AG554">
        <v>7</v>
      </c>
      <c r="AH554">
        <v>1</v>
      </c>
      <c r="AI554">
        <v>1</v>
      </c>
      <c r="AJ554">
        <f t="shared" si="8"/>
        <v>0</v>
      </c>
      <c r="AK554" t="str" cm="1">
        <f t="array" ref="AK554">_xlfn.IFS(A554&lt;=30,"18-30",A554&lt;=45,"31-45",A554&lt;=60,"46-60",TRUE, "60+")</f>
        <v>46-60</v>
      </c>
      <c r="AL554" t="str" cm="1">
        <f t="array" ref="AL554">_xlfn.IFS(F554&lt;=10,"0-10",F554&lt;=20,"11-20",TRUE,"20+")</f>
        <v>0-10</v>
      </c>
      <c r="AM554" t="str" cm="1">
        <f t="array" ref="AM554">_xlfn.IFS(S554&lt;=5000,"0-5k",S554&lt;=10000,"5k-10k",S554&lt;=15000,"10k-15k",TRUE,"15k+")</f>
        <v>10k-15k</v>
      </c>
      <c r="AN554" t="str" cm="1">
        <f t="array" ref="AN554">_xlfn.IFS(AF554&lt;=10,"0-10",AF554&lt;=20,"10-20",AF554&lt;=30,"20-30",TRUE,"30+")</f>
        <v>0-10</v>
      </c>
      <c r="AO554" t="str" cm="1">
        <f t="array" ref="AO554">_xlfn.IFS(Y554=1,"Poor",Y554=2,"Average",Y554=3,"Good",TRUE,"Excellent")</f>
        <v>Good</v>
      </c>
      <c r="AP554" t="str" cm="1">
        <f t="array" ref="AP554">_xlfn.IFS(Q554=1,"Low",Q554=2,"Medium",Q554=3,"High",TRUE,"Very High")</f>
        <v>Very High</v>
      </c>
    </row>
    <row r="555" spans="1:42" x14ac:dyDescent="0.25">
      <c r="A555">
        <v>40</v>
      </c>
      <c r="B555" t="s">
        <v>42</v>
      </c>
      <c r="C555" t="s">
        <v>90</v>
      </c>
      <c r="D555">
        <v>804</v>
      </c>
      <c r="E555" t="s">
        <v>43</v>
      </c>
      <c r="F555">
        <v>2</v>
      </c>
      <c r="G555">
        <v>1</v>
      </c>
      <c r="H555" t="s">
        <v>49</v>
      </c>
      <c r="I555">
        <v>1</v>
      </c>
      <c r="J555">
        <v>763</v>
      </c>
      <c r="K555">
        <v>4</v>
      </c>
      <c r="L555" t="s">
        <v>38</v>
      </c>
      <c r="M555">
        <v>86</v>
      </c>
      <c r="N555">
        <v>2</v>
      </c>
      <c r="O555">
        <v>1</v>
      </c>
      <c r="P555" t="s">
        <v>45</v>
      </c>
      <c r="Q555">
        <v>4</v>
      </c>
      <c r="R555" t="s">
        <v>40</v>
      </c>
      <c r="S555">
        <v>2342</v>
      </c>
      <c r="T555">
        <v>22929</v>
      </c>
      <c r="U555">
        <v>0</v>
      </c>
      <c r="V555" t="s">
        <v>41</v>
      </c>
      <c r="W555" t="s">
        <v>35</v>
      </c>
      <c r="X555">
        <v>20</v>
      </c>
      <c r="Y555">
        <v>4</v>
      </c>
      <c r="Z555">
        <v>4</v>
      </c>
      <c r="AA555">
        <v>80</v>
      </c>
      <c r="AB555">
        <v>0</v>
      </c>
      <c r="AC555">
        <v>5</v>
      </c>
      <c r="AD555">
        <v>2</v>
      </c>
      <c r="AE555">
        <v>2</v>
      </c>
      <c r="AF555">
        <v>4</v>
      </c>
      <c r="AG555">
        <v>2</v>
      </c>
      <c r="AH555">
        <v>2</v>
      </c>
      <c r="AI555">
        <v>3</v>
      </c>
      <c r="AJ555">
        <f t="shared" si="8"/>
        <v>0</v>
      </c>
      <c r="AK555" t="str" cm="1">
        <f t="array" ref="AK555">_xlfn.IFS(A555&lt;=30,"18-30",A555&lt;=45,"31-45",A555&lt;=60,"46-60",TRUE, "60+")</f>
        <v>31-45</v>
      </c>
      <c r="AL555" t="str" cm="1">
        <f t="array" ref="AL555">_xlfn.IFS(F555&lt;=10,"0-10",F555&lt;=20,"11-20",TRUE,"20+")</f>
        <v>0-10</v>
      </c>
      <c r="AM555" t="str" cm="1">
        <f t="array" ref="AM555">_xlfn.IFS(S555&lt;=5000,"0-5k",S555&lt;=10000,"5k-10k",S555&lt;=15000,"10k-15k",TRUE,"15k+")</f>
        <v>0-5k</v>
      </c>
      <c r="AN555" t="str" cm="1">
        <f t="array" ref="AN555">_xlfn.IFS(AF555&lt;=10,"0-10",AF555&lt;=20,"10-20",AF555&lt;=30,"20-30",TRUE,"30+")</f>
        <v>0-10</v>
      </c>
      <c r="AO555" t="str" cm="1">
        <f t="array" ref="AO555">_xlfn.IFS(Y555=1,"Poor",Y555=2,"Average",Y555=3,"Good",TRUE,"Excellent")</f>
        <v>Excellent</v>
      </c>
      <c r="AP555" t="str" cm="1">
        <f t="array" ref="AP555">_xlfn.IFS(Q555=1,"Low",Q555=2,"Medium",Q555=3,"High",TRUE,"Very High")</f>
        <v>Very High</v>
      </c>
    </row>
    <row r="556" spans="1:42" x14ac:dyDescent="0.25">
      <c r="A556">
        <v>27</v>
      </c>
      <c r="B556" t="s">
        <v>42</v>
      </c>
      <c r="C556" t="s">
        <v>90</v>
      </c>
      <c r="D556">
        <v>975</v>
      </c>
      <c r="E556" t="s">
        <v>43</v>
      </c>
      <c r="F556">
        <v>7</v>
      </c>
      <c r="G556">
        <v>3</v>
      </c>
      <c r="H556" t="s">
        <v>49</v>
      </c>
      <c r="I556">
        <v>1</v>
      </c>
      <c r="J556">
        <v>764</v>
      </c>
      <c r="K556">
        <v>4</v>
      </c>
      <c r="L556" t="s">
        <v>38</v>
      </c>
      <c r="M556">
        <v>55</v>
      </c>
      <c r="N556">
        <v>2</v>
      </c>
      <c r="O556">
        <v>2</v>
      </c>
      <c r="P556" t="s">
        <v>52</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c r="AJ556">
        <f t="shared" si="8"/>
        <v>0</v>
      </c>
      <c r="AK556" t="str" cm="1">
        <f t="array" ref="AK556">_xlfn.IFS(A556&lt;=30,"18-30",A556&lt;=45,"31-45",A556&lt;=60,"46-60",TRUE, "60+")</f>
        <v>18-30</v>
      </c>
      <c r="AL556" t="str" cm="1">
        <f t="array" ref="AL556">_xlfn.IFS(F556&lt;=10,"0-10",F556&lt;=20,"11-20",TRUE,"20+")</f>
        <v>0-10</v>
      </c>
      <c r="AM556" t="str" cm="1">
        <f t="array" ref="AM556">_xlfn.IFS(S556&lt;=5000,"0-5k",S556&lt;=10000,"5k-10k",S556&lt;=15000,"10k-15k",TRUE,"15k+")</f>
        <v>5k-10k</v>
      </c>
      <c r="AN556" t="str" cm="1">
        <f t="array" ref="AN556">_xlfn.IFS(AF556&lt;=10,"0-10",AF556&lt;=20,"10-20",AF556&lt;=30,"20-30",TRUE,"30+")</f>
        <v>0-10</v>
      </c>
      <c r="AO556" t="str" cm="1">
        <f t="array" ref="AO556">_xlfn.IFS(Y556=1,"Poor",Y556=2,"Average",Y556=3,"Good",TRUE,"Excellent")</f>
        <v>Good</v>
      </c>
      <c r="AP556" t="str" cm="1">
        <f t="array" ref="AP556">_xlfn.IFS(Q556=1,"Low",Q556=2,"Medium",Q556=3,"High",TRUE,"Very High")</f>
        <v>Low</v>
      </c>
    </row>
    <row r="557" spans="1:42" x14ac:dyDescent="0.25">
      <c r="A557">
        <v>29</v>
      </c>
      <c r="B557" t="s">
        <v>42</v>
      </c>
      <c r="C557" t="s">
        <v>90</v>
      </c>
      <c r="D557">
        <v>1090</v>
      </c>
      <c r="E557" t="s">
        <v>36</v>
      </c>
      <c r="F557">
        <v>10</v>
      </c>
      <c r="G557">
        <v>3</v>
      </c>
      <c r="H557" t="s">
        <v>57</v>
      </c>
      <c r="I557">
        <v>1</v>
      </c>
      <c r="J557">
        <v>766</v>
      </c>
      <c r="K557">
        <v>4</v>
      </c>
      <c r="L557" t="s">
        <v>44</v>
      </c>
      <c r="M557">
        <v>83</v>
      </c>
      <c r="N557">
        <v>3</v>
      </c>
      <c r="O557">
        <v>1</v>
      </c>
      <c r="P557" t="s">
        <v>55</v>
      </c>
      <c r="Q557">
        <v>2</v>
      </c>
      <c r="R557" t="s">
        <v>50</v>
      </c>
      <c r="S557">
        <v>2297</v>
      </c>
      <c r="T557">
        <v>17967</v>
      </c>
      <c r="U557">
        <v>1</v>
      </c>
      <c r="V557" t="s">
        <v>41</v>
      </c>
      <c r="W557" t="s">
        <v>42</v>
      </c>
      <c r="X557">
        <v>14</v>
      </c>
      <c r="Y557">
        <v>3</v>
      </c>
      <c r="Z557">
        <v>4</v>
      </c>
      <c r="AA557">
        <v>80</v>
      </c>
      <c r="AB557">
        <v>2</v>
      </c>
      <c r="AC557">
        <v>2</v>
      </c>
      <c r="AD557">
        <v>2</v>
      </c>
      <c r="AE557">
        <v>3</v>
      </c>
      <c r="AF557">
        <v>2</v>
      </c>
      <c r="AG557">
        <v>2</v>
      </c>
      <c r="AH557">
        <v>2</v>
      </c>
      <c r="AI557">
        <v>2</v>
      </c>
      <c r="AJ557">
        <f t="shared" si="8"/>
        <v>0</v>
      </c>
      <c r="AK557" t="str" cm="1">
        <f t="array" ref="AK557">_xlfn.IFS(A557&lt;=30,"18-30",A557&lt;=45,"31-45",A557&lt;=60,"46-60",TRUE, "60+")</f>
        <v>18-30</v>
      </c>
      <c r="AL557" t="str" cm="1">
        <f t="array" ref="AL557">_xlfn.IFS(F557&lt;=10,"0-10",F557&lt;=20,"11-20",TRUE,"20+")</f>
        <v>0-10</v>
      </c>
      <c r="AM557" t="str" cm="1">
        <f t="array" ref="AM557">_xlfn.IFS(S557&lt;=5000,"0-5k",S557&lt;=10000,"5k-10k",S557&lt;=15000,"10k-15k",TRUE,"15k+")</f>
        <v>0-5k</v>
      </c>
      <c r="AN557" t="str" cm="1">
        <f t="array" ref="AN557">_xlfn.IFS(AF557&lt;=10,"0-10",AF557&lt;=20,"10-20",AF557&lt;=30,"20-30",TRUE,"30+")</f>
        <v>0-10</v>
      </c>
      <c r="AO557" t="str" cm="1">
        <f t="array" ref="AO557">_xlfn.IFS(Y557=1,"Poor",Y557=2,"Average",Y557=3,"Good",TRUE,"Excellent")</f>
        <v>Good</v>
      </c>
      <c r="AP557" t="str" cm="1">
        <f t="array" ref="AP557">_xlfn.IFS(Q557=1,"Low",Q557=2,"Medium",Q557=3,"High",TRUE,"Very High")</f>
        <v>Medium</v>
      </c>
    </row>
    <row r="558" spans="1:42" x14ac:dyDescent="0.25">
      <c r="A558">
        <v>53</v>
      </c>
      <c r="B558" t="s">
        <v>42</v>
      </c>
      <c r="C558" t="s">
        <v>90</v>
      </c>
      <c r="D558">
        <v>346</v>
      </c>
      <c r="E558" t="s">
        <v>43</v>
      </c>
      <c r="F558">
        <v>6</v>
      </c>
      <c r="G558">
        <v>3</v>
      </c>
      <c r="H558" t="s">
        <v>37</v>
      </c>
      <c r="I558">
        <v>1</v>
      </c>
      <c r="J558">
        <v>769</v>
      </c>
      <c r="K558">
        <v>4</v>
      </c>
      <c r="L558" t="s">
        <v>44</v>
      </c>
      <c r="M558">
        <v>86</v>
      </c>
      <c r="N558">
        <v>3</v>
      </c>
      <c r="O558">
        <v>2</v>
      </c>
      <c r="P558" t="s">
        <v>48</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c r="AJ558">
        <f t="shared" si="8"/>
        <v>0</v>
      </c>
      <c r="AK558" t="str" cm="1">
        <f t="array" ref="AK558">_xlfn.IFS(A558&lt;=30,"18-30",A558&lt;=45,"31-45",A558&lt;=60,"46-60",TRUE, "60+")</f>
        <v>46-60</v>
      </c>
      <c r="AL558" t="str" cm="1">
        <f t="array" ref="AL558">_xlfn.IFS(F558&lt;=10,"0-10",F558&lt;=20,"11-20",TRUE,"20+")</f>
        <v>0-10</v>
      </c>
      <c r="AM558" t="str" cm="1">
        <f t="array" ref="AM558">_xlfn.IFS(S558&lt;=5000,"0-5k",S558&lt;=10000,"5k-10k",S558&lt;=15000,"10k-15k",TRUE,"15k+")</f>
        <v>0-5k</v>
      </c>
      <c r="AN558" t="str" cm="1">
        <f t="array" ref="AN558">_xlfn.IFS(AF558&lt;=10,"0-10",AF558&lt;=20,"10-20",AF558&lt;=30,"20-30",TRUE,"30+")</f>
        <v>0-10</v>
      </c>
      <c r="AO558" t="str" cm="1">
        <f t="array" ref="AO558">_xlfn.IFS(Y558=1,"Poor",Y558=2,"Average",Y558=3,"Good",TRUE,"Excellent")</f>
        <v>Good</v>
      </c>
      <c r="AP558" t="str" cm="1">
        <f t="array" ref="AP558">_xlfn.IFS(Q558=1,"Low",Q558=2,"Medium",Q558=3,"High",TRUE,"Very High")</f>
        <v>Very High</v>
      </c>
    </row>
    <row r="559" spans="1:42" x14ac:dyDescent="0.25">
      <c r="A559">
        <v>35</v>
      </c>
      <c r="B559" t="s">
        <v>42</v>
      </c>
      <c r="C559" t="s">
        <v>53</v>
      </c>
      <c r="D559">
        <v>1225</v>
      </c>
      <c r="E559" t="s">
        <v>43</v>
      </c>
      <c r="F559">
        <v>2</v>
      </c>
      <c r="G559">
        <v>4</v>
      </c>
      <c r="H559" t="s">
        <v>37</v>
      </c>
      <c r="I559">
        <v>1</v>
      </c>
      <c r="J559">
        <v>771</v>
      </c>
      <c r="K559">
        <v>4</v>
      </c>
      <c r="L559" t="s">
        <v>38</v>
      </c>
      <c r="M559">
        <v>61</v>
      </c>
      <c r="N559">
        <v>3</v>
      </c>
      <c r="O559">
        <v>2</v>
      </c>
      <c r="P559" t="s">
        <v>52</v>
      </c>
      <c r="Q559">
        <v>1</v>
      </c>
      <c r="R559" t="s">
        <v>50</v>
      </c>
      <c r="S559">
        <v>5093</v>
      </c>
      <c r="T559">
        <v>4761</v>
      </c>
      <c r="U559">
        <v>2</v>
      </c>
      <c r="V559" t="s">
        <v>41</v>
      </c>
      <c r="W559" t="s">
        <v>42</v>
      </c>
      <c r="X559">
        <v>11</v>
      </c>
      <c r="Y559">
        <v>3</v>
      </c>
      <c r="Z559">
        <v>1</v>
      </c>
      <c r="AA559">
        <v>80</v>
      </c>
      <c r="AB559">
        <v>1</v>
      </c>
      <c r="AC559">
        <v>16</v>
      </c>
      <c r="AD559">
        <v>2</v>
      </c>
      <c r="AE559">
        <v>4</v>
      </c>
      <c r="AF559">
        <v>1</v>
      </c>
      <c r="AG559">
        <v>0</v>
      </c>
      <c r="AH559">
        <v>0</v>
      </c>
      <c r="AI559">
        <v>0</v>
      </c>
      <c r="AJ559">
        <f t="shared" si="8"/>
        <v>0</v>
      </c>
      <c r="AK559" t="str" cm="1">
        <f t="array" ref="AK559">_xlfn.IFS(A559&lt;=30,"18-30",A559&lt;=45,"31-45",A559&lt;=60,"46-60",TRUE, "60+")</f>
        <v>31-45</v>
      </c>
      <c r="AL559" t="str" cm="1">
        <f t="array" ref="AL559">_xlfn.IFS(F559&lt;=10,"0-10",F559&lt;=20,"11-20",TRUE,"20+")</f>
        <v>0-10</v>
      </c>
      <c r="AM559" t="str" cm="1">
        <f t="array" ref="AM559">_xlfn.IFS(S559&lt;=5000,"0-5k",S559&lt;=10000,"5k-10k",S559&lt;=15000,"10k-15k",TRUE,"15k+")</f>
        <v>5k-10k</v>
      </c>
      <c r="AN559" t="str" cm="1">
        <f t="array" ref="AN559">_xlfn.IFS(AF559&lt;=10,"0-10",AF559&lt;=20,"10-20",AF559&lt;=30,"20-30",TRUE,"30+")</f>
        <v>0-10</v>
      </c>
      <c r="AO559" t="str" cm="1">
        <f t="array" ref="AO559">_xlfn.IFS(Y559=1,"Poor",Y559=2,"Average",Y559=3,"Good",TRUE,"Excellent")</f>
        <v>Good</v>
      </c>
      <c r="AP559" t="str" cm="1">
        <f t="array" ref="AP559">_xlfn.IFS(Q559=1,"Low",Q559=2,"Medium",Q559=3,"High",TRUE,"Very High")</f>
        <v>Low</v>
      </c>
    </row>
    <row r="560" spans="1:42" x14ac:dyDescent="0.25">
      <c r="A560">
        <v>32</v>
      </c>
      <c r="B560" t="s">
        <v>42</v>
      </c>
      <c r="C560" t="s">
        <v>91</v>
      </c>
      <c r="D560">
        <v>430</v>
      </c>
      <c r="E560" t="s">
        <v>43</v>
      </c>
      <c r="F560">
        <v>24</v>
      </c>
      <c r="G560">
        <v>4</v>
      </c>
      <c r="H560" t="s">
        <v>37</v>
      </c>
      <c r="I560">
        <v>1</v>
      </c>
      <c r="J560">
        <v>772</v>
      </c>
      <c r="K560">
        <v>1</v>
      </c>
      <c r="L560" t="s">
        <v>44</v>
      </c>
      <c r="M560">
        <v>80</v>
      </c>
      <c r="N560">
        <v>3</v>
      </c>
      <c r="O560">
        <v>2</v>
      </c>
      <c r="P560" t="s">
        <v>48</v>
      </c>
      <c r="Q560">
        <v>4</v>
      </c>
      <c r="R560" t="s">
        <v>46</v>
      </c>
      <c r="S560">
        <v>5309</v>
      </c>
      <c r="T560">
        <v>21146</v>
      </c>
      <c r="U560">
        <v>1</v>
      </c>
      <c r="V560" t="s">
        <v>41</v>
      </c>
      <c r="W560" t="s">
        <v>42</v>
      </c>
      <c r="X560">
        <v>15</v>
      </c>
      <c r="Y560">
        <v>3</v>
      </c>
      <c r="Z560">
        <v>4</v>
      </c>
      <c r="AA560">
        <v>80</v>
      </c>
      <c r="AB560">
        <v>2</v>
      </c>
      <c r="AC560">
        <v>10</v>
      </c>
      <c r="AD560">
        <v>2</v>
      </c>
      <c r="AE560">
        <v>3</v>
      </c>
      <c r="AF560">
        <v>10</v>
      </c>
      <c r="AG560">
        <v>8</v>
      </c>
      <c r="AH560">
        <v>4</v>
      </c>
      <c r="AI560">
        <v>7</v>
      </c>
      <c r="AJ560">
        <f t="shared" si="8"/>
        <v>0</v>
      </c>
      <c r="AK560" t="str" cm="1">
        <f t="array" ref="AK560">_xlfn.IFS(A560&lt;=30,"18-30",A560&lt;=45,"31-45",A560&lt;=60,"46-60",TRUE, "60+")</f>
        <v>31-45</v>
      </c>
      <c r="AL560" t="str" cm="1">
        <f t="array" ref="AL560">_xlfn.IFS(F560&lt;=10,"0-10",F560&lt;=20,"11-20",TRUE,"20+")</f>
        <v>20+</v>
      </c>
      <c r="AM560" t="str" cm="1">
        <f t="array" ref="AM560">_xlfn.IFS(S560&lt;=5000,"0-5k",S560&lt;=10000,"5k-10k",S560&lt;=15000,"10k-15k",TRUE,"15k+")</f>
        <v>5k-10k</v>
      </c>
      <c r="AN560" t="str" cm="1">
        <f t="array" ref="AN560">_xlfn.IFS(AF560&lt;=10,"0-10",AF560&lt;=20,"10-20",AF560&lt;=30,"20-30",TRUE,"30+")</f>
        <v>0-10</v>
      </c>
      <c r="AO560" t="str" cm="1">
        <f t="array" ref="AO560">_xlfn.IFS(Y560=1,"Poor",Y560=2,"Average",Y560=3,"Good",TRUE,"Excellent")</f>
        <v>Good</v>
      </c>
      <c r="AP560" t="str" cm="1">
        <f t="array" ref="AP560">_xlfn.IFS(Q560=1,"Low",Q560=2,"Medium",Q560=3,"High",TRUE,"Very High")</f>
        <v>Very High</v>
      </c>
    </row>
    <row r="561" spans="1:42" x14ac:dyDescent="0.25">
      <c r="A561">
        <v>38</v>
      </c>
      <c r="B561" t="s">
        <v>42</v>
      </c>
      <c r="C561" t="s">
        <v>90</v>
      </c>
      <c r="D561">
        <v>268</v>
      </c>
      <c r="E561" t="s">
        <v>43</v>
      </c>
      <c r="F561">
        <v>2</v>
      </c>
      <c r="G561">
        <v>5</v>
      </c>
      <c r="H561" t="s">
        <v>49</v>
      </c>
      <c r="I561">
        <v>1</v>
      </c>
      <c r="J561">
        <v>773</v>
      </c>
      <c r="K561">
        <v>4</v>
      </c>
      <c r="L561" t="s">
        <v>44</v>
      </c>
      <c r="M561">
        <v>92</v>
      </c>
      <c r="N561">
        <v>3</v>
      </c>
      <c r="O561">
        <v>1</v>
      </c>
      <c r="P561" t="s">
        <v>45</v>
      </c>
      <c r="Q561">
        <v>3</v>
      </c>
      <c r="R561" t="s">
        <v>46</v>
      </c>
      <c r="S561">
        <v>3057</v>
      </c>
      <c r="T561">
        <v>20471</v>
      </c>
      <c r="U561">
        <v>6</v>
      </c>
      <c r="V561" t="s">
        <v>41</v>
      </c>
      <c r="W561" t="s">
        <v>35</v>
      </c>
      <c r="X561">
        <v>13</v>
      </c>
      <c r="Y561">
        <v>3</v>
      </c>
      <c r="Z561">
        <v>2</v>
      </c>
      <c r="AA561">
        <v>80</v>
      </c>
      <c r="AB561">
        <v>1</v>
      </c>
      <c r="AC561">
        <v>6</v>
      </c>
      <c r="AD561">
        <v>0</v>
      </c>
      <c r="AE561">
        <v>1</v>
      </c>
      <c r="AF561">
        <v>1</v>
      </c>
      <c r="AG561">
        <v>0</v>
      </c>
      <c r="AH561">
        <v>0</v>
      </c>
      <c r="AI561">
        <v>1</v>
      </c>
      <c r="AJ561">
        <f t="shared" si="8"/>
        <v>0</v>
      </c>
      <c r="AK561" t="str" cm="1">
        <f t="array" ref="AK561">_xlfn.IFS(A561&lt;=30,"18-30",A561&lt;=45,"31-45",A561&lt;=60,"46-60",TRUE, "60+")</f>
        <v>31-45</v>
      </c>
      <c r="AL561" t="str" cm="1">
        <f t="array" ref="AL561">_xlfn.IFS(F561&lt;=10,"0-10",F561&lt;=20,"11-20",TRUE,"20+")</f>
        <v>0-10</v>
      </c>
      <c r="AM561" t="str" cm="1">
        <f t="array" ref="AM561">_xlfn.IFS(S561&lt;=5000,"0-5k",S561&lt;=10000,"5k-10k",S561&lt;=15000,"10k-15k",TRUE,"15k+")</f>
        <v>0-5k</v>
      </c>
      <c r="AN561" t="str" cm="1">
        <f t="array" ref="AN561">_xlfn.IFS(AF561&lt;=10,"0-10",AF561&lt;=20,"10-20",AF561&lt;=30,"20-30",TRUE,"30+")</f>
        <v>0-10</v>
      </c>
      <c r="AO561" t="str" cm="1">
        <f t="array" ref="AO561">_xlfn.IFS(Y561=1,"Poor",Y561=2,"Average",Y561=3,"Good",TRUE,"Excellent")</f>
        <v>Good</v>
      </c>
      <c r="AP561" t="str" cm="1">
        <f t="array" ref="AP561">_xlfn.IFS(Q561=1,"Low",Q561=2,"Medium",Q561=3,"High",TRUE,"Very High")</f>
        <v>High</v>
      </c>
    </row>
    <row r="562" spans="1:42" x14ac:dyDescent="0.25">
      <c r="A562">
        <v>34</v>
      </c>
      <c r="B562" t="s">
        <v>42</v>
      </c>
      <c r="C562" t="s">
        <v>90</v>
      </c>
      <c r="D562">
        <v>167</v>
      </c>
      <c r="E562" t="s">
        <v>43</v>
      </c>
      <c r="F562">
        <v>8</v>
      </c>
      <c r="G562">
        <v>5</v>
      </c>
      <c r="H562" t="s">
        <v>37</v>
      </c>
      <c r="I562">
        <v>1</v>
      </c>
      <c r="J562">
        <v>775</v>
      </c>
      <c r="K562">
        <v>2</v>
      </c>
      <c r="L562" t="s">
        <v>38</v>
      </c>
      <c r="M562">
        <v>32</v>
      </c>
      <c r="N562">
        <v>3</v>
      </c>
      <c r="O562">
        <v>2</v>
      </c>
      <c r="P562" t="s">
        <v>51</v>
      </c>
      <c r="Q562">
        <v>1</v>
      </c>
      <c r="R562" t="s">
        <v>50</v>
      </c>
      <c r="S562">
        <v>5121</v>
      </c>
      <c r="T562">
        <v>4187</v>
      </c>
      <c r="U562">
        <v>3</v>
      </c>
      <c r="V562" t="s">
        <v>41</v>
      </c>
      <c r="W562" t="s">
        <v>42</v>
      </c>
      <c r="X562">
        <v>14</v>
      </c>
      <c r="Y562">
        <v>3</v>
      </c>
      <c r="Z562">
        <v>3</v>
      </c>
      <c r="AA562">
        <v>80</v>
      </c>
      <c r="AB562">
        <v>1</v>
      </c>
      <c r="AC562">
        <v>7</v>
      </c>
      <c r="AD562">
        <v>3</v>
      </c>
      <c r="AE562">
        <v>3</v>
      </c>
      <c r="AF562">
        <v>0</v>
      </c>
      <c r="AG562">
        <v>0</v>
      </c>
      <c r="AH562">
        <v>0</v>
      </c>
      <c r="AI562">
        <v>0</v>
      </c>
      <c r="AJ562">
        <f t="shared" si="8"/>
        <v>0</v>
      </c>
      <c r="AK562" t="str" cm="1">
        <f t="array" ref="AK562">_xlfn.IFS(A562&lt;=30,"18-30",A562&lt;=45,"31-45",A562&lt;=60,"46-60",TRUE, "60+")</f>
        <v>31-45</v>
      </c>
      <c r="AL562" t="str" cm="1">
        <f t="array" ref="AL562">_xlfn.IFS(F562&lt;=10,"0-10",F562&lt;=20,"11-20",TRUE,"20+")</f>
        <v>0-10</v>
      </c>
      <c r="AM562" t="str" cm="1">
        <f t="array" ref="AM562">_xlfn.IFS(S562&lt;=5000,"0-5k",S562&lt;=10000,"5k-10k",S562&lt;=15000,"10k-15k",TRUE,"15k+")</f>
        <v>5k-10k</v>
      </c>
      <c r="AN562" t="str" cm="1">
        <f t="array" ref="AN562">_xlfn.IFS(AF562&lt;=10,"0-10",AF562&lt;=20,"10-20",AF562&lt;=30,"20-30",TRUE,"30+")</f>
        <v>0-10</v>
      </c>
      <c r="AO562" t="str" cm="1">
        <f t="array" ref="AO562">_xlfn.IFS(Y562=1,"Poor",Y562=2,"Average",Y562=3,"Good",TRUE,"Excellent")</f>
        <v>Good</v>
      </c>
      <c r="AP562" t="str" cm="1">
        <f t="array" ref="AP562">_xlfn.IFS(Q562=1,"Low",Q562=2,"Medium",Q562=3,"High",TRUE,"Very High")</f>
        <v>Low</v>
      </c>
    </row>
    <row r="563" spans="1:42" x14ac:dyDescent="0.25">
      <c r="A563">
        <v>52</v>
      </c>
      <c r="B563" t="s">
        <v>42</v>
      </c>
      <c r="C563" t="s">
        <v>90</v>
      </c>
      <c r="D563">
        <v>621</v>
      </c>
      <c r="E563" t="s">
        <v>36</v>
      </c>
      <c r="F563">
        <v>3</v>
      </c>
      <c r="G563">
        <v>4</v>
      </c>
      <c r="H563" t="s">
        <v>57</v>
      </c>
      <c r="I563">
        <v>1</v>
      </c>
      <c r="J563">
        <v>776</v>
      </c>
      <c r="K563">
        <v>3</v>
      </c>
      <c r="L563" t="s">
        <v>44</v>
      </c>
      <c r="M563">
        <v>31</v>
      </c>
      <c r="N563">
        <v>2</v>
      </c>
      <c r="O563">
        <v>4</v>
      </c>
      <c r="P563" t="s">
        <v>54</v>
      </c>
      <c r="Q563">
        <v>1</v>
      </c>
      <c r="R563" t="s">
        <v>46</v>
      </c>
      <c r="S563">
        <v>16856</v>
      </c>
      <c r="T563">
        <v>10084</v>
      </c>
      <c r="U563">
        <v>1</v>
      </c>
      <c r="V563" t="s">
        <v>41</v>
      </c>
      <c r="W563" t="s">
        <v>42</v>
      </c>
      <c r="X563">
        <v>11</v>
      </c>
      <c r="Y563">
        <v>3</v>
      </c>
      <c r="Z563">
        <v>1</v>
      </c>
      <c r="AA563">
        <v>80</v>
      </c>
      <c r="AB563">
        <v>0</v>
      </c>
      <c r="AC563">
        <v>34</v>
      </c>
      <c r="AD563">
        <v>3</v>
      </c>
      <c r="AE563">
        <v>4</v>
      </c>
      <c r="AF563">
        <v>34</v>
      </c>
      <c r="AG563">
        <v>6</v>
      </c>
      <c r="AH563">
        <v>1</v>
      </c>
      <c r="AI563">
        <v>16</v>
      </c>
      <c r="AJ563">
        <f t="shared" si="8"/>
        <v>0</v>
      </c>
      <c r="AK563" t="str" cm="1">
        <f t="array" ref="AK563">_xlfn.IFS(A563&lt;=30,"18-30",A563&lt;=45,"31-45",A563&lt;=60,"46-60",TRUE, "60+")</f>
        <v>46-60</v>
      </c>
      <c r="AL563" t="str" cm="1">
        <f t="array" ref="AL563">_xlfn.IFS(F563&lt;=10,"0-10",F563&lt;=20,"11-20",TRUE,"20+")</f>
        <v>0-10</v>
      </c>
      <c r="AM563" t="str" cm="1">
        <f t="array" ref="AM563">_xlfn.IFS(S563&lt;=5000,"0-5k",S563&lt;=10000,"5k-10k",S563&lt;=15000,"10k-15k",TRUE,"15k+")</f>
        <v>15k+</v>
      </c>
      <c r="AN563" t="str" cm="1">
        <f t="array" ref="AN563">_xlfn.IFS(AF563&lt;=10,"0-10",AF563&lt;=20,"10-20",AF563&lt;=30,"20-30",TRUE,"30+")</f>
        <v>30+</v>
      </c>
      <c r="AO563" t="str" cm="1">
        <f t="array" ref="AO563">_xlfn.IFS(Y563=1,"Poor",Y563=2,"Average",Y563=3,"Good",TRUE,"Excellent")</f>
        <v>Good</v>
      </c>
      <c r="AP563" t="str" cm="1">
        <f t="array" ref="AP563">_xlfn.IFS(Q563=1,"Low",Q563=2,"Medium",Q563=3,"High",TRUE,"Very High")</f>
        <v>Low</v>
      </c>
    </row>
    <row r="564" spans="1:42" x14ac:dyDescent="0.25">
      <c r="A564">
        <v>33</v>
      </c>
      <c r="B564" t="s">
        <v>35</v>
      </c>
      <c r="C564" t="s">
        <v>90</v>
      </c>
      <c r="D564">
        <v>527</v>
      </c>
      <c r="E564" t="s">
        <v>43</v>
      </c>
      <c r="F564">
        <v>1</v>
      </c>
      <c r="G564">
        <v>4</v>
      </c>
      <c r="H564" t="s">
        <v>47</v>
      </c>
      <c r="I564">
        <v>1</v>
      </c>
      <c r="J564">
        <v>780</v>
      </c>
      <c r="K564">
        <v>4</v>
      </c>
      <c r="L564" t="s">
        <v>44</v>
      </c>
      <c r="M564">
        <v>63</v>
      </c>
      <c r="N564">
        <v>3</v>
      </c>
      <c r="O564">
        <v>1</v>
      </c>
      <c r="P564" t="s">
        <v>45</v>
      </c>
      <c r="Q564">
        <v>4</v>
      </c>
      <c r="R564" t="s">
        <v>40</v>
      </c>
      <c r="S564">
        <v>2686</v>
      </c>
      <c r="T564">
        <v>5207</v>
      </c>
      <c r="U564">
        <v>1</v>
      </c>
      <c r="V564" t="s">
        <v>41</v>
      </c>
      <c r="W564" t="s">
        <v>35</v>
      </c>
      <c r="X564">
        <v>13</v>
      </c>
      <c r="Y564">
        <v>3</v>
      </c>
      <c r="Z564">
        <v>3</v>
      </c>
      <c r="AA564">
        <v>80</v>
      </c>
      <c r="AB564">
        <v>0</v>
      </c>
      <c r="AC564">
        <v>10</v>
      </c>
      <c r="AD564">
        <v>2</v>
      </c>
      <c r="AE564">
        <v>2</v>
      </c>
      <c r="AF564">
        <v>10</v>
      </c>
      <c r="AG564">
        <v>9</v>
      </c>
      <c r="AH564">
        <v>7</v>
      </c>
      <c r="AI564">
        <v>8</v>
      </c>
      <c r="AJ564">
        <f t="shared" si="8"/>
        <v>1</v>
      </c>
      <c r="AK564" t="str" cm="1">
        <f t="array" ref="AK564">_xlfn.IFS(A564&lt;=30,"18-30",A564&lt;=45,"31-45",A564&lt;=60,"46-60",TRUE, "60+")</f>
        <v>31-45</v>
      </c>
      <c r="AL564" t="str" cm="1">
        <f t="array" ref="AL564">_xlfn.IFS(F564&lt;=10,"0-10",F564&lt;=20,"11-20",TRUE,"20+")</f>
        <v>0-10</v>
      </c>
      <c r="AM564" t="str" cm="1">
        <f t="array" ref="AM564">_xlfn.IFS(S564&lt;=5000,"0-5k",S564&lt;=10000,"5k-10k",S564&lt;=15000,"10k-15k",TRUE,"15k+")</f>
        <v>0-5k</v>
      </c>
      <c r="AN564" t="str" cm="1">
        <f t="array" ref="AN564">_xlfn.IFS(AF564&lt;=10,"0-10",AF564&lt;=20,"10-20",AF564&lt;=30,"20-30",TRUE,"30+")</f>
        <v>0-10</v>
      </c>
      <c r="AO564" t="str" cm="1">
        <f t="array" ref="AO564">_xlfn.IFS(Y564=1,"Poor",Y564=2,"Average",Y564=3,"Good",TRUE,"Excellent")</f>
        <v>Good</v>
      </c>
      <c r="AP564" t="str" cm="1">
        <f t="array" ref="AP564">_xlfn.IFS(Q564=1,"Low",Q564=2,"Medium",Q564=3,"High",TRUE,"Very High")</f>
        <v>Very High</v>
      </c>
    </row>
    <row r="565" spans="1:42" x14ac:dyDescent="0.25">
      <c r="A565">
        <v>25</v>
      </c>
      <c r="B565" t="s">
        <v>42</v>
      </c>
      <c r="C565" t="s">
        <v>90</v>
      </c>
      <c r="D565">
        <v>883</v>
      </c>
      <c r="E565" t="s">
        <v>36</v>
      </c>
      <c r="F565">
        <v>26</v>
      </c>
      <c r="G565">
        <v>1</v>
      </c>
      <c r="H565" t="s">
        <v>49</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c r="AJ565">
        <f t="shared" si="8"/>
        <v>0</v>
      </c>
      <c r="AK565" t="str" cm="1">
        <f t="array" ref="AK565">_xlfn.IFS(A565&lt;=30,"18-30",A565&lt;=45,"31-45",A565&lt;=60,"46-60",TRUE, "60+")</f>
        <v>18-30</v>
      </c>
      <c r="AL565" t="str" cm="1">
        <f t="array" ref="AL565">_xlfn.IFS(F565&lt;=10,"0-10",F565&lt;=20,"11-20",TRUE,"20+")</f>
        <v>20+</v>
      </c>
      <c r="AM565" t="str" cm="1">
        <f t="array" ref="AM565">_xlfn.IFS(S565&lt;=5000,"0-5k",S565&lt;=10000,"5k-10k",S565&lt;=15000,"10k-15k",TRUE,"15k+")</f>
        <v>5k-10k</v>
      </c>
      <c r="AN565" t="str" cm="1">
        <f t="array" ref="AN565">_xlfn.IFS(AF565&lt;=10,"0-10",AF565&lt;=20,"10-20",AF565&lt;=30,"20-30",TRUE,"30+")</f>
        <v>0-10</v>
      </c>
      <c r="AO565" t="str" cm="1">
        <f t="array" ref="AO565">_xlfn.IFS(Y565=1,"Poor",Y565=2,"Average",Y565=3,"Good",TRUE,"Excellent")</f>
        <v>Excellent</v>
      </c>
      <c r="AP565" t="str" cm="1">
        <f t="array" ref="AP565">_xlfn.IFS(Q565=1,"Low",Q565=2,"Medium",Q565=3,"High",TRUE,"Very High")</f>
        <v>Very High</v>
      </c>
    </row>
    <row r="566" spans="1:42" x14ac:dyDescent="0.25">
      <c r="A566">
        <v>45</v>
      </c>
      <c r="B566" t="s">
        <v>42</v>
      </c>
      <c r="C566" t="s">
        <v>90</v>
      </c>
      <c r="D566">
        <v>954</v>
      </c>
      <c r="E566" t="s">
        <v>36</v>
      </c>
      <c r="F566">
        <v>2</v>
      </c>
      <c r="G566">
        <v>2</v>
      </c>
      <c r="H566" t="s">
        <v>58</v>
      </c>
      <c r="I566">
        <v>1</v>
      </c>
      <c r="J566">
        <v>783</v>
      </c>
      <c r="K566">
        <v>2</v>
      </c>
      <c r="L566" t="s">
        <v>44</v>
      </c>
      <c r="M566">
        <v>46</v>
      </c>
      <c r="N566">
        <v>1</v>
      </c>
      <c r="O566">
        <v>2</v>
      </c>
      <c r="P566" t="s">
        <v>55</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c r="AJ566">
        <f t="shared" si="8"/>
        <v>0</v>
      </c>
      <c r="AK566" t="str" cm="1">
        <f t="array" ref="AK566">_xlfn.IFS(A566&lt;=30,"18-30",A566&lt;=45,"31-45",A566&lt;=60,"46-60",TRUE, "60+")</f>
        <v>31-45</v>
      </c>
      <c r="AL566" t="str" cm="1">
        <f t="array" ref="AL566">_xlfn.IFS(F566&lt;=10,"0-10",F566&lt;=20,"11-20",TRUE,"20+")</f>
        <v>0-10</v>
      </c>
      <c r="AM566" t="str" cm="1">
        <f t="array" ref="AM566">_xlfn.IFS(S566&lt;=5000,"0-5k",S566&lt;=10000,"5k-10k",S566&lt;=15000,"10k-15k",TRUE,"15k+")</f>
        <v>5k-10k</v>
      </c>
      <c r="AN566" t="str" cm="1">
        <f t="array" ref="AN566">_xlfn.IFS(AF566&lt;=10,"0-10",AF566&lt;=20,"10-20",AF566&lt;=30,"20-30",TRUE,"30+")</f>
        <v>0-10</v>
      </c>
      <c r="AO566" t="str" cm="1">
        <f t="array" ref="AO566">_xlfn.IFS(Y566=1,"Poor",Y566=2,"Average",Y566=3,"Good",TRUE,"Excellent")</f>
        <v>Good</v>
      </c>
      <c r="AP566" t="str" cm="1">
        <f t="array" ref="AP566">_xlfn.IFS(Q566=1,"Low",Q566=2,"Medium",Q566=3,"High",TRUE,"Very High")</f>
        <v>High</v>
      </c>
    </row>
    <row r="567" spans="1:42" x14ac:dyDescent="0.25">
      <c r="A567">
        <v>23</v>
      </c>
      <c r="B567" t="s">
        <v>42</v>
      </c>
      <c r="C567" t="s">
        <v>90</v>
      </c>
      <c r="D567">
        <v>310</v>
      </c>
      <c r="E567" t="s">
        <v>43</v>
      </c>
      <c r="F567">
        <v>10</v>
      </c>
      <c r="G567">
        <v>1</v>
      </c>
      <c r="H567" t="s">
        <v>49</v>
      </c>
      <c r="I567">
        <v>1</v>
      </c>
      <c r="J567">
        <v>784</v>
      </c>
      <c r="K567">
        <v>1</v>
      </c>
      <c r="L567" t="s">
        <v>44</v>
      </c>
      <c r="M567">
        <v>79</v>
      </c>
      <c r="N567">
        <v>4</v>
      </c>
      <c r="O567">
        <v>1</v>
      </c>
      <c r="P567" t="s">
        <v>45</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c r="AJ567">
        <f t="shared" si="8"/>
        <v>0</v>
      </c>
      <c r="AK567" t="str" cm="1">
        <f t="array" ref="AK567">_xlfn.IFS(A567&lt;=30,"18-30",A567&lt;=45,"31-45",A567&lt;=60,"46-60",TRUE, "60+")</f>
        <v>18-30</v>
      </c>
      <c r="AL567" t="str" cm="1">
        <f t="array" ref="AL567">_xlfn.IFS(F567&lt;=10,"0-10",F567&lt;=20,"11-20",TRUE,"20+")</f>
        <v>0-10</v>
      </c>
      <c r="AM567" t="str" cm="1">
        <f t="array" ref="AM567">_xlfn.IFS(S567&lt;=5000,"0-5k",S567&lt;=10000,"5k-10k",S567&lt;=15000,"10k-15k",TRUE,"15k+")</f>
        <v>0-5k</v>
      </c>
      <c r="AN567" t="str" cm="1">
        <f t="array" ref="AN567">_xlfn.IFS(AF567&lt;=10,"0-10",AF567&lt;=20,"10-20",AF567&lt;=30,"20-30",TRUE,"30+")</f>
        <v>0-10</v>
      </c>
      <c r="AO567" t="str" cm="1">
        <f t="array" ref="AO567">_xlfn.IFS(Y567=1,"Poor",Y567=2,"Average",Y567=3,"Good",TRUE,"Excellent")</f>
        <v>Good</v>
      </c>
      <c r="AP567" t="str" cm="1">
        <f t="array" ref="AP567">_xlfn.IFS(Q567=1,"Low",Q567=2,"Medium",Q567=3,"High",TRUE,"Very High")</f>
        <v>High</v>
      </c>
    </row>
    <row r="568" spans="1:42" x14ac:dyDescent="0.25">
      <c r="A568">
        <v>47</v>
      </c>
      <c r="B568" t="s">
        <v>35</v>
      </c>
      <c r="C568" t="s">
        <v>91</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35</v>
      </c>
      <c r="X568">
        <v>12</v>
      </c>
      <c r="Y568">
        <v>3</v>
      </c>
      <c r="Z568">
        <v>4</v>
      </c>
      <c r="AA568">
        <v>80</v>
      </c>
      <c r="AB568">
        <v>0</v>
      </c>
      <c r="AC568">
        <v>8</v>
      </c>
      <c r="AD568">
        <v>2</v>
      </c>
      <c r="AE568">
        <v>3</v>
      </c>
      <c r="AF568">
        <v>5</v>
      </c>
      <c r="AG568">
        <v>4</v>
      </c>
      <c r="AH568">
        <v>1</v>
      </c>
      <c r="AI568">
        <v>3</v>
      </c>
      <c r="AJ568">
        <f t="shared" si="8"/>
        <v>1</v>
      </c>
      <c r="AK568" t="str" cm="1">
        <f t="array" ref="AK568">_xlfn.IFS(A568&lt;=30,"18-30",A568&lt;=45,"31-45",A568&lt;=60,"46-60",TRUE, "60+")</f>
        <v>46-60</v>
      </c>
      <c r="AL568" t="str" cm="1">
        <f t="array" ref="AL568">_xlfn.IFS(F568&lt;=10,"0-10",F568&lt;=20,"11-20",TRUE,"20+")</f>
        <v>20+</v>
      </c>
      <c r="AM568" t="str" cm="1">
        <f t="array" ref="AM568">_xlfn.IFS(S568&lt;=5000,"0-5k",S568&lt;=10000,"5k-10k",S568&lt;=15000,"10k-15k",TRUE,"15k+")</f>
        <v>5k-10k</v>
      </c>
      <c r="AN568" t="str" cm="1">
        <f t="array" ref="AN568">_xlfn.IFS(AF568&lt;=10,"0-10",AF568&lt;=20,"10-20",AF568&lt;=30,"20-30",TRUE,"30+")</f>
        <v>0-10</v>
      </c>
      <c r="AO568" t="str" cm="1">
        <f t="array" ref="AO568">_xlfn.IFS(Y568=1,"Poor",Y568=2,"Average",Y568=3,"Good",TRUE,"Excellent")</f>
        <v>Good</v>
      </c>
      <c r="AP568" t="str" cm="1">
        <f t="array" ref="AP568">_xlfn.IFS(Q568=1,"Low",Q568=2,"Medium",Q568=3,"High",TRUE,"Very High")</f>
        <v>High</v>
      </c>
    </row>
    <row r="569" spans="1:42" x14ac:dyDescent="0.25">
      <c r="A569">
        <v>34</v>
      </c>
      <c r="B569" t="s">
        <v>42</v>
      </c>
      <c r="C569" t="s">
        <v>90</v>
      </c>
      <c r="D569">
        <v>304</v>
      </c>
      <c r="E569" t="s">
        <v>36</v>
      </c>
      <c r="F569">
        <v>2</v>
      </c>
      <c r="G569">
        <v>3</v>
      </c>
      <c r="H569" t="s">
        <v>47</v>
      </c>
      <c r="I569">
        <v>1</v>
      </c>
      <c r="J569">
        <v>786</v>
      </c>
      <c r="K569">
        <v>4</v>
      </c>
      <c r="L569" t="s">
        <v>44</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c r="AJ569">
        <f t="shared" si="8"/>
        <v>0</v>
      </c>
      <c r="AK569" t="str" cm="1">
        <f t="array" ref="AK569">_xlfn.IFS(A569&lt;=30,"18-30",A569&lt;=45,"31-45",A569&lt;=60,"46-60",TRUE, "60+")</f>
        <v>31-45</v>
      </c>
      <c r="AL569" t="str" cm="1">
        <f t="array" ref="AL569">_xlfn.IFS(F569&lt;=10,"0-10",F569&lt;=20,"11-20",TRUE,"20+")</f>
        <v>0-10</v>
      </c>
      <c r="AM569" t="str" cm="1">
        <f t="array" ref="AM569">_xlfn.IFS(S569&lt;=5000,"0-5k",S569&lt;=10000,"5k-10k",S569&lt;=15000,"10k-15k",TRUE,"15k+")</f>
        <v>5k-10k</v>
      </c>
      <c r="AN569" t="str" cm="1">
        <f t="array" ref="AN569">_xlfn.IFS(AF569&lt;=10,"0-10",AF569&lt;=20,"10-20",AF569&lt;=30,"20-30",TRUE,"30+")</f>
        <v>0-10</v>
      </c>
      <c r="AO569" t="str" cm="1">
        <f t="array" ref="AO569">_xlfn.IFS(Y569=1,"Poor",Y569=2,"Average",Y569=3,"Good",TRUE,"Excellent")</f>
        <v>Excellent</v>
      </c>
      <c r="AP569" t="str" cm="1">
        <f t="array" ref="AP569">_xlfn.IFS(Q569=1,"Low",Q569=2,"Medium",Q569=3,"High",TRUE,"Very High")</f>
        <v>Very High</v>
      </c>
    </row>
    <row r="570" spans="1:42" x14ac:dyDescent="0.25">
      <c r="A570">
        <v>55</v>
      </c>
      <c r="B570" t="s">
        <v>35</v>
      </c>
      <c r="C570" t="s">
        <v>90</v>
      </c>
      <c r="D570">
        <v>725</v>
      </c>
      <c r="E570" t="s">
        <v>43</v>
      </c>
      <c r="F570">
        <v>2</v>
      </c>
      <c r="G570">
        <v>3</v>
      </c>
      <c r="H570" t="s">
        <v>49</v>
      </c>
      <c r="I570">
        <v>1</v>
      </c>
      <c r="J570">
        <v>787</v>
      </c>
      <c r="K570">
        <v>4</v>
      </c>
      <c r="L570" t="s">
        <v>44</v>
      </c>
      <c r="M570">
        <v>78</v>
      </c>
      <c r="N570">
        <v>3</v>
      </c>
      <c r="O570">
        <v>5</v>
      </c>
      <c r="P570" t="s">
        <v>54</v>
      </c>
      <c r="Q570">
        <v>1</v>
      </c>
      <c r="R570" t="s">
        <v>46</v>
      </c>
      <c r="S570">
        <v>19859</v>
      </c>
      <c r="T570">
        <v>21199</v>
      </c>
      <c r="U570">
        <v>5</v>
      </c>
      <c r="V570" t="s">
        <v>41</v>
      </c>
      <c r="W570" t="s">
        <v>35</v>
      </c>
      <c r="X570">
        <v>13</v>
      </c>
      <c r="Y570">
        <v>3</v>
      </c>
      <c r="Z570">
        <v>4</v>
      </c>
      <c r="AA570">
        <v>80</v>
      </c>
      <c r="AB570">
        <v>1</v>
      </c>
      <c r="AC570">
        <v>24</v>
      </c>
      <c r="AD570">
        <v>2</v>
      </c>
      <c r="AE570">
        <v>3</v>
      </c>
      <c r="AF570">
        <v>5</v>
      </c>
      <c r="AG570">
        <v>2</v>
      </c>
      <c r="AH570">
        <v>1</v>
      </c>
      <c r="AI570">
        <v>4</v>
      </c>
      <c r="AJ570">
        <f t="shared" si="8"/>
        <v>1</v>
      </c>
      <c r="AK570" t="str" cm="1">
        <f t="array" ref="AK570">_xlfn.IFS(A570&lt;=30,"18-30",A570&lt;=45,"31-45",A570&lt;=60,"46-60",TRUE, "60+")</f>
        <v>46-60</v>
      </c>
      <c r="AL570" t="str" cm="1">
        <f t="array" ref="AL570">_xlfn.IFS(F570&lt;=10,"0-10",F570&lt;=20,"11-20",TRUE,"20+")</f>
        <v>0-10</v>
      </c>
      <c r="AM570" t="str" cm="1">
        <f t="array" ref="AM570">_xlfn.IFS(S570&lt;=5000,"0-5k",S570&lt;=10000,"5k-10k",S570&lt;=15000,"10k-15k",TRUE,"15k+")</f>
        <v>15k+</v>
      </c>
      <c r="AN570" t="str" cm="1">
        <f t="array" ref="AN570">_xlfn.IFS(AF570&lt;=10,"0-10",AF570&lt;=20,"10-20",AF570&lt;=30,"20-30",TRUE,"30+")</f>
        <v>0-10</v>
      </c>
      <c r="AO570" t="str" cm="1">
        <f t="array" ref="AO570">_xlfn.IFS(Y570=1,"Poor",Y570=2,"Average",Y570=3,"Good",TRUE,"Excellent")</f>
        <v>Good</v>
      </c>
      <c r="AP570" t="str" cm="1">
        <f t="array" ref="AP570">_xlfn.IFS(Q570=1,"Low",Q570=2,"Medium",Q570=3,"High",TRUE,"Very High")</f>
        <v>Low</v>
      </c>
    </row>
    <row r="571" spans="1:42" x14ac:dyDescent="0.25">
      <c r="A571">
        <v>36</v>
      </c>
      <c r="B571" t="s">
        <v>42</v>
      </c>
      <c r="C571" t="s">
        <v>53</v>
      </c>
      <c r="D571">
        <v>1434</v>
      </c>
      <c r="E571" t="s">
        <v>36</v>
      </c>
      <c r="F571">
        <v>8</v>
      </c>
      <c r="G571">
        <v>4</v>
      </c>
      <c r="H571" t="s">
        <v>37</v>
      </c>
      <c r="I571">
        <v>1</v>
      </c>
      <c r="J571">
        <v>789</v>
      </c>
      <c r="K571">
        <v>1</v>
      </c>
      <c r="L571" t="s">
        <v>44</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c r="AJ571">
        <f t="shared" si="8"/>
        <v>0</v>
      </c>
      <c r="AK571" t="str" cm="1">
        <f t="array" ref="AK571">_xlfn.IFS(A571&lt;=30,"18-30",A571&lt;=45,"31-45",A571&lt;=60,"46-60",TRUE, "60+")</f>
        <v>31-45</v>
      </c>
      <c r="AL571" t="str" cm="1">
        <f t="array" ref="AL571">_xlfn.IFS(F571&lt;=10,"0-10",F571&lt;=20,"11-20",TRUE,"20+")</f>
        <v>0-10</v>
      </c>
      <c r="AM571" t="str" cm="1">
        <f t="array" ref="AM571">_xlfn.IFS(S571&lt;=5000,"0-5k",S571&lt;=10000,"5k-10k",S571&lt;=15000,"10k-15k",TRUE,"15k+")</f>
        <v>5k-10k</v>
      </c>
      <c r="AN571" t="str" cm="1">
        <f t="array" ref="AN571">_xlfn.IFS(AF571&lt;=10,"0-10",AF571&lt;=20,"10-20",AF571&lt;=30,"20-30",TRUE,"30+")</f>
        <v>0-10</v>
      </c>
      <c r="AO571" t="str" cm="1">
        <f t="array" ref="AO571">_xlfn.IFS(Y571=1,"Poor",Y571=2,"Average",Y571=3,"Good",TRUE,"Excellent")</f>
        <v>Good</v>
      </c>
      <c r="AP571" t="str" cm="1">
        <f t="array" ref="AP571">_xlfn.IFS(Q571=1,"Low",Q571=2,"Medium",Q571=3,"High",TRUE,"Very High")</f>
        <v>Low</v>
      </c>
    </row>
    <row r="572" spans="1:42" x14ac:dyDescent="0.25">
      <c r="A572">
        <v>52</v>
      </c>
      <c r="B572" t="s">
        <v>42</v>
      </c>
      <c r="C572" t="s">
        <v>53</v>
      </c>
      <c r="D572">
        <v>715</v>
      </c>
      <c r="E572" t="s">
        <v>43</v>
      </c>
      <c r="F572">
        <v>19</v>
      </c>
      <c r="G572">
        <v>4</v>
      </c>
      <c r="H572" t="s">
        <v>49</v>
      </c>
      <c r="I572">
        <v>1</v>
      </c>
      <c r="J572">
        <v>791</v>
      </c>
      <c r="K572">
        <v>4</v>
      </c>
      <c r="L572" t="s">
        <v>44</v>
      </c>
      <c r="M572">
        <v>41</v>
      </c>
      <c r="N572">
        <v>3</v>
      </c>
      <c r="O572">
        <v>1</v>
      </c>
      <c r="P572" t="s">
        <v>45</v>
      </c>
      <c r="Q572">
        <v>4</v>
      </c>
      <c r="R572" t="s">
        <v>46</v>
      </c>
      <c r="S572">
        <v>4258</v>
      </c>
      <c r="T572">
        <v>26589</v>
      </c>
      <c r="U572">
        <v>0</v>
      </c>
      <c r="V572" t="s">
        <v>41</v>
      </c>
      <c r="W572" t="s">
        <v>42</v>
      </c>
      <c r="X572">
        <v>18</v>
      </c>
      <c r="Y572">
        <v>3</v>
      </c>
      <c r="Z572">
        <v>1</v>
      </c>
      <c r="AA572">
        <v>80</v>
      </c>
      <c r="AB572">
        <v>1</v>
      </c>
      <c r="AC572">
        <v>5</v>
      </c>
      <c r="AD572">
        <v>3</v>
      </c>
      <c r="AE572">
        <v>3</v>
      </c>
      <c r="AF572">
        <v>4</v>
      </c>
      <c r="AG572">
        <v>3</v>
      </c>
      <c r="AH572">
        <v>1</v>
      </c>
      <c r="AI572">
        <v>2</v>
      </c>
      <c r="AJ572">
        <f t="shared" si="8"/>
        <v>0</v>
      </c>
      <c r="AK572" t="str" cm="1">
        <f t="array" ref="AK572">_xlfn.IFS(A572&lt;=30,"18-30",A572&lt;=45,"31-45",A572&lt;=60,"46-60",TRUE, "60+")</f>
        <v>46-60</v>
      </c>
      <c r="AL572" t="str" cm="1">
        <f t="array" ref="AL572">_xlfn.IFS(F572&lt;=10,"0-10",F572&lt;=20,"11-20",TRUE,"20+")</f>
        <v>11-20</v>
      </c>
      <c r="AM572" t="str" cm="1">
        <f t="array" ref="AM572">_xlfn.IFS(S572&lt;=5000,"0-5k",S572&lt;=10000,"5k-10k",S572&lt;=15000,"10k-15k",TRUE,"15k+")</f>
        <v>0-5k</v>
      </c>
      <c r="AN572" t="str" cm="1">
        <f t="array" ref="AN572">_xlfn.IFS(AF572&lt;=10,"0-10",AF572&lt;=20,"10-20",AF572&lt;=30,"20-30",TRUE,"30+")</f>
        <v>0-10</v>
      </c>
      <c r="AO572" t="str" cm="1">
        <f t="array" ref="AO572">_xlfn.IFS(Y572=1,"Poor",Y572=2,"Average",Y572=3,"Good",TRUE,"Excellent")</f>
        <v>Good</v>
      </c>
      <c r="AP572" t="str" cm="1">
        <f t="array" ref="AP572">_xlfn.IFS(Q572=1,"Low",Q572=2,"Medium",Q572=3,"High",TRUE,"Very High")</f>
        <v>Very High</v>
      </c>
    </row>
    <row r="573" spans="1:42" x14ac:dyDescent="0.25">
      <c r="A573">
        <v>26</v>
      </c>
      <c r="B573" t="s">
        <v>42</v>
      </c>
      <c r="C573" t="s">
        <v>91</v>
      </c>
      <c r="D573">
        <v>575</v>
      </c>
      <c r="E573" t="s">
        <v>43</v>
      </c>
      <c r="F573">
        <v>1</v>
      </c>
      <c r="G573">
        <v>2</v>
      </c>
      <c r="H573" t="s">
        <v>37</v>
      </c>
      <c r="I573">
        <v>1</v>
      </c>
      <c r="J573">
        <v>792</v>
      </c>
      <c r="K573">
        <v>1</v>
      </c>
      <c r="L573" t="s">
        <v>38</v>
      </c>
      <c r="M573">
        <v>71</v>
      </c>
      <c r="N573">
        <v>1</v>
      </c>
      <c r="O573">
        <v>1</v>
      </c>
      <c r="P573" t="s">
        <v>48</v>
      </c>
      <c r="Q573">
        <v>4</v>
      </c>
      <c r="R573" t="s">
        <v>50</v>
      </c>
      <c r="S573">
        <v>4364</v>
      </c>
      <c r="T573">
        <v>5288</v>
      </c>
      <c r="U573">
        <v>3</v>
      </c>
      <c r="V573" t="s">
        <v>41</v>
      </c>
      <c r="W573" t="s">
        <v>42</v>
      </c>
      <c r="X573">
        <v>14</v>
      </c>
      <c r="Y573">
        <v>3</v>
      </c>
      <c r="Z573">
        <v>1</v>
      </c>
      <c r="AA573">
        <v>80</v>
      </c>
      <c r="AB573">
        <v>1</v>
      </c>
      <c r="AC573">
        <v>5</v>
      </c>
      <c r="AD573">
        <v>2</v>
      </c>
      <c r="AE573">
        <v>3</v>
      </c>
      <c r="AF573">
        <v>2</v>
      </c>
      <c r="AG573">
        <v>2</v>
      </c>
      <c r="AH573">
        <v>2</v>
      </c>
      <c r="AI573">
        <v>0</v>
      </c>
      <c r="AJ573">
        <f t="shared" si="8"/>
        <v>0</v>
      </c>
      <c r="AK573" t="str" cm="1">
        <f t="array" ref="AK573">_xlfn.IFS(A573&lt;=30,"18-30",A573&lt;=45,"31-45",A573&lt;=60,"46-60",TRUE, "60+")</f>
        <v>18-30</v>
      </c>
      <c r="AL573" t="str" cm="1">
        <f t="array" ref="AL573">_xlfn.IFS(F573&lt;=10,"0-10",F573&lt;=20,"11-20",TRUE,"20+")</f>
        <v>0-10</v>
      </c>
      <c r="AM573" t="str" cm="1">
        <f t="array" ref="AM573">_xlfn.IFS(S573&lt;=5000,"0-5k",S573&lt;=10000,"5k-10k",S573&lt;=15000,"10k-15k",TRUE,"15k+")</f>
        <v>0-5k</v>
      </c>
      <c r="AN573" t="str" cm="1">
        <f t="array" ref="AN573">_xlfn.IFS(AF573&lt;=10,"0-10",AF573&lt;=20,"10-20",AF573&lt;=30,"20-30",TRUE,"30+")</f>
        <v>0-10</v>
      </c>
      <c r="AO573" t="str" cm="1">
        <f t="array" ref="AO573">_xlfn.IFS(Y573=1,"Poor",Y573=2,"Average",Y573=3,"Good",TRUE,"Excellent")</f>
        <v>Good</v>
      </c>
      <c r="AP573" t="str" cm="1">
        <f t="array" ref="AP573">_xlfn.IFS(Q573=1,"Low",Q573=2,"Medium",Q573=3,"High",TRUE,"Very High")</f>
        <v>Very High</v>
      </c>
    </row>
    <row r="574" spans="1:42" x14ac:dyDescent="0.25">
      <c r="A574">
        <v>29</v>
      </c>
      <c r="B574" t="s">
        <v>42</v>
      </c>
      <c r="C574" t="s">
        <v>90</v>
      </c>
      <c r="D574">
        <v>657</v>
      </c>
      <c r="E574" t="s">
        <v>43</v>
      </c>
      <c r="F574">
        <v>27</v>
      </c>
      <c r="G574">
        <v>3</v>
      </c>
      <c r="H574" t="s">
        <v>49</v>
      </c>
      <c r="I574">
        <v>1</v>
      </c>
      <c r="J574">
        <v>793</v>
      </c>
      <c r="K574">
        <v>2</v>
      </c>
      <c r="L574" t="s">
        <v>38</v>
      </c>
      <c r="M574">
        <v>66</v>
      </c>
      <c r="N574">
        <v>3</v>
      </c>
      <c r="O574">
        <v>2</v>
      </c>
      <c r="P574" t="s">
        <v>52</v>
      </c>
      <c r="Q574">
        <v>3</v>
      </c>
      <c r="R574" t="s">
        <v>46</v>
      </c>
      <c r="S574">
        <v>4335</v>
      </c>
      <c r="T574">
        <v>25549</v>
      </c>
      <c r="U574">
        <v>4</v>
      </c>
      <c r="V574" t="s">
        <v>41</v>
      </c>
      <c r="W574" t="s">
        <v>42</v>
      </c>
      <c r="X574">
        <v>12</v>
      </c>
      <c r="Y574">
        <v>3</v>
      </c>
      <c r="Z574">
        <v>1</v>
      </c>
      <c r="AA574">
        <v>80</v>
      </c>
      <c r="AB574">
        <v>1</v>
      </c>
      <c r="AC574">
        <v>11</v>
      </c>
      <c r="AD574">
        <v>3</v>
      </c>
      <c r="AE574">
        <v>2</v>
      </c>
      <c r="AF574">
        <v>8</v>
      </c>
      <c r="AG574">
        <v>7</v>
      </c>
      <c r="AH574">
        <v>1</v>
      </c>
      <c r="AI574">
        <v>1</v>
      </c>
      <c r="AJ574">
        <f t="shared" si="8"/>
        <v>0</v>
      </c>
      <c r="AK574" t="str" cm="1">
        <f t="array" ref="AK574">_xlfn.IFS(A574&lt;=30,"18-30",A574&lt;=45,"31-45",A574&lt;=60,"46-60",TRUE, "60+")</f>
        <v>18-30</v>
      </c>
      <c r="AL574" t="str" cm="1">
        <f t="array" ref="AL574">_xlfn.IFS(F574&lt;=10,"0-10",F574&lt;=20,"11-20",TRUE,"20+")</f>
        <v>20+</v>
      </c>
      <c r="AM574" t="str" cm="1">
        <f t="array" ref="AM574">_xlfn.IFS(S574&lt;=5000,"0-5k",S574&lt;=10000,"5k-10k",S574&lt;=15000,"10k-15k",TRUE,"15k+")</f>
        <v>0-5k</v>
      </c>
      <c r="AN574" t="str" cm="1">
        <f t="array" ref="AN574">_xlfn.IFS(AF574&lt;=10,"0-10",AF574&lt;=20,"10-20",AF574&lt;=30,"20-30",TRUE,"30+")</f>
        <v>0-10</v>
      </c>
      <c r="AO574" t="str" cm="1">
        <f t="array" ref="AO574">_xlfn.IFS(Y574=1,"Poor",Y574=2,"Average",Y574=3,"Good",TRUE,"Excellent")</f>
        <v>Good</v>
      </c>
      <c r="AP574" t="str" cm="1">
        <f t="array" ref="AP574">_xlfn.IFS(Q574=1,"Low",Q574=2,"Medium",Q574=3,"High",TRUE,"Very High")</f>
        <v>High</v>
      </c>
    </row>
    <row r="575" spans="1:42" x14ac:dyDescent="0.25">
      <c r="A575">
        <v>26</v>
      </c>
      <c r="B575" t="s">
        <v>35</v>
      </c>
      <c r="C575" t="s">
        <v>90</v>
      </c>
      <c r="D575">
        <v>1146</v>
      </c>
      <c r="E575" t="s">
        <v>36</v>
      </c>
      <c r="F575">
        <v>8</v>
      </c>
      <c r="G575">
        <v>3</v>
      </c>
      <c r="H575" t="s">
        <v>58</v>
      </c>
      <c r="I575">
        <v>1</v>
      </c>
      <c r="J575">
        <v>796</v>
      </c>
      <c r="K575">
        <v>4</v>
      </c>
      <c r="L575" t="s">
        <v>44</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c r="AJ575">
        <f t="shared" si="8"/>
        <v>1</v>
      </c>
      <c r="AK575" t="str" cm="1">
        <f t="array" ref="AK575">_xlfn.IFS(A575&lt;=30,"18-30",A575&lt;=45,"31-45",A575&lt;=60,"46-60",TRUE, "60+")</f>
        <v>18-30</v>
      </c>
      <c r="AL575" t="str" cm="1">
        <f t="array" ref="AL575">_xlfn.IFS(F575&lt;=10,"0-10",F575&lt;=20,"11-20",TRUE,"20+")</f>
        <v>0-10</v>
      </c>
      <c r="AM575" t="str" cm="1">
        <f t="array" ref="AM575">_xlfn.IFS(S575&lt;=5000,"0-5k",S575&lt;=10000,"5k-10k",S575&lt;=15000,"10k-15k",TRUE,"15k+")</f>
        <v>5k-10k</v>
      </c>
      <c r="AN575" t="str" cm="1">
        <f t="array" ref="AN575">_xlfn.IFS(AF575&lt;=10,"0-10",AF575&lt;=20,"10-20",AF575&lt;=30,"20-30",TRUE,"30+")</f>
        <v>0-10</v>
      </c>
      <c r="AO575" t="str" cm="1">
        <f t="array" ref="AO575">_xlfn.IFS(Y575=1,"Poor",Y575=2,"Average",Y575=3,"Good",TRUE,"Excellent")</f>
        <v>Good</v>
      </c>
      <c r="AP575" t="str" cm="1">
        <f t="array" ref="AP575">_xlfn.IFS(Q575=1,"Low",Q575=2,"Medium",Q575=3,"High",TRUE,"Very High")</f>
        <v>Low</v>
      </c>
    </row>
    <row r="576" spans="1:42" x14ac:dyDescent="0.25">
      <c r="A576">
        <v>34</v>
      </c>
      <c r="B576" t="s">
        <v>42</v>
      </c>
      <c r="C576" t="s">
        <v>90</v>
      </c>
      <c r="D576">
        <v>182</v>
      </c>
      <c r="E576" t="s">
        <v>43</v>
      </c>
      <c r="F576">
        <v>1</v>
      </c>
      <c r="G576">
        <v>4</v>
      </c>
      <c r="H576" t="s">
        <v>37</v>
      </c>
      <c r="I576">
        <v>1</v>
      </c>
      <c r="J576">
        <v>797</v>
      </c>
      <c r="K576">
        <v>2</v>
      </c>
      <c r="L576" t="s">
        <v>38</v>
      </c>
      <c r="M576">
        <v>72</v>
      </c>
      <c r="N576">
        <v>4</v>
      </c>
      <c r="O576">
        <v>1</v>
      </c>
      <c r="P576" t="s">
        <v>45</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c r="AJ576">
        <f t="shared" si="8"/>
        <v>0</v>
      </c>
      <c r="AK576" t="str" cm="1">
        <f t="array" ref="AK576">_xlfn.IFS(A576&lt;=30,"18-30",A576&lt;=45,"31-45",A576&lt;=60,"46-60",TRUE, "60+")</f>
        <v>31-45</v>
      </c>
      <c r="AL576" t="str" cm="1">
        <f t="array" ref="AL576">_xlfn.IFS(F576&lt;=10,"0-10",F576&lt;=20,"11-20",TRUE,"20+")</f>
        <v>0-10</v>
      </c>
      <c r="AM576" t="str" cm="1">
        <f t="array" ref="AM576">_xlfn.IFS(S576&lt;=5000,"0-5k",S576&lt;=10000,"5k-10k",S576&lt;=15000,"10k-15k",TRUE,"15k+")</f>
        <v>0-5k</v>
      </c>
      <c r="AN576" t="str" cm="1">
        <f t="array" ref="AN576">_xlfn.IFS(AF576&lt;=10,"0-10",AF576&lt;=20,"10-20",AF576&lt;=30,"20-30",TRUE,"30+")</f>
        <v>0-10</v>
      </c>
      <c r="AO576" t="str" cm="1">
        <f t="array" ref="AO576">_xlfn.IFS(Y576=1,"Poor",Y576=2,"Average",Y576=3,"Good",TRUE,"Excellent")</f>
        <v>Good</v>
      </c>
      <c r="AP576" t="str" cm="1">
        <f t="array" ref="AP576">_xlfn.IFS(Q576=1,"Low",Q576=2,"Medium",Q576=3,"High",TRUE,"Very High")</f>
        <v>Very High</v>
      </c>
    </row>
    <row r="577" spans="1:42" x14ac:dyDescent="0.25">
      <c r="A577">
        <v>54</v>
      </c>
      <c r="B577" t="s">
        <v>42</v>
      </c>
      <c r="C577" t="s">
        <v>90</v>
      </c>
      <c r="D577">
        <v>376</v>
      </c>
      <c r="E577" t="s">
        <v>43</v>
      </c>
      <c r="F577">
        <v>19</v>
      </c>
      <c r="G577">
        <v>4</v>
      </c>
      <c r="H577" t="s">
        <v>49</v>
      </c>
      <c r="I577">
        <v>1</v>
      </c>
      <c r="J577">
        <v>799</v>
      </c>
      <c r="K577">
        <v>4</v>
      </c>
      <c r="L577" t="s">
        <v>38</v>
      </c>
      <c r="M577">
        <v>95</v>
      </c>
      <c r="N577">
        <v>3</v>
      </c>
      <c r="O577">
        <v>2</v>
      </c>
      <c r="P577" t="s">
        <v>51</v>
      </c>
      <c r="Q577">
        <v>1</v>
      </c>
      <c r="R577" t="s">
        <v>50</v>
      </c>
      <c r="S577">
        <v>5485</v>
      </c>
      <c r="T577">
        <v>22670</v>
      </c>
      <c r="U577">
        <v>9</v>
      </c>
      <c r="V577" t="s">
        <v>41</v>
      </c>
      <c r="W577" t="s">
        <v>35</v>
      </c>
      <c r="X577">
        <v>11</v>
      </c>
      <c r="Y577">
        <v>3</v>
      </c>
      <c r="Z577">
        <v>2</v>
      </c>
      <c r="AA577">
        <v>80</v>
      </c>
      <c r="AB577">
        <v>2</v>
      </c>
      <c r="AC577">
        <v>9</v>
      </c>
      <c r="AD577">
        <v>4</v>
      </c>
      <c r="AE577">
        <v>3</v>
      </c>
      <c r="AF577">
        <v>5</v>
      </c>
      <c r="AG577">
        <v>3</v>
      </c>
      <c r="AH577">
        <v>1</v>
      </c>
      <c r="AI577">
        <v>4</v>
      </c>
      <c r="AJ577">
        <f t="shared" si="8"/>
        <v>0</v>
      </c>
      <c r="AK577" t="str" cm="1">
        <f t="array" ref="AK577">_xlfn.IFS(A577&lt;=30,"18-30",A577&lt;=45,"31-45",A577&lt;=60,"46-60",TRUE, "60+")</f>
        <v>46-60</v>
      </c>
      <c r="AL577" t="str" cm="1">
        <f t="array" ref="AL577">_xlfn.IFS(F577&lt;=10,"0-10",F577&lt;=20,"11-20",TRUE,"20+")</f>
        <v>11-20</v>
      </c>
      <c r="AM577" t="str" cm="1">
        <f t="array" ref="AM577">_xlfn.IFS(S577&lt;=5000,"0-5k",S577&lt;=10000,"5k-10k",S577&lt;=15000,"10k-15k",TRUE,"15k+")</f>
        <v>5k-10k</v>
      </c>
      <c r="AN577" t="str" cm="1">
        <f t="array" ref="AN577">_xlfn.IFS(AF577&lt;=10,"0-10",AF577&lt;=20,"10-20",AF577&lt;=30,"20-30",TRUE,"30+")</f>
        <v>0-10</v>
      </c>
      <c r="AO577" t="str" cm="1">
        <f t="array" ref="AO577">_xlfn.IFS(Y577=1,"Poor",Y577=2,"Average",Y577=3,"Good",TRUE,"Excellent")</f>
        <v>Good</v>
      </c>
      <c r="AP577" t="str" cm="1">
        <f t="array" ref="AP577">_xlfn.IFS(Q577=1,"Low",Q577=2,"Medium",Q577=3,"High",TRUE,"Very High")</f>
        <v>Low</v>
      </c>
    </row>
    <row r="578" spans="1:42" x14ac:dyDescent="0.25">
      <c r="A578">
        <v>27</v>
      </c>
      <c r="B578" t="s">
        <v>42</v>
      </c>
      <c r="C578" t="s">
        <v>91</v>
      </c>
      <c r="D578">
        <v>829</v>
      </c>
      <c r="E578" t="s">
        <v>36</v>
      </c>
      <c r="F578">
        <v>8</v>
      </c>
      <c r="G578">
        <v>1</v>
      </c>
      <c r="H578" t="s">
        <v>57</v>
      </c>
      <c r="I578">
        <v>1</v>
      </c>
      <c r="J578">
        <v>800</v>
      </c>
      <c r="K578">
        <v>3</v>
      </c>
      <c r="L578" t="s">
        <v>44</v>
      </c>
      <c r="M578">
        <v>84</v>
      </c>
      <c r="N578">
        <v>3</v>
      </c>
      <c r="O578">
        <v>2</v>
      </c>
      <c r="P578" t="s">
        <v>39</v>
      </c>
      <c r="Q578">
        <v>4</v>
      </c>
      <c r="R578" t="s">
        <v>46</v>
      </c>
      <c r="S578">
        <v>4342</v>
      </c>
      <c r="T578">
        <v>24008</v>
      </c>
      <c r="U578">
        <v>0</v>
      </c>
      <c r="V578" t="s">
        <v>41</v>
      </c>
      <c r="W578" t="s">
        <v>42</v>
      </c>
      <c r="X578">
        <v>19</v>
      </c>
      <c r="Y578">
        <v>3</v>
      </c>
      <c r="Z578">
        <v>2</v>
      </c>
      <c r="AA578">
        <v>80</v>
      </c>
      <c r="AB578">
        <v>1</v>
      </c>
      <c r="AC578">
        <v>5</v>
      </c>
      <c r="AD578">
        <v>3</v>
      </c>
      <c r="AE578">
        <v>3</v>
      </c>
      <c r="AF578">
        <v>4</v>
      </c>
      <c r="AG578">
        <v>2</v>
      </c>
      <c r="AH578">
        <v>1</v>
      </c>
      <c r="AI578">
        <v>1</v>
      </c>
      <c r="AJ578">
        <f t="shared" ref="AJ578:AJ641" si="9">IF(B578="yes",1,0)</f>
        <v>0</v>
      </c>
      <c r="AK578" t="str" cm="1">
        <f t="array" ref="AK578">_xlfn.IFS(A578&lt;=30,"18-30",A578&lt;=45,"31-45",A578&lt;=60,"46-60",TRUE, "60+")</f>
        <v>18-30</v>
      </c>
      <c r="AL578" t="str" cm="1">
        <f t="array" ref="AL578">_xlfn.IFS(F578&lt;=10,"0-10",F578&lt;=20,"11-20",TRUE,"20+")</f>
        <v>0-10</v>
      </c>
      <c r="AM578" t="str" cm="1">
        <f t="array" ref="AM578">_xlfn.IFS(S578&lt;=5000,"0-5k",S578&lt;=10000,"5k-10k",S578&lt;=15000,"10k-15k",TRUE,"15k+")</f>
        <v>0-5k</v>
      </c>
      <c r="AN578" t="str" cm="1">
        <f t="array" ref="AN578">_xlfn.IFS(AF578&lt;=10,"0-10",AF578&lt;=20,"10-20",AF578&lt;=30,"20-30",TRUE,"30+")</f>
        <v>0-10</v>
      </c>
      <c r="AO578" t="str" cm="1">
        <f t="array" ref="AO578">_xlfn.IFS(Y578=1,"Poor",Y578=2,"Average",Y578=3,"Good",TRUE,"Excellent")</f>
        <v>Good</v>
      </c>
      <c r="AP578" t="str" cm="1">
        <f t="array" ref="AP578">_xlfn.IFS(Q578=1,"Low",Q578=2,"Medium",Q578=3,"High",TRUE,"Very High")</f>
        <v>Very High</v>
      </c>
    </row>
    <row r="579" spans="1:42" x14ac:dyDescent="0.25">
      <c r="A579">
        <v>37</v>
      </c>
      <c r="B579" t="s">
        <v>42</v>
      </c>
      <c r="C579" t="s">
        <v>90</v>
      </c>
      <c r="D579">
        <v>571</v>
      </c>
      <c r="E579" t="s">
        <v>43</v>
      </c>
      <c r="F579">
        <v>10</v>
      </c>
      <c r="G579">
        <v>1</v>
      </c>
      <c r="H579" t="s">
        <v>37</v>
      </c>
      <c r="I579">
        <v>1</v>
      </c>
      <c r="J579">
        <v>802</v>
      </c>
      <c r="K579">
        <v>4</v>
      </c>
      <c r="L579" t="s">
        <v>38</v>
      </c>
      <c r="M579">
        <v>82</v>
      </c>
      <c r="N579">
        <v>3</v>
      </c>
      <c r="O579">
        <v>1</v>
      </c>
      <c r="P579" t="s">
        <v>45</v>
      </c>
      <c r="Q579">
        <v>1</v>
      </c>
      <c r="R579" t="s">
        <v>50</v>
      </c>
      <c r="S579">
        <v>2782</v>
      </c>
      <c r="T579">
        <v>19905</v>
      </c>
      <c r="U579">
        <v>0</v>
      </c>
      <c r="V579" t="s">
        <v>41</v>
      </c>
      <c r="W579" t="s">
        <v>35</v>
      </c>
      <c r="X579">
        <v>13</v>
      </c>
      <c r="Y579">
        <v>3</v>
      </c>
      <c r="Z579">
        <v>2</v>
      </c>
      <c r="AA579">
        <v>80</v>
      </c>
      <c r="AB579">
        <v>2</v>
      </c>
      <c r="AC579">
        <v>6</v>
      </c>
      <c r="AD579">
        <v>3</v>
      </c>
      <c r="AE579">
        <v>2</v>
      </c>
      <c r="AF579">
        <v>5</v>
      </c>
      <c r="AG579">
        <v>3</v>
      </c>
      <c r="AH579">
        <v>4</v>
      </c>
      <c r="AI579">
        <v>3</v>
      </c>
      <c r="AJ579">
        <f t="shared" si="9"/>
        <v>0</v>
      </c>
      <c r="AK579" t="str" cm="1">
        <f t="array" ref="AK579">_xlfn.IFS(A579&lt;=30,"18-30",A579&lt;=45,"31-45",A579&lt;=60,"46-60",TRUE, "60+")</f>
        <v>31-45</v>
      </c>
      <c r="AL579" t="str" cm="1">
        <f t="array" ref="AL579">_xlfn.IFS(F579&lt;=10,"0-10",F579&lt;=20,"11-20",TRUE,"20+")</f>
        <v>0-10</v>
      </c>
      <c r="AM579" t="str" cm="1">
        <f t="array" ref="AM579">_xlfn.IFS(S579&lt;=5000,"0-5k",S579&lt;=10000,"5k-10k",S579&lt;=15000,"10k-15k",TRUE,"15k+")</f>
        <v>0-5k</v>
      </c>
      <c r="AN579" t="str" cm="1">
        <f t="array" ref="AN579">_xlfn.IFS(AF579&lt;=10,"0-10",AF579&lt;=20,"10-20",AF579&lt;=30,"20-30",TRUE,"30+")</f>
        <v>0-10</v>
      </c>
      <c r="AO579" t="str" cm="1">
        <f t="array" ref="AO579">_xlfn.IFS(Y579=1,"Poor",Y579=2,"Average",Y579=3,"Good",TRUE,"Excellent")</f>
        <v>Good</v>
      </c>
      <c r="AP579" t="str" cm="1">
        <f t="array" ref="AP579">_xlfn.IFS(Q579=1,"Low",Q579=2,"Medium",Q579=3,"High",TRUE,"Very High")</f>
        <v>Low</v>
      </c>
    </row>
    <row r="580" spans="1:42" x14ac:dyDescent="0.25">
      <c r="A580">
        <v>38</v>
      </c>
      <c r="B580" t="s">
        <v>42</v>
      </c>
      <c r="C580" t="s">
        <v>91</v>
      </c>
      <c r="D580">
        <v>240</v>
      </c>
      <c r="E580" t="s">
        <v>43</v>
      </c>
      <c r="F580">
        <v>2</v>
      </c>
      <c r="G580">
        <v>4</v>
      </c>
      <c r="H580" t="s">
        <v>37</v>
      </c>
      <c r="I580">
        <v>1</v>
      </c>
      <c r="J580">
        <v>803</v>
      </c>
      <c r="K580">
        <v>1</v>
      </c>
      <c r="L580" t="s">
        <v>38</v>
      </c>
      <c r="M580">
        <v>75</v>
      </c>
      <c r="N580">
        <v>4</v>
      </c>
      <c r="O580">
        <v>2</v>
      </c>
      <c r="P580" t="s">
        <v>51</v>
      </c>
      <c r="Q580">
        <v>1</v>
      </c>
      <c r="R580" t="s">
        <v>40</v>
      </c>
      <c r="S580">
        <v>5980</v>
      </c>
      <c r="T580">
        <v>26085</v>
      </c>
      <c r="U580">
        <v>6</v>
      </c>
      <c r="V580" t="s">
        <v>41</v>
      </c>
      <c r="W580" t="s">
        <v>35</v>
      </c>
      <c r="X580">
        <v>12</v>
      </c>
      <c r="Y580">
        <v>3</v>
      </c>
      <c r="Z580">
        <v>4</v>
      </c>
      <c r="AA580">
        <v>80</v>
      </c>
      <c r="AB580">
        <v>0</v>
      </c>
      <c r="AC580">
        <v>17</v>
      </c>
      <c r="AD580">
        <v>2</v>
      </c>
      <c r="AE580">
        <v>3</v>
      </c>
      <c r="AF580">
        <v>15</v>
      </c>
      <c r="AG580">
        <v>7</v>
      </c>
      <c r="AH580">
        <v>4</v>
      </c>
      <c r="AI580">
        <v>12</v>
      </c>
      <c r="AJ580">
        <f t="shared" si="9"/>
        <v>0</v>
      </c>
      <c r="AK580" t="str" cm="1">
        <f t="array" ref="AK580">_xlfn.IFS(A580&lt;=30,"18-30",A580&lt;=45,"31-45",A580&lt;=60,"46-60",TRUE, "60+")</f>
        <v>31-45</v>
      </c>
      <c r="AL580" t="str" cm="1">
        <f t="array" ref="AL580">_xlfn.IFS(F580&lt;=10,"0-10",F580&lt;=20,"11-20",TRUE,"20+")</f>
        <v>0-10</v>
      </c>
      <c r="AM580" t="str" cm="1">
        <f t="array" ref="AM580">_xlfn.IFS(S580&lt;=5000,"0-5k",S580&lt;=10000,"5k-10k",S580&lt;=15000,"10k-15k",TRUE,"15k+")</f>
        <v>5k-10k</v>
      </c>
      <c r="AN580" t="str" cm="1">
        <f t="array" ref="AN580">_xlfn.IFS(AF580&lt;=10,"0-10",AF580&lt;=20,"10-20",AF580&lt;=30,"20-30",TRUE,"30+")</f>
        <v>10-20</v>
      </c>
      <c r="AO580" t="str" cm="1">
        <f t="array" ref="AO580">_xlfn.IFS(Y580=1,"Poor",Y580=2,"Average",Y580=3,"Good",TRUE,"Excellent")</f>
        <v>Good</v>
      </c>
      <c r="AP580" t="str" cm="1">
        <f t="array" ref="AP580">_xlfn.IFS(Q580=1,"Low",Q580=2,"Medium",Q580=3,"High",TRUE,"Very High")</f>
        <v>Low</v>
      </c>
    </row>
    <row r="581" spans="1:42" x14ac:dyDescent="0.25">
      <c r="A581">
        <v>34</v>
      </c>
      <c r="B581" t="s">
        <v>42</v>
      </c>
      <c r="C581" t="s">
        <v>90</v>
      </c>
      <c r="D581">
        <v>121</v>
      </c>
      <c r="E581" t="s">
        <v>43</v>
      </c>
      <c r="F581">
        <v>2</v>
      </c>
      <c r="G581">
        <v>4</v>
      </c>
      <c r="H581" t="s">
        <v>49</v>
      </c>
      <c r="I581">
        <v>1</v>
      </c>
      <c r="J581">
        <v>804</v>
      </c>
      <c r="K581">
        <v>3</v>
      </c>
      <c r="L581" t="s">
        <v>38</v>
      </c>
      <c r="M581">
        <v>86</v>
      </c>
      <c r="N581">
        <v>2</v>
      </c>
      <c r="O581">
        <v>1</v>
      </c>
      <c r="P581" t="s">
        <v>45</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c r="AJ581">
        <f t="shared" si="9"/>
        <v>0</v>
      </c>
      <c r="AK581" t="str" cm="1">
        <f t="array" ref="AK581">_xlfn.IFS(A581&lt;=30,"18-30",A581&lt;=45,"31-45",A581&lt;=60,"46-60",TRUE, "60+")</f>
        <v>31-45</v>
      </c>
      <c r="AL581" t="str" cm="1">
        <f t="array" ref="AL581">_xlfn.IFS(F581&lt;=10,"0-10",F581&lt;=20,"11-20",TRUE,"20+")</f>
        <v>0-10</v>
      </c>
      <c r="AM581" t="str" cm="1">
        <f t="array" ref="AM581">_xlfn.IFS(S581&lt;=5000,"0-5k",S581&lt;=10000,"5k-10k",S581&lt;=15000,"10k-15k",TRUE,"15k+")</f>
        <v>0-5k</v>
      </c>
      <c r="AN581" t="str" cm="1">
        <f t="array" ref="AN581">_xlfn.IFS(AF581&lt;=10,"0-10",AF581&lt;=20,"10-20",AF581&lt;=30,"20-30",TRUE,"30+")</f>
        <v>0-10</v>
      </c>
      <c r="AO581" t="str" cm="1">
        <f t="array" ref="AO581">_xlfn.IFS(Y581=1,"Poor",Y581=2,"Average",Y581=3,"Good",TRUE,"Excellent")</f>
        <v>Good</v>
      </c>
      <c r="AP581" t="str" cm="1">
        <f t="array" ref="AP581">_xlfn.IFS(Q581=1,"Low",Q581=2,"Medium",Q581=3,"High",TRUE,"Very High")</f>
        <v>Low</v>
      </c>
    </row>
    <row r="582" spans="1:42" x14ac:dyDescent="0.25">
      <c r="A582">
        <v>35</v>
      </c>
      <c r="B582" t="s">
        <v>42</v>
      </c>
      <c r="C582" t="s">
        <v>90</v>
      </c>
      <c r="D582">
        <v>384</v>
      </c>
      <c r="E582" t="s">
        <v>36</v>
      </c>
      <c r="F582">
        <v>8</v>
      </c>
      <c r="G582">
        <v>4</v>
      </c>
      <c r="H582" t="s">
        <v>37</v>
      </c>
      <c r="I582">
        <v>1</v>
      </c>
      <c r="J582">
        <v>805</v>
      </c>
      <c r="K582">
        <v>1</v>
      </c>
      <c r="L582" t="s">
        <v>38</v>
      </c>
      <c r="M582">
        <v>72</v>
      </c>
      <c r="N582">
        <v>3</v>
      </c>
      <c r="O582">
        <v>1</v>
      </c>
      <c r="P582" t="s">
        <v>55</v>
      </c>
      <c r="Q582">
        <v>4</v>
      </c>
      <c r="R582" t="s">
        <v>46</v>
      </c>
      <c r="S582">
        <v>2572</v>
      </c>
      <c r="T582">
        <v>20317</v>
      </c>
      <c r="U582">
        <v>1</v>
      </c>
      <c r="V582" t="s">
        <v>41</v>
      </c>
      <c r="W582" t="s">
        <v>42</v>
      </c>
      <c r="X582">
        <v>16</v>
      </c>
      <c r="Y582">
        <v>3</v>
      </c>
      <c r="Z582">
        <v>2</v>
      </c>
      <c r="AA582">
        <v>80</v>
      </c>
      <c r="AB582">
        <v>1</v>
      </c>
      <c r="AC582">
        <v>3</v>
      </c>
      <c r="AD582">
        <v>1</v>
      </c>
      <c r="AE582">
        <v>2</v>
      </c>
      <c r="AF582">
        <v>3</v>
      </c>
      <c r="AG582">
        <v>2</v>
      </c>
      <c r="AH582">
        <v>0</v>
      </c>
      <c r="AI582">
        <v>2</v>
      </c>
      <c r="AJ582">
        <f t="shared" si="9"/>
        <v>0</v>
      </c>
      <c r="AK582" t="str" cm="1">
        <f t="array" ref="AK582">_xlfn.IFS(A582&lt;=30,"18-30",A582&lt;=45,"31-45",A582&lt;=60,"46-60",TRUE, "60+")</f>
        <v>31-45</v>
      </c>
      <c r="AL582" t="str" cm="1">
        <f t="array" ref="AL582">_xlfn.IFS(F582&lt;=10,"0-10",F582&lt;=20,"11-20",TRUE,"20+")</f>
        <v>0-10</v>
      </c>
      <c r="AM582" t="str" cm="1">
        <f t="array" ref="AM582">_xlfn.IFS(S582&lt;=5000,"0-5k",S582&lt;=10000,"5k-10k",S582&lt;=15000,"10k-15k",TRUE,"15k+")</f>
        <v>0-5k</v>
      </c>
      <c r="AN582" t="str" cm="1">
        <f t="array" ref="AN582">_xlfn.IFS(AF582&lt;=10,"0-10",AF582&lt;=20,"10-20",AF582&lt;=30,"20-30",TRUE,"30+")</f>
        <v>0-10</v>
      </c>
      <c r="AO582" t="str" cm="1">
        <f t="array" ref="AO582">_xlfn.IFS(Y582=1,"Poor",Y582=2,"Average",Y582=3,"Good",TRUE,"Excellent")</f>
        <v>Good</v>
      </c>
      <c r="AP582" t="str" cm="1">
        <f t="array" ref="AP582">_xlfn.IFS(Q582=1,"Low",Q582=2,"Medium",Q582=3,"High",TRUE,"Very High")</f>
        <v>Very High</v>
      </c>
    </row>
    <row r="583" spans="1:42" x14ac:dyDescent="0.25">
      <c r="A583">
        <v>30</v>
      </c>
      <c r="B583" t="s">
        <v>42</v>
      </c>
      <c r="C583" t="s">
        <v>90</v>
      </c>
      <c r="D583">
        <v>921</v>
      </c>
      <c r="E583" t="s">
        <v>43</v>
      </c>
      <c r="F583">
        <v>1</v>
      </c>
      <c r="G583">
        <v>3</v>
      </c>
      <c r="H583" t="s">
        <v>37</v>
      </c>
      <c r="I583">
        <v>1</v>
      </c>
      <c r="J583">
        <v>806</v>
      </c>
      <c r="K583">
        <v>4</v>
      </c>
      <c r="L583" t="s">
        <v>44</v>
      </c>
      <c r="M583">
        <v>38</v>
      </c>
      <c r="N583">
        <v>1</v>
      </c>
      <c r="O583">
        <v>1</v>
      </c>
      <c r="P583" t="s">
        <v>48</v>
      </c>
      <c r="Q583">
        <v>3</v>
      </c>
      <c r="R583" t="s">
        <v>46</v>
      </c>
      <c r="S583">
        <v>3833</v>
      </c>
      <c r="T583">
        <v>24375</v>
      </c>
      <c r="U583">
        <v>3</v>
      </c>
      <c r="V583" t="s">
        <v>41</v>
      </c>
      <c r="W583" t="s">
        <v>42</v>
      </c>
      <c r="X583">
        <v>21</v>
      </c>
      <c r="Y583">
        <v>4</v>
      </c>
      <c r="Z583">
        <v>3</v>
      </c>
      <c r="AA583">
        <v>80</v>
      </c>
      <c r="AB583">
        <v>2</v>
      </c>
      <c r="AC583">
        <v>7</v>
      </c>
      <c r="AD583">
        <v>2</v>
      </c>
      <c r="AE583">
        <v>3</v>
      </c>
      <c r="AF583">
        <v>2</v>
      </c>
      <c r="AG583">
        <v>2</v>
      </c>
      <c r="AH583">
        <v>0</v>
      </c>
      <c r="AI583">
        <v>2</v>
      </c>
      <c r="AJ583">
        <f t="shared" si="9"/>
        <v>0</v>
      </c>
      <c r="AK583" t="str" cm="1">
        <f t="array" ref="AK583">_xlfn.IFS(A583&lt;=30,"18-30",A583&lt;=45,"31-45",A583&lt;=60,"46-60",TRUE, "60+")</f>
        <v>18-30</v>
      </c>
      <c r="AL583" t="str" cm="1">
        <f t="array" ref="AL583">_xlfn.IFS(F583&lt;=10,"0-10",F583&lt;=20,"11-20",TRUE,"20+")</f>
        <v>0-10</v>
      </c>
      <c r="AM583" t="str" cm="1">
        <f t="array" ref="AM583">_xlfn.IFS(S583&lt;=5000,"0-5k",S583&lt;=10000,"5k-10k",S583&lt;=15000,"10k-15k",TRUE,"15k+")</f>
        <v>0-5k</v>
      </c>
      <c r="AN583" t="str" cm="1">
        <f t="array" ref="AN583">_xlfn.IFS(AF583&lt;=10,"0-10",AF583&lt;=20,"10-20",AF583&lt;=30,"20-30",TRUE,"30+")</f>
        <v>0-10</v>
      </c>
      <c r="AO583" t="str" cm="1">
        <f t="array" ref="AO583">_xlfn.IFS(Y583=1,"Poor",Y583=2,"Average",Y583=3,"Good",TRUE,"Excellent")</f>
        <v>Excellent</v>
      </c>
      <c r="AP583" t="str" cm="1">
        <f t="array" ref="AP583">_xlfn.IFS(Q583=1,"Low",Q583=2,"Medium",Q583=3,"High",TRUE,"Very High")</f>
        <v>High</v>
      </c>
    </row>
    <row r="584" spans="1:42" x14ac:dyDescent="0.25">
      <c r="A584">
        <v>40</v>
      </c>
      <c r="B584" t="s">
        <v>42</v>
      </c>
      <c r="C584" t="s">
        <v>91</v>
      </c>
      <c r="D584">
        <v>791</v>
      </c>
      <c r="E584" t="s">
        <v>43</v>
      </c>
      <c r="F584">
        <v>2</v>
      </c>
      <c r="G584">
        <v>2</v>
      </c>
      <c r="H584" t="s">
        <v>49</v>
      </c>
      <c r="I584">
        <v>1</v>
      </c>
      <c r="J584">
        <v>807</v>
      </c>
      <c r="K584">
        <v>3</v>
      </c>
      <c r="L584" t="s">
        <v>38</v>
      </c>
      <c r="M584">
        <v>38</v>
      </c>
      <c r="N584">
        <v>4</v>
      </c>
      <c r="O584">
        <v>2</v>
      </c>
      <c r="P584" t="s">
        <v>52</v>
      </c>
      <c r="Q584">
        <v>2</v>
      </c>
      <c r="R584" t="s">
        <v>46</v>
      </c>
      <c r="S584">
        <v>4244</v>
      </c>
      <c r="T584">
        <v>9931</v>
      </c>
      <c r="U584">
        <v>1</v>
      </c>
      <c r="V584" t="s">
        <v>41</v>
      </c>
      <c r="W584" t="s">
        <v>42</v>
      </c>
      <c r="X584">
        <v>24</v>
      </c>
      <c r="Y584">
        <v>4</v>
      </c>
      <c r="Z584">
        <v>4</v>
      </c>
      <c r="AA584">
        <v>80</v>
      </c>
      <c r="AB584">
        <v>1</v>
      </c>
      <c r="AC584">
        <v>8</v>
      </c>
      <c r="AD584">
        <v>2</v>
      </c>
      <c r="AE584">
        <v>3</v>
      </c>
      <c r="AF584">
        <v>8</v>
      </c>
      <c r="AG584">
        <v>7</v>
      </c>
      <c r="AH584">
        <v>3</v>
      </c>
      <c r="AI584">
        <v>7</v>
      </c>
      <c r="AJ584">
        <f t="shared" si="9"/>
        <v>0</v>
      </c>
      <c r="AK584" t="str" cm="1">
        <f t="array" ref="AK584">_xlfn.IFS(A584&lt;=30,"18-30",A584&lt;=45,"31-45",A584&lt;=60,"46-60",TRUE, "60+")</f>
        <v>31-45</v>
      </c>
      <c r="AL584" t="str" cm="1">
        <f t="array" ref="AL584">_xlfn.IFS(F584&lt;=10,"0-10",F584&lt;=20,"11-20",TRUE,"20+")</f>
        <v>0-10</v>
      </c>
      <c r="AM584" t="str" cm="1">
        <f t="array" ref="AM584">_xlfn.IFS(S584&lt;=5000,"0-5k",S584&lt;=10000,"5k-10k",S584&lt;=15000,"10k-15k",TRUE,"15k+")</f>
        <v>0-5k</v>
      </c>
      <c r="AN584" t="str" cm="1">
        <f t="array" ref="AN584">_xlfn.IFS(AF584&lt;=10,"0-10",AF584&lt;=20,"10-20",AF584&lt;=30,"20-30",TRUE,"30+")</f>
        <v>0-10</v>
      </c>
      <c r="AO584" t="str" cm="1">
        <f t="array" ref="AO584">_xlfn.IFS(Y584=1,"Poor",Y584=2,"Average",Y584=3,"Good",TRUE,"Excellent")</f>
        <v>Excellent</v>
      </c>
      <c r="AP584" t="str" cm="1">
        <f t="array" ref="AP584">_xlfn.IFS(Q584=1,"Low",Q584=2,"Medium",Q584=3,"High",TRUE,"Very High")</f>
        <v>Medium</v>
      </c>
    </row>
    <row r="585" spans="1:42" x14ac:dyDescent="0.25">
      <c r="A585">
        <v>34</v>
      </c>
      <c r="B585" t="s">
        <v>42</v>
      </c>
      <c r="C585" t="s">
        <v>90</v>
      </c>
      <c r="D585">
        <v>1111</v>
      </c>
      <c r="E585" t="s">
        <v>36</v>
      </c>
      <c r="F585">
        <v>8</v>
      </c>
      <c r="G585">
        <v>2</v>
      </c>
      <c r="H585" t="s">
        <v>37</v>
      </c>
      <c r="I585">
        <v>1</v>
      </c>
      <c r="J585">
        <v>808</v>
      </c>
      <c r="K585">
        <v>3</v>
      </c>
      <c r="L585" t="s">
        <v>38</v>
      </c>
      <c r="M585">
        <v>93</v>
      </c>
      <c r="N585">
        <v>3</v>
      </c>
      <c r="O585">
        <v>2</v>
      </c>
      <c r="P585" t="s">
        <v>39</v>
      </c>
      <c r="Q585">
        <v>1</v>
      </c>
      <c r="R585" t="s">
        <v>46</v>
      </c>
      <c r="S585">
        <v>6500</v>
      </c>
      <c r="T585">
        <v>13305</v>
      </c>
      <c r="U585">
        <v>5</v>
      </c>
      <c r="V585" t="s">
        <v>41</v>
      </c>
      <c r="W585" t="s">
        <v>42</v>
      </c>
      <c r="X585">
        <v>17</v>
      </c>
      <c r="Y585">
        <v>3</v>
      </c>
      <c r="Z585">
        <v>2</v>
      </c>
      <c r="AA585">
        <v>80</v>
      </c>
      <c r="AB585">
        <v>1</v>
      </c>
      <c r="AC585">
        <v>6</v>
      </c>
      <c r="AD585">
        <v>1</v>
      </c>
      <c r="AE585">
        <v>3</v>
      </c>
      <c r="AF585">
        <v>3</v>
      </c>
      <c r="AG585">
        <v>2</v>
      </c>
      <c r="AH585">
        <v>1</v>
      </c>
      <c r="AI585">
        <v>2</v>
      </c>
      <c r="AJ585">
        <f t="shared" si="9"/>
        <v>0</v>
      </c>
      <c r="AK585" t="str" cm="1">
        <f t="array" ref="AK585">_xlfn.IFS(A585&lt;=30,"18-30",A585&lt;=45,"31-45",A585&lt;=60,"46-60",TRUE, "60+")</f>
        <v>31-45</v>
      </c>
      <c r="AL585" t="str" cm="1">
        <f t="array" ref="AL585">_xlfn.IFS(F585&lt;=10,"0-10",F585&lt;=20,"11-20",TRUE,"20+")</f>
        <v>0-10</v>
      </c>
      <c r="AM585" t="str" cm="1">
        <f t="array" ref="AM585">_xlfn.IFS(S585&lt;=5000,"0-5k",S585&lt;=10000,"5k-10k",S585&lt;=15000,"10k-15k",TRUE,"15k+")</f>
        <v>5k-10k</v>
      </c>
      <c r="AN585" t="str" cm="1">
        <f t="array" ref="AN585">_xlfn.IFS(AF585&lt;=10,"0-10",AF585&lt;=20,"10-20",AF585&lt;=30,"20-30",TRUE,"30+")</f>
        <v>0-10</v>
      </c>
      <c r="AO585" t="str" cm="1">
        <f t="array" ref="AO585">_xlfn.IFS(Y585=1,"Poor",Y585=2,"Average",Y585=3,"Good",TRUE,"Excellent")</f>
        <v>Good</v>
      </c>
      <c r="AP585" t="str" cm="1">
        <f t="array" ref="AP585">_xlfn.IFS(Q585=1,"Low",Q585=2,"Medium",Q585=3,"High",TRUE,"Very High")</f>
        <v>Low</v>
      </c>
    </row>
    <row r="586" spans="1:42" x14ac:dyDescent="0.25">
      <c r="A586">
        <v>42</v>
      </c>
      <c r="B586" t="s">
        <v>42</v>
      </c>
      <c r="C586" t="s">
        <v>91</v>
      </c>
      <c r="D586">
        <v>570</v>
      </c>
      <c r="E586" t="s">
        <v>43</v>
      </c>
      <c r="F586">
        <v>8</v>
      </c>
      <c r="G586">
        <v>3</v>
      </c>
      <c r="H586" t="s">
        <v>37</v>
      </c>
      <c r="I586">
        <v>1</v>
      </c>
      <c r="J586">
        <v>809</v>
      </c>
      <c r="K586">
        <v>2</v>
      </c>
      <c r="L586" t="s">
        <v>44</v>
      </c>
      <c r="M586">
        <v>66</v>
      </c>
      <c r="N586">
        <v>3</v>
      </c>
      <c r="O586">
        <v>5</v>
      </c>
      <c r="P586" t="s">
        <v>54</v>
      </c>
      <c r="Q586">
        <v>4</v>
      </c>
      <c r="R586" t="s">
        <v>50</v>
      </c>
      <c r="S586">
        <v>18430</v>
      </c>
      <c r="T586">
        <v>16225</v>
      </c>
      <c r="U586">
        <v>1</v>
      </c>
      <c r="V586" t="s">
        <v>41</v>
      </c>
      <c r="W586" t="s">
        <v>42</v>
      </c>
      <c r="X586">
        <v>13</v>
      </c>
      <c r="Y586">
        <v>3</v>
      </c>
      <c r="Z586">
        <v>2</v>
      </c>
      <c r="AA586">
        <v>80</v>
      </c>
      <c r="AB586">
        <v>1</v>
      </c>
      <c r="AC586">
        <v>24</v>
      </c>
      <c r="AD586">
        <v>4</v>
      </c>
      <c r="AE586">
        <v>2</v>
      </c>
      <c r="AF586">
        <v>24</v>
      </c>
      <c r="AG586">
        <v>7</v>
      </c>
      <c r="AH586">
        <v>14</v>
      </c>
      <c r="AI586">
        <v>9</v>
      </c>
      <c r="AJ586">
        <f t="shared" si="9"/>
        <v>0</v>
      </c>
      <c r="AK586" t="str" cm="1">
        <f t="array" ref="AK586">_xlfn.IFS(A586&lt;=30,"18-30",A586&lt;=45,"31-45",A586&lt;=60,"46-60",TRUE, "60+")</f>
        <v>31-45</v>
      </c>
      <c r="AL586" t="str" cm="1">
        <f t="array" ref="AL586">_xlfn.IFS(F586&lt;=10,"0-10",F586&lt;=20,"11-20",TRUE,"20+")</f>
        <v>0-10</v>
      </c>
      <c r="AM586" t="str" cm="1">
        <f t="array" ref="AM586">_xlfn.IFS(S586&lt;=5000,"0-5k",S586&lt;=10000,"5k-10k",S586&lt;=15000,"10k-15k",TRUE,"15k+")</f>
        <v>15k+</v>
      </c>
      <c r="AN586" t="str" cm="1">
        <f t="array" ref="AN586">_xlfn.IFS(AF586&lt;=10,"0-10",AF586&lt;=20,"10-20",AF586&lt;=30,"20-30",TRUE,"30+")</f>
        <v>20-30</v>
      </c>
      <c r="AO586" t="str" cm="1">
        <f t="array" ref="AO586">_xlfn.IFS(Y586=1,"Poor",Y586=2,"Average",Y586=3,"Good",TRUE,"Excellent")</f>
        <v>Good</v>
      </c>
      <c r="AP586" t="str" cm="1">
        <f t="array" ref="AP586">_xlfn.IFS(Q586=1,"Low",Q586=2,"Medium",Q586=3,"High",TRUE,"Very High")</f>
        <v>Very High</v>
      </c>
    </row>
    <row r="587" spans="1:42" x14ac:dyDescent="0.25">
      <c r="A587">
        <v>23</v>
      </c>
      <c r="B587" t="s">
        <v>35</v>
      </c>
      <c r="C587" t="s">
        <v>90</v>
      </c>
      <c r="D587">
        <v>1243</v>
      </c>
      <c r="E587" t="s">
        <v>43</v>
      </c>
      <c r="F587">
        <v>6</v>
      </c>
      <c r="G587">
        <v>3</v>
      </c>
      <c r="H587" t="s">
        <v>37</v>
      </c>
      <c r="I587">
        <v>1</v>
      </c>
      <c r="J587">
        <v>811</v>
      </c>
      <c r="K587">
        <v>3</v>
      </c>
      <c r="L587" t="s">
        <v>44</v>
      </c>
      <c r="M587">
        <v>63</v>
      </c>
      <c r="N587">
        <v>4</v>
      </c>
      <c r="O587">
        <v>1</v>
      </c>
      <c r="P587" t="s">
        <v>48</v>
      </c>
      <c r="Q587">
        <v>1</v>
      </c>
      <c r="R587" t="s">
        <v>46</v>
      </c>
      <c r="S587">
        <v>1601</v>
      </c>
      <c r="T587">
        <v>3445</v>
      </c>
      <c r="U587">
        <v>1</v>
      </c>
      <c r="V587" t="s">
        <v>41</v>
      </c>
      <c r="W587" t="s">
        <v>35</v>
      </c>
      <c r="X587">
        <v>21</v>
      </c>
      <c r="Y587">
        <v>4</v>
      </c>
      <c r="Z587">
        <v>3</v>
      </c>
      <c r="AA587">
        <v>80</v>
      </c>
      <c r="AB587">
        <v>2</v>
      </c>
      <c r="AC587">
        <v>1</v>
      </c>
      <c r="AD587">
        <v>2</v>
      </c>
      <c r="AE587">
        <v>3</v>
      </c>
      <c r="AF587">
        <v>0</v>
      </c>
      <c r="AG587">
        <v>0</v>
      </c>
      <c r="AH587">
        <v>0</v>
      </c>
      <c r="AI587">
        <v>0</v>
      </c>
      <c r="AJ587">
        <f t="shared" si="9"/>
        <v>1</v>
      </c>
      <c r="AK587" t="str" cm="1">
        <f t="array" ref="AK587">_xlfn.IFS(A587&lt;=30,"18-30",A587&lt;=45,"31-45",A587&lt;=60,"46-60",TRUE, "60+")</f>
        <v>18-30</v>
      </c>
      <c r="AL587" t="str" cm="1">
        <f t="array" ref="AL587">_xlfn.IFS(F587&lt;=10,"0-10",F587&lt;=20,"11-20",TRUE,"20+")</f>
        <v>0-10</v>
      </c>
      <c r="AM587" t="str" cm="1">
        <f t="array" ref="AM587">_xlfn.IFS(S587&lt;=5000,"0-5k",S587&lt;=10000,"5k-10k",S587&lt;=15000,"10k-15k",TRUE,"15k+")</f>
        <v>0-5k</v>
      </c>
      <c r="AN587" t="str" cm="1">
        <f t="array" ref="AN587">_xlfn.IFS(AF587&lt;=10,"0-10",AF587&lt;=20,"10-20",AF587&lt;=30,"20-30",TRUE,"30+")</f>
        <v>0-10</v>
      </c>
      <c r="AO587" t="str" cm="1">
        <f t="array" ref="AO587">_xlfn.IFS(Y587=1,"Poor",Y587=2,"Average",Y587=3,"Good",TRUE,"Excellent")</f>
        <v>Excellent</v>
      </c>
      <c r="AP587" t="str" cm="1">
        <f t="array" ref="AP587">_xlfn.IFS(Q587=1,"Low",Q587=2,"Medium",Q587=3,"High",TRUE,"Very High")</f>
        <v>Low</v>
      </c>
    </row>
    <row r="588" spans="1:42" x14ac:dyDescent="0.25">
      <c r="A588">
        <v>24</v>
      </c>
      <c r="B588" t="s">
        <v>42</v>
      </c>
      <c r="C588" t="s">
        <v>53</v>
      </c>
      <c r="D588">
        <v>1092</v>
      </c>
      <c r="E588" t="s">
        <v>43</v>
      </c>
      <c r="F588">
        <v>9</v>
      </c>
      <c r="G588">
        <v>3</v>
      </c>
      <c r="H588" t="s">
        <v>37</v>
      </c>
      <c r="I588">
        <v>1</v>
      </c>
      <c r="J588">
        <v>812</v>
      </c>
      <c r="K588">
        <v>3</v>
      </c>
      <c r="L588" t="s">
        <v>44</v>
      </c>
      <c r="M588">
        <v>60</v>
      </c>
      <c r="N588">
        <v>2</v>
      </c>
      <c r="O588">
        <v>1</v>
      </c>
      <c r="P588" t="s">
        <v>48</v>
      </c>
      <c r="Q588">
        <v>2</v>
      </c>
      <c r="R588" t="s">
        <v>50</v>
      </c>
      <c r="S588">
        <v>2694</v>
      </c>
      <c r="T588">
        <v>26551</v>
      </c>
      <c r="U588">
        <v>1</v>
      </c>
      <c r="V588" t="s">
        <v>41</v>
      </c>
      <c r="W588" t="s">
        <v>42</v>
      </c>
      <c r="X588">
        <v>11</v>
      </c>
      <c r="Y588">
        <v>3</v>
      </c>
      <c r="Z588">
        <v>3</v>
      </c>
      <c r="AA588">
        <v>80</v>
      </c>
      <c r="AB588">
        <v>3</v>
      </c>
      <c r="AC588">
        <v>1</v>
      </c>
      <c r="AD588">
        <v>4</v>
      </c>
      <c r="AE588">
        <v>3</v>
      </c>
      <c r="AF588">
        <v>1</v>
      </c>
      <c r="AG588">
        <v>0</v>
      </c>
      <c r="AH588">
        <v>0</v>
      </c>
      <c r="AI588">
        <v>0</v>
      </c>
      <c r="AJ588">
        <f t="shared" si="9"/>
        <v>0</v>
      </c>
      <c r="AK588" t="str" cm="1">
        <f t="array" ref="AK588">_xlfn.IFS(A588&lt;=30,"18-30",A588&lt;=45,"31-45",A588&lt;=60,"46-60",TRUE, "60+")</f>
        <v>18-30</v>
      </c>
      <c r="AL588" t="str" cm="1">
        <f t="array" ref="AL588">_xlfn.IFS(F588&lt;=10,"0-10",F588&lt;=20,"11-20",TRUE,"20+")</f>
        <v>0-10</v>
      </c>
      <c r="AM588" t="str" cm="1">
        <f t="array" ref="AM588">_xlfn.IFS(S588&lt;=5000,"0-5k",S588&lt;=10000,"5k-10k",S588&lt;=15000,"10k-15k",TRUE,"15k+")</f>
        <v>0-5k</v>
      </c>
      <c r="AN588" t="str" cm="1">
        <f t="array" ref="AN588">_xlfn.IFS(AF588&lt;=10,"0-10",AF588&lt;=20,"10-20",AF588&lt;=30,"20-30",TRUE,"30+")</f>
        <v>0-10</v>
      </c>
      <c r="AO588" t="str" cm="1">
        <f t="array" ref="AO588">_xlfn.IFS(Y588=1,"Poor",Y588=2,"Average",Y588=3,"Good",TRUE,"Excellent")</f>
        <v>Good</v>
      </c>
      <c r="AP588" t="str" cm="1">
        <f t="array" ref="AP588">_xlfn.IFS(Q588=1,"Low",Q588=2,"Medium",Q588=3,"High",TRUE,"Very High")</f>
        <v>Medium</v>
      </c>
    </row>
    <row r="589" spans="1:42" x14ac:dyDescent="0.25">
      <c r="A589">
        <v>52</v>
      </c>
      <c r="B589" t="s">
        <v>42</v>
      </c>
      <c r="C589" t="s">
        <v>90</v>
      </c>
      <c r="D589">
        <v>1325</v>
      </c>
      <c r="E589" t="s">
        <v>43</v>
      </c>
      <c r="F589">
        <v>11</v>
      </c>
      <c r="G589">
        <v>4</v>
      </c>
      <c r="H589" t="s">
        <v>37</v>
      </c>
      <c r="I589">
        <v>1</v>
      </c>
      <c r="J589">
        <v>813</v>
      </c>
      <c r="K589">
        <v>4</v>
      </c>
      <c r="L589" t="s">
        <v>38</v>
      </c>
      <c r="M589">
        <v>82</v>
      </c>
      <c r="N589">
        <v>3</v>
      </c>
      <c r="O589">
        <v>2</v>
      </c>
      <c r="P589" t="s">
        <v>48</v>
      </c>
      <c r="Q589">
        <v>3</v>
      </c>
      <c r="R589" t="s">
        <v>46</v>
      </c>
      <c r="S589">
        <v>3149</v>
      </c>
      <c r="T589">
        <v>21821</v>
      </c>
      <c r="U589">
        <v>8</v>
      </c>
      <c r="V589" t="s">
        <v>41</v>
      </c>
      <c r="W589" t="s">
        <v>42</v>
      </c>
      <c r="X589">
        <v>20</v>
      </c>
      <c r="Y589">
        <v>4</v>
      </c>
      <c r="Z589">
        <v>2</v>
      </c>
      <c r="AA589">
        <v>80</v>
      </c>
      <c r="AB589">
        <v>1</v>
      </c>
      <c r="AC589">
        <v>9</v>
      </c>
      <c r="AD589">
        <v>3</v>
      </c>
      <c r="AE589">
        <v>3</v>
      </c>
      <c r="AF589">
        <v>5</v>
      </c>
      <c r="AG589">
        <v>2</v>
      </c>
      <c r="AH589">
        <v>1</v>
      </c>
      <c r="AI589">
        <v>4</v>
      </c>
      <c r="AJ589">
        <f t="shared" si="9"/>
        <v>0</v>
      </c>
      <c r="AK589" t="str" cm="1">
        <f t="array" ref="AK589">_xlfn.IFS(A589&lt;=30,"18-30",A589&lt;=45,"31-45",A589&lt;=60,"46-60",TRUE, "60+")</f>
        <v>46-60</v>
      </c>
      <c r="AL589" t="str" cm="1">
        <f t="array" ref="AL589">_xlfn.IFS(F589&lt;=10,"0-10",F589&lt;=20,"11-20",TRUE,"20+")</f>
        <v>11-20</v>
      </c>
      <c r="AM589" t="str" cm="1">
        <f t="array" ref="AM589">_xlfn.IFS(S589&lt;=5000,"0-5k",S589&lt;=10000,"5k-10k",S589&lt;=15000,"10k-15k",TRUE,"15k+")</f>
        <v>0-5k</v>
      </c>
      <c r="AN589" t="str" cm="1">
        <f t="array" ref="AN589">_xlfn.IFS(AF589&lt;=10,"0-10",AF589&lt;=20,"10-20",AF589&lt;=30,"20-30",TRUE,"30+")</f>
        <v>0-10</v>
      </c>
      <c r="AO589" t="str" cm="1">
        <f t="array" ref="AO589">_xlfn.IFS(Y589=1,"Poor",Y589=2,"Average",Y589=3,"Good",TRUE,"Excellent")</f>
        <v>Excellent</v>
      </c>
      <c r="AP589" t="str" cm="1">
        <f t="array" ref="AP589">_xlfn.IFS(Q589=1,"Low",Q589=2,"Medium",Q589=3,"High",TRUE,"Very High")</f>
        <v>High</v>
      </c>
    </row>
    <row r="590" spans="1:42" x14ac:dyDescent="0.25">
      <c r="A590">
        <v>50</v>
      </c>
      <c r="B590" t="s">
        <v>42</v>
      </c>
      <c r="C590" t="s">
        <v>90</v>
      </c>
      <c r="D590">
        <v>691</v>
      </c>
      <c r="E590" t="s">
        <v>43</v>
      </c>
      <c r="F590">
        <v>2</v>
      </c>
      <c r="G590">
        <v>3</v>
      </c>
      <c r="H590" t="s">
        <v>49</v>
      </c>
      <c r="I590">
        <v>1</v>
      </c>
      <c r="J590">
        <v>815</v>
      </c>
      <c r="K590">
        <v>3</v>
      </c>
      <c r="L590" t="s">
        <v>44</v>
      </c>
      <c r="M590">
        <v>64</v>
      </c>
      <c r="N590">
        <v>3</v>
      </c>
      <c r="O590">
        <v>4</v>
      </c>
      <c r="P590" t="s">
        <v>56</v>
      </c>
      <c r="Q590">
        <v>3</v>
      </c>
      <c r="R590" t="s">
        <v>46</v>
      </c>
      <c r="S590">
        <v>17639</v>
      </c>
      <c r="T590">
        <v>6881</v>
      </c>
      <c r="U590">
        <v>5</v>
      </c>
      <c r="V590" t="s">
        <v>41</v>
      </c>
      <c r="W590" t="s">
        <v>42</v>
      </c>
      <c r="X590">
        <v>16</v>
      </c>
      <c r="Y590">
        <v>3</v>
      </c>
      <c r="Z590">
        <v>4</v>
      </c>
      <c r="AA590">
        <v>80</v>
      </c>
      <c r="AB590">
        <v>0</v>
      </c>
      <c r="AC590">
        <v>30</v>
      </c>
      <c r="AD590">
        <v>3</v>
      </c>
      <c r="AE590">
        <v>3</v>
      </c>
      <c r="AF590">
        <v>4</v>
      </c>
      <c r="AG590">
        <v>3</v>
      </c>
      <c r="AH590">
        <v>0</v>
      </c>
      <c r="AI590">
        <v>3</v>
      </c>
      <c r="AJ590">
        <f t="shared" si="9"/>
        <v>0</v>
      </c>
      <c r="AK590" t="str" cm="1">
        <f t="array" ref="AK590">_xlfn.IFS(A590&lt;=30,"18-30",A590&lt;=45,"31-45",A590&lt;=60,"46-60",TRUE, "60+")</f>
        <v>46-60</v>
      </c>
      <c r="AL590" t="str" cm="1">
        <f t="array" ref="AL590">_xlfn.IFS(F590&lt;=10,"0-10",F590&lt;=20,"11-20",TRUE,"20+")</f>
        <v>0-10</v>
      </c>
      <c r="AM590" t="str" cm="1">
        <f t="array" ref="AM590">_xlfn.IFS(S590&lt;=5000,"0-5k",S590&lt;=10000,"5k-10k",S590&lt;=15000,"10k-15k",TRUE,"15k+")</f>
        <v>15k+</v>
      </c>
      <c r="AN590" t="str" cm="1">
        <f t="array" ref="AN590">_xlfn.IFS(AF590&lt;=10,"0-10",AF590&lt;=20,"10-20",AF590&lt;=30,"20-30",TRUE,"30+")</f>
        <v>0-10</v>
      </c>
      <c r="AO590" t="str" cm="1">
        <f t="array" ref="AO590">_xlfn.IFS(Y590=1,"Poor",Y590=2,"Average",Y590=3,"Good",TRUE,"Excellent")</f>
        <v>Good</v>
      </c>
      <c r="AP590" t="str" cm="1">
        <f t="array" ref="AP590">_xlfn.IFS(Q590=1,"Low",Q590=2,"Medium",Q590=3,"High",TRUE,"Very High")</f>
        <v>High</v>
      </c>
    </row>
    <row r="591" spans="1:42" x14ac:dyDescent="0.25">
      <c r="A591">
        <v>29</v>
      </c>
      <c r="B591" t="s">
        <v>35</v>
      </c>
      <c r="C591" t="s">
        <v>90</v>
      </c>
      <c r="D591">
        <v>805</v>
      </c>
      <c r="E591" t="s">
        <v>43</v>
      </c>
      <c r="F591">
        <v>1</v>
      </c>
      <c r="G591">
        <v>2</v>
      </c>
      <c r="H591" t="s">
        <v>37</v>
      </c>
      <c r="I591">
        <v>1</v>
      </c>
      <c r="J591">
        <v>816</v>
      </c>
      <c r="K591">
        <v>2</v>
      </c>
      <c r="L591" t="s">
        <v>38</v>
      </c>
      <c r="M591">
        <v>36</v>
      </c>
      <c r="N591">
        <v>2</v>
      </c>
      <c r="O591">
        <v>1</v>
      </c>
      <c r="P591" t="s">
        <v>48</v>
      </c>
      <c r="Q591">
        <v>1</v>
      </c>
      <c r="R591" t="s">
        <v>46</v>
      </c>
      <c r="S591">
        <v>2319</v>
      </c>
      <c r="T591">
        <v>6689</v>
      </c>
      <c r="U591">
        <v>1</v>
      </c>
      <c r="V591" t="s">
        <v>41</v>
      </c>
      <c r="W591" t="s">
        <v>35</v>
      </c>
      <c r="X591">
        <v>11</v>
      </c>
      <c r="Y591">
        <v>3</v>
      </c>
      <c r="Z591">
        <v>4</v>
      </c>
      <c r="AA591">
        <v>80</v>
      </c>
      <c r="AB591">
        <v>1</v>
      </c>
      <c r="AC591">
        <v>1</v>
      </c>
      <c r="AD591">
        <v>1</v>
      </c>
      <c r="AE591">
        <v>3</v>
      </c>
      <c r="AF591">
        <v>1</v>
      </c>
      <c r="AG591">
        <v>0</v>
      </c>
      <c r="AH591">
        <v>0</v>
      </c>
      <c r="AI591">
        <v>0</v>
      </c>
      <c r="AJ591">
        <f t="shared" si="9"/>
        <v>1</v>
      </c>
      <c r="AK591" t="str" cm="1">
        <f t="array" ref="AK591">_xlfn.IFS(A591&lt;=30,"18-30",A591&lt;=45,"31-45",A591&lt;=60,"46-60",TRUE, "60+")</f>
        <v>18-30</v>
      </c>
      <c r="AL591" t="str" cm="1">
        <f t="array" ref="AL591">_xlfn.IFS(F591&lt;=10,"0-10",F591&lt;=20,"11-20",TRUE,"20+")</f>
        <v>0-10</v>
      </c>
      <c r="AM591" t="str" cm="1">
        <f t="array" ref="AM591">_xlfn.IFS(S591&lt;=5000,"0-5k",S591&lt;=10000,"5k-10k",S591&lt;=15000,"10k-15k",TRUE,"15k+")</f>
        <v>0-5k</v>
      </c>
      <c r="AN591" t="str" cm="1">
        <f t="array" ref="AN591">_xlfn.IFS(AF591&lt;=10,"0-10",AF591&lt;=20,"10-20",AF591&lt;=30,"20-30",TRUE,"30+")</f>
        <v>0-10</v>
      </c>
      <c r="AO591" t="str" cm="1">
        <f t="array" ref="AO591">_xlfn.IFS(Y591=1,"Poor",Y591=2,"Average",Y591=3,"Good",TRUE,"Excellent")</f>
        <v>Good</v>
      </c>
      <c r="AP591" t="str" cm="1">
        <f t="array" ref="AP591">_xlfn.IFS(Q591=1,"Low",Q591=2,"Medium",Q591=3,"High",TRUE,"Very High")</f>
        <v>Low</v>
      </c>
    </row>
    <row r="592" spans="1:42" x14ac:dyDescent="0.25">
      <c r="A592">
        <v>33</v>
      </c>
      <c r="B592" t="s">
        <v>42</v>
      </c>
      <c r="C592" t="s">
        <v>90</v>
      </c>
      <c r="D592">
        <v>213</v>
      </c>
      <c r="E592" t="s">
        <v>43</v>
      </c>
      <c r="F592">
        <v>7</v>
      </c>
      <c r="G592">
        <v>3</v>
      </c>
      <c r="H592" t="s">
        <v>49</v>
      </c>
      <c r="I592">
        <v>1</v>
      </c>
      <c r="J592">
        <v>817</v>
      </c>
      <c r="K592">
        <v>3</v>
      </c>
      <c r="L592" t="s">
        <v>44</v>
      </c>
      <c r="M592">
        <v>49</v>
      </c>
      <c r="N592">
        <v>3</v>
      </c>
      <c r="O592">
        <v>3</v>
      </c>
      <c r="P592" t="s">
        <v>56</v>
      </c>
      <c r="Q592">
        <v>3</v>
      </c>
      <c r="R592" t="s">
        <v>46</v>
      </c>
      <c r="S592">
        <v>11691</v>
      </c>
      <c r="T592">
        <v>25995</v>
      </c>
      <c r="U592">
        <v>0</v>
      </c>
      <c r="V592" t="s">
        <v>41</v>
      </c>
      <c r="W592" t="s">
        <v>42</v>
      </c>
      <c r="X592">
        <v>11</v>
      </c>
      <c r="Y592">
        <v>3</v>
      </c>
      <c r="Z592">
        <v>4</v>
      </c>
      <c r="AA592">
        <v>80</v>
      </c>
      <c r="AB592">
        <v>0</v>
      </c>
      <c r="AC592">
        <v>14</v>
      </c>
      <c r="AD592">
        <v>3</v>
      </c>
      <c r="AE592">
        <v>4</v>
      </c>
      <c r="AF592">
        <v>13</v>
      </c>
      <c r="AG592">
        <v>9</v>
      </c>
      <c r="AH592">
        <v>3</v>
      </c>
      <c r="AI592">
        <v>7</v>
      </c>
      <c r="AJ592">
        <f t="shared" si="9"/>
        <v>0</v>
      </c>
      <c r="AK592" t="str" cm="1">
        <f t="array" ref="AK592">_xlfn.IFS(A592&lt;=30,"18-30",A592&lt;=45,"31-45",A592&lt;=60,"46-60",TRUE, "60+")</f>
        <v>31-45</v>
      </c>
      <c r="AL592" t="str" cm="1">
        <f t="array" ref="AL592">_xlfn.IFS(F592&lt;=10,"0-10",F592&lt;=20,"11-20",TRUE,"20+")</f>
        <v>0-10</v>
      </c>
      <c r="AM592" t="str" cm="1">
        <f t="array" ref="AM592">_xlfn.IFS(S592&lt;=5000,"0-5k",S592&lt;=10000,"5k-10k",S592&lt;=15000,"10k-15k",TRUE,"15k+")</f>
        <v>10k-15k</v>
      </c>
      <c r="AN592" t="str" cm="1">
        <f t="array" ref="AN592">_xlfn.IFS(AF592&lt;=10,"0-10",AF592&lt;=20,"10-20",AF592&lt;=30,"20-30",TRUE,"30+")</f>
        <v>10-20</v>
      </c>
      <c r="AO592" t="str" cm="1">
        <f t="array" ref="AO592">_xlfn.IFS(Y592=1,"Poor",Y592=2,"Average",Y592=3,"Good",TRUE,"Excellent")</f>
        <v>Good</v>
      </c>
      <c r="AP592" t="str" cm="1">
        <f t="array" ref="AP592">_xlfn.IFS(Q592=1,"Low",Q592=2,"Medium",Q592=3,"High",TRUE,"Very High")</f>
        <v>High</v>
      </c>
    </row>
    <row r="593" spans="1:42" x14ac:dyDescent="0.25">
      <c r="A593">
        <v>33</v>
      </c>
      <c r="B593" t="s">
        <v>35</v>
      </c>
      <c r="C593" t="s">
        <v>90</v>
      </c>
      <c r="D593">
        <v>118</v>
      </c>
      <c r="E593" t="s">
        <v>36</v>
      </c>
      <c r="F593">
        <v>16</v>
      </c>
      <c r="G593">
        <v>3</v>
      </c>
      <c r="H593" t="s">
        <v>57</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c r="AJ593">
        <f t="shared" si="9"/>
        <v>1</v>
      </c>
      <c r="AK593" t="str" cm="1">
        <f t="array" ref="AK593">_xlfn.IFS(A593&lt;=30,"18-30",A593&lt;=45,"31-45",A593&lt;=60,"46-60",TRUE, "60+")</f>
        <v>31-45</v>
      </c>
      <c r="AL593" t="str" cm="1">
        <f t="array" ref="AL593">_xlfn.IFS(F593&lt;=10,"0-10",F593&lt;=20,"11-20",TRUE,"20+")</f>
        <v>11-20</v>
      </c>
      <c r="AM593" t="str" cm="1">
        <f t="array" ref="AM593">_xlfn.IFS(S593&lt;=5000,"0-5k",S593&lt;=10000,"5k-10k",S593&lt;=15000,"10k-15k",TRUE,"15k+")</f>
        <v>5k-10k</v>
      </c>
      <c r="AN593" t="str" cm="1">
        <f t="array" ref="AN593">_xlfn.IFS(AF593&lt;=10,"0-10",AF593&lt;=20,"10-20",AF593&lt;=30,"20-30",TRUE,"30+")</f>
        <v>0-10</v>
      </c>
      <c r="AO593" t="str" cm="1">
        <f t="array" ref="AO593">_xlfn.IFS(Y593=1,"Poor",Y593=2,"Average",Y593=3,"Good",TRUE,"Excellent")</f>
        <v>Good</v>
      </c>
      <c r="AP593" t="str" cm="1">
        <f t="array" ref="AP593">_xlfn.IFS(Q593=1,"Low",Q593=2,"Medium",Q593=3,"High",TRUE,"Very High")</f>
        <v>Low</v>
      </c>
    </row>
    <row r="594" spans="1:42" x14ac:dyDescent="0.25">
      <c r="A594">
        <v>47</v>
      </c>
      <c r="B594" t="s">
        <v>42</v>
      </c>
      <c r="C594" t="s">
        <v>90</v>
      </c>
      <c r="D594">
        <v>202</v>
      </c>
      <c r="E594" t="s">
        <v>43</v>
      </c>
      <c r="F594">
        <v>2</v>
      </c>
      <c r="G594">
        <v>2</v>
      </c>
      <c r="H594" t="s">
        <v>47</v>
      </c>
      <c r="I594">
        <v>1</v>
      </c>
      <c r="J594">
        <v>820</v>
      </c>
      <c r="K594">
        <v>3</v>
      </c>
      <c r="L594" t="s">
        <v>38</v>
      </c>
      <c r="M594">
        <v>33</v>
      </c>
      <c r="N594">
        <v>3</v>
      </c>
      <c r="O594">
        <v>4</v>
      </c>
      <c r="P594" t="s">
        <v>54</v>
      </c>
      <c r="Q594">
        <v>4</v>
      </c>
      <c r="R594" t="s">
        <v>46</v>
      </c>
      <c r="S594">
        <v>16752</v>
      </c>
      <c r="T594">
        <v>12982</v>
      </c>
      <c r="U594">
        <v>1</v>
      </c>
      <c r="V594" t="s">
        <v>41</v>
      </c>
      <c r="W594" t="s">
        <v>35</v>
      </c>
      <c r="X594">
        <v>11</v>
      </c>
      <c r="Y594">
        <v>3</v>
      </c>
      <c r="Z594">
        <v>3</v>
      </c>
      <c r="AA594">
        <v>80</v>
      </c>
      <c r="AB594">
        <v>1</v>
      </c>
      <c r="AC594">
        <v>26</v>
      </c>
      <c r="AD594">
        <v>3</v>
      </c>
      <c r="AE594">
        <v>2</v>
      </c>
      <c r="AF594">
        <v>26</v>
      </c>
      <c r="AG594">
        <v>14</v>
      </c>
      <c r="AH594">
        <v>3</v>
      </c>
      <c r="AI594">
        <v>0</v>
      </c>
      <c r="AJ594">
        <f t="shared" si="9"/>
        <v>0</v>
      </c>
      <c r="AK594" t="str" cm="1">
        <f t="array" ref="AK594">_xlfn.IFS(A594&lt;=30,"18-30",A594&lt;=45,"31-45",A594&lt;=60,"46-60",TRUE, "60+")</f>
        <v>46-60</v>
      </c>
      <c r="AL594" t="str" cm="1">
        <f t="array" ref="AL594">_xlfn.IFS(F594&lt;=10,"0-10",F594&lt;=20,"11-20",TRUE,"20+")</f>
        <v>0-10</v>
      </c>
      <c r="AM594" t="str" cm="1">
        <f t="array" ref="AM594">_xlfn.IFS(S594&lt;=5000,"0-5k",S594&lt;=10000,"5k-10k",S594&lt;=15000,"10k-15k",TRUE,"15k+")</f>
        <v>15k+</v>
      </c>
      <c r="AN594" t="str" cm="1">
        <f t="array" ref="AN594">_xlfn.IFS(AF594&lt;=10,"0-10",AF594&lt;=20,"10-20",AF594&lt;=30,"20-30",TRUE,"30+")</f>
        <v>20-30</v>
      </c>
      <c r="AO594" t="str" cm="1">
        <f t="array" ref="AO594">_xlfn.IFS(Y594=1,"Poor",Y594=2,"Average",Y594=3,"Good",TRUE,"Excellent")</f>
        <v>Good</v>
      </c>
      <c r="AP594" t="str" cm="1">
        <f t="array" ref="AP594">_xlfn.IFS(Q594=1,"Low",Q594=2,"Medium",Q594=3,"High",TRUE,"Very High")</f>
        <v>Very High</v>
      </c>
    </row>
    <row r="595" spans="1:42" x14ac:dyDescent="0.25">
      <c r="A595">
        <v>36</v>
      </c>
      <c r="B595" t="s">
        <v>42</v>
      </c>
      <c r="C595" t="s">
        <v>90</v>
      </c>
      <c r="D595">
        <v>676</v>
      </c>
      <c r="E595" t="s">
        <v>43</v>
      </c>
      <c r="F595">
        <v>1</v>
      </c>
      <c r="G595">
        <v>3</v>
      </c>
      <c r="H595" t="s">
        <v>47</v>
      </c>
      <c r="I595">
        <v>1</v>
      </c>
      <c r="J595">
        <v>823</v>
      </c>
      <c r="K595">
        <v>3</v>
      </c>
      <c r="L595" t="s">
        <v>38</v>
      </c>
      <c r="M595">
        <v>35</v>
      </c>
      <c r="N595">
        <v>3</v>
      </c>
      <c r="O595">
        <v>2</v>
      </c>
      <c r="P595" t="s">
        <v>51</v>
      </c>
      <c r="Q595">
        <v>2</v>
      </c>
      <c r="R595" t="s">
        <v>46</v>
      </c>
      <c r="S595">
        <v>5228</v>
      </c>
      <c r="T595">
        <v>23361</v>
      </c>
      <c r="U595">
        <v>0</v>
      </c>
      <c r="V595" t="s">
        <v>41</v>
      </c>
      <c r="W595" t="s">
        <v>42</v>
      </c>
      <c r="X595">
        <v>15</v>
      </c>
      <c r="Y595">
        <v>3</v>
      </c>
      <c r="Z595">
        <v>1</v>
      </c>
      <c r="AA595">
        <v>80</v>
      </c>
      <c r="AB595">
        <v>1</v>
      </c>
      <c r="AC595">
        <v>10</v>
      </c>
      <c r="AD595">
        <v>2</v>
      </c>
      <c r="AE595">
        <v>3</v>
      </c>
      <c r="AF595">
        <v>9</v>
      </c>
      <c r="AG595">
        <v>7</v>
      </c>
      <c r="AH595">
        <v>0</v>
      </c>
      <c r="AI595">
        <v>5</v>
      </c>
      <c r="AJ595">
        <f t="shared" si="9"/>
        <v>0</v>
      </c>
      <c r="AK595" t="str" cm="1">
        <f t="array" ref="AK595">_xlfn.IFS(A595&lt;=30,"18-30",A595&lt;=45,"31-45",A595&lt;=60,"46-60",TRUE, "60+")</f>
        <v>31-45</v>
      </c>
      <c r="AL595" t="str" cm="1">
        <f t="array" ref="AL595">_xlfn.IFS(F595&lt;=10,"0-10",F595&lt;=20,"11-20",TRUE,"20+")</f>
        <v>0-10</v>
      </c>
      <c r="AM595" t="str" cm="1">
        <f t="array" ref="AM595">_xlfn.IFS(S595&lt;=5000,"0-5k",S595&lt;=10000,"5k-10k",S595&lt;=15000,"10k-15k",TRUE,"15k+")</f>
        <v>5k-10k</v>
      </c>
      <c r="AN595" t="str" cm="1">
        <f t="array" ref="AN595">_xlfn.IFS(AF595&lt;=10,"0-10",AF595&lt;=20,"10-20",AF595&lt;=30,"20-30",TRUE,"30+")</f>
        <v>0-10</v>
      </c>
      <c r="AO595" t="str" cm="1">
        <f t="array" ref="AO595">_xlfn.IFS(Y595=1,"Poor",Y595=2,"Average",Y595=3,"Good",TRUE,"Excellent")</f>
        <v>Good</v>
      </c>
      <c r="AP595" t="str" cm="1">
        <f t="array" ref="AP595">_xlfn.IFS(Q595=1,"Low",Q595=2,"Medium",Q595=3,"High",TRUE,"Very High")</f>
        <v>Medium</v>
      </c>
    </row>
    <row r="596" spans="1:42" x14ac:dyDescent="0.25">
      <c r="A596">
        <v>29</v>
      </c>
      <c r="B596" t="s">
        <v>42</v>
      </c>
      <c r="C596" t="s">
        <v>90</v>
      </c>
      <c r="D596">
        <v>1252</v>
      </c>
      <c r="E596" t="s">
        <v>43</v>
      </c>
      <c r="F596">
        <v>23</v>
      </c>
      <c r="G596">
        <v>2</v>
      </c>
      <c r="H596" t="s">
        <v>37</v>
      </c>
      <c r="I596">
        <v>1</v>
      </c>
      <c r="J596">
        <v>824</v>
      </c>
      <c r="K596">
        <v>3</v>
      </c>
      <c r="L596" t="s">
        <v>44</v>
      </c>
      <c r="M596">
        <v>81</v>
      </c>
      <c r="N596">
        <v>4</v>
      </c>
      <c r="O596">
        <v>1</v>
      </c>
      <c r="P596" t="s">
        <v>45</v>
      </c>
      <c r="Q596">
        <v>3</v>
      </c>
      <c r="R596" t="s">
        <v>46</v>
      </c>
      <c r="S596">
        <v>2700</v>
      </c>
      <c r="T596">
        <v>23779</v>
      </c>
      <c r="U596">
        <v>1</v>
      </c>
      <c r="V596" t="s">
        <v>41</v>
      </c>
      <c r="W596" t="s">
        <v>42</v>
      </c>
      <c r="X596">
        <v>24</v>
      </c>
      <c r="Y596">
        <v>4</v>
      </c>
      <c r="Z596">
        <v>3</v>
      </c>
      <c r="AA596">
        <v>80</v>
      </c>
      <c r="AB596">
        <v>1</v>
      </c>
      <c r="AC596">
        <v>10</v>
      </c>
      <c r="AD596">
        <v>3</v>
      </c>
      <c r="AE596">
        <v>3</v>
      </c>
      <c r="AF596">
        <v>10</v>
      </c>
      <c r="AG596">
        <v>7</v>
      </c>
      <c r="AH596">
        <v>0</v>
      </c>
      <c r="AI596">
        <v>7</v>
      </c>
      <c r="AJ596">
        <f t="shared" si="9"/>
        <v>0</v>
      </c>
      <c r="AK596" t="str" cm="1">
        <f t="array" ref="AK596">_xlfn.IFS(A596&lt;=30,"18-30",A596&lt;=45,"31-45",A596&lt;=60,"46-60",TRUE, "60+")</f>
        <v>18-30</v>
      </c>
      <c r="AL596" t="str" cm="1">
        <f t="array" ref="AL596">_xlfn.IFS(F596&lt;=10,"0-10",F596&lt;=20,"11-20",TRUE,"20+")</f>
        <v>20+</v>
      </c>
      <c r="AM596" t="str" cm="1">
        <f t="array" ref="AM596">_xlfn.IFS(S596&lt;=5000,"0-5k",S596&lt;=10000,"5k-10k",S596&lt;=15000,"10k-15k",TRUE,"15k+")</f>
        <v>0-5k</v>
      </c>
      <c r="AN596" t="str" cm="1">
        <f t="array" ref="AN596">_xlfn.IFS(AF596&lt;=10,"0-10",AF596&lt;=20,"10-20",AF596&lt;=30,"20-30",TRUE,"30+")</f>
        <v>0-10</v>
      </c>
      <c r="AO596" t="str" cm="1">
        <f t="array" ref="AO596">_xlfn.IFS(Y596=1,"Poor",Y596=2,"Average",Y596=3,"Good",TRUE,"Excellent")</f>
        <v>Excellent</v>
      </c>
      <c r="AP596" t="str" cm="1">
        <f t="array" ref="AP596">_xlfn.IFS(Q596=1,"Low",Q596=2,"Medium",Q596=3,"High",TRUE,"Very High")</f>
        <v>High</v>
      </c>
    </row>
    <row r="597" spans="1:42" x14ac:dyDescent="0.25">
      <c r="A597">
        <v>58</v>
      </c>
      <c r="B597" t="s">
        <v>35</v>
      </c>
      <c r="C597" t="s">
        <v>90</v>
      </c>
      <c r="D597">
        <v>286</v>
      </c>
      <c r="E597" t="s">
        <v>43</v>
      </c>
      <c r="F597">
        <v>2</v>
      </c>
      <c r="G597">
        <v>4</v>
      </c>
      <c r="H597" t="s">
        <v>37</v>
      </c>
      <c r="I597">
        <v>1</v>
      </c>
      <c r="J597">
        <v>825</v>
      </c>
      <c r="K597">
        <v>4</v>
      </c>
      <c r="L597" t="s">
        <v>44</v>
      </c>
      <c r="M597">
        <v>31</v>
      </c>
      <c r="N597">
        <v>3</v>
      </c>
      <c r="O597">
        <v>5</v>
      </c>
      <c r="P597" t="s">
        <v>56</v>
      </c>
      <c r="Q597">
        <v>2</v>
      </c>
      <c r="R597" t="s">
        <v>40</v>
      </c>
      <c r="S597">
        <v>19246</v>
      </c>
      <c r="T597">
        <v>25761</v>
      </c>
      <c r="U597">
        <v>7</v>
      </c>
      <c r="V597" t="s">
        <v>41</v>
      </c>
      <c r="W597" t="s">
        <v>35</v>
      </c>
      <c r="X597">
        <v>12</v>
      </c>
      <c r="Y597">
        <v>3</v>
      </c>
      <c r="Z597">
        <v>4</v>
      </c>
      <c r="AA597">
        <v>80</v>
      </c>
      <c r="AB597">
        <v>0</v>
      </c>
      <c r="AC597">
        <v>40</v>
      </c>
      <c r="AD597">
        <v>2</v>
      </c>
      <c r="AE597">
        <v>3</v>
      </c>
      <c r="AF597">
        <v>31</v>
      </c>
      <c r="AG597">
        <v>15</v>
      </c>
      <c r="AH597">
        <v>13</v>
      </c>
      <c r="AI597">
        <v>8</v>
      </c>
      <c r="AJ597">
        <f t="shared" si="9"/>
        <v>1</v>
      </c>
      <c r="AK597" t="str" cm="1">
        <f t="array" ref="AK597">_xlfn.IFS(A597&lt;=30,"18-30",A597&lt;=45,"31-45",A597&lt;=60,"46-60",TRUE, "60+")</f>
        <v>46-60</v>
      </c>
      <c r="AL597" t="str" cm="1">
        <f t="array" ref="AL597">_xlfn.IFS(F597&lt;=10,"0-10",F597&lt;=20,"11-20",TRUE,"20+")</f>
        <v>0-10</v>
      </c>
      <c r="AM597" t="str" cm="1">
        <f t="array" ref="AM597">_xlfn.IFS(S597&lt;=5000,"0-5k",S597&lt;=10000,"5k-10k",S597&lt;=15000,"10k-15k",TRUE,"15k+")</f>
        <v>15k+</v>
      </c>
      <c r="AN597" t="str" cm="1">
        <f t="array" ref="AN597">_xlfn.IFS(AF597&lt;=10,"0-10",AF597&lt;=20,"10-20",AF597&lt;=30,"20-30",TRUE,"30+")</f>
        <v>30+</v>
      </c>
      <c r="AO597" t="str" cm="1">
        <f t="array" ref="AO597">_xlfn.IFS(Y597=1,"Poor",Y597=2,"Average",Y597=3,"Good",TRUE,"Excellent")</f>
        <v>Good</v>
      </c>
      <c r="AP597" t="str" cm="1">
        <f t="array" ref="AP597">_xlfn.IFS(Q597=1,"Low",Q597=2,"Medium",Q597=3,"High",TRUE,"Very High")</f>
        <v>Medium</v>
      </c>
    </row>
    <row r="598" spans="1:42" x14ac:dyDescent="0.25">
      <c r="A598">
        <v>35</v>
      </c>
      <c r="B598" t="s">
        <v>42</v>
      </c>
      <c r="C598" t="s">
        <v>90</v>
      </c>
      <c r="D598">
        <v>1258</v>
      </c>
      <c r="E598" t="s">
        <v>43</v>
      </c>
      <c r="F598">
        <v>1</v>
      </c>
      <c r="G598">
        <v>4</v>
      </c>
      <c r="H598" t="s">
        <v>37</v>
      </c>
      <c r="I598">
        <v>1</v>
      </c>
      <c r="J598">
        <v>826</v>
      </c>
      <c r="K598">
        <v>4</v>
      </c>
      <c r="L598" t="s">
        <v>38</v>
      </c>
      <c r="M598">
        <v>40</v>
      </c>
      <c r="N598">
        <v>4</v>
      </c>
      <c r="O598">
        <v>1</v>
      </c>
      <c r="P598" t="s">
        <v>45</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c r="AJ598">
        <f t="shared" si="9"/>
        <v>0</v>
      </c>
      <c r="AK598" t="str" cm="1">
        <f t="array" ref="AK598">_xlfn.IFS(A598&lt;=30,"18-30",A598&lt;=45,"31-45",A598&lt;=60,"46-60",TRUE, "60+")</f>
        <v>31-45</v>
      </c>
      <c r="AL598" t="str" cm="1">
        <f t="array" ref="AL598">_xlfn.IFS(F598&lt;=10,"0-10",F598&lt;=20,"11-20",TRUE,"20+")</f>
        <v>0-10</v>
      </c>
      <c r="AM598" t="str" cm="1">
        <f t="array" ref="AM598">_xlfn.IFS(S598&lt;=5000,"0-5k",S598&lt;=10000,"5k-10k",S598&lt;=15000,"10k-15k",TRUE,"15k+")</f>
        <v>0-5k</v>
      </c>
      <c r="AN598" t="str" cm="1">
        <f t="array" ref="AN598">_xlfn.IFS(AF598&lt;=10,"0-10",AF598&lt;=20,"10-20",AF598&lt;=30,"20-30",TRUE,"30+")</f>
        <v>0-10</v>
      </c>
      <c r="AO598" t="str" cm="1">
        <f t="array" ref="AO598">_xlfn.IFS(Y598=1,"Poor",Y598=2,"Average",Y598=3,"Good",TRUE,"Excellent")</f>
        <v>Good</v>
      </c>
      <c r="AP598" t="str" cm="1">
        <f t="array" ref="AP598">_xlfn.IFS(Q598=1,"Low",Q598=2,"Medium",Q598=3,"High",TRUE,"Very High")</f>
        <v>High</v>
      </c>
    </row>
    <row r="599" spans="1:42" x14ac:dyDescent="0.25">
      <c r="A599">
        <v>42</v>
      </c>
      <c r="B599" t="s">
        <v>42</v>
      </c>
      <c r="C599" t="s">
        <v>90</v>
      </c>
      <c r="D599">
        <v>932</v>
      </c>
      <c r="E599" t="s">
        <v>43</v>
      </c>
      <c r="F599">
        <v>1</v>
      </c>
      <c r="G599">
        <v>2</v>
      </c>
      <c r="H599" t="s">
        <v>37</v>
      </c>
      <c r="I599">
        <v>1</v>
      </c>
      <c r="J599">
        <v>827</v>
      </c>
      <c r="K599">
        <v>4</v>
      </c>
      <c r="L599" t="s">
        <v>38</v>
      </c>
      <c r="M599">
        <v>43</v>
      </c>
      <c r="N599">
        <v>2</v>
      </c>
      <c r="O599">
        <v>2</v>
      </c>
      <c r="P599" t="s">
        <v>51</v>
      </c>
      <c r="Q599">
        <v>4</v>
      </c>
      <c r="R599" t="s">
        <v>46</v>
      </c>
      <c r="S599">
        <v>6062</v>
      </c>
      <c r="T599">
        <v>4051</v>
      </c>
      <c r="U599">
        <v>9</v>
      </c>
      <c r="V599" t="s">
        <v>41</v>
      </c>
      <c r="W599" t="s">
        <v>35</v>
      </c>
      <c r="X599">
        <v>13</v>
      </c>
      <c r="Y599">
        <v>3</v>
      </c>
      <c r="Z599">
        <v>4</v>
      </c>
      <c r="AA599">
        <v>80</v>
      </c>
      <c r="AB599">
        <v>1</v>
      </c>
      <c r="AC599">
        <v>8</v>
      </c>
      <c r="AD599">
        <v>4</v>
      </c>
      <c r="AE599">
        <v>3</v>
      </c>
      <c r="AF599">
        <v>4</v>
      </c>
      <c r="AG599">
        <v>3</v>
      </c>
      <c r="AH599">
        <v>0</v>
      </c>
      <c r="AI599">
        <v>2</v>
      </c>
      <c r="AJ599">
        <f t="shared" si="9"/>
        <v>0</v>
      </c>
      <c r="AK599" t="str" cm="1">
        <f t="array" ref="AK599">_xlfn.IFS(A599&lt;=30,"18-30",A599&lt;=45,"31-45",A599&lt;=60,"46-60",TRUE, "60+")</f>
        <v>31-45</v>
      </c>
      <c r="AL599" t="str" cm="1">
        <f t="array" ref="AL599">_xlfn.IFS(F599&lt;=10,"0-10",F599&lt;=20,"11-20",TRUE,"20+")</f>
        <v>0-10</v>
      </c>
      <c r="AM599" t="str" cm="1">
        <f t="array" ref="AM599">_xlfn.IFS(S599&lt;=5000,"0-5k",S599&lt;=10000,"5k-10k",S599&lt;=15000,"10k-15k",TRUE,"15k+")</f>
        <v>5k-10k</v>
      </c>
      <c r="AN599" t="str" cm="1">
        <f t="array" ref="AN599">_xlfn.IFS(AF599&lt;=10,"0-10",AF599&lt;=20,"10-20",AF599&lt;=30,"20-30",TRUE,"30+")</f>
        <v>0-10</v>
      </c>
      <c r="AO599" t="str" cm="1">
        <f t="array" ref="AO599">_xlfn.IFS(Y599=1,"Poor",Y599=2,"Average",Y599=3,"Good",TRUE,"Excellent")</f>
        <v>Good</v>
      </c>
      <c r="AP599" t="str" cm="1">
        <f t="array" ref="AP599">_xlfn.IFS(Q599=1,"Low",Q599=2,"Medium",Q599=3,"High",TRUE,"Very High")</f>
        <v>Very High</v>
      </c>
    </row>
    <row r="600" spans="1:42" x14ac:dyDescent="0.25">
      <c r="A600">
        <v>28</v>
      </c>
      <c r="B600" t="s">
        <v>35</v>
      </c>
      <c r="C600" t="s">
        <v>90</v>
      </c>
      <c r="D600">
        <v>890</v>
      </c>
      <c r="E600" t="s">
        <v>43</v>
      </c>
      <c r="F600">
        <v>2</v>
      </c>
      <c r="G600">
        <v>4</v>
      </c>
      <c r="H600" t="s">
        <v>49</v>
      </c>
      <c r="I600">
        <v>1</v>
      </c>
      <c r="J600">
        <v>828</v>
      </c>
      <c r="K600">
        <v>3</v>
      </c>
      <c r="L600" t="s">
        <v>44</v>
      </c>
      <c r="M600">
        <v>46</v>
      </c>
      <c r="N600">
        <v>3</v>
      </c>
      <c r="O600">
        <v>1</v>
      </c>
      <c r="P600" t="s">
        <v>45</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c r="AJ600">
        <f t="shared" si="9"/>
        <v>1</v>
      </c>
      <c r="AK600" t="str" cm="1">
        <f t="array" ref="AK600">_xlfn.IFS(A600&lt;=30,"18-30",A600&lt;=45,"31-45",A600&lt;=60,"46-60",TRUE, "60+")</f>
        <v>18-30</v>
      </c>
      <c r="AL600" t="str" cm="1">
        <f t="array" ref="AL600">_xlfn.IFS(F600&lt;=10,"0-10",F600&lt;=20,"11-20",TRUE,"20+")</f>
        <v>0-10</v>
      </c>
      <c r="AM600" t="str" cm="1">
        <f t="array" ref="AM600">_xlfn.IFS(S600&lt;=5000,"0-5k",S600&lt;=10000,"5k-10k",S600&lt;=15000,"10k-15k",TRUE,"15k+")</f>
        <v>0-5k</v>
      </c>
      <c r="AN600" t="str" cm="1">
        <f t="array" ref="AN600">_xlfn.IFS(AF600&lt;=10,"0-10",AF600&lt;=20,"10-20",AF600&lt;=30,"20-30",TRUE,"30+")</f>
        <v>0-10</v>
      </c>
      <c r="AO600" t="str" cm="1">
        <f t="array" ref="AO600">_xlfn.IFS(Y600=1,"Poor",Y600=2,"Average",Y600=3,"Good",TRUE,"Excellent")</f>
        <v>Good</v>
      </c>
      <c r="AP600" t="str" cm="1">
        <f t="array" ref="AP600">_xlfn.IFS(Q600=1,"Low",Q600=2,"Medium",Q600=3,"High",TRUE,"Very High")</f>
        <v>High</v>
      </c>
    </row>
    <row r="601" spans="1:42" x14ac:dyDescent="0.25">
      <c r="A601">
        <v>36</v>
      </c>
      <c r="B601" t="s">
        <v>42</v>
      </c>
      <c r="C601" t="s">
        <v>90</v>
      </c>
      <c r="D601">
        <v>1041</v>
      </c>
      <c r="E601" t="s">
        <v>59</v>
      </c>
      <c r="F601">
        <v>13</v>
      </c>
      <c r="G601">
        <v>3</v>
      </c>
      <c r="H601" t="s">
        <v>59</v>
      </c>
      <c r="I601">
        <v>1</v>
      </c>
      <c r="J601">
        <v>829</v>
      </c>
      <c r="K601">
        <v>3</v>
      </c>
      <c r="L601" t="s">
        <v>44</v>
      </c>
      <c r="M601">
        <v>36</v>
      </c>
      <c r="N601">
        <v>3</v>
      </c>
      <c r="O601">
        <v>1</v>
      </c>
      <c r="P601" t="s">
        <v>59</v>
      </c>
      <c r="Q601">
        <v>2</v>
      </c>
      <c r="R601" t="s">
        <v>46</v>
      </c>
      <c r="S601">
        <v>2143</v>
      </c>
      <c r="T601">
        <v>25527</v>
      </c>
      <c r="U601">
        <v>4</v>
      </c>
      <c r="V601" t="s">
        <v>41</v>
      </c>
      <c r="W601" t="s">
        <v>42</v>
      </c>
      <c r="X601">
        <v>13</v>
      </c>
      <c r="Y601">
        <v>3</v>
      </c>
      <c r="Z601">
        <v>2</v>
      </c>
      <c r="AA601">
        <v>80</v>
      </c>
      <c r="AB601">
        <v>1</v>
      </c>
      <c r="AC601">
        <v>8</v>
      </c>
      <c r="AD601">
        <v>2</v>
      </c>
      <c r="AE601">
        <v>3</v>
      </c>
      <c r="AF601">
        <v>5</v>
      </c>
      <c r="AG601">
        <v>2</v>
      </c>
      <c r="AH601">
        <v>0</v>
      </c>
      <c r="AI601">
        <v>4</v>
      </c>
      <c r="AJ601">
        <f t="shared" si="9"/>
        <v>0</v>
      </c>
      <c r="AK601" t="str" cm="1">
        <f t="array" ref="AK601">_xlfn.IFS(A601&lt;=30,"18-30",A601&lt;=45,"31-45",A601&lt;=60,"46-60",TRUE, "60+")</f>
        <v>31-45</v>
      </c>
      <c r="AL601" t="str" cm="1">
        <f t="array" ref="AL601">_xlfn.IFS(F601&lt;=10,"0-10",F601&lt;=20,"11-20",TRUE,"20+")</f>
        <v>11-20</v>
      </c>
      <c r="AM601" t="str" cm="1">
        <f t="array" ref="AM601">_xlfn.IFS(S601&lt;=5000,"0-5k",S601&lt;=10000,"5k-10k",S601&lt;=15000,"10k-15k",TRUE,"15k+")</f>
        <v>0-5k</v>
      </c>
      <c r="AN601" t="str" cm="1">
        <f t="array" ref="AN601">_xlfn.IFS(AF601&lt;=10,"0-10",AF601&lt;=20,"10-20",AF601&lt;=30,"20-30",TRUE,"30+")</f>
        <v>0-10</v>
      </c>
      <c r="AO601" t="str" cm="1">
        <f t="array" ref="AO601">_xlfn.IFS(Y601=1,"Poor",Y601=2,"Average",Y601=3,"Good",TRUE,"Excellent")</f>
        <v>Good</v>
      </c>
      <c r="AP601" t="str" cm="1">
        <f t="array" ref="AP601">_xlfn.IFS(Q601=1,"Low",Q601=2,"Medium",Q601=3,"High",TRUE,"Very High")</f>
        <v>Medium</v>
      </c>
    </row>
    <row r="602" spans="1:42" x14ac:dyDescent="0.25">
      <c r="A602">
        <v>32</v>
      </c>
      <c r="B602" t="s">
        <v>42</v>
      </c>
      <c r="C602" t="s">
        <v>90</v>
      </c>
      <c r="D602">
        <v>859</v>
      </c>
      <c r="E602" t="s">
        <v>43</v>
      </c>
      <c r="F602">
        <v>4</v>
      </c>
      <c r="G602">
        <v>3</v>
      </c>
      <c r="H602" t="s">
        <v>37</v>
      </c>
      <c r="I602">
        <v>1</v>
      </c>
      <c r="J602">
        <v>830</v>
      </c>
      <c r="K602">
        <v>3</v>
      </c>
      <c r="L602" t="s">
        <v>38</v>
      </c>
      <c r="M602">
        <v>98</v>
      </c>
      <c r="N602">
        <v>2</v>
      </c>
      <c r="O602">
        <v>2</v>
      </c>
      <c r="P602" t="s">
        <v>51</v>
      </c>
      <c r="Q602">
        <v>3</v>
      </c>
      <c r="R602" t="s">
        <v>46</v>
      </c>
      <c r="S602">
        <v>6162</v>
      </c>
      <c r="T602">
        <v>19124</v>
      </c>
      <c r="U602">
        <v>1</v>
      </c>
      <c r="V602" t="s">
        <v>41</v>
      </c>
      <c r="W602" t="s">
        <v>42</v>
      </c>
      <c r="X602">
        <v>12</v>
      </c>
      <c r="Y602">
        <v>3</v>
      </c>
      <c r="Z602">
        <v>3</v>
      </c>
      <c r="AA602">
        <v>80</v>
      </c>
      <c r="AB602">
        <v>1</v>
      </c>
      <c r="AC602">
        <v>14</v>
      </c>
      <c r="AD602">
        <v>3</v>
      </c>
      <c r="AE602">
        <v>3</v>
      </c>
      <c r="AF602">
        <v>14</v>
      </c>
      <c r="AG602">
        <v>13</v>
      </c>
      <c r="AH602">
        <v>6</v>
      </c>
      <c r="AI602">
        <v>8</v>
      </c>
      <c r="AJ602">
        <f t="shared" si="9"/>
        <v>0</v>
      </c>
      <c r="AK602" t="str" cm="1">
        <f t="array" ref="AK602">_xlfn.IFS(A602&lt;=30,"18-30",A602&lt;=45,"31-45",A602&lt;=60,"46-60",TRUE, "60+")</f>
        <v>31-45</v>
      </c>
      <c r="AL602" t="str" cm="1">
        <f t="array" ref="AL602">_xlfn.IFS(F602&lt;=10,"0-10",F602&lt;=20,"11-20",TRUE,"20+")</f>
        <v>0-10</v>
      </c>
      <c r="AM602" t="str" cm="1">
        <f t="array" ref="AM602">_xlfn.IFS(S602&lt;=5000,"0-5k",S602&lt;=10000,"5k-10k",S602&lt;=15000,"10k-15k",TRUE,"15k+")</f>
        <v>5k-10k</v>
      </c>
      <c r="AN602" t="str" cm="1">
        <f t="array" ref="AN602">_xlfn.IFS(AF602&lt;=10,"0-10",AF602&lt;=20,"10-20",AF602&lt;=30,"20-30",TRUE,"30+")</f>
        <v>10-20</v>
      </c>
      <c r="AO602" t="str" cm="1">
        <f t="array" ref="AO602">_xlfn.IFS(Y602=1,"Poor",Y602=2,"Average",Y602=3,"Good",TRUE,"Excellent")</f>
        <v>Good</v>
      </c>
      <c r="AP602" t="str" cm="1">
        <f t="array" ref="AP602">_xlfn.IFS(Q602=1,"Low",Q602=2,"Medium",Q602=3,"High",TRUE,"Very High")</f>
        <v>High</v>
      </c>
    </row>
    <row r="603" spans="1:42" x14ac:dyDescent="0.25">
      <c r="A603">
        <v>40</v>
      </c>
      <c r="B603" t="s">
        <v>42</v>
      </c>
      <c r="C603" t="s">
        <v>91</v>
      </c>
      <c r="D603">
        <v>720</v>
      </c>
      <c r="E603" t="s">
        <v>43</v>
      </c>
      <c r="F603">
        <v>16</v>
      </c>
      <c r="G603">
        <v>4</v>
      </c>
      <c r="H603" t="s">
        <v>49</v>
      </c>
      <c r="I603">
        <v>1</v>
      </c>
      <c r="J603">
        <v>832</v>
      </c>
      <c r="K603">
        <v>1</v>
      </c>
      <c r="L603" t="s">
        <v>44</v>
      </c>
      <c r="M603">
        <v>51</v>
      </c>
      <c r="N603">
        <v>2</v>
      </c>
      <c r="O603">
        <v>2</v>
      </c>
      <c r="P603" t="s">
        <v>48</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c r="AJ603">
        <f t="shared" si="9"/>
        <v>0</v>
      </c>
      <c r="AK603" t="str" cm="1">
        <f t="array" ref="AK603">_xlfn.IFS(A603&lt;=30,"18-30",A603&lt;=45,"31-45",A603&lt;=60,"46-60",TRUE, "60+")</f>
        <v>31-45</v>
      </c>
      <c r="AL603" t="str" cm="1">
        <f t="array" ref="AL603">_xlfn.IFS(F603&lt;=10,"0-10",F603&lt;=20,"11-20",TRUE,"20+")</f>
        <v>11-20</v>
      </c>
      <c r="AM603" t="str" cm="1">
        <f t="array" ref="AM603">_xlfn.IFS(S603&lt;=5000,"0-5k",S603&lt;=10000,"5k-10k",S603&lt;=15000,"10k-15k",TRUE,"15k+")</f>
        <v>5k-10k</v>
      </c>
      <c r="AN603" t="str" cm="1">
        <f t="array" ref="AN603">_xlfn.IFS(AF603&lt;=10,"0-10",AF603&lt;=20,"10-20",AF603&lt;=30,"20-30",TRUE,"30+")</f>
        <v>0-10</v>
      </c>
      <c r="AO603" t="str" cm="1">
        <f t="array" ref="AO603">_xlfn.IFS(Y603=1,"Poor",Y603=2,"Average",Y603=3,"Good",TRUE,"Excellent")</f>
        <v>Good</v>
      </c>
      <c r="AP603" t="str" cm="1">
        <f t="array" ref="AP603">_xlfn.IFS(Q603=1,"Low",Q603=2,"Medium",Q603=3,"High",TRUE,"Very High")</f>
        <v>High</v>
      </c>
    </row>
    <row r="604" spans="1:42" x14ac:dyDescent="0.25">
      <c r="A604">
        <v>30</v>
      </c>
      <c r="B604" t="s">
        <v>42</v>
      </c>
      <c r="C604" t="s">
        <v>90</v>
      </c>
      <c r="D604">
        <v>946</v>
      </c>
      <c r="E604" t="s">
        <v>43</v>
      </c>
      <c r="F604">
        <v>2</v>
      </c>
      <c r="G604">
        <v>3</v>
      </c>
      <c r="H604" t="s">
        <v>49</v>
      </c>
      <c r="I604">
        <v>1</v>
      </c>
      <c r="J604">
        <v>833</v>
      </c>
      <c r="K604">
        <v>3</v>
      </c>
      <c r="L604" t="s">
        <v>38</v>
      </c>
      <c r="M604">
        <v>52</v>
      </c>
      <c r="N604">
        <v>2</v>
      </c>
      <c r="O604">
        <v>2</v>
      </c>
      <c r="P604" t="s">
        <v>51</v>
      </c>
      <c r="Q604">
        <v>4</v>
      </c>
      <c r="R604" t="s">
        <v>40</v>
      </c>
      <c r="S604">
        <v>6877</v>
      </c>
      <c r="T604">
        <v>20234</v>
      </c>
      <c r="U604">
        <v>5</v>
      </c>
      <c r="V604" t="s">
        <v>41</v>
      </c>
      <c r="W604" t="s">
        <v>35</v>
      </c>
      <c r="X604">
        <v>24</v>
      </c>
      <c r="Y604">
        <v>4</v>
      </c>
      <c r="Z604">
        <v>2</v>
      </c>
      <c r="AA604">
        <v>80</v>
      </c>
      <c r="AB604">
        <v>0</v>
      </c>
      <c r="AC604">
        <v>12</v>
      </c>
      <c r="AD604">
        <v>4</v>
      </c>
      <c r="AE604">
        <v>2</v>
      </c>
      <c r="AF604">
        <v>0</v>
      </c>
      <c r="AG604">
        <v>0</v>
      </c>
      <c r="AH604">
        <v>0</v>
      </c>
      <c r="AI604">
        <v>0</v>
      </c>
      <c r="AJ604">
        <f t="shared" si="9"/>
        <v>0</v>
      </c>
      <c r="AK604" t="str" cm="1">
        <f t="array" ref="AK604">_xlfn.IFS(A604&lt;=30,"18-30",A604&lt;=45,"31-45",A604&lt;=60,"46-60",TRUE, "60+")</f>
        <v>18-30</v>
      </c>
      <c r="AL604" t="str" cm="1">
        <f t="array" ref="AL604">_xlfn.IFS(F604&lt;=10,"0-10",F604&lt;=20,"11-20",TRUE,"20+")</f>
        <v>0-10</v>
      </c>
      <c r="AM604" t="str" cm="1">
        <f t="array" ref="AM604">_xlfn.IFS(S604&lt;=5000,"0-5k",S604&lt;=10000,"5k-10k",S604&lt;=15000,"10k-15k",TRUE,"15k+")</f>
        <v>5k-10k</v>
      </c>
      <c r="AN604" t="str" cm="1">
        <f t="array" ref="AN604">_xlfn.IFS(AF604&lt;=10,"0-10",AF604&lt;=20,"10-20",AF604&lt;=30,"20-30",TRUE,"30+")</f>
        <v>0-10</v>
      </c>
      <c r="AO604" t="str" cm="1">
        <f t="array" ref="AO604">_xlfn.IFS(Y604=1,"Poor",Y604=2,"Average",Y604=3,"Good",TRUE,"Excellent")</f>
        <v>Excellent</v>
      </c>
      <c r="AP604" t="str" cm="1">
        <f t="array" ref="AP604">_xlfn.IFS(Q604=1,"Low",Q604=2,"Medium",Q604=3,"High",TRUE,"Very High")</f>
        <v>Very High</v>
      </c>
    </row>
    <row r="605" spans="1:42" x14ac:dyDescent="0.25">
      <c r="A605">
        <v>45</v>
      </c>
      <c r="B605" t="s">
        <v>42</v>
      </c>
      <c r="C605" t="s">
        <v>90</v>
      </c>
      <c r="D605">
        <v>252</v>
      </c>
      <c r="E605" t="s">
        <v>43</v>
      </c>
      <c r="F605">
        <v>2</v>
      </c>
      <c r="G605">
        <v>3</v>
      </c>
      <c r="H605" t="s">
        <v>37</v>
      </c>
      <c r="I605">
        <v>1</v>
      </c>
      <c r="J605">
        <v>834</v>
      </c>
      <c r="K605">
        <v>2</v>
      </c>
      <c r="L605" t="s">
        <v>38</v>
      </c>
      <c r="M605">
        <v>95</v>
      </c>
      <c r="N605">
        <v>2</v>
      </c>
      <c r="O605">
        <v>1</v>
      </c>
      <c r="P605" t="s">
        <v>45</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c r="AJ605">
        <f t="shared" si="9"/>
        <v>0</v>
      </c>
      <c r="AK605" t="str" cm="1">
        <f t="array" ref="AK605">_xlfn.IFS(A605&lt;=30,"18-30",A605&lt;=45,"31-45",A605&lt;=60,"46-60",TRUE, "60+")</f>
        <v>31-45</v>
      </c>
      <c r="AL605" t="str" cm="1">
        <f t="array" ref="AL605">_xlfn.IFS(F605&lt;=10,"0-10",F605&lt;=20,"11-20",TRUE,"20+")</f>
        <v>0-10</v>
      </c>
      <c r="AM605" t="str" cm="1">
        <f t="array" ref="AM605">_xlfn.IFS(S605&lt;=5000,"0-5k",S605&lt;=10000,"5k-10k",S605&lt;=15000,"10k-15k",TRUE,"15k+")</f>
        <v>0-5k</v>
      </c>
      <c r="AN605" t="str" cm="1">
        <f t="array" ref="AN605">_xlfn.IFS(AF605&lt;=10,"0-10",AF605&lt;=20,"10-20",AF605&lt;=30,"20-30",TRUE,"30+")</f>
        <v>0-10</v>
      </c>
      <c r="AO605" t="str" cm="1">
        <f t="array" ref="AO605">_xlfn.IFS(Y605=1,"Poor",Y605=2,"Average",Y605=3,"Good",TRUE,"Excellent")</f>
        <v>Good</v>
      </c>
      <c r="AP605" t="str" cm="1">
        <f t="array" ref="AP605">_xlfn.IFS(Q605=1,"Low",Q605=2,"Medium",Q605=3,"High",TRUE,"Very High")</f>
        <v>High</v>
      </c>
    </row>
    <row r="606" spans="1:42" x14ac:dyDescent="0.25">
      <c r="A606">
        <v>42</v>
      </c>
      <c r="B606" t="s">
        <v>42</v>
      </c>
      <c r="C606" t="s">
        <v>90</v>
      </c>
      <c r="D606">
        <v>933</v>
      </c>
      <c r="E606" t="s">
        <v>43</v>
      </c>
      <c r="F606">
        <v>29</v>
      </c>
      <c r="G606">
        <v>3</v>
      </c>
      <c r="H606" t="s">
        <v>37</v>
      </c>
      <c r="I606">
        <v>1</v>
      </c>
      <c r="J606">
        <v>836</v>
      </c>
      <c r="K606">
        <v>2</v>
      </c>
      <c r="L606" t="s">
        <v>44</v>
      </c>
      <c r="M606">
        <v>98</v>
      </c>
      <c r="N606">
        <v>3</v>
      </c>
      <c r="O606">
        <v>2</v>
      </c>
      <c r="P606" t="s">
        <v>51</v>
      </c>
      <c r="Q606">
        <v>2</v>
      </c>
      <c r="R606" t="s">
        <v>46</v>
      </c>
      <c r="S606">
        <v>4434</v>
      </c>
      <c r="T606">
        <v>11806</v>
      </c>
      <c r="U606">
        <v>1</v>
      </c>
      <c r="V606" t="s">
        <v>41</v>
      </c>
      <c r="W606" t="s">
        <v>42</v>
      </c>
      <c r="X606">
        <v>13</v>
      </c>
      <c r="Y606">
        <v>3</v>
      </c>
      <c r="Z606">
        <v>4</v>
      </c>
      <c r="AA606">
        <v>80</v>
      </c>
      <c r="AB606">
        <v>1</v>
      </c>
      <c r="AC606">
        <v>10</v>
      </c>
      <c r="AD606">
        <v>3</v>
      </c>
      <c r="AE606">
        <v>2</v>
      </c>
      <c r="AF606">
        <v>9</v>
      </c>
      <c r="AG606">
        <v>8</v>
      </c>
      <c r="AH606">
        <v>7</v>
      </c>
      <c r="AI606">
        <v>8</v>
      </c>
      <c r="AJ606">
        <f t="shared" si="9"/>
        <v>0</v>
      </c>
      <c r="AK606" t="str" cm="1">
        <f t="array" ref="AK606">_xlfn.IFS(A606&lt;=30,"18-30",A606&lt;=45,"31-45",A606&lt;=60,"46-60",TRUE, "60+")</f>
        <v>31-45</v>
      </c>
      <c r="AL606" t="str" cm="1">
        <f t="array" ref="AL606">_xlfn.IFS(F606&lt;=10,"0-10",F606&lt;=20,"11-20",TRUE,"20+")</f>
        <v>20+</v>
      </c>
      <c r="AM606" t="str" cm="1">
        <f t="array" ref="AM606">_xlfn.IFS(S606&lt;=5000,"0-5k",S606&lt;=10000,"5k-10k",S606&lt;=15000,"10k-15k",TRUE,"15k+")</f>
        <v>0-5k</v>
      </c>
      <c r="AN606" t="str" cm="1">
        <f t="array" ref="AN606">_xlfn.IFS(AF606&lt;=10,"0-10",AF606&lt;=20,"10-20",AF606&lt;=30,"20-30",TRUE,"30+")</f>
        <v>0-10</v>
      </c>
      <c r="AO606" t="str" cm="1">
        <f t="array" ref="AO606">_xlfn.IFS(Y606=1,"Poor",Y606=2,"Average",Y606=3,"Good",TRUE,"Excellent")</f>
        <v>Good</v>
      </c>
      <c r="AP606" t="str" cm="1">
        <f t="array" ref="AP606">_xlfn.IFS(Q606=1,"Low",Q606=2,"Medium",Q606=3,"High",TRUE,"Very High")</f>
        <v>Medium</v>
      </c>
    </row>
    <row r="607" spans="1:42" x14ac:dyDescent="0.25">
      <c r="A607">
        <v>38</v>
      </c>
      <c r="B607" t="s">
        <v>42</v>
      </c>
      <c r="C607" t="s">
        <v>91</v>
      </c>
      <c r="D607">
        <v>471</v>
      </c>
      <c r="E607" t="s">
        <v>43</v>
      </c>
      <c r="F607">
        <v>12</v>
      </c>
      <c r="G607">
        <v>3</v>
      </c>
      <c r="H607" t="s">
        <v>37</v>
      </c>
      <c r="I607">
        <v>1</v>
      </c>
      <c r="J607">
        <v>837</v>
      </c>
      <c r="K607">
        <v>1</v>
      </c>
      <c r="L607" t="s">
        <v>44</v>
      </c>
      <c r="M607">
        <v>45</v>
      </c>
      <c r="N607">
        <v>2</v>
      </c>
      <c r="O607">
        <v>2</v>
      </c>
      <c r="P607" t="s">
        <v>52</v>
      </c>
      <c r="Q607">
        <v>1</v>
      </c>
      <c r="R607" t="s">
        <v>50</v>
      </c>
      <c r="S607">
        <v>6288</v>
      </c>
      <c r="T607">
        <v>4284</v>
      </c>
      <c r="U607">
        <v>2</v>
      </c>
      <c r="V607" t="s">
        <v>41</v>
      </c>
      <c r="W607" t="s">
        <v>42</v>
      </c>
      <c r="X607">
        <v>15</v>
      </c>
      <c r="Y607">
        <v>3</v>
      </c>
      <c r="Z607">
        <v>3</v>
      </c>
      <c r="AA607">
        <v>80</v>
      </c>
      <c r="AB607">
        <v>1</v>
      </c>
      <c r="AC607">
        <v>13</v>
      </c>
      <c r="AD607">
        <v>3</v>
      </c>
      <c r="AE607">
        <v>2</v>
      </c>
      <c r="AF607">
        <v>4</v>
      </c>
      <c r="AG607">
        <v>3</v>
      </c>
      <c r="AH607">
        <v>1</v>
      </c>
      <c r="AI607">
        <v>2</v>
      </c>
      <c r="AJ607">
        <f t="shared" si="9"/>
        <v>0</v>
      </c>
      <c r="AK607" t="str" cm="1">
        <f t="array" ref="AK607">_xlfn.IFS(A607&lt;=30,"18-30",A607&lt;=45,"31-45",A607&lt;=60,"46-60",TRUE, "60+")</f>
        <v>31-45</v>
      </c>
      <c r="AL607" t="str" cm="1">
        <f t="array" ref="AL607">_xlfn.IFS(F607&lt;=10,"0-10",F607&lt;=20,"11-20",TRUE,"20+")</f>
        <v>11-20</v>
      </c>
      <c r="AM607" t="str" cm="1">
        <f t="array" ref="AM607">_xlfn.IFS(S607&lt;=5000,"0-5k",S607&lt;=10000,"5k-10k",S607&lt;=15000,"10k-15k",TRUE,"15k+")</f>
        <v>5k-10k</v>
      </c>
      <c r="AN607" t="str" cm="1">
        <f t="array" ref="AN607">_xlfn.IFS(AF607&lt;=10,"0-10",AF607&lt;=20,"10-20",AF607&lt;=30,"20-30",TRUE,"30+")</f>
        <v>0-10</v>
      </c>
      <c r="AO607" t="str" cm="1">
        <f t="array" ref="AO607">_xlfn.IFS(Y607=1,"Poor",Y607=2,"Average",Y607=3,"Good",TRUE,"Excellent")</f>
        <v>Good</v>
      </c>
      <c r="AP607" t="str" cm="1">
        <f t="array" ref="AP607">_xlfn.IFS(Q607=1,"Low",Q607=2,"Medium",Q607=3,"High",TRUE,"Very High")</f>
        <v>Low</v>
      </c>
    </row>
    <row r="608" spans="1:42" x14ac:dyDescent="0.25">
      <c r="A608">
        <v>34</v>
      </c>
      <c r="B608" t="s">
        <v>42</v>
      </c>
      <c r="C608" t="s">
        <v>91</v>
      </c>
      <c r="D608">
        <v>702</v>
      </c>
      <c r="E608" t="s">
        <v>43</v>
      </c>
      <c r="F608">
        <v>16</v>
      </c>
      <c r="G608">
        <v>4</v>
      </c>
      <c r="H608" t="s">
        <v>37</v>
      </c>
      <c r="I608">
        <v>1</v>
      </c>
      <c r="J608">
        <v>838</v>
      </c>
      <c r="K608">
        <v>3</v>
      </c>
      <c r="L608" t="s">
        <v>38</v>
      </c>
      <c r="M608">
        <v>100</v>
      </c>
      <c r="N608">
        <v>2</v>
      </c>
      <c r="O608">
        <v>1</v>
      </c>
      <c r="P608" t="s">
        <v>45</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c r="AJ608">
        <f t="shared" si="9"/>
        <v>0</v>
      </c>
      <c r="AK608" t="str" cm="1">
        <f t="array" ref="AK608">_xlfn.IFS(A608&lt;=30,"18-30",A608&lt;=45,"31-45",A608&lt;=60,"46-60",TRUE, "60+")</f>
        <v>31-45</v>
      </c>
      <c r="AL608" t="str" cm="1">
        <f t="array" ref="AL608">_xlfn.IFS(F608&lt;=10,"0-10",F608&lt;=20,"11-20",TRUE,"20+")</f>
        <v>11-20</v>
      </c>
      <c r="AM608" t="str" cm="1">
        <f t="array" ref="AM608">_xlfn.IFS(S608&lt;=5000,"0-5k",S608&lt;=10000,"5k-10k",S608&lt;=15000,"10k-15k",TRUE,"15k+")</f>
        <v>0-5k</v>
      </c>
      <c r="AN608" t="str" cm="1">
        <f t="array" ref="AN608">_xlfn.IFS(AF608&lt;=10,"0-10",AF608&lt;=20,"10-20",AF608&lt;=30,"20-30",TRUE,"30+")</f>
        <v>0-10</v>
      </c>
      <c r="AO608" t="str" cm="1">
        <f t="array" ref="AO608">_xlfn.IFS(Y608=1,"Poor",Y608=2,"Average",Y608=3,"Good",TRUE,"Excellent")</f>
        <v>Good</v>
      </c>
      <c r="AP608" t="str" cm="1">
        <f t="array" ref="AP608">_xlfn.IFS(Q608=1,"Low",Q608=2,"Medium",Q608=3,"High",TRUE,"Very High")</f>
        <v>Very High</v>
      </c>
    </row>
    <row r="609" spans="1:42" x14ac:dyDescent="0.25">
      <c r="A609">
        <v>49</v>
      </c>
      <c r="B609" t="s">
        <v>35</v>
      </c>
      <c r="C609" t="s">
        <v>90</v>
      </c>
      <c r="D609">
        <v>1184</v>
      </c>
      <c r="E609" t="s">
        <v>36</v>
      </c>
      <c r="F609">
        <v>11</v>
      </c>
      <c r="G609">
        <v>3</v>
      </c>
      <c r="H609" t="s">
        <v>57</v>
      </c>
      <c r="I609">
        <v>1</v>
      </c>
      <c r="J609">
        <v>840</v>
      </c>
      <c r="K609">
        <v>3</v>
      </c>
      <c r="L609" t="s">
        <v>38</v>
      </c>
      <c r="M609">
        <v>43</v>
      </c>
      <c r="N609">
        <v>3</v>
      </c>
      <c r="O609">
        <v>3</v>
      </c>
      <c r="P609" t="s">
        <v>39</v>
      </c>
      <c r="Q609">
        <v>4</v>
      </c>
      <c r="R609" t="s">
        <v>46</v>
      </c>
      <c r="S609">
        <v>7654</v>
      </c>
      <c r="T609">
        <v>5860</v>
      </c>
      <c r="U609">
        <v>1</v>
      </c>
      <c r="V609" t="s">
        <v>41</v>
      </c>
      <c r="W609" t="s">
        <v>42</v>
      </c>
      <c r="X609">
        <v>18</v>
      </c>
      <c r="Y609">
        <v>3</v>
      </c>
      <c r="Z609">
        <v>1</v>
      </c>
      <c r="AA609">
        <v>80</v>
      </c>
      <c r="AB609">
        <v>2</v>
      </c>
      <c r="AC609">
        <v>9</v>
      </c>
      <c r="AD609">
        <v>3</v>
      </c>
      <c r="AE609">
        <v>4</v>
      </c>
      <c r="AF609">
        <v>9</v>
      </c>
      <c r="AG609">
        <v>8</v>
      </c>
      <c r="AH609">
        <v>7</v>
      </c>
      <c r="AI609">
        <v>7</v>
      </c>
      <c r="AJ609">
        <f t="shared" si="9"/>
        <v>1</v>
      </c>
      <c r="AK609" t="str" cm="1">
        <f t="array" ref="AK609">_xlfn.IFS(A609&lt;=30,"18-30",A609&lt;=45,"31-45",A609&lt;=60,"46-60",TRUE, "60+")</f>
        <v>46-60</v>
      </c>
      <c r="AL609" t="str" cm="1">
        <f t="array" ref="AL609">_xlfn.IFS(F609&lt;=10,"0-10",F609&lt;=20,"11-20",TRUE,"20+")</f>
        <v>11-20</v>
      </c>
      <c r="AM609" t="str" cm="1">
        <f t="array" ref="AM609">_xlfn.IFS(S609&lt;=5000,"0-5k",S609&lt;=10000,"5k-10k",S609&lt;=15000,"10k-15k",TRUE,"15k+")</f>
        <v>5k-10k</v>
      </c>
      <c r="AN609" t="str" cm="1">
        <f t="array" ref="AN609">_xlfn.IFS(AF609&lt;=10,"0-10",AF609&lt;=20,"10-20",AF609&lt;=30,"20-30",TRUE,"30+")</f>
        <v>0-10</v>
      </c>
      <c r="AO609" t="str" cm="1">
        <f t="array" ref="AO609">_xlfn.IFS(Y609=1,"Poor",Y609=2,"Average",Y609=3,"Good",TRUE,"Excellent")</f>
        <v>Good</v>
      </c>
      <c r="AP609" t="str" cm="1">
        <f t="array" ref="AP609">_xlfn.IFS(Q609=1,"Low",Q609=2,"Medium",Q609=3,"High",TRUE,"Very High")</f>
        <v>Very High</v>
      </c>
    </row>
    <row r="610" spans="1:42" x14ac:dyDescent="0.25">
      <c r="A610">
        <v>55</v>
      </c>
      <c r="B610" t="s">
        <v>35</v>
      </c>
      <c r="C610" t="s">
        <v>90</v>
      </c>
      <c r="D610">
        <v>436</v>
      </c>
      <c r="E610" t="s">
        <v>36</v>
      </c>
      <c r="F610">
        <v>2</v>
      </c>
      <c r="G610">
        <v>1</v>
      </c>
      <c r="H610" t="s">
        <v>49</v>
      </c>
      <c r="I610">
        <v>1</v>
      </c>
      <c r="J610">
        <v>842</v>
      </c>
      <c r="K610">
        <v>3</v>
      </c>
      <c r="L610" t="s">
        <v>44</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c r="AJ610">
        <f t="shared" si="9"/>
        <v>1</v>
      </c>
      <c r="AK610" t="str" cm="1">
        <f t="array" ref="AK610">_xlfn.IFS(A610&lt;=30,"18-30",A610&lt;=45,"31-45",A610&lt;=60,"46-60",TRUE, "60+")</f>
        <v>46-60</v>
      </c>
      <c r="AL610" t="str" cm="1">
        <f t="array" ref="AL610">_xlfn.IFS(F610&lt;=10,"0-10",F610&lt;=20,"11-20",TRUE,"20+")</f>
        <v>0-10</v>
      </c>
      <c r="AM610" t="str" cm="1">
        <f t="array" ref="AM610">_xlfn.IFS(S610&lt;=5000,"0-5k",S610&lt;=10000,"5k-10k",S610&lt;=15000,"10k-15k",TRUE,"15k+")</f>
        <v>5k-10k</v>
      </c>
      <c r="AN610" t="str" cm="1">
        <f t="array" ref="AN610">_xlfn.IFS(AF610&lt;=10,"0-10",AF610&lt;=20,"10-20",AF610&lt;=30,"20-30",TRUE,"30+")</f>
        <v>0-10</v>
      </c>
      <c r="AO610" t="str" cm="1">
        <f t="array" ref="AO610">_xlfn.IFS(Y610=1,"Poor",Y610=2,"Average",Y610=3,"Good",TRUE,"Excellent")</f>
        <v>Good</v>
      </c>
      <c r="AP610" t="str" cm="1">
        <f t="array" ref="AP610">_xlfn.IFS(Q610=1,"Low",Q610=2,"Medium",Q610=3,"High",TRUE,"Very High")</f>
        <v>Very High</v>
      </c>
    </row>
    <row r="611" spans="1:42" x14ac:dyDescent="0.25">
      <c r="A611">
        <v>43</v>
      </c>
      <c r="B611" t="s">
        <v>42</v>
      </c>
      <c r="C611" t="s">
        <v>90</v>
      </c>
      <c r="D611">
        <v>589</v>
      </c>
      <c r="E611" t="s">
        <v>43</v>
      </c>
      <c r="F611">
        <v>14</v>
      </c>
      <c r="G611">
        <v>2</v>
      </c>
      <c r="H611" t="s">
        <v>37</v>
      </c>
      <c r="I611">
        <v>1</v>
      </c>
      <c r="J611">
        <v>843</v>
      </c>
      <c r="K611">
        <v>2</v>
      </c>
      <c r="L611" t="s">
        <v>44</v>
      </c>
      <c r="M611">
        <v>94</v>
      </c>
      <c r="N611">
        <v>3</v>
      </c>
      <c r="O611">
        <v>4</v>
      </c>
      <c r="P611" t="s">
        <v>56</v>
      </c>
      <c r="Q611">
        <v>1</v>
      </c>
      <c r="R611" t="s">
        <v>46</v>
      </c>
      <c r="S611">
        <v>17159</v>
      </c>
      <c r="T611">
        <v>5200</v>
      </c>
      <c r="U611">
        <v>6</v>
      </c>
      <c r="V611" t="s">
        <v>41</v>
      </c>
      <c r="W611" t="s">
        <v>42</v>
      </c>
      <c r="X611">
        <v>24</v>
      </c>
      <c r="Y611">
        <v>4</v>
      </c>
      <c r="Z611">
        <v>3</v>
      </c>
      <c r="AA611">
        <v>80</v>
      </c>
      <c r="AB611">
        <v>1</v>
      </c>
      <c r="AC611">
        <v>22</v>
      </c>
      <c r="AD611">
        <v>3</v>
      </c>
      <c r="AE611">
        <v>3</v>
      </c>
      <c r="AF611">
        <v>4</v>
      </c>
      <c r="AG611">
        <v>1</v>
      </c>
      <c r="AH611">
        <v>1</v>
      </c>
      <c r="AI611">
        <v>0</v>
      </c>
      <c r="AJ611">
        <f t="shared" si="9"/>
        <v>0</v>
      </c>
      <c r="AK611" t="str" cm="1">
        <f t="array" ref="AK611">_xlfn.IFS(A611&lt;=30,"18-30",A611&lt;=45,"31-45",A611&lt;=60,"46-60",TRUE, "60+")</f>
        <v>31-45</v>
      </c>
      <c r="AL611" t="str" cm="1">
        <f t="array" ref="AL611">_xlfn.IFS(F611&lt;=10,"0-10",F611&lt;=20,"11-20",TRUE,"20+")</f>
        <v>11-20</v>
      </c>
      <c r="AM611" t="str" cm="1">
        <f t="array" ref="AM611">_xlfn.IFS(S611&lt;=5000,"0-5k",S611&lt;=10000,"5k-10k",S611&lt;=15000,"10k-15k",TRUE,"15k+")</f>
        <v>15k+</v>
      </c>
      <c r="AN611" t="str" cm="1">
        <f t="array" ref="AN611">_xlfn.IFS(AF611&lt;=10,"0-10",AF611&lt;=20,"10-20",AF611&lt;=30,"20-30",TRUE,"30+")</f>
        <v>0-10</v>
      </c>
      <c r="AO611" t="str" cm="1">
        <f t="array" ref="AO611">_xlfn.IFS(Y611=1,"Poor",Y611=2,"Average",Y611=3,"Good",TRUE,"Excellent")</f>
        <v>Excellent</v>
      </c>
      <c r="AP611" t="str" cm="1">
        <f t="array" ref="AP611">_xlfn.IFS(Q611=1,"Low",Q611=2,"Medium",Q611=3,"High",TRUE,"Very High")</f>
        <v>Low</v>
      </c>
    </row>
    <row r="612" spans="1:42" x14ac:dyDescent="0.25">
      <c r="A612">
        <v>27</v>
      </c>
      <c r="B612" t="s">
        <v>42</v>
      </c>
      <c r="C612" t="s">
        <v>90</v>
      </c>
      <c r="D612">
        <v>269</v>
      </c>
      <c r="E612" t="s">
        <v>43</v>
      </c>
      <c r="F612">
        <v>5</v>
      </c>
      <c r="G612">
        <v>1</v>
      </c>
      <c r="H612" t="s">
        <v>58</v>
      </c>
      <c r="I612">
        <v>1</v>
      </c>
      <c r="J612">
        <v>844</v>
      </c>
      <c r="K612">
        <v>3</v>
      </c>
      <c r="L612" t="s">
        <v>44</v>
      </c>
      <c r="M612">
        <v>42</v>
      </c>
      <c r="N612">
        <v>2</v>
      </c>
      <c r="O612">
        <v>3</v>
      </c>
      <c r="P612" t="s">
        <v>56</v>
      </c>
      <c r="Q612">
        <v>4</v>
      </c>
      <c r="R612" t="s">
        <v>50</v>
      </c>
      <c r="S612">
        <v>12808</v>
      </c>
      <c r="T612">
        <v>8842</v>
      </c>
      <c r="U612">
        <v>1</v>
      </c>
      <c r="V612" t="s">
        <v>41</v>
      </c>
      <c r="W612" t="s">
        <v>35</v>
      </c>
      <c r="X612">
        <v>16</v>
      </c>
      <c r="Y612">
        <v>3</v>
      </c>
      <c r="Z612">
        <v>2</v>
      </c>
      <c r="AA612">
        <v>80</v>
      </c>
      <c r="AB612">
        <v>1</v>
      </c>
      <c r="AC612">
        <v>9</v>
      </c>
      <c r="AD612">
        <v>3</v>
      </c>
      <c r="AE612">
        <v>3</v>
      </c>
      <c r="AF612">
        <v>9</v>
      </c>
      <c r="AG612">
        <v>8</v>
      </c>
      <c r="AH612">
        <v>0</v>
      </c>
      <c r="AI612">
        <v>8</v>
      </c>
      <c r="AJ612">
        <f t="shared" si="9"/>
        <v>0</v>
      </c>
      <c r="AK612" t="str" cm="1">
        <f t="array" ref="AK612">_xlfn.IFS(A612&lt;=30,"18-30",A612&lt;=45,"31-45",A612&lt;=60,"46-60",TRUE, "60+")</f>
        <v>18-30</v>
      </c>
      <c r="AL612" t="str" cm="1">
        <f t="array" ref="AL612">_xlfn.IFS(F612&lt;=10,"0-10",F612&lt;=20,"11-20",TRUE,"20+")</f>
        <v>0-10</v>
      </c>
      <c r="AM612" t="str" cm="1">
        <f t="array" ref="AM612">_xlfn.IFS(S612&lt;=5000,"0-5k",S612&lt;=10000,"5k-10k",S612&lt;=15000,"10k-15k",TRUE,"15k+")</f>
        <v>10k-15k</v>
      </c>
      <c r="AN612" t="str" cm="1">
        <f t="array" ref="AN612">_xlfn.IFS(AF612&lt;=10,"0-10",AF612&lt;=20,"10-20",AF612&lt;=30,"20-30",TRUE,"30+")</f>
        <v>0-10</v>
      </c>
      <c r="AO612" t="str" cm="1">
        <f t="array" ref="AO612">_xlfn.IFS(Y612=1,"Poor",Y612=2,"Average",Y612=3,"Good",TRUE,"Excellent")</f>
        <v>Good</v>
      </c>
      <c r="AP612" t="str" cm="1">
        <f t="array" ref="AP612">_xlfn.IFS(Q612=1,"Low",Q612=2,"Medium",Q612=3,"High",TRUE,"Very High")</f>
        <v>Very High</v>
      </c>
    </row>
    <row r="613" spans="1:42" x14ac:dyDescent="0.25">
      <c r="A613">
        <v>35</v>
      </c>
      <c r="B613" t="s">
        <v>42</v>
      </c>
      <c r="C613" t="s">
        <v>90</v>
      </c>
      <c r="D613">
        <v>950</v>
      </c>
      <c r="E613" t="s">
        <v>43</v>
      </c>
      <c r="F613">
        <v>7</v>
      </c>
      <c r="G613">
        <v>3</v>
      </c>
      <c r="H613" t="s">
        <v>47</v>
      </c>
      <c r="I613">
        <v>1</v>
      </c>
      <c r="J613">
        <v>845</v>
      </c>
      <c r="K613">
        <v>3</v>
      </c>
      <c r="L613" t="s">
        <v>44</v>
      </c>
      <c r="M613">
        <v>59</v>
      </c>
      <c r="N613">
        <v>3</v>
      </c>
      <c r="O613">
        <v>3</v>
      </c>
      <c r="P613" t="s">
        <v>51</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c r="AJ613">
        <f t="shared" si="9"/>
        <v>0</v>
      </c>
      <c r="AK613" t="str" cm="1">
        <f t="array" ref="AK613">_xlfn.IFS(A613&lt;=30,"18-30",A613&lt;=45,"31-45",A613&lt;=60,"46-60",TRUE, "60+")</f>
        <v>31-45</v>
      </c>
      <c r="AL613" t="str" cm="1">
        <f t="array" ref="AL613">_xlfn.IFS(F613&lt;=10,"0-10",F613&lt;=20,"11-20",TRUE,"20+")</f>
        <v>0-10</v>
      </c>
      <c r="AM613" t="str" cm="1">
        <f t="array" ref="AM613">_xlfn.IFS(S613&lt;=5000,"0-5k",S613&lt;=10000,"5k-10k",S613&lt;=15000,"10k-15k",TRUE,"15k+")</f>
        <v>10k-15k</v>
      </c>
      <c r="AN613" t="str" cm="1">
        <f t="array" ref="AN613">_xlfn.IFS(AF613&lt;=10,"0-10",AF613&lt;=20,"10-20",AF613&lt;=30,"20-30",TRUE,"30+")</f>
        <v>0-10</v>
      </c>
      <c r="AO613" t="str" cm="1">
        <f t="array" ref="AO613">_xlfn.IFS(Y613=1,"Poor",Y613=2,"Average",Y613=3,"Good",TRUE,"Excellent")</f>
        <v>Excellent</v>
      </c>
      <c r="AP613" t="str" cm="1">
        <f t="array" ref="AP613">_xlfn.IFS(Q613=1,"Low",Q613=2,"Medium",Q613=3,"High",TRUE,"Very High")</f>
        <v>High</v>
      </c>
    </row>
    <row r="614" spans="1:42" x14ac:dyDescent="0.25">
      <c r="A614">
        <v>28</v>
      </c>
      <c r="B614" t="s">
        <v>42</v>
      </c>
      <c r="C614" t="s">
        <v>90</v>
      </c>
      <c r="D614">
        <v>760</v>
      </c>
      <c r="E614" t="s">
        <v>36</v>
      </c>
      <c r="F614">
        <v>2</v>
      </c>
      <c r="G614">
        <v>4</v>
      </c>
      <c r="H614" t="s">
        <v>57</v>
      </c>
      <c r="I614">
        <v>1</v>
      </c>
      <c r="J614">
        <v>846</v>
      </c>
      <c r="K614">
        <v>2</v>
      </c>
      <c r="L614" t="s">
        <v>38</v>
      </c>
      <c r="M614">
        <v>81</v>
      </c>
      <c r="N614">
        <v>3</v>
      </c>
      <c r="O614">
        <v>2</v>
      </c>
      <c r="P614" t="s">
        <v>39</v>
      </c>
      <c r="Q614">
        <v>2</v>
      </c>
      <c r="R614" t="s">
        <v>46</v>
      </c>
      <c r="S614">
        <v>4779</v>
      </c>
      <c r="T614">
        <v>3698</v>
      </c>
      <c r="U614">
        <v>1</v>
      </c>
      <c r="V614" t="s">
        <v>41</v>
      </c>
      <c r="W614" t="s">
        <v>35</v>
      </c>
      <c r="X614">
        <v>20</v>
      </c>
      <c r="Y614">
        <v>4</v>
      </c>
      <c r="Z614">
        <v>1</v>
      </c>
      <c r="AA614">
        <v>80</v>
      </c>
      <c r="AB614">
        <v>0</v>
      </c>
      <c r="AC614">
        <v>8</v>
      </c>
      <c r="AD614">
        <v>2</v>
      </c>
      <c r="AE614">
        <v>3</v>
      </c>
      <c r="AF614">
        <v>8</v>
      </c>
      <c r="AG614">
        <v>7</v>
      </c>
      <c r="AH614">
        <v>7</v>
      </c>
      <c r="AI614">
        <v>5</v>
      </c>
      <c r="AJ614">
        <f t="shared" si="9"/>
        <v>0</v>
      </c>
      <c r="AK614" t="str" cm="1">
        <f t="array" ref="AK614">_xlfn.IFS(A614&lt;=30,"18-30",A614&lt;=45,"31-45",A614&lt;=60,"46-60",TRUE, "60+")</f>
        <v>18-30</v>
      </c>
      <c r="AL614" t="str" cm="1">
        <f t="array" ref="AL614">_xlfn.IFS(F614&lt;=10,"0-10",F614&lt;=20,"11-20",TRUE,"20+")</f>
        <v>0-10</v>
      </c>
      <c r="AM614" t="str" cm="1">
        <f t="array" ref="AM614">_xlfn.IFS(S614&lt;=5000,"0-5k",S614&lt;=10000,"5k-10k",S614&lt;=15000,"10k-15k",TRUE,"15k+")</f>
        <v>0-5k</v>
      </c>
      <c r="AN614" t="str" cm="1">
        <f t="array" ref="AN614">_xlfn.IFS(AF614&lt;=10,"0-10",AF614&lt;=20,"10-20",AF614&lt;=30,"20-30",TRUE,"30+")</f>
        <v>0-10</v>
      </c>
      <c r="AO614" t="str" cm="1">
        <f t="array" ref="AO614">_xlfn.IFS(Y614=1,"Poor",Y614=2,"Average",Y614=3,"Good",TRUE,"Excellent")</f>
        <v>Excellent</v>
      </c>
      <c r="AP614" t="str" cm="1">
        <f t="array" ref="AP614">_xlfn.IFS(Q614=1,"Low",Q614=2,"Medium",Q614=3,"High",TRUE,"Very High")</f>
        <v>Medium</v>
      </c>
    </row>
    <row r="615" spans="1:42" x14ac:dyDescent="0.25">
      <c r="A615">
        <v>34</v>
      </c>
      <c r="B615" t="s">
        <v>42</v>
      </c>
      <c r="C615" t="s">
        <v>90</v>
      </c>
      <c r="D615">
        <v>829</v>
      </c>
      <c r="E615" t="s">
        <v>59</v>
      </c>
      <c r="F615">
        <v>3</v>
      </c>
      <c r="G615">
        <v>2</v>
      </c>
      <c r="H615" t="s">
        <v>59</v>
      </c>
      <c r="I615">
        <v>1</v>
      </c>
      <c r="J615">
        <v>847</v>
      </c>
      <c r="K615">
        <v>3</v>
      </c>
      <c r="L615" t="s">
        <v>44</v>
      </c>
      <c r="M615">
        <v>88</v>
      </c>
      <c r="N615">
        <v>3</v>
      </c>
      <c r="O615">
        <v>1</v>
      </c>
      <c r="P615" t="s">
        <v>59</v>
      </c>
      <c r="Q615">
        <v>4</v>
      </c>
      <c r="R615" t="s">
        <v>46</v>
      </c>
      <c r="S615">
        <v>3737</v>
      </c>
      <c r="T615">
        <v>2243</v>
      </c>
      <c r="U615">
        <v>0</v>
      </c>
      <c r="V615" t="s">
        <v>41</v>
      </c>
      <c r="W615" t="s">
        <v>42</v>
      </c>
      <c r="X615">
        <v>19</v>
      </c>
      <c r="Y615">
        <v>3</v>
      </c>
      <c r="Z615">
        <v>3</v>
      </c>
      <c r="AA615">
        <v>80</v>
      </c>
      <c r="AB615">
        <v>1</v>
      </c>
      <c r="AC615">
        <v>4</v>
      </c>
      <c r="AD615">
        <v>1</v>
      </c>
      <c r="AE615">
        <v>1</v>
      </c>
      <c r="AF615">
        <v>3</v>
      </c>
      <c r="AG615">
        <v>2</v>
      </c>
      <c r="AH615">
        <v>0</v>
      </c>
      <c r="AI615">
        <v>2</v>
      </c>
      <c r="AJ615">
        <f t="shared" si="9"/>
        <v>0</v>
      </c>
      <c r="AK615" t="str" cm="1">
        <f t="array" ref="AK615">_xlfn.IFS(A615&lt;=30,"18-30",A615&lt;=45,"31-45",A615&lt;=60,"46-60",TRUE, "60+")</f>
        <v>31-45</v>
      </c>
      <c r="AL615" t="str" cm="1">
        <f t="array" ref="AL615">_xlfn.IFS(F615&lt;=10,"0-10",F615&lt;=20,"11-20",TRUE,"20+")</f>
        <v>0-10</v>
      </c>
      <c r="AM615" t="str" cm="1">
        <f t="array" ref="AM615">_xlfn.IFS(S615&lt;=5000,"0-5k",S615&lt;=10000,"5k-10k",S615&lt;=15000,"10k-15k",TRUE,"15k+")</f>
        <v>0-5k</v>
      </c>
      <c r="AN615" t="str" cm="1">
        <f t="array" ref="AN615">_xlfn.IFS(AF615&lt;=10,"0-10",AF615&lt;=20,"10-20",AF615&lt;=30,"20-30",TRUE,"30+")</f>
        <v>0-10</v>
      </c>
      <c r="AO615" t="str" cm="1">
        <f t="array" ref="AO615">_xlfn.IFS(Y615=1,"Poor",Y615=2,"Average",Y615=3,"Good",TRUE,"Excellent")</f>
        <v>Good</v>
      </c>
      <c r="AP615" t="str" cm="1">
        <f t="array" ref="AP615">_xlfn.IFS(Q615=1,"Low",Q615=2,"Medium",Q615=3,"High",TRUE,"Very High")</f>
        <v>Very High</v>
      </c>
    </row>
    <row r="616" spans="1:42" x14ac:dyDescent="0.25">
      <c r="A616">
        <v>26</v>
      </c>
      <c r="B616" t="s">
        <v>35</v>
      </c>
      <c r="C616" t="s">
        <v>91</v>
      </c>
      <c r="D616">
        <v>887</v>
      </c>
      <c r="E616" t="s">
        <v>43</v>
      </c>
      <c r="F616">
        <v>5</v>
      </c>
      <c r="G616">
        <v>2</v>
      </c>
      <c r="H616" t="s">
        <v>49</v>
      </c>
      <c r="I616">
        <v>1</v>
      </c>
      <c r="J616">
        <v>848</v>
      </c>
      <c r="K616">
        <v>3</v>
      </c>
      <c r="L616" t="s">
        <v>38</v>
      </c>
      <c r="M616">
        <v>88</v>
      </c>
      <c r="N616">
        <v>2</v>
      </c>
      <c r="O616">
        <v>1</v>
      </c>
      <c r="P616" t="s">
        <v>45</v>
      </c>
      <c r="Q616">
        <v>3</v>
      </c>
      <c r="R616" t="s">
        <v>46</v>
      </c>
      <c r="S616">
        <v>2366</v>
      </c>
      <c r="T616">
        <v>20898</v>
      </c>
      <c r="U616">
        <v>1</v>
      </c>
      <c r="V616" t="s">
        <v>41</v>
      </c>
      <c r="W616" t="s">
        <v>35</v>
      </c>
      <c r="X616">
        <v>14</v>
      </c>
      <c r="Y616">
        <v>3</v>
      </c>
      <c r="Z616">
        <v>1</v>
      </c>
      <c r="AA616">
        <v>80</v>
      </c>
      <c r="AB616">
        <v>1</v>
      </c>
      <c r="AC616">
        <v>8</v>
      </c>
      <c r="AD616">
        <v>2</v>
      </c>
      <c r="AE616">
        <v>3</v>
      </c>
      <c r="AF616">
        <v>8</v>
      </c>
      <c r="AG616">
        <v>7</v>
      </c>
      <c r="AH616">
        <v>1</v>
      </c>
      <c r="AI616">
        <v>7</v>
      </c>
      <c r="AJ616">
        <f t="shared" si="9"/>
        <v>1</v>
      </c>
      <c r="AK616" t="str" cm="1">
        <f t="array" ref="AK616">_xlfn.IFS(A616&lt;=30,"18-30",A616&lt;=45,"31-45",A616&lt;=60,"46-60",TRUE, "60+")</f>
        <v>18-30</v>
      </c>
      <c r="AL616" t="str" cm="1">
        <f t="array" ref="AL616">_xlfn.IFS(F616&lt;=10,"0-10",F616&lt;=20,"11-20",TRUE,"20+")</f>
        <v>0-10</v>
      </c>
      <c r="AM616" t="str" cm="1">
        <f t="array" ref="AM616">_xlfn.IFS(S616&lt;=5000,"0-5k",S616&lt;=10000,"5k-10k",S616&lt;=15000,"10k-15k",TRUE,"15k+")</f>
        <v>0-5k</v>
      </c>
      <c r="AN616" t="str" cm="1">
        <f t="array" ref="AN616">_xlfn.IFS(AF616&lt;=10,"0-10",AF616&lt;=20,"10-20",AF616&lt;=30,"20-30",TRUE,"30+")</f>
        <v>0-10</v>
      </c>
      <c r="AO616" t="str" cm="1">
        <f t="array" ref="AO616">_xlfn.IFS(Y616=1,"Poor",Y616=2,"Average",Y616=3,"Good",TRUE,"Excellent")</f>
        <v>Good</v>
      </c>
      <c r="AP616" t="str" cm="1">
        <f t="array" ref="AP616">_xlfn.IFS(Q616=1,"Low",Q616=2,"Medium",Q616=3,"High",TRUE,"Very High")</f>
        <v>High</v>
      </c>
    </row>
    <row r="617" spans="1:42" x14ac:dyDescent="0.25">
      <c r="A617">
        <v>27</v>
      </c>
      <c r="B617" t="s">
        <v>42</v>
      </c>
      <c r="C617" t="s">
        <v>53</v>
      </c>
      <c r="D617">
        <v>443</v>
      </c>
      <c r="E617" t="s">
        <v>43</v>
      </c>
      <c r="F617">
        <v>3</v>
      </c>
      <c r="G617">
        <v>3</v>
      </c>
      <c r="H617" t="s">
        <v>49</v>
      </c>
      <c r="I617">
        <v>1</v>
      </c>
      <c r="J617">
        <v>850</v>
      </c>
      <c r="K617">
        <v>4</v>
      </c>
      <c r="L617" t="s">
        <v>44</v>
      </c>
      <c r="M617">
        <v>50</v>
      </c>
      <c r="N617">
        <v>3</v>
      </c>
      <c r="O617">
        <v>1</v>
      </c>
      <c r="P617" t="s">
        <v>45</v>
      </c>
      <c r="Q617">
        <v>4</v>
      </c>
      <c r="R617" t="s">
        <v>46</v>
      </c>
      <c r="S617">
        <v>1706</v>
      </c>
      <c r="T617">
        <v>16571</v>
      </c>
      <c r="U617">
        <v>1</v>
      </c>
      <c r="V617" t="s">
        <v>41</v>
      </c>
      <c r="W617" t="s">
        <v>42</v>
      </c>
      <c r="X617">
        <v>11</v>
      </c>
      <c r="Y617">
        <v>3</v>
      </c>
      <c r="Z617">
        <v>3</v>
      </c>
      <c r="AA617">
        <v>80</v>
      </c>
      <c r="AB617">
        <v>3</v>
      </c>
      <c r="AC617">
        <v>0</v>
      </c>
      <c r="AD617">
        <v>6</v>
      </c>
      <c r="AE617">
        <v>2</v>
      </c>
      <c r="AF617">
        <v>0</v>
      </c>
      <c r="AG617">
        <v>0</v>
      </c>
      <c r="AH617">
        <v>0</v>
      </c>
      <c r="AI617">
        <v>0</v>
      </c>
      <c r="AJ617">
        <f t="shared" si="9"/>
        <v>0</v>
      </c>
      <c r="AK617" t="str" cm="1">
        <f t="array" ref="AK617">_xlfn.IFS(A617&lt;=30,"18-30",A617&lt;=45,"31-45",A617&lt;=60,"46-60",TRUE, "60+")</f>
        <v>18-30</v>
      </c>
      <c r="AL617" t="str" cm="1">
        <f t="array" ref="AL617">_xlfn.IFS(F617&lt;=10,"0-10",F617&lt;=20,"11-20",TRUE,"20+")</f>
        <v>0-10</v>
      </c>
      <c r="AM617" t="str" cm="1">
        <f t="array" ref="AM617">_xlfn.IFS(S617&lt;=5000,"0-5k",S617&lt;=10000,"5k-10k",S617&lt;=15000,"10k-15k",TRUE,"15k+")</f>
        <v>0-5k</v>
      </c>
      <c r="AN617" t="str" cm="1">
        <f t="array" ref="AN617">_xlfn.IFS(AF617&lt;=10,"0-10",AF617&lt;=20,"10-20",AF617&lt;=30,"20-30",TRUE,"30+")</f>
        <v>0-10</v>
      </c>
      <c r="AO617" t="str" cm="1">
        <f t="array" ref="AO617">_xlfn.IFS(Y617=1,"Poor",Y617=2,"Average",Y617=3,"Good",TRUE,"Excellent")</f>
        <v>Good</v>
      </c>
      <c r="AP617" t="str" cm="1">
        <f t="array" ref="AP617">_xlfn.IFS(Q617=1,"Low",Q617=2,"Medium",Q617=3,"High",TRUE,"Very High")</f>
        <v>Very High</v>
      </c>
    </row>
    <row r="618" spans="1:42" x14ac:dyDescent="0.25">
      <c r="A618">
        <v>51</v>
      </c>
      <c r="B618" t="s">
        <v>42</v>
      </c>
      <c r="C618" t="s">
        <v>90</v>
      </c>
      <c r="D618">
        <v>1318</v>
      </c>
      <c r="E618" t="s">
        <v>36</v>
      </c>
      <c r="F618">
        <v>26</v>
      </c>
      <c r="G618">
        <v>4</v>
      </c>
      <c r="H618" t="s">
        <v>57</v>
      </c>
      <c r="I618">
        <v>1</v>
      </c>
      <c r="J618">
        <v>851</v>
      </c>
      <c r="K618">
        <v>1</v>
      </c>
      <c r="L618" t="s">
        <v>38</v>
      </c>
      <c r="M618">
        <v>66</v>
      </c>
      <c r="N618">
        <v>3</v>
      </c>
      <c r="O618">
        <v>4</v>
      </c>
      <c r="P618" t="s">
        <v>54</v>
      </c>
      <c r="Q618">
        <v>3</v>
      </c>
      <c r="R618" t="s">
        <v>46</v>
      </c>
      <c r="S618">
        <v>16307</v>
      </c>
      <c r="T618">
        <v>5594</v>
      </c>
      <c r="U618">
        <v>2</v>
      </c>
      <c r="V618" t="s">
        <v>41</v>
      </c>
      <c r="W618" t="s">
        <v>42</v>
      </c>
      <c r="X618">
        <v>14</v>
      </c>
      <c r="Y618">
        <v>3</v>
      </c>
      <c r="Z618">
        <v>3</v>
      </c>
      <c r="AA618">
        <v>80</v>
      </c>
      <c r="AB618">
        <v>1</v>
      </c>
      <c r="AC618">
        <v>29</v>
      </c>
      <c r="AD618">
        <v>2</v>
      </c>
      <c r="AE618">
        <v>2</v>
      </c>
      <c r="AF618">
        <v>20</v>
      </c>
      <c r="AG618">
        <v>6</v>
      </c>
      <c r="AH618">
        <v>4</v>
      </c>
      <c r="AI618">
        <v>17</v>
      </c>
      <c r="AJ618">
        <f t="shared" si="9"/>
        <v>0</v>
      </c>
      <c r="AK618" t="str" cm="1">
        <f t="array" ref="AK618">_xlfn.IFS(A618&lt;=30,"18-30",A618&lt;=45,"31-45",A618&lt;=60,"46-60",TRUE, "60+")</f>
        <v>46-60</v>
      </c>
      <c r="AL618" t="str" cm="1">
        <f t="array" ref="AL618">_xlfn.IFS(F618&lt;=10,"0-10",F618&lt;=20,"11-20",TRUE,"20+")</f>
        <v>20+</v>
      </c>
      <c r="AM618" t="str" cm="1">
        <f t="array" ref="AM618">_xlfn.IFS(S618&lt;=5000,"0-5k",S618&lt;=10000,"5k-10k",S618&lt;=15000,"10k-15k",TRUE,"15k+")</f>
        <v>15k+</v>
      </c>
      <c r="AN618" t="str" cm="1">
        <f t="array" ref="AN618">_xlfn.IFS(AF618&lt;=10,"0-10",AF618&lt;=20,"10-20",AF618&lt;=30,"20-30",TRUE,"30+")</f>
        <v>10-20</v>
      </c>
      <c r="AO618" t="str" cm="1">
        <f t="array" ref="AO618">_xlfn.IFS(Y618=1,"Poor",Y618=2,"Average",Y618=3,"Good",TRUE,"Excellent")</f>
        <v>Good</v>
      </c>
      <c r="AP618" t="str" cm="1">
        <f t="array" ref="AP618">_xlfn.IFS(Q618=1,"Low",Q618=2,"Medium",Q618=3,"High",TRUE,"Very High")</f>
        <v>High</v>
      </c>
    </row>
    <row r="619" spans="1:42" x14ac:dyDescent="0.25">
      <c r="A619">
        <v>44</v>
      </c>
      <c r="B619" t="s">
        <v>42</v>
      </c>
      <c r="C619" t="s">
        <v>90</v>
      </c>
      <c r="D619">
        <v>625</v>
      </c>
      <c r="E619" t="s">
        <v>43</v>
      </c>
      <c r="F619">
        <v>4</v>
      </c>
      <c r="G619">
        <v>3</v>
      </c>
      <c r="H619" t="s">
        <v>49</v>
      </c>
      <c r="I619">
        <v>1</v>
      </c>
      <c r="J619">
        <v>852</v>
      </c>
      <c r="K619">
        <v>4</v>
      </c>
      <c r="L619" t="s">
        <v>44</v>
      </c>
      <c r="M619">
        <v>50</v>
      </c>
      <c r="N619">
        <v>3</v>
      </c>
      <c r="O619">
        <v>2</v>
      </c>
      <c r="P619" t="s">
        <v>52</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c r="AJ619">
        <f t="shared" si="9"/>
        <v>0</v>
      </c>
      <c r="AK619" t="str" cm="1">
        <f t="array" ref="AK619">_xlfn.IFS(A619&lt;=30,"18-30",A619&lt;=45,"31-45",A619&lt;=60,"46-60",TRUE, "60+")</f>
        <v>31-45</v>
      </c>
      <c r="AL619" t="str" cm="1">
        <f t="array" ref="AL619">_xlfn.IFS(F619&lt;=10,"0-10",F619&lt;=20,"11-20",TRUE,"20+")</f>
        <v>0-10</v>
      </c>
      <c r="AM619" t="str" cm="1">
        <f t="array" ref="AM619">_xlfn.IFS(S619&lt;=5000,"0-5k",S619&lt;=10000,"5k-10k",S619&lt;=15000,"10k-15k",TRUE,"15k+")</f>
        <v>5k-10k</v>
      </c>
      <c r="AN619" t="str" cm="1">
        <f t="array" ref="AN619">_xlfn.IFS(AF619&lt;=10,"0-10",AF619&lt;=20,"10-20",AF619&lt;=30,"20-30",TRUE,"30+")</f>
        <v>0-10</v>
      </c>
      <c r="AO619" t="str" cm="1">
        <f t="array" ref="AO619">_xlfn.IFS(Y619=1,"Poor",Y619=2,"Average",Y619=3,"Good",TRUE,"Excellent")</f>
        <v>Good</v>
      </c>
      <c r="AP619" t="str" cm="1">
        <f t="array" ref="AP619">_xlfn.IFS(Q619=1,"Low",Q619=2,"Medium",Q619=3,"High",TRUE,"Very High")</f>
        <v>Medium</v>
      </c>
    </row>
    <row r="620" spans="1:42" x14ac:dyDescent="0.25">
      <c r="A620">
        <v>25</v>
      </c>
      <c r="B620" t="s">
        <v>42</v>
      </c>
      <c r="C620" t="s">
        <v>90</v>
      </c>
      <c r="D620">
        <v>180</v>
      </c>
      <c r="E620" t="s">
        <v>43</v>
      </c>
      <c r="F620">
        <v>2</v>
      </c>
      <c r="G620">
        <v>1</v>
      </c>
      <c r="H620" t="s">
        <v>49</v>
      </c>
      <c r="I620">
        <v>1</v>
      </c>
      <c r="J620">
        <v>854</v>
      </c>
      <c r="K620">
        <v>1</v>
      </c>
      <c r="L620" t="s">
        <v>44</v>
      </c>
      <c r="M620">
        <v>65</v>
      </c>
      <c r="N620">
        <v>4</v>
      </c>
      <c r="O620">
        <v>1</v>
      </c>
      <c r="P620" t="s">
        <v>45</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c r="AJ620">
        <f t="shared" si="9"/>
        <v>0</v>
      </c>
      <c r="AK620" t="str" cm="1">
        <f t="array" ref="AK620">_xlfn.IFS(A620&lt;=30,"18-30",A620&lt;=45,"31-45",A620&lt;=60,"46-60",TRUE, "60+")</f>
        <v>18-30</v>
      </c>
      <c r="AL620" t="str" cm="1">
        <f t="array" ref="AL620">_xlfn.IFS(F620&lt;=10,"0-10",F620&lt;=20,"11-20",TRUE,"20+")</f>
        <v>0-10</v>
      </c>
      <c r="AM620" t="str" cm="1">
        <f t="array" ref="AM620">_xlfn.IFS(S620&lt;=5000,"0-5k",S620&lt;=10000,"5k-10k",S620&lt;=15000,"10k-15k",TRUE,"15k+")</f>
        <v>0-5k</v>
      </c>
      <c r="AN620" t="str" cm="1">
        <f t="array" ref="AN620">_xlfn.IFS(AF620&lt;=10,"0-10",AF620&lt;=20,"10-20",AF620&lt;=30,"20-30",TRUE,"30+")</f>
        <v>0-10</v>
      </c>
      <c r="AO620" t="str" cm="1">
        <f t="array" ref="AO620">_xlfn.IFS(Y620=1,"Poor",Y620=2,"Average",Y620=3,"Good",TRUE,"Excellent")</f>
        <v>Good</v>
      </c>
      <c r="AP620" t="str" cm="1">
        <f t="array" ref="AP620">_xlfn.IFS(Q620=1,"Low",Q620=2,"Medium",Q620=3,"High",TRUE,"Very High")</f>
        <v>Low</v>
      </c>
    </row>
    <row r="621" spans="1:42" x14ac:dyDescent="0.25">
      <c r="A621">
        <v>33</v>
      </c>
      <c r="B621" t="s">
        <v>42</v>
      </c>
      <c r="C621" t="s">
        <v>90</v>
      </c>
      <c r="D621">
        <v>586</v>
      </c>
      <c r="E621" t="s">
        <v>36</v>
      </c>
      <c r="F621">
        <v>1</v>
      </c>
      <c r="G621">
        <v>3</v>
      </c>
      <c r="H621" t="s">
        <v>49</v>
      </c>
      <c r="I621">
        <v>1</v>
      </c>
      <c r="J621">
        <v>855</v>
      </c>
      <c r="K621">
        <v>1</v>
      </c>
      <c r="L621" t="s">
        <v>44</v>
      </c>
      <c r="M621">
        <v>48</v>
      </c>
      <c r="N621">
        <v>4</v>
      </c>
      <c r="O621">
        <v>2</v>
      </c>
      <c r="P621" t="s">
        <v>39</v>
      </c>
      <c r="Q621">
        <v>1</v>
      </c>
      <c r="R621" t="s">
        <v>50</v>
      </c>
      <c r="S621">
        <v>4037</v>
      </c>
      <c r="T621">
        <v>21816</v>
      </c>
      <c r="U621">
        <v>1</v>
      </c>
      <c r="V621" t="s">
        <v>41</v>
      </c>
      <c r="W621" t="s">
        <v>42</v>
      </c>
      <c r="X621">
        <v>22</v>
      </c>
      <c r="Y621">
        <v>4</v>
      </c>
      <c r="Z621">
        <v>1</v>
      </c>
      <c r="AA621">
        <v>80</v>
      </c>
      <c r="AB621">
        <v>1</v>
      </c>
      <c r="AC621">
        <v>9</v>
      </c>
      <c r="AD621">
        <v>5</v>
      </c>
      <c r="AE621">
        <v>3</v>
      </c>
      <c r="AF621">
        <v>9</v>
      </c>
      <c r="AG621">
        <v>8</v>
      </c>
      <c r="AH621">
        <v>0</v>
      </c>
      <c r="AI621">
        <v>8</v>
      </c>
      <c r="AJ621">
        <f t="shared" si="9"/>
        <v>0</v>
      </c>
      <c r="AK621" t="str" cm="1">
        <f t="array" ref="AK621">_xlfn.IFS(A621&lt;=30,"18-30",A621&lt;=45,"31-45",A621&lt;=60,"46-60",TRUE, "60+")</f>
        <v>31-45</v>
      </c>
      <c r="AL621" t="str" cm="1">
        <f t="array" ref="AL621">_xlfn.IFS(F621&lt;=10,"0-10",F621&lt;=20,"11-20",TRUE,"20+")</f>
        <v>0-10</v>
      </c>
      <c r="AM621" t="str" cm="1">
        <f t="array" ref="AM621">_xlfn.IFS(S621&lt;=5000,"0-5k",S621&lt;=10000,"5k-10k",S621&lt;=15000,"10k-15k",TRUE,"15k+")</f>
        <v>0-5k</v>
      </c>
      <c r="AN621" t="str" cm="1">
        <f t="array" ref="AN621">_xlfn.IFS(AF621&lt;=10,"0-10",AF621&lt;=20,"10-20",AF621&lt;=30,"20-30",TRUE,"30+")</f>
        <v>0-10</v>
      </c>
      <c r="AO621" t="str" cm="1">
        <f t="array" ref="AO621">_xlfn.IFS(Y621=1,"Poor",Y621=2,"Average",Y621=3,"Good",TRUE,"Excellent")</f>
        <v>Excellent</v>
      </c>
      <c r="AP621" t="str" cm="1">
        <f t="array" ref="AP621">_xlfn.IFS(Q621=1,"Low",Q621=2,"Medium",Q621=3,"High",TRUE,"Very High")</f>
        <v>Low</v>
      </c>
    </row>
    <row r="622" spans="1:42" x14ac:dyDescent="0.25">
      <c r="A622">
        <v>35</v>
      </c>
      <c r="B622" t="s">
        <v>42</v>
      </c>
      <c r="C622" t="s">
        <v>90</v>
      </c>
      <c r="D622">
        <v>1343</v>
      </c>
      <c r="E622" t="s">
        <v>43</v>
      </c>
      <c r="F622">
        <v>27</v>
      </c>
      <c r="G622">
        <v>1</v>
      </c>
      <c r="H622" t="s">
        <v>49</v>
      </c>
      <c r="I622">
        <v>1</v>
      </c>
      <c r="J622">
        <v>856</v>
      </c>
      <c r="K622">
        <v>3</v>
      </c>
      <c r="L622" t="s">
        <v>38</v>
      </c>
      <c r="M622">
        <v>53</v>
      </c>
      <c r="N622">
        <v>2</v>
      </c>
      <c r="O622">
        <v>1</v>
      </c>
      <c r="P622" t="s">
        <v>45</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c r="AJ622">
        <f t="shared" si="9"/>
        <v>0</v>
      </c>
      <c r="AK622" t="str" cm="1">
        <f t="array" ref="AK622">_xlfn.IFS(A622&lt;=30,"18-30",A622&lt;=45,"31-45",A622&lt;=60,"46-60",TRUE, "60+")</f>
        <v>31-45</v>
      </c>
      <c r="AL622" t="str" cm="1">
        <f t="array" ref="AL622">_xlfn.IFS(F622&lt;=10,"0-10",F622&lt;=20,"11-20",TRUE,"20+")</f>
        <v>20+</v>
      </c>
      <c r="AM622" t="str" cm="1">
        <f t="array" ref="AM622">_xlfn.IFS(S622&lt;=5000,"0-5k",S622&lt;=10000,"5k-10k",S622&lt;=15000,"10k-15k",TRUE,"15k+")</f>
        <v>0-5k</v>
      </c>
      <c r="AN622" t="str" cm="1">
        <f t="array" ref="AN622">_xlfn.IFS(AF622&lt;=10,"0-10",AF622&lt;=20,"10-20",AF622&lt;=30,"20-30",TRUE,"30+")</f>
        <v>0-10</v>
      </c>
      <c r="AO622" t="str" cm="1">
        <f t="array" ref="AO622">_xlfn.IFS(Y622=1,"Poor",Y622=2,"Average",Y622=3,"Good",TRUE,"Excellent")</f>
        <v>Good</v>
      </c>
      <c r="AP622" t="str" cm="1">
        <f t="array" ref="AP622">_xlfn.IFS(Q622=1,"Low",Q622=2,"Medium",Q622=3,"High",TRUE,"Very High")</f>
        <v>Low</v>
      </c>
    </row>
    <row r="623" spans="1:42" x14ac:dyDescent="0.25">
      <c r="A623">
        <v>36</v>
      </c>
      <c r="B623" t="s">
        <v>42</v>
      </c>
      <c r="C623" t="s">
        <v>90</v>
      </c>
      <c r="D623">
        <v>928</v>
      </c>
      <c r="E623" t="s">
        <v>36</v>
      </c>
      <c r="F623">
        <v>1</v>
      </c>
      <c r="G623">
        <v>2</v>
      </c>
      <c r="H623" t="s">
        <v>37</v>
      </c>
      <c r="I623">
        <v>1</v>
      </c>
      <c r="J623">
        <v>857</v>
      </c>
      <c r="K623">
        <v>2</v>
      </c>
      <c r="L623" t="s">
        <v>44</v>
      </c>
      <c r="M623">
        <v>56</v>
      </c>
      <c r="N623">
        <v>3</v>
      </c>
      <c r="O623">
        <v>2</v>
      </c>
      <c r="P623" t="s">
        <v>39</v>
      </c>
      <c r="Q623">
        <v>4</v>
      </c>
      <c r="R623" t="s">
        <v>46</v>
      </c>
      <c r="S623">
        <v>6201</v>
      </c>
      <c r="T623">
        <v>2823</v>
      </c>
      <c r="U623">
        <v>1</v>
      </c>
      <c r="V623" t="s">
        <v>41</v>
      </c>
      <c r="W623" t="s">
        <v>35</v>
      </c>
      <c r="X623">
        <v>14</v>
      </c>
      <c r="Y623">
        <v>3</v>
      </c>
      <c r="Z623">
        <v>4</v>
      </c>
      <c r="AA623">
        <v>80</v>
      </c>
      <c r="AB623">
        <v>1</v>
      </c>
      <c r="AC623">
        <v>18</v>
      </c>
      <c r="AD623">
        <v>1</v>
      </c>
      <c r="AE623">
        <v>2</v>
      </c>
      <c r="AF623">
        <v>18</v>
      </c>
      <c r="AG623">
        <v>14</v>
      </c>
      <c r="AH623">
        <v>4</v>
      </c>
      <c r="AI623">
        <v>11</v>
      </c>
      <c r="AJ623">
        <f t="shared" si="9"/>
        <v>0</v>
      </c>
      <c r="AK623" t="str" cm="1">
        <f t="array" ref="AK623">_xlfn.IFS(A623&lt;=30,"18-30",A623&lt;=45,"31-45",A623&lt;=60,"46-60",TRUE, "60+")</f>
        <v>31-45</v>
      </c>
      <c r="AL623" t="str" cm="1">
        <f t="array" ref="AL623">_xlfn.IFS(F623&lt;=10,"0-10",F623&lt;=20,"11-20",TRUE,"20+")</f>
        <v>0-10</v>
      </c>
      <c r="AM623" t="str" cm="1">
        <f t="array" ref="AM623">_xlfn.IFS(S623&lt;=5000,"0-5k",S623&lt;=10000,"5k-10k",S623&lt;=15000,"10k-15k",TRUE,"15k+")</f>
        <v>5k-10k</v>
      </c>
      <c r="AN623" t="str" cm="1">
        <f t="array" ref="AN623">_xlfn.IFS(AF623&lt;=10,"0-10",AF623&lt;=20,"10-20",AF623&lt;=30,"20-30",TRUE,"30+")</f>
        <v>10-20</v>
      </c>
      <c r="AO623" t="str" cm="1">
        <f t="array" ref="AO623">_xlfn.IFS(Y623=1,"Poor",Y623=2,"Average",Y623=3,"Good",TRUE,"Excellent")</f>
        <v>Good</v>
      </c>
      <c r="AP623" t="str" cm="1">
        <f t="array" ref="AP623">_xlfn.IFS(Q623=1,"Low",Q623=2,"Medium",Q623=3,"High",TRUE,"Very High")</f>
        <v>Very High</v>
      </c>
    </row>
    <row r="624" spans="1:42" x14ac:dyDescent="0.25">
      <c r="A624">
        <v>32</v>
      </c>
      <c r="B624" t="s">
        <v>42</v>
      </c>
      <c r="C624" t="s">
        <v>90</v>
      </c>
      <c r="D624">
        <v>117</v>
      </c>
      <c r="E624" t="s">
        <v>36</v>
      </c>
      <c r="F624">
        <v>13</v>
      </c>
      <c r="G624">
        <v>4</v>
      </c>
      <c r="H624" t="s">
        <v>37</v>
      </c>
      <c r="I624">
        <v>1</v>
      </c>
      <c r="J624">
        <v>859</v>
      </c>
      <c r="K624">
        <v>2</v>
      </c>
      <c r="L624" t="s">
        <v>44</v>
      </c>
      <c r="M624">
        <v>73</v>
      </c>
      <c r="N624">
        <v>3</v>
      </c>
      <c r="O624">
        <v>2</v>
      </c>
      <c r="P624" t="s">
        <v>39</v>
      </c>
      <c r="Q624">
        <v>4</v>
      </c>
      <c r="R624" t="s">
        <v>50</v>
      </c>
      <c r="S624">
        <v>4403</v>
      </c>
      <c r="T624">
        <v>9250</v>
      </c>
      <c r="U624">
        <v>2</v>
      </c>
      <c r="V624" t="s">
        <v>41</v>
      </c>
      <c r="W624" t="s">
        <v>42</v>
      </c>
      <c r="X624">
        <v>11</v>
      </c>
      <c r="Y624">
        <v>3</v>
      </c>
      <c r="Z624">
        <v>3</v>
      </c>
      <c r="AA624">
        <v>80</v>
      </c>
      <c r="AB624">
        <v>1</v>
      </c>
      <c r="AC624">
        <v>8</v>
      </c>
      <c r="AD624">
        <v>3</v>
      </c>
      <c r="AE624">
        <v>2</v>
      </c>
      <c r="AF624">
        <v>5</v>
      </c>
      <c r="AG624">
        <v>2</v>
      </c>
      <c r="AH624">
        <v>0</v>
      </c>
      <c r="AI624">
        <v>3</v>
      </c>
      <c r="AJ624">
        <f t="shared" si="9"/>
        <v>0</v>
      </c>
      <c r="AK624" t="str" cm="1">
        <f t="array" ref="AK624">_xlfn.IFS(A624&lt;=30,"18-30",A624&lt;=45,"31-45",A624&lt;=60,"46-60",TRUE, "60+")</f>
        <v>31-45</v>
      </c>
      <c r="AL624" t="str" cm="1">
        <f t="array" ref="AL624">_xlfn.IFS(F624&lt;=10,"0-10",F624&lt;=20,"11-20",TRUE,"20+")</f>
        <v>11-20</v>
      </c>
      <c r="AM624" t="str" cm="1">
        <f t="array" ref="AM624">_xlfn.IFS(S624&lt;=5000,"0-5k",S624&lt;=10000,"5k-10k",S624&lt;=15000,"10k-15k",TRUE,"15k+")</f>
        <v>0-5k</v>
      </c>
      <c r="AN624" t="str" cm="1">
        <f t="array" ref="AN624">_xlfn.IFS(AF624&lt;=10,"0-10",AF624&lt;=20,"10-20",AF624&lt;=30,"20-30",TRUE,"30+")</f>
        <v>0-10</v>
      </c>
      <c r="AO624" t="str" cm="1">
        <f t="array" ref="AO624">_xlfn.IFS(Y624=1,"Poor",Y624=2,"Average",Y624=3,"Good",TRUE,"Excellent")</f>
        <v>Good</v>
      </c>
      <c r="AP624" t="str" cm="1">
        <f t="array" ref="AP624">_xlfn.IFS(Q624=1,"Low",Q624=2,"Medium",Q624=3,"High",TRUE,"Very High")</f>
        <v>Very High</v>
      </c>
    </row>
    <row r="625" spans="1:42" x14ac:dyDescent="0.25">
      <c r="A625">
        <v>30</v>
      </c>
      <c r="B625" t="s">
        <v>42</v>
      </c>
      <c r="C625" t="s">
        <v>91</v>
      </c>
      <c r="D625">
        <v>1012</v>
      </c>
      <c r="E625" t="s">
        <v>43</v>
      </c>
      <c r="F625">
        <v>5</v>
      </c>
      <c r="G625">
        <v>4</v>
      </c>
      <c r="H625" t="s">
        <v>37</v>
      </c>
      <c r="I625">
        <v>1</v>
      </c>
      <c r="J625">
        <v>861</v>
      </c>
      <c r="K625">
        <v>2</v>
      </c>
      <c r="L625" t="s">
        <v>44</v>
      </c>
      <c r="M625">
        <v>75</v>
      </c>
      <c r="N625">
        <v>2</v>
      </c>
      <c r="O625">
        <v>1</v>
      </c>
      <c r="P625" t="s">
        <v>45</v>
      </c>
      <c r="Q625">
        <v>4</v>
      </c>
      <c r="R625" t="s">
        <v>50</v>
      </c>
      <c r="S625">
        <v>3761</v>
      </c>
      <c r="T625">
        <v>2373</v>
      </c>
      <c r="U625">
        <v>9</v>
      </c>
      <c r="V625" t="s">
        <v>41</v>
      </c>
      <c r="W625" t="s">
        <v>42</v>
      </c>
      <c r="X625">
        <v>12</v>
      </c>
      <c r="Y625">
        <v>3</v>
      </c>
      <c r="Z625">
        <v>2</v>
      </c>
      <c r="AA625">
        <v>80</v>
      </c>
      <c r="AB625">
        <v>1</v>
      </c>
      <c r="AC625">
        <v>10</v>
      </c>
      <c r="AD625">
        <v>3</v>
      </c>
      <c r="AE625">
        <v>2</v>
      </c>
      <c r="AF625">
        <v>5</v>
      </c>
      <c r="AG625">
        <v>4</v>
      </c>
      <c r="AH625">
        <v>0</v>
      </c>
      <c r="AI625">
        <v>3</v>
      </c>
      <c r="AJ625">
        <f t="shared" si="9"/>
        <v>0</v>
      </c>
      <c r="AK625" t="str" cm="1">
        <f t="array" ref="AK625">_xlfn.IFS(A625&lt;=30,"18-30",A625&lt;=45,"31-45",A625&lt;=60,"46-60",TRUE, "60+")</f>
        <v>18-30</v>
      </c>
      <c r="AL625" t="str" cm="1">
        <f t="array" ref="AL625">_xlfn.IFS(F625&lt;=10,"0-10",F625&lt;=20,"11-20",TRUE,"20+")</f>
        <v>0-10</v>
      </c>
      <c r="AM625" t="str" cm="1">
        <f t="array" ref="AM625">_xlfn.IFS(S625&lt;=5000,"0-5k",S625&lt;=10000,"5k-10k",S625&lt;=15000,"10k-15k",TRUE,"15k+")</f>
        <v>0-5k</v>
      </c>
      <c r="AN625" t="str" cm="1">
        <f t="array" ref="AN625">_xlfn.IFS(AF625&lt;=10,"0-10",AF625&lt;=20,"10-20",AF625&lt;=30,"20-30",TRUE,"30+")</f>
        <v>0-10</v>
      </c>
      <c r="AO625" t="str" cm="1">
        <f t="array" ref="AO625">_xlfn.IFS(Y625=1,"Poor",Y625=2,"Average",Y625=3,"Good",TRUE,"Excellent")</f>
        <v>Good</v>
      </c>
      <c r="AP625" t="str" cm="1">
        <f t="array" ref="AP625">_xlfn.IFS(Q625=1,"Low",Q625=2,"Medium",Q625=3,"High",TRUE,"Very High")</f>
        <v>Very High</v>
      </c>
    </row>
    <row r="626" spans="1:42" x14ac:dyDescent="0.25">
      <c r="A626">
        <v>53</v>
      </c>
      <c r="B626" t="s">
        <v>42</v>
      </c>
      <c r="C626" t="s">
        <v>90</v>
      </c>
      <c r="D626">
        <v>661</v>
      </c>
      <c r="E626" t="s">
        <v>36</v>
      </c>
      <c r="F626">
        <v>7</v>
      </c>
      <c r="G626">
        <v>2</v>
      </c>
      <c r="H626" t="s">
        <v>57</v>
      </c>
      <c r="I626">
        <v>1</v>
      </c>
      <c r="J626">
        <v>862</v>
      </c>
      <c r="K626">
        <v>1</v>
      </c>
      <c r="L626" t="s">
        <v>38</v>
      </c>
      <c r="M626">
        <v>78</v>
      </c>
      <c r="N626">
        <v>2</v>
      </c>
      <c r="O626">
        <v>3</v>
      </c>
      <c r="P626" t="s">
        <v>39</v>
      </c>
      <c r="Q626">
        <v>4</v>
      </c>
      <c r="R626" t="s">
        <v>46</v>
      </c>
      <c r="S626">
        <v>10934</v>
      </c>
      <c r="T626">
        <v>20715</v>
      </c>
      <c r="U626">
        <v>7</v>
      </c>
      <c r="V626" t="s">
        <v>41</v>
      </c>
      <c r="W626" t="s">
        <v>35</v>
      </c>
      <c r="X626">
        <v>18</v>
      </c>
      <c r="Y626">
        <v>3</v>
      </c>
      <c r="Z626">
        <v>4</v>
      </c>
      <c r="AA626">
        <v>80</v>
      </c>
      <c r="AB626">
        <v>1</v>
      </c>
      <c r="AC626">
        <v>35</v>
      </c>
      <c r="AD626">
        <v>3</v>
      </c>
      <c r="AE626">
        <v>3</v>
      </c>
      <c r="AF626">
        <v>5</v>
      </c>
      <c r="AG626">
        <v>2</v>
      </c>
      <c r="AH626">
        <v>0</v>
      </c>
      <c r="AI626">
        <v>4</v>
      </c>
      <c r="AJ626">
        <f t="shared" si="9"/>
        <v>0</v>
      </c>
      <c r="AK626" t="str" cm="1">
        <f t="array" ref="AK626">_xlfn.IFS(A626&lt;=30,"18-30",A626&lt;=45,"31-45",A626&lt;=60,"46-60",TRUE, "60+")</f>
        <v>46-60</v>
      </c>
      <c r="AL626" t="str" cm="1">
        <f t="array" ref="AL626">_xlfn.IFS(F626&lt;=10,"0-10",F626&lt;=20,"11-20",TRUE,"20+")</f>
        <v>0-10</v>
      </c>
      <c r="AM626" t="str" cm="1">
        <f t="array" ref="AM626">_xlfn.IFS(S626&lt;=5000,"0-5k",S626&lt;=10000,"5k-10k",S626&lt;=15000,"10k-15k",TRUE,"15k+")</f>
        <v>10k-15k</v>
      </c>
      <c r="AN626" t="str" cm="1">
        <f t="array" ref="AN626">_xlfn.IFS(AF626&lt;=10,"0-10",AF626&lt;=20,"10-20",AF626&lt;=30,"20-30",TRUE,"30+")</f>
        <v>0-10</v>
      </c>
      <c r="AO626" t="str" cm="1">
        <f t="array" ref="AO626">_xlfn.IFS(Y626=1,"Poor",Y626=2,"Average",Y626=3,"Good",TRUE,"Excellent")</f>
        <v>Good</v>
      </c>
      <c r="AP626" t="str" cm="1">
        <f t="array" ref="AP626">_xlfn.IFS(Q626=1,"Low",Q626=2,"Medium",Q626=3,"High",TRUE,"Very High")</f>
        <v>Very High</v>
      </c>
    </row>
    <row r="627" spans="1:42" x14ac:dyDescent="0.25">
      <c r="A627">
        <v>45</v>
      </c>
      <c r="B627" t="s">
        <v>42</v>
      </c>
      <c r="C627" t="s">
        <v>90</v>
      </c>
      <c r="D627">
        <v>930</v>
      </c>
      <c r="E627" t="s">
        <v>36</v>
      </c>
      <c r="F627">
        <v>9</v>
      </c>
      <c r="G627">
        <v>3</v>
      </c>
      <c r="H627" t="s">
        <v>57</v>
      </c>
      <c r="I627">
        <v>1</v>
      </c>
      <c r="J627">
        <v>864</v>
      </c>
      <c r="K627">
        <v>4</v>
      </c>
      <c r="L627" t="s">
        <v>44</v>
      </c>
      <c r="M627">
        <v>74</v>
      </c>
      <c r="N627">
        <v>3</v>
      </c>
      <c r="O627">
        <v>3</v>
      </c>
      <c r="P627" t="s">
        <v>39</v>
      </c>
      <c r="Q627">
        <v>1</v>
      </c>
      <c r="R627" t="s">
        <v>50</v>
      </c>
      <c r="S627">
        <v>10761</v>
      </c>
      <c r="T627">
        <v>19239</v>
      </c>
      <c r="U627">
        <v>4</v>
      </c>
      <c r="V627" t="s">
        <v>41</v>
      </c>
      <c r="W627" t="s">
        <v>35</v>
      </c>
      <c r="X627">
        <v>12</v>
      </c>
      <c r="Y627">
        <v>3</v>
      </c>
      <c r="Z627">
        <v>3</v>
      </c>
      <c r="AA627">
        <v>80</v>
      </c>
      <c r="AB627">
        <v>1</v>
      </c>
      <c r="AC627">
        <v>18</v>
      </c>
      <c r="AD627">
        <v>2</v>
      </c>
      <c r="AE627">
        <v>3</v>
      </c>
      <c r="AF627">
        <v>5</v>
      </c>
      <c r="AG627">
        <v>4</v>
      </c>
      <c r="AH627">
        <v>0</v>
      </c>
      <c r="AI627">
        <v>2</v>
      </c>
      <c r="AJ627">
        <f t="shared" si="9"/>
        <v>0</v>
      </c>
      <c r="AK627" t="str" cm="1">
        <f t="array" ref="AK627">_xlfn.IFS(A627&lt;=30,"18-30",A627&lt;=45,"31-45",A627&lt;=60,"46-60",TRUE, "60+")</f>
        <v>31-45</v>
      </c>
      <c r="AL627" t="str" cm="1">
        <f t="array" ref="AL627">_xlfn.IFS(F627&lt;=10,"0-10",F627&lt;=20,"11-20",TRUE,"20+")</f>
        <v>0-10</v>
      </c>
      <c r="AM627" t="str" cm="1">
        <f t="array" ref="AM627">_xlfn.IFS(S627&lt;=5000,"0-5k",S627&lt;=10000,"5k-10k",S627&lt;=15000,"10k-15k",TRUE,"15k+")</f>
        <v>10k-15k</v>
      </c>
      <c r="AN627" t="str" cm="1">
        <f t="array" ref="AN627">_xlfn.IFS(AF627&lt;=10,"0-10",AF627&lt;=20,"10-20",AF627&lt;=30,"20-30",TRUE,"30+")</f>
        <v>0-10</v>
      </c>
      <c r="AO627" t="str" cm="1">
        <f t="array" ref="AO627">_xlfn.IFS(Y627=1,"Poor",Y627=2,"Average",Y627=3,"Good",TRUE,"Excellent")</f>
        <v>Good</v>
      </c>
      <c r="AP627" t="str" cm="1">
        <f t="array" ref="AP627">_xlfn.IFS(Q627=1,"Low",Q627=2,"Medium",Q627=3,"High",TRUE,"Very High")</f>
        <v>Low</v>
      </c>
    </row>
    <row r="628" spans="1:42" x14ac:dyDescent="0.25">
      <c r="A628">
        <v>32</v>
      </c>
      <c r="B628" t="s">
        <v>42</v>
      </c>
      <c r="C628" t="s">
        <v>90</v>
      </c>
      <c r="D628">
        <v>638</v>
      </c>
      <c r="E628" t="s">
        <v>43</v>
      </c>
      <c r="F628">
        <v>8</v>
      </c>
      <c r="G628">
        <v>2</v>
      </c>
      <c r="H628" t="s">
        <v>49</v>
      </c>
      <c r="I628">
        <v>1</v>
      </c>
      <c r="J628">
        <v>865</v>
      </c>
      <c r="K628">
        <v>3</v>
      </c>
      <c r="L628" t="s">
        <v>38</v>
      </c>
      <c r="M628">
        <v>91</v>
      </c>
      <c r="N628">
        <v>4</v>
      </c>
      <c r="O628">
        <v>2</v>
      </c>
      <c r="P628" t="s">
        <v>45</v>
      </c>
      <c r="Q628">
        <v>3</v>
      </c>
      <c r="R628" t="s">
        <v>46</v>
      </c>
      <c r="S628">
        <v>5175</v>
      </c>
      <c r="T628">
        <v>22162</v>
      </c>
      <c r="U628">
        <v>5</v>
      </c>
      <c r="V628" t="s">
        <v>41</v>
      </c>
      <c r="W628" t="s">
        <v>42</v>
      </c>
      <c r="X628">
        <v>12</v>
      </c>
      <c r="Y628">
        <v>3</v>
      </c>
      <c r="Z628">
        <v>3</v>
      </c>
      <c r="AA628">
        <v>80</v>
      </c>
      <c r="AB628">
        <v>1</v>
      </c>
      <c r="AC628">
        <v>9</v>
      </c>
      <c r="AD628">
        <v>3</v>
      </c>
      <c r="AE628">
        <v>2</v>
      </c>
      <c r="AF628">
        <v>5</v>
      </c>
      <c r="AG628">
        <v>3</v>
      </c>
      <c r="AH628">
        <v>1</v>
      </c>
      <c r="AI628">
        <v>3</v>
      </c>
      <c r="AJ628">
        <f t="shared" si="9"/>
        <v>0</v>
      </c>
      <c r="AK628" t="str" cm="1">
        <f t="array" ref="AK628">_xlfn.IFS(A628&lt;=30,"18-30",A628&lt;=45,"31-45",A628&lt;=60,"46-60",TRUE, "60+")</f>
        <v>31-45</v>
      </c>
      <c r="AL628" t="str" cm="1">
        <f t="array" ref="AL628">_xlfn.IFS(F628&lt;=10,"0-10",F628&lt;=20,"11-20",TRUE,"20+")</f>
        <v>0-10</v>
      </c>
      <c r="AM628" t="str" cm="1">
        <f t="array" ref="AM628">_xlfn.IFS(S628&lt;=5000,"0-5k",S628&lt;=10000,"5k-10k",S628&lt;=15000,"10k-15k",TRUE,"15k+")</f>
        <v>5k-10k</v>
      </c>
      <c r="AN628" t="str" cm="1">
        <f t="array" ref="AN628">_xlfn.IFS(AF628&lt;=10,"0-10",AF628&lt;=20,"10-20",AF628&lt;=30,"20-30",TRUE,"30+")</f>
        <v>0-10</v>
      </c>
      <c r="AO628" t="str" cm="1">
        <f t="array" ref="AO628">_xlfn.IFS(Y628=1,"Poor",Y628=2,"Average",Y628=3,"Good",TRUE,"Excellent")</f>
        <v>Good</v>
      </c>
      <c r="AP628" t="str" cm="1">
        <f t="array" ref="AP628">_xlfn.IFS(Q628=1,"Low",Q628=2,"Medium",Q628=3,"High",TRUE,"Very High")</f>
        <v>High</v>
      </c>
    </row>
    <row r="629" spans="1:42" x14ac:dyDescent="0.25">
      <c r="A629">
        <v>52</v>
      </c>
      <c r="B629" t="s">
        <v>42</v>
      </c>
      <c r="C629" t="s">
        <v>91</v>
      </c>
      <c r="D629">
        <v>890</v>
      </c>
      <c r="E629" t="s">
        <v>43</v>
      </c>
      <c r="F629">
        <v>25</v>
      </c>
      <c r="G629">
        <v>4</v>
      </c>
      <c r="H629" t="s">
        <v>49</v>
      </c>
      <c r="I629">
        <v>1</v>
      </c>
      <c r="J629">
        <v>867</v>
      </c>
      <c r="K629">
        <v>3</v>
      </c>
      <c r="L629" t="s">
        <v>38</v>
      </c>
      <c r="M629">
        <v>81</v>
      </c>
      <c r="N629">
        <v>2</v>
      </c>
      <c r="O629">
        <v>4</v>
      </c>
      <c r="P629" t="s">
        <v>51</v>
      </c>
      <c r="Q629">
        <v>4</v>
      </c>
      <c r="R629" t="s">
        <v>46</v>
      </c>
      <c r="S629">
        <v>13826</v>
      </c>
      <c r="T629">
        <v>19028</v>
      </c>
      <c r="U629">
        <v>3</v>
      </c>
      <c r="V629" t="s">
        <v>41</v>
      </c>
      <c r="W629" t="s">
        <v>42</v>
      </c>
      <c r="X629">
        <v>22</v>
      </c>
      <c r="Y629">
        <v>4</v>
      </c>
      <c r="Z629">
        <v>3</v>
      </c>
      <c r="AA629">
        <v>80</v>
      </c>
      <c r="AB629">
        <v>0</v>
      </c>
      <c r="AC629">
        <v>31</v>
      </c>
      <c r="AD629">
        <v>3</v>
      </c>
      <c r="AE629">
        <v>3</v>
      </c>
      <c r="AF629">
        <v>9</v>
      </c>
      <c r="AG629">
        <v>8</v>
      </c>
      <c r="AH629">
        <v>0</v>
      </c>
      <c r="AI629">
        <v>0</v>
      </c>
      <c r="AJ629">
        <f t="shared" si="9"/>
        <v>0</v>
      </c>
      <c r="AK629" t="str" cm="1">
        <f t="array" ref="AK629">_xlfn.IFS(A629&lt;=30,"18-30",A629&lt;=45,"31-45",A629&lt;=60,"46-60",TRUE, "60+")</f>
        <v>46-60</v>
      </c>
      <c r="AL629" t="str" cm="1">
        <f t="array" ref="AL629">_xlfn.IFS(F629&lt;=10,"0-10",F629&lt;=20,"11-20",TRUE,"20+")</f>
        <v>20+</v>
      </c>
      <c r="AM629" t="str" cm="1">
        <f t="array" ref="AM629">_xlfn.IFS(S629&lt;=5000,"0-5k",S629&lt;=10000,"5k-10k",S629&lt;=15000,"10k-15k",TRUE,"15k+")</f>
        <v>10k-15k</v>
      </c>
      <c r="AN629" t="str" cm="1">
        <f t="array" ref="AN629">_xlfn.IFS(AF629&lt;=10,"0-10",AF629&lt;=20,"10-20",AF629&lt;=30,"20-30",TRUE,"30+")</f>
        <v>0-10</v>
      </c>
      <c r="AO629" t="str" cm="1">
        <f t="array" ref="AO629">_xlfn.IFS(Y629=1,"Poor",Y629=2,"Average",Y629=3,"Good",TRUE,"Excellent")</f>
        <v>Excellent</v>
      </c>
      <c r="AP629" t="str" cm="1">
        <f t="array" ref="AP629">_xlfn.IFS(Q629=1,"Low",Q629=2,"Medium",Q629=3,"High",TRUE,"Very High")</f>
        <v>Very High</v>
      </c>
    </row>
    <row r="630" spans="1:42" x14ac:dyDescent="0.25">
      <c r="A630">
        <v>37</v>
      </c>
      <c r="B630" t="s">
        <v>42</v>
      </c>
      <c r="C630" t="s">
        <v>90</v>
      </c>
      <c r="D630">
        <v>342</v>
      </c>
      <c r="E630" t="s">
        <v>36</v>
      </c>
      <c r="F630">
        <v>16</v>
      </c>
      <c r="G630">
        <v>4</v>
      </c>
      <c r="H630" t="s">
        <v>57</v>
      </c>
      <c r="I630">
        <v>1</v>
      </c>
      <c r="J630">
        <v>868</v>
      </c>
      <c r="K630">
        <v>4</v>
      </c>
      <c r="L630" t="s">
        <v>44</v>
      </c>
      <c r="M630">
        <v>66</v>
      </c>
      <c r="N630">
        <v>2</v>
      </c>
      <c r="O630">
        <v>2</v>
      </c>
      <c r="P630" t="s">
        <v>39</v>
      </c>
      <c r="Q630">
        <v>3</v>
      </c>
      <c r="R630" t="s">
        <v>50</v>
      </c>
      <c r="S630">
        <v>6334</v>
      </c>
      <c r="T630">
        <v>24558</v>
      </c>
      <c r="U630">
        <v>4</v>
      </c>
      <c r="V630" t="s">
        <v>41</v>
      </c>
      <c r="W630" t="s">
        <v>42</v>
      </c>
      <c r="X630">
        <v>19</v>
      </c>
      <c r="Y630">
        <v>3</v>
      </c>
      <c r="Z630">
        <v>4</v>
      </c>
      <c r="AA630">
        <v>80</v>
      </c>
      <c r="AB630">
        <v>2</v>
      </c>
      <c r="AC630">
        <v>9</v>
      </c>
      <c r="AD630">
        <v>2</v>
      </c>
      <c r="AE630">
        <v>3</v>
      </c>
      <c r="AF630">
        <v>1</v>
      </c>
      <c r="AG630">
        <v>0</v>
      </c>
      <c r="AH630">
        <v>0</v>
      </c>
      <c r="AI630">
        <v>0</v>
      </c>
      <c r="AJ630">
        <f t="shared" si="9"/>
        <v>0</v>
      </c>
      <c r="AK630" t="str" cm="1">
        <f t="array" ref="AK630">_xlfn.IFS(A630&lt;=30,"18-30",A630&lt;=45,"31-45",A630&lt;=60,"46-60",TRUE, "60+")</f>
        <v>31-45</v>
      </c>
      <c r="AL630" t="str" cm="1">
        <f t="array" ref="AL630">_xlfn.IFS(F630&lt;=10,"0-10",F630&lt;=20,"11-20",TRUE,"20+")</f>
        <v>11-20</v>
      </c>
      <c r="AM630" t="str" cm="1">
        <f t="array" ref="AM630">_xlfn.IFS(S630&lt;=5000,"0-5k",S630&lt;=10000,"5k-10k",S630&lt;=15000,"10k-15k",TRUE,"15k+")</f>
        <v>5k-10k</v>
      </c>
      <c r="AN630" t="str" cm="1">
        <f t="array" ref="AN630">_xlfn.IFS(AF630&lt;=10,"0-10",AF630&lt;=20,"10-20",AF630&lt;=30,"20-30",TRUE,"30+")</f>
        <v>0-10</v>
      </c>
      <c r="AO630" t="str" cm="1">
        <f t="array" ref="AO630">_xlfn.IFS(Y630=1,"Poor",Y630=2,"Average",Y630=3,"Good",TRUE,"Excellent")</f>
        <v>Good</v>
      </c>
      <c r="AP630" t="str" cm="1">
        <f t="array" ref="AP630">_xlfn.IFS(Q630=1,"Low",Q630=2,"Medium",Q630=3,"High",TRUE,"Very High")</f>
        <v>High</v>
      </c>
    </row>
    <row r="631" spans="1:42" x14ac:dyDescent="0.25">
      <c r="A631">
        <v>28</v>
      </c>
      <c r="B631" t="s">
        <v>42</v>
      </c>
      <c r="C631" t="s">
        <v>90</v>
      </c>
      <c r="D631">
        <v>1169</v>
      </c>
      <c r="E631" t="s">
        <v>59</v>
      </c>
      <c r="F631">
        <v>8</v>
      </c>
      <c r="G631">
        <v>2</v>
      </c>
      <c r="H631" t="s">
        <v>49</v>
      </c>
      <c r="I631">
        <v>1</v>
      </c>
      <c r="J631">
        <v>869</v>
      </c>
      <c r="K631">
        <v>2</v>
      </c>
      <c r="L631" t="s">
        <v>44</v>
      </c>
      <c r="M631">
        <v>63</v>
      </c>
      <c r="N631">
        <v>2</v>
      </c>
      <c r="O631">
        <v>1</v>
      </c>
      <c r="P631" t="s">
        <v>59</v>
      </c>
      <c r="Q631">
        <v>4</v>
      </c>
      <c r="R631" t="s">
        <v>50</v>
      </c>
      <c r="S631">
        <v>4936</v>
      </c>
      <c r="T631">
        <v>23965</v>
      </c>
      <c r="U631">
        <v>1</v>
      </c>
      <c r="V631" t="s">
        <v>41</v>
      </c>
      <c r="W631" t="s">
        <v>42</v>
      </c>
      <c r="X631">
        <v>13</v>
      </c>
      <c r="Y631">
        <v>3</v>
      </c>
      <c r="Z631">
        <v>4</v>
      </c>
      <c r="AA631">
        <v>80</v>
      </c>
      <c r="AB631">
        <v>1</v>
      </c>
      <c r="AC631">
        <v>6</v>
      </c>
      <c r="AD631">
        <v>6</v>
      </c>
      <c r="AE631">
        <v>3</v>
      </c>
      <c r="AF631">
        <v>5</v>
      </c>
      <c r="AG631">
        <v>1</v>
      </c>
      <c r="AH631">
        <v>0</v>
      </c>
      <c r="AI631">
        <v>4</v>
      </c>
      <c r="AJ631">
        <f t="shared" si="9"/>
        <v>0</v>
      </c>
      <c r="AK631" t="str" cm="1">
        <f t="array" ref="AK631">_xlfn.IFS(A631&lt;=30,"18-30",A631&lt;=45,"31-45",A631&lt;=60,"46-60",TRUE, "60+")</f>
        <v>18-30</v>
      </c>
      <c r="AL631" t="str" cm="1">
        <f t="array" ref="AL631">_xlfn.IFS(F631&lt;=10,"0-10",F631&lt;=20,"11-20",TRUE,"20+")</f>
        <v>0-10</v>
      </c>
      <c r="AM631" t="str" cm="1">
        <f t="array" ref="AM631">_xlfn.IFS(S631&lt;=5000,"0-5k",S631&lt;=10000,"5k-10k",S631&lt;=15000,"10k-15k",TRUE,"15k+")</f>
        <v>0-5k</v>
      </c>
      <c r="AN631" t="str" cm="1">
        <f t="array" ref="AN631">_xlfn.IFS(AF631&lt;=10,"0-10",AF631&lt;=20,"10-20",AF631&lt;=30,"20-30",TRUE,"30+")</f>
        <v>0-10</v>
      </c>
      <c r="AO631" t="str" cm="1">
        <f t="array" ref="AO631">_xlfn.IFS(Y631=1,"Poor",Y631=2,"Average",Y631=3,"Good",TRUE,"Excellent")</f>
        <v>Good</v>
      </c>
      <c r="AP631" t="str" cm="1">
        <f t="array" ref="AP631">_xlfn.IFS(Q631=1,"Low",Q631=2,"Medium",Q631=3,"High",TRUE,"Very High")</f>
        <v>Very High</v>
      </c>
    </row>
    <row r="632" spans="1:42" x14ac:dyDescent="0.25">
      <c r="A632">
        <v>22</v>
      </c>
      <c r="B632" t="s">
        <v>42</v>
      </c>
      <c r="C632" t="s">
        <v>90</v>
      </c>
      <c r="D632">
        <v>1230</v>
      </c>
      <c r="E632" t="s">
        <v>43</v>
      </c>
      <c r="F632">
        <v>1</v>
      </c>
      <c r="G632">
        <v>2</v>
      </c>
      <c r="H632" t="s">
        <v>37</v>
      </c>
      <c r="I632">
        <v>1</v>
      </c>
      <c r="J632">
        <v>872</v>
      </c>
      <c r="K632">
        <v>4</v>
      </c>
      <c r="L632" t="s">
        <v>44</v>
      </c>
      <c r="M632">
        <v>33</v>
      </c>
      <c r="N632">
        <v>2</v>
      </c>
      <c r="O632">
        <v>2</v>
      </c>
      <c r="P632" t="s">
        <v>51</v>
      </c>
      <c r="Q632">
        <v>4</v>
      </c>
      <c r="R632" t="s">
        <v>46</v>
      </c>
      <c r="S632">
        <v>4775</v>
      </c>
      <c r="T632">
        <v>19146</v>
      </c>
      <c r="U632">
        <v>6</v>
      </c>
      <c r="V632" t="s">
        <v>41</v>
      </c>
      <c r="W632" t="s">
        <v>42</v>
      </c>
      <c r="X632">
        <v>22</v>
      </c>
      <c r="Y632">
        <v>4</v>
      </c>
      <c r="Z632">
        <v>1</v>
      </c>
      <c r="AA632">
        <v>80</v>
      </c>
      <c r="AB632">
        <v>2</v>
      </c>
      <c r="AC632">
        <v>4</v>
      </c>
      <c r="AD632">
        <v>2</v>
      </c>
      <c r="AE632">
        <v>1</v>
      </c>
      <c r="AF632">
        <v>2</v>
      </c>
      <c r="AG632">
        <v>2</v>
      </c>
      <c r="AH632">
        <v>2</v>
      </c>
      <c r="AI632">
        <v>2</v>
      </c>
      <c r="AJ632">
        <f t="shared" si="9"/>
        <v>0</v>
      </c>
      <c r="AK632" t="str" cm="1">
        <f t="array" ref="AK632">_xlfn.IFS(A632&lt;=30,"18-30",A632&lt;=45,"31-45",A632&lt;=60,"46-60",TRUE, "60+")</f>
        <v>18-30</v>
      </c>
      <c r="AL632" t="str" cm="1">
        <f t="array" ref="AL632">_xlfn.IFS(F632&lt;=10,"0-10",F632&lt;=20,"11-20",TRUE,"20+")</f>
        <v>0-10</v>
      </c>
      <c r="AM632" t="str" cm="1">
        <f t="array" ref="AM632">_xlfn.IFS(S632&lt;=5000,"0-5k",S632&lt;=10000,"5k-10k",S632&lt;=15000,"10k-15k",TRUE,"15k+")</f>
        <v>0-5k</v>
      </c>
      <c r="AN632" t="str" cm="1">
        <f t="array" ref="AN632">_xlfn.IFS(AF632&lt;=10,"0-10",AF632&lt;=20,"10-20",AF632&lt;=30,"20-30",TRUE,"30+")</f>
        <v>0-10</v>
      </c>
      <c r="AO632" t="str" cm="1">
        <f t="array" ref="AO632">_xlfn.IFS(Y632=1,"Poor",Y632=2,"Average",Y632=3,"Good",TRUE,"Excellent")</f>
        <v>Excellent</v>
      </c>
      <c r="AP632" t="str" cm="1">
        <f t="array" ref="AP632">_xlfn.IFS(Q632=1,"Low",Q632=2,"Medium",Q632=3,"High",TRUE,"Very High")</f>
        <v>Very High</v>
      </c>
    </row>
    <row r="633" spans="1:42" x14ac:dyDescent="0.25">
      <c r="A633">
        <v>44</v>
      </c>
      <c r="B633" t="s">
        <v>42</v>
      </c>
      <c r="C633" t="s">
        <v>90</v>
      </c>
      <c r="D633">
        <v>986</v>
      </c>
      <c r="E633" t="s">
        <v>43</v>
      </c>
      <c r="F633">
        <v>8</v>
      </c>
      <c r="G633">
        <v>4</v>
      </c>
      <c r="H633" t="s">
        <v>37</v>
      </c>
      <c r="I633">
        <v>1</v>
      </c>
      <c r="J633">
        <v>874</v>
      </c>
      <c r="K633">
        <v>1</v>
      </c>
      <c r="L633" t="s">
        <v>44</v>
      </c>
      <c r="M633">
        <v>62</v>
      </c>
      <c r="N633">
        <v>4</v>
      </c>
      <c r="O633">
        <v>1</v>
      </c>
      <c r="P633" t="s">
        <v>48</v>
      </c>
      <c r="Q633">
        <v>4</v>
      </c>
      <c r="R633" t="s">
        <v>46</v>
      </c>
      <c r="S633">
        <v>2818</v>
      </c>
      <c r="T633">
        <v>5044</v>
      </c>
      <c r="U633">
        <v>2</v>
      </c>
      <c r="V633" t="s">
        <v>41</v>
      </c>
      <c r="W633" t="s">
        <v>35</v>
      </c>
      <c r="X633">
        <v>24</v>
      </c>
      <c r="Y633">
        <v>4</v>
      </c>
      <c r="Z633">
        <v>3</v>
      </c>
      <c r="AA633">
        <v>80</v>
      </c>
      <c r="AB633">
        <v>1</v>
      </c>
      <c r="AC633">
        <v>10</v>
      </c>
      <c r="AD633">
        <v>2</v>
      </c>
      <c r="AE633">
        <v>2</v>
      </c>
      <c r="AF633">
        <v>3</v>
      </c>
      <c r="AG633">
        <v>2</v>
      </c>
      <c r="AH633">
        <v>0</v>
      </c>
      <c r="AI633">
        <v>2</v>
      </c>
      <c r="AJ633">
        <f t="shared" si="9"/>
        <v>0</v>
      </c>
      <c r="AK633" t="str" cm="1">
        <f t="array" ref="AK633">_xlfn.IFS(A633&lt;=30,"18-30",A633&lt;=45,"31-45",A633&lt;=60,"46-60",TRUE, "60+")</f>
        <v>31-45</v>
      </c>
      <c r="AL633" t="str" cm="1">
        <f t="array" ref="AL633">_xlfn.IFS(F633&lt;=10,"0-10",F633&lt;=20,"11-20",TRUE,"20+")</f>
        <v>0-10</v>
      </c>
      <c r="AM633" t="str" cm="1">
        <f t="array" ref="AM633">_xlfn.IFS(S633&lt;=5000,"0-5k",S633&lt;=10000,"5k-10k",S633&lt;=15000,"10k-15k",TRUE,"15k+")</f>
        <v>0-5k</v>
      </c>
      <c r="AN633" t="str" cm="1">
        <f t="array" ref="AN633">_xlfn.IFS(AF633&lt;=10,"0-10",AF633&lt;=20,"10-20",AF633&lt;=30,"20-30",TRUE,"30+")</f>
        <v>0-10</v>
      </c>
      <c r="AO633" t="str" cm="1">
        <f t="array" ref="AO633">_xlfn.IFS(Y633=1,"Poor",Y633=2,"Average",Y633=3,"Good",TRUE,"Excellent")</f>
        <v>Excellent</v>
      </c>
      <c r="AP633" t="str" cm="1">
        <f t="array" ref="AP633">_xlfn.IFS(Q633=1,"Low",Q633=2,"Medium",Q633=3,"High",TRUE,"Very High")</f>
        <v>Very High</v>
      </c>
    </row>
    <row r="634" spans="1:42" x14ac:dyDescent="0.25">
      <c r="A634">
        <v>42</v>
      </c>
      <c r="B634" t="s">
        <v>42</v>
      </c>
      <c r="C634" t="s">
        <v>91</v>
      </c>
      <c r="D634">
        <v>1271</v>
      </c>
      <c r="E634" t="s">
        <v>43</v>
      </c>
      <c r="F634">
        <v>2</v>
      </c>
      <c r="G634">
        <v>1</v>
      </c>
      <c r="H634" t="s">
        <v>49</v>
      </c>
      <c r="I634">
        <v>1</v>
      </c>
      <c r="J634">
        <v>875</v>
      </c>
      <c r="K634">
        <v>2</v>
      </c>
      <c r="L634" t="s">
        <v>44</v>
      </c>
      <c r="M634">
        <v>35</v>
      </c>
      <c r="N634">
        <v>3</v>
      </c>
      <c r="O634">
        <v>1</v>
      </c>
      <c r="P634" t="s">
        <v>45</v>
      </c>
      <c r="Q634">
        <v>4</v>
      </c>
      <c r="R634" t="s">
        <v>40</v>
      </c>
      <c r="S634">
        <v>2515</v>
      </c>
      <c r="T634">
        <v>9068</v>
      </c>
      <c r="U634">
        <v>5</v>
      </c>
      <c r="V634" t="s">
        <v>41</v>
      </c>
      <c r="W634" t="s">
        <v>35</v>
      </c>
      <c r="X634">
        <v>14</v>
      </c>
      <c r="Y634">
        <v>3</v>
      </c>
      <c r="Z634">
        <v>4</v>
      </c>
      <c r="AA634">
        <v>80</v>
      </c>
      <c r="AB634">
        <v>0</v>
      </c>
      <c r="AC634">
        <v>8</v>
      </c>
      <c r="AD634">
        <v>2</v>
      </c>
      <c r="AE634">
        <v>3</v>
      </c>
      <c r="AF634">
        <v>2</v>
      </c>
      <c r="AG634">
        <v>1</v>
      </c>
      <c r="AH634">
        <v>2</v>
      </c>
      <c r="AI634">
        <v>2</v>
      </c>
      <c r="AJ634">
        <f t="shared" si="9"/>
        <v>0</v>
      </c>
      <c r="AK634" t="str" cm="1">
        <f t="array" ref="AK634">_xlfn.IFS(A634&lt;=30,"18-30",A634&lt;=45,"31-45",A634&lt;=60,"46-60",TRUE, "60+")</f>
        <v>31-45</v>
      </c>
      <c r="AL634" t="str" cm="1">
        <f t="array" ref="AL634">_xlfn.IFS(F634&lt;=10,"0-10",F634&lt;=20,"11-20",TRUE,"20+")</f>
        <v>0-10</v>
      </c>
      <c r="AM634" t="str" cm="1">
        <f t="array" ref="AM634">_xlfn.IFS(S634&lt;=5000,"0-5k",S634&lt;=10000,"5k-10k",S634&lt;=15000,"10k-15k",TRUE,"15k+")</f>
        <v>0-5k</v>
      </c>
      <c r="AN634" t="str" cm="1">
        <f t="array" ref="AN634">_xlfn.IFS(AF634&lt;=10,"0-10",AF634&lt;=20,"10-20",AF634&lt;=30,"20-30",TRUE,"30+")</f>
        <v>0-10</v>
      </c>
      <c r="AO634" t="str" cm="1">
        <f t="array" ref="AO634">_xlfn.IFS(Y634=1,"Poor",Y634=2,"Average",Y634=3,"Good",TRUE,"Excellent")</f>
        <v>Good</v>
      </c>
      <c r="AP634" t="str" cm="1">
        <f t="array" ref="AP634">_xlfn.IFS(Q634=1,"Low",Q634=2,"Medium",Q634=3,"High",TRUE,"Very High")</f>
        <v>Very High</v>
      </c>
    </row>
    <row r="635" spans="1:42" x14ac:dyDescent="0.25">
      <c r="A635">
        <v>36</v>
      </c>
      <c r="B635" t="s">
        <v>42</v>
      </c>
      <c r="C635" t="s">
        <v>90</v>
      </c>
      <c r="D635">
        <v>1278</v>
      </c>
      <c r="E635" t="s">
        <v>59</v>
      </c>
      <c r="F635">
        <v>8</v>
      </c>
      <c r="G635">
        <v>3</v>
      </c>
      <c r="H635" t="s">
        <v>37</v>
      </c>
      <c r="I635">
        <v>1</v>
      </c>
      <c r="J635">
        <v>878</v>
      </c>
      <c r="K635">
        <v>1</v>
      </c>
      <c r="L635" t="s">
        <v>44</v>
      </c>
      <c r="M635">
        <v>77</v>
      </c>
      <c r="N635">
        <v>2</v>
      </c>
      <c r="O635">
        <v>1</v>
      </c>
      <c r="P635" t="s">
        <v>59</v>
      </c>
      <c r="Q635">
        <v>1</v>
      </c>
      <c r="R635" t="s">
        <v>46</v>
      </c>
      <c r="S635">
        <v>2342</v>
      </c>
      <c r="T635">
        <v>8635</v>
      </c>
      <c r="U635">
        <v>0</v>
      </c>
      <c r="V635" t="s">
        <v>41</v>
      </c>
      <c r="W635" t="s">
        <v>42</v>
      </c>
      <c r="X635">
        <v>21</v>
      </c>
      <c r="Y635">
        <v>4</v>
      </c>
      <c r="Z635">
        <v>3</v>
      </c>
      <c r="AA635">
        <v>80</v>
      </c>
      <c r="AB635">
        <v>0</v>
      </c>
      <c r="AC635">
        <v>6</v>
      </c>
      <c r="AD635">
        <v>3</v>
      </c>
      <c r="AE635">
        <v>3</v>
      </c>
      <c r="AF635">
        <v>5</v>
      </c>
      <c r="AG635">
        <v>4</v>
      </c>
      <c r="AH635">
        <v>0</v>
      </c>
      <c r="AI635">
        <v>3</v>
      </c>
      <c r="AJ635">
        <f t="shared" si="9"/>
        <v>0</v>
      </c>
      <c r="AK635" t="str" cm="1">
        <f t="array" ref="AK635">_xlfn.IFS(A635&lt;=30,"18-30",A635&lt;=45,"31-45",A635&lt;=60,"46-60",TRUE, "60+")</f>
        <v>31-45</v>
      </c>
      <c r="AL635" t="str" cm="1">
        <f t="array" ref="AL635">_xlfn.IFS(F635&lt;=10,"0-10",F635&lt;=20,"11-20",TRUE,"20+")</f>
        <v>0-10</v>
      </c>
      <c r="AM635" t="str" cm="1">
        <f t="array" ref="AM635">_xlfn.IFS(S635&lt;=5000,"0-5k",S635&lt;=10000,"5k-10k",S635&lt;=15000,"10k-15k",TRUE,"15k+")</f>
        <v>0-5k</v>
      </c>
      <c r="AN635" t="str" cm="1">
        <f t="array" ref="AN635">_xlfn.IFS(AF635&lt;=10,"0-10",AF635&lt;=20,"10-20",AF635&lt;=30,"20-30",TRUE,"30+")</f>
        <v>0-10</v>
      </c>
      <c r="AO635" t="str" cm="1">
        <f t="array" ref="AO635">_xlfn.IFS(Y635=1,"Poor",Y635=2,"Average",Y635=3,"Good",TRUE,"Excellent")</f>
        <v>Excellent</v>
      </c>
      <c r="AP635" t="str" cm="1">
        <f t="array" ref="AP635">_xlfn.IFS(Q635=1,"Low",Q635=2,"Medium",Q635=3,"High",TRUE,"Very High")</f>
        <v>Low</v>
      </c>
    </row>
    <row r="636" spans="1:42" x14ac:dyDescent="0.25">
      <c r="A636">
        <v>25</v>
      </c>
      <c r="B636" t="s">
        <v>42</v>
      </c>
      <c r="C636" t="s">
        <v>90</v>
      </c>
      <c r="D636">
        <v>141</v>
      </c>
      <c r="E636" t="s">
        <v>36</v>
      </c>
      <c r="F636">
        <v>3</v>
      </c>
      <c r="G636">
        <v>1</v>
      </c>
      <c r="H636" t="s">
        <v>47</v>
      </c>
      <c r="I636">
        <v>1</v>
      </c>
      <c r="J636">
        <v>879</v>
      </c>
      <c r="K636">
        <v>3</v>
      </c>
      <c r="L636" t="s">
        <v>44</v>
      </c>
      <c r="M636">
        <v>98</v>
      </c>
      <c r="N636">
        <v>3</v>
      </c>
      <c r="O636">
        <v>2</v>
      </c>
      <c r="P636" t="s">
        <v>39</v>
      </c>
      <c r="Q636">
        <v>1</v>
      </c>
      <c r="R636" t="s">
        <v>46</v>
      </c>
      <c r="S636">
        <v>4194</v>
      </c>
      <c r="T636">
        <v>14363</v>
      </c>
      <c r="U636">
        <v>1</v>
      </c>
      <c r="V636" t="s">
        <v>41</v>
      </c>
      <c r="W636" t="s">
        <v>35</v>
      </c>
      <c r="X636">
        <v>18</v>
      </c>
      <c r="Y636">
        <v>3</v>
      </c>
      <c r="Z636">
        <v>4</v>
      </c>
      <c r="AA636">
        <v>80</v>
      </c>
      <c r="AB636">
        <v>0</v>
      </c>
      <c r="AC636">
        <v>5</v>
      </c>
      <c r="AD636">
        <v>3</v>
      </c>
      <c r="AE636">
        <v>3</v>
      </c>
      <c r="AF636">
        <v>5</v>
      </c>
      <c r="AG636">
        <v>3</v>
      </c>
      <c r="AH636">
        <v>0</v>
      </c>
      <c r="AI636">
        <v>3</v>
      </c>
      <c r="AJ636">
        <f t="shared" si="9"/>
        <v>0</v>
      </c>
      <c r="AK636" t="str" cm="1">
        <f t="array" ref="AK636">_xlfn.IFS(A636&lt;=30,"18-30",A636&lt;=45,"31-45",A636&lt;=60,"46-60",TRUE, "60+")</f>
        <v>18-30</v>
      </c>
      <c r="AL636" t="str" cm="1">
        <f t="array" ref="AL636">_xlfn.IFS(F636&lt;=10,"0-10",F636&lt;=20,"11-20",TRUE,"20+")</f>
        <v>0-10</v>
      </c>
      <c r="AM636" t="str" cm="1">
        <f t="array" ref="AM636">_xlfn.IFS(S636&lt;=5000,"0-5k",S636&lt;=10000,"5k-10k",S636&lt;=15000,"10k-15k",TRUE,"15k+")</f>
        <v>0-5k</v>
      </c>
      <c r="AN636" t="str" cm="1">
        <f t="array" ref="AN636">_xlfn.IFS(AF636&lt;=10,"0-10",AF636&lt;=20,"10-20",AF636&lt;=30,"20-30",TRUE,"30+")</f>
        <v>0-10</v>
      </c>
      <c r="AO636" t="str" cm="1">
        <f t="array" ref="AO636">_xlfn.IFS(Y636=1,"Poor",Y636=2,"Average",Y636=3,"Good",TRUE,"Excellent")</f>
        <v>Good</v>
      </c>
      <c r="AP636" t="str" cm="1">
        <f t="array" ref="AP636">_xlfn.IFS(Q636=1,"Low",Q636=2,"Medium",Q636=3,"High",TRUE,"Very High")</f>
        <v>Low</v>
      </c>
    </row>
    <row r="637" spans="1:42" x14ac:dyDescent="0.25">
      <c r="A637">
        <v>35</v>
      </c>
      <c r="B637" t="s">
        <v>42</v>
      </c>
      <c r="C637" t="s">
        <v>90</v>
      </c>
      <c r="D637">
        <v>607</v>
      </c>
      <c r="E637" t="s">
        <v>43</v>
      </c>
      <c r="F637">
        <v>9</v>
      </c>
      <c r="G637">
        <v>3</v>
      </c>
      <c r="H637" t="s">
        <v>37</v>
      </c>
      <c r="I637">
        <v>1</v>
      </c>
      <c r="J637">
        <v>880</v>
      </c>
      <c r="K637">
        <v>4</v>
      </c>
      <c r="L637" t="s">
        <v>38</v>
      </c>
      <c r="M637">
        <v>66</v>
      </c>
      <c r="N637">
        <v>2</v>
      </c>
      <c r="O637">
        <v>3</v>
      </c>
      <c r="P637" t="s">
        <v>51</v>
      </c>
      <c r="Q637">
        <v>3</v>
      </c>
      <c r="R637" t="s">
        <v>46</v>
      </c>
      <c r="S637">
        <v>10685</v>
      </c>
      <c r="T637">
        <v>23457</v>
      </c>
      <c r="U637">
        <v>1</v>
      </c>
      <c r="V637" t="s">
        <v>41</v>
      </c>
      <c r="W637" t="s">
        <v>35</v>
      </c>
      <c r="X637">
        <v>20</v>
      </c>
      <c r="Y637">
        <v>4</v>
      </c>
      <c r="Z637">
        <v>2</v>
      </c>
      <c r="AA637">
        <v>80</v>
      </c>
      <c r="AB637">
        <v>1</v>
      </c>
      <c r="AC637">
        <v>17</v>
      </c>
      <c r="AD637">
        <v>2</v>
      </c>
      <c r="AE637">
        <v>3</v>
      </c>
      <c r="AF637">
        <v>17</v>
      </c>
      <c r="AG637">
        <v>14</v>
      </c>
      <c r="AH637">
        <v>5</v>
      </c>
      <c r="AI637">
        <v>15</v>
      </c>
      <c r="AJ637">
        <f t="shared" si="9"/>
        <v>0</v>
      </c>
      <c r="AK637" t="str" cm="1">
        <f t="array" ref="AK637">_xlfn.IFS(A637&lt;=30,"18-30",A637&lt;=45,"31-45",A637&lt;=60,"46-60",TRUE, "60+")</f>
        <v>31-45</v>
      </c>
      <c r="AL637" t="str" cm="1">
        <f t="array" ref="AL637">_xlfn.IFS(F637&lt;=10,"0-10",F637&lt;=20,"11-20",TRUE,"20+")</f>
        <v>0-10</v>
      </c>
      <c r="AM637" t="str" cm="1">
        <f t="array" ref="AM637">_xlfn.IFS(S637&lt;=5000,"0-5k",S637&lt;=10000,"5k-10k",S637&lt;=15000,"10k-15k",TRUE,"15k+")</f>
        <v>10k-15k</v>
      </c>
      <c r="AN637" t="str" cm="1">
        <f t="array" ref="AN637">_xlfn.IFS(AF637&lt;=10,"0-10",AF637&lt;=20,"10-20",AF637&lt;=30,"20-30",TRUE,"30+")</f>
        <v>10-20</v>
      </c>
      <c r="AO637" t="str" cm="1">
        <f t="array" ref="AO637">_xlfn.IFS(Y637=1,"Poor",Y637=2,"Average",Y637=3,"Good",TRUE,"Excellent")</f>
        <v>Excellent</v>
      </c>
      <c r="AP637" t="str" cm="1">
        <f t="array" ref="AP637">_xlfn.IFS(Q637=1,"Low",Q637=2,"Medium",Q637=3,"High",TRUE,"Very High")</f>
        <v>High</v>
      </c>
    </row>
    <row r="638" spans="1:42" x14ac:dyDescent="0.25">
      <c r="A638">
        <v>35</v>
      </c>
      <c r="B638" t="s">
        <v>35</v>
      </c>
      <c r="C638" t="s">
        <v>91</v>
      </c>
      <c r="D638">
        <v>130</v>
      </c>
      <c r="E638" t="s">
        <v>43</v>
      </c>
      <c r="F638">
        <v>25</v>
      </c>
      <c r="G638">
        <v>4</v>
      </c>
      <c r="H638" t="s">
        <v>37</v>
      </c>
      <c r="I638">
        <v>1</v>
      </c>
      <c r="J638">
        <v>881</v>
      </c>
      <c r="K638">
        <v>4</v>
      </c>
      <c r="L638" t="s">
        <v>38</v>
      </c>
      <c r="M638">
        <v>96</v>
      </c>
      <c r="N638">
        <v>3</v>
      </c>
      <c r="O638">
        <v>1</v>
      </c>
      <c r="P638" t="s">
        <v>45</v>
      </c>
      <c r="Q638">
        <v>2</v>
      </c>
      <c r="R638" t="s">
        <v>50</v>
      </c>
      <c r="S638">
        <v>2022</v>
      </c>
      <c r="T638">
        <v>16612</v>
      </c>
      <c r="U638">
        <v>1</v>
      </c>
      <c r="V638" t="s">
        <v>41</v>
      </c>
      <c r="W638" t="s">
        <v>35</v>
      </c>
      <c r="X638">
        <v>19</v>
      </c>
      <c r="Y638">
        <v>3</v>
      </c>
      <c r="Z638">
        <v>1</v>
      </c>
      <c r="AA638">
        <v>80</v>
      </c>
      <c r="AB638">
        <v>1</v>
      </c>
      <c r="AC638">
        <v>10</v>
      </c>
      <c r="AD638">
        <v>3</v>
      </c>
      <c r="AE638">
        <v>2</v>
      </c>
      <c r="AF638">
        <v>10</v>
      </c>
      <c r="AG638">
        <v>2</v>
      </c>
      <c r="AH638">
        <v>7</v>
      </c>
      <c r="AI638">
        <v>8</v>
      </c>
      <c r="AJ638">
        <f t="shared" si="9"/>
        <v>1</v>
      </c>
      <c r="AK638" t="str" cm="1">
        <f t="array" ref="AK638">_xlfn.IFS(A638&lt;=30,"18-30",A638&lt;=45,"31-45",A638&lt;=60,"46-60",TRUE, "60+")</f>
        <v>31-45</v>
      </c>
      <c r="AL638" t="str" cm="1">
        <f t="array" ref="AL638">_xlfn.IFS(F638&lt;=10,"0-10",F638&lt;=20,"11-20",TRUE,"20+")</f>
        <v>20+</v>
      </c>
      <c r="AM638" t="str" cm="1">
        <f t="array" ref="AM638">_xlfn.IFS(S638&lt;=5000,"0-5k",S638&lt;=10000,"5k-10k",S638&lt;=15000,"10k-15k",TRUE,"15k+")</f>
        <v>0-5k</v>
      </c>
      <c r="AN638" t="str" cm="1">
        <f t="array" ref="AN638">_xlfn.IFS(AF638&lt;=10,"0-10",AF638&lt;=20,"10-20",AF638&lt;=30,"20-30",TRUE,"30+")</f>
        <v>0-10</v>
      </c>
      <c r="AO638" t="str" cm="1">
        <f t="array" ref="AO638">_xlfn.IFS(Y638=1,"Poor",Y638=2,"Average",Y638=3,"Good",TRUE,"Excellent")</f>
        <v>Good</v>
      </c>
      <c r="AP638" t="str" cm="1">
        <f t="array" ref="AP638">_xlfn.IFS(Q638=1,"Low",Q638=2,"Medium",Q638=3,"High",TRUE,"Very High")</f>
        <v>Medium</v>
      </c>
    </row>
    <row r="639" spans="1:42" x14ac:dyDescent="0.25">
      <c r="A639">
        <v>32</v>
      </c>
      <c r="B639" t="s">
        <v>42</v>
      </c>
      <c r="C639" t="s">
        <v>53</v>
      </c>
      <c r="D639">
        <v>300</v>
      </c>
      <c r="E639" t="s">
        <v>43</v>
      </c>
      <c r="F639">
        <v>1</v>
      </c>
      <c r="G639">
        <v>3</v>
      </c>
      <c r="H639" t="s">
        <v>37</v>
      </c>
      <c r="I639">
        <v>1</v>
      </c>
      <c r="J639">
        <v>882</v>
      </c>
      <c r="K639">
        <v>4</v>
      </c>
      <c r="L639" t="s">
        <v>44</v>
      </c>
      <c r="M639">
        <v>61</v>
      </c>
      <c r="N639">
        <v>3</v>
      </c>
      <c r="O639">
        <v>1</v>
      </c>
      <c r="P639" t="s">
        <v>48</v>
      </c>
      <c r="Q639">
        <v>4</v>
      </c>
      <c r="R639" t="s">
        <v>50</v>
      </c>
      <c r="S639">
        <v>2314</v>
      </c>
      <c r="T639">
        <v>9148</v>
      </c>
      <c r="U639">
        <v>0</v>
      </c>
      <c r="V639" t="s">
        <v>41</v>
      </c>
      <c r="W639" t="s">
        <v>42</v>
      </c>
      <c r="X639">
        <v>12</v>
      </c>
      <c r="Y639">
        <v>3</v>
      </c>
      <c r="Z639">
        <v>2</v>
      </c>
      <c r="AA639">
        <v>80</v>
      </c>
      <c r="AB639">
        <v>1</v>
      </c>
      <c r="AC639">
        <v>4</v>
      </c>
      <c r="AD639">
        <v>2</v>
      </c>
      <c r="AE639">
        <v>3</v>
      </c>
      <c r="AF639">
        <v>3</v>
      </c>
      <c r="AG639">
        <v>0</v>
      </c>
      <c r="AH639">
        <v>0</v>
      </c>
      <c r="AI639">
        <v>2</v>
      </c>
      <c r="AJ639">
        <f t="shared" si="9"/>
        <v>0</v>
      </c>
      <c r="AK639" t="str" cm="1">
        <f t="array" ref="AK639">_xlfn.IFS(A639&lt;=30,"18-30",A639&lt;=45,"31-45",A639&lt;=60,"46-60",TRUE, "60+")</f>
        <v>31-45</v>
      </c>
      <c r="AL639" t="str" cm="1">
        <f t="array" ref="AL639">_xlfn.IFS(F639&lt;=10,"0-10",F639&lt;=20,"11-20",TRUE,"20+")</f>
        <v>0-10</v>
      </c>
      <c r="AM639" t="str" cm="1">
        <f t="array" ref="AM639">_xlfn.IFS(S639&lt;=5000,"0-5k",S639&lt;=10000,"5k-10k",S639&lt;=15000,"10k-15k",TRUE,"15k+")</f>
        <v>0-5k</v>
      </c>
      <c r="AN639" t="str" cm="1">
        <f t="array" ref="AN639">_xlfn.IFS(AF639&lt;=10,"0-10",AF639&lt;=20,"10-20",AF639&lt;=30,"20-30",TRUE,"30+")</f>
        <v>0-10</v>
      </c>
      <c r="AO639" t="str" cm="1">
        <f t="array" ref="AO639">_xlfn.IFS(Y639=1,"Poor",Y639=2,"Average",Y639=3,"Good",TRUE,"Excellent")</f>
        <v>Good</v>
      </c>
      <c r="AP639" t="str" cm="1">
        <f t="array" ref="AP639">_xlfn.IFS(Q639=1,"Low",Q639=2,"Medium",Q639=3,"High",TRUE,"Very High")</f>
        <v>Very High</v>
      </c>
    </row>
    <row r="640" spans="1:42" x14ac:dyDescent="0.25">
      <c r="A640">
        <v>25</v>
      </c>
      <c r="B640" t="s">
        <v>42</v>
      </c>
      <c r="C640" t="s">
        <v>90</v>
      </c>
      <c r="D640">
        <v>583</v>
      </c>
      <c r="E640" t="s">
        <v>36</v>
      </c>
      <c r="F640">
        <v>4</v>
      </c>
      <c r="G640">
        <v>1</v>
      </c>
      <c r="H640" t="s">
        <v>57</v>
      </c>
      <c r="I640">
        <v>1</v>
      </c>
      <c r="J640">
        <v>885</v>
      </c>
      <c r="K640">
        <v>3</v>
      </c>
      <c r="L640" t="s">
        <v>44</v>
      </c>
      <c r="M640">
        <v>87</v>
      </c>
      <c r="N640">
        <v>2</v>
      </c>
      <c r="O640">
        <v>2</v>
      </c>
      <c r="P640" t="s">
        <v>39</v>
      </c>
      <c r="Q640">
        <v>1</v>
      </c>
      <c r="R640" t="s">
        <v>46</v>
      </c>
      <c r="S640">
        <v>4256</v>
      </c>
      <c r="T640">
        <v>18154</v>
      </c>
      <c r="U640">
        <v>1</v>
      </c>
      <c r="V640" t="s">
        <v>41</v>
      </c>
      <c r="W640" t="s">
        <v>42</v>
      </c>
      <c r="X640">
        <v>12</v>
      </c>
      <c r="Y640">
        <v>3</v>
      </c>
      <c r="Z640">
        <v>1</v>
      </c>
      <c r="AA640">
        <v>80</v>
      </c>
      <c r="AB640">
        <v>0</v>
      </c>
      <c r="AC640">
        <v>5</v>
      </c>
      <c r="AD640">
        <v>1</v>
      </c>
      <c r="AE640">
        <v>4</v>
      </c>
      <c r="AF640">
        <v>5</v>
      </c>
      <c r="AG640">
        <v>2</v>
      </c>
      <c r="AH640">
        <v>0</v>
      </c>
      <c r="AI640">
        <v>3</v>
      </c>
      <c r="AJ640">
        <f t="shared" si="9"/>
        <v>0</v>
      </c>
      <c r="AK640" t="str" cm="1">
        <f t="array" ref="AK640">_xlfn.IFS(A640&lt;=30,"18-30",A640&lt;=45,"31-45",A640&lt;=60,"46-60",TRUE, "60+")</f>
        <v>18-30</v>
      </c>
      <c r="AL640" t="str" cm="1">
        <f t="array" ref="AL640">_xlfn.IFS(F640&lt;=10,"0-10",F640&lt;=20,"11-20",TRUE,"20+")</f>
        <v>0-10</v>
      </c>
      <c r="AM640" t="str" cm="1">
        <f t="array" ref="AM640">_xlfn.IFS(S640&lt;=5000,"0-5k",S640&lt;=10000,"5k-10k",S640&lt;=15000,"10k-15k",TRUE,"15k+")</f>
        <v>0-5k</v>
      </c>
      <c r="AN640" t="str" cm="1">
        <f t="array" ref="AN640">_xlfn.IFS(AF640&lt;=10,"0-10",AF640&lt;=20,"10-20",AF640&lt;=30,"20-30",TRUE,"30+")</f>
        <v>0-10</v>
      </c>
      <c r="AO640" t="str" cm="1">
        <f t="array" ref="AO640">_xlfn.IFS(Y640=1,"Poor",Y640=2,"Average",Y640=3,"Good",TRUE,"Excellent")</f>
        <v>Good</v>
      </c>
      <c r="AP640" t="str" cm="1">
        <f t="array" ref="AP640">_xlfn.IFS(Q640=1,"Low",Q640=2,"Medium",Q640=3,"High",TRUE,"Very High")</f>
        <v>Low</v>
      </c>
    </row>
    <row r="641" spans="1:42" x14ac:dyDescent="0.25">
      <c r="A641">
        <v>49</v>
      </c>
      <c r="B641" t="s">
        <v>42</v>
      </c>
      <c r="C641" t="s">
        <v>90</v>
      </c>
      <c r="D641">
        <v>1418</v>
      </c>
      <c r="E641" t="s">
        <v>43</v>
      </c>
      <c r="F641">
        <v>1</v>
      </c>
      <c r="G641">
        <v>3</v>
      </c>
      <c r="H641" t="s">
        <v>58</v>
      </c>
      <c r="I641">
        <v>1</v>
      </c>
      <c r="J641">
        <v>887</v>
      </c>
      <c r="K641">
        <v>3</v>
      </c>
      <c r="L641" t="s">
        <v>38</v>
      </c>
      <c r="M641">
        <v>36</v>
      </c>
      <c r="N641">
        <v>3</v>
      </c>
      <c r="O641">
        <v>1</v>
      </c>
      <c r="P641" t="s">
        <v>45</v>
      </c>
      <c r="Q641">
        <v>1</v>
      </c>
      <c r="R641" t="s">
        <v>46</v>
      </c>
      <c r="S641">
        <v>3580</v>
      </c>
      <c r="T641">
        <v>10554</v>
      </c>
      <c r="U641">
        <v>2</v>
      </c>
      <c r="V641" t="s">
        <v>41</v>
      </c>
      <c r="W641" t="s">
        <v>42</v>
      </c>
      <c r="X641">
        <v>16</v>
      </c>
      <c r="Y641">
        <v>3</v>
      </c>
      <c r="Z641">
        <v>2</v>
      </c>
      <c r="AA641">
        <v>80</v>
      </c>
      <c r="AB641">
        <v>1</v>
      </c>
      <c r="AC641">
        <v>7</v>
      </c>
      <c r="AD641">
        <v>2</v>
      </c>
      <c r="AE641">
        <v>3</v>
      </c>
      <c r="AF641">
        <v>4</v>
      </c>
      <c r="AG641">
        <v>2</v>
      </c>
      <c r="AH641">
        <v>0</v>
      </c>
      <c r="AI641">
        <v>2</v>
      </c>
      <c r="AJ641">
        <f t="shared" si="9"/>
        <v>0</v>
      </c>
      <c r="AK641" t="str" cm="1">
        <f t="array" ref="AK641">_xlfn.IFS(A641&lt;=30,"18-30",A641&lt;=45,"31-45",A641&lt;=60,"46-60",TRUE, "60+")</f>
        <v>46-60</v>
      </c>
      <c r="AL641" t="str" cm="1">
        <f t="array" ref="AL641">_xlfn.IFS(F641&lt;=10,"0-10",F641&lt;=20,"11-20",TRUE,"20+")</f>
        <v>0-10</v>
      </c>
      <c r="AM641" t="str" cm="1">
        <f t="array" ref="AM641">_xlfn.IFS(S641&lt;=5000,"0-5k",S641&lt;=10000,"5k-10k",S641&lt;=15000,"10k-15k",TRUE,"15k+")</f>
        <v>0-5k</v>
      </c>
      <c r="AN641" t="str" cm="1">
        <f t="array" ref="AN641">_xlfn.IFS(AF641&lt;=10,"0-10",AF641&lt;=20,"10-20",AF641&lt;=30,"20-30",TRUE,"30+")</f>
        <v>0-10</v>
      </c>
      <c r="AO641" t="str" cm="1">
        <f t="array" ref="AO641">_xlfn.IFS(Y641=1,"Poor",Y641=2,"Average",Y641=3,"Good",TRUE,"Excellent")</f>
        <v>Good</v>
      </c>
      <c r="AP641" t="str" cm="1">
        <f t="array" ref="AP641">_xlfn.IFS(Q641=1,"Low",Q641=2,"Medium",Q641=3,"High",TRUE,"Very High")</f>
        <v>Low</v>
      </c>
    </row>
    <row r="642" spans="1:42" x14ac:dyDescent="0.25">
      <c r="A642">
        <v>24</v>
      </c>
      <c r="B642" t="s">
        <v>42</v>
      </c>
      <c r="C642" t="s">
        <v>53</v>
      </c>
      <c r="D642">
        <v>1269</v>
      </c>
      <c r="E642" t="s">
        <v>43</v>
      </c>
      <c r="F642">
        <v>4</v>
      </c>
      <c r="G642">
        <v>1</v>
      </c>
      <c r="H642" t="s">
        <v>37</v>
      </c>
      <c r="I642">
        <v>1</v>
      </c>
      <c r="J642">
        <v>888</v>
      </c>
      <c r="K642">
        <v>1</v>
      </c>
      <c r="L642" t="s">
        <v>44</v>
      </c>
      <c r="M642">
        <v>46</v>
      </c>
      <c r="N642">
        <v>2</v>
      </c>
      <c r="O642">
        <v>1</v>
      </c>
      <c r="P642" t="s">
        <v>48</v>
      </c>
      <c r="Q642">
        <v>4</v>
      </c>
      <c r="R642" t="s">
        <v>46</v>
      </c>
      <c r="S642">
        <v>3162</v>
      </c>
      <c r="T642">
        <v>10778</v>
      </c>
      <c r="U642">
        <v>0</v>
      </c>
      <c r="V642" t="s">
        <v>41</v>
      </c>
      <c r="W642" t="s">
        <v>42</v>
      </c>
      <c r="X642">
        <v>17</v>
      </c>
      <c r="Y642">
        <v>3</v>
      </c>
      <c r="Z642">
        <v>4</v>
      </c>
      <c r="AA642">
        <v>80</v>
      </c>
      <c r="AB642">
        <v>0</v>
      </c>
      <c r="AC642">
        <v>6</v>
      </c>
      <c r="AD642">
        <v>2</v>
      </c>
      <c r="AE642">
        <v>2</v>
      </c>
      <c r="AF642">
        <v>5</v>
      </c>
      <c r="AG642">
        <v>2</v>
      </c>
      <c r="AH642">
        <v>3</v>
      </c>
      <c r="AI642">
        <v>4</v>
      </c>
      <c r="AJ642">
        <f t="shared" ref="AJ642:AJ705" si="10">IF(B642="yes",1,0)</f>
        <v>0</v>
      </c>
      <c r="AK642" t="str" cm="1">
        <f t="array" ref="AK642">_xlfn.IFS(A642&lt;=30,"18-30",A642&lt;=45,"31-45",A642&lt;=60,"46-60",TRUE, "60+")</f>
        <v>18-30</v>
      </c>
      <c r="AL642" t="str" cm="1">
        <f t="array" ref="AL642">_xlfn.IFS(F642&lt;=10,"0-10",F642&lt;=20,"11-20",TRUE,"20+")</f>
        <v>0-10</v>
      </c>
      <c r="AM642" t="str" cm="1">
        <f t="array" ref="AM642">_xlfn.IFS(S642&lt;=5000,"0-5k",S642&lt;=10000,"5k-10k",S642&lt;=15000,"10k-15k",TRUE,"15k+")</f>
        <v>0-5k</v>
      </c>
      <c r="AN642" t="str" cm="1">
        <f t="array" ref="AN642">_xlfn.IFS(AF642&lt;=10,"0-10",AF642&lt;=20,"10-20",AF642&lt;=30,"20-30",TRUE,"30+")</f>
        <v>0-10</v>
      </c>
      <c r="AO642" t="str" cm="1">
        <f t="array" ref="AO642">_xlfn.IFS(Y642=1,"Poor",Y642=2,"Average",Y642=3,"Good",TRUE,"Excellent")</f>
        <v>Good</v>
      </c>
      <c r="AP642" t="str" cm="1">
        <f t="array" ref="AP642">_xlfn.IFS(Q642=1,"Low",Q642=2,"Medium",Q642=3,"High",TRUE,"Very High")</f>
        <v>Very High</v>
      </c>
    </row>
    <row r="643" spans="1:42" x14ac:dyDescent="0.25">
      <c r="A643">
        <v>32</v>
      </c>
      <c r="B643" t="s">
        <v>42</v>
      </c>
      <c r="C643" t="s">
        <v>91</v>
      </c>
      <c r="D643">
        <v>379</v>
      </c>
      <c r="E643" t="s">
        <v>36</v>
      </c>
      <c r="F643">
        <v>5</v>
      </c>
      <c r="G643">
        <v>2</v>
      </c>
      <c r="H643" t="s">
        <v>37</v>
      </c>
      <c r="I643">
        <v>1</v>
      </c>
      <c r="J643">
        <v>889</v>
      </c>
      <c r="K643">
        <v>2</v>
      </c>
      <c r="L643" t="s">
        <v>44</v>
      </c>
      <c r="M643">
        <v>48</v>
      </c>
      <c r="N643">
        <v>3</v>
      </c>
      <c r="O643">
        <v>2</v>
      </c>
      <c r="P643" t="s">
        <v>39</v>
      </c>
      <c r="Q643">
        <v>2</v>
      </c>
      <c r="R643" t="s">
        <v>46</v>
      </c>
      <c r="S643">
        <v>6524</v>
      </c>
      <c r="T643">
        <v>8891</v>
      </c>
      <c r="U643">
        <v>1</v>
      </c>
      <c r="V643" t="s">
        <v>41</v>
      </c>
      <c r="W643" t="s">
        <v>42</v>
      </c>
      <c r="X643">
        <v>14</v>
      </c>
      <c r="Y643">
        <v>3</v>
      </c>
      <c r="Z643">
        <v>4</v>
      </c>
      <c r="AA643">
        <v>80</v>
      </c>
      <c r="AB643">
        <v>1</v>
      </c>
      <c r="AC643">
        <v>10</v>
      </c>
      <c r="AD643">
        <v>3</v>
      </c>
      <c r="AE643">
        <v>3</v>
      </c>
      <c r="AF643">
        <v>10</v>
      </c>
      <c r="AG643">
        <v>8</v>
      </c>
      <c r="AH643">
        <v>5</v>
      </c>
      <c r="AI643">
        <v>3</v>
      </c>
      <c r="AJ643">
        <f t="shared" si="10"/>
        <v>0</v>
      </c>
      <c r="AK643" t="str" cm="1">
        <f t="array" ref="AK643">_xlfn.IFS(A643&lt;=30,"18-30",A643&lt;=45,"31-45",A643&lt;=60,"46-60",TRUE, "60+")</f>
        <v>31-45</v>
      </c>
      <c r="AL643" t="str" cm="1">
        <f t="array" ref="AL643">_xlfn.IFS(F643&lt;=10,"0-10",F643&lt;=20,"11-20",TRUE,"20+")</f>
        <v>0-10</v>
      </c>
      <c r="AM643" t="str" cm="1">
        <f t="array" ref="AM643">_xlfn.IFS(S643&lt;=5000,"0-5k",S643&lt;=10000,"5k-10k",S643&lt;=15000,"10k-15k",TRUE,"15k+")</f>
        <v>5k-10k</v>
      </c>
      <c r="AN643" t="str" cm="1">
        <f t="array" ref="AN643">_xlfn.IFS(AF643&lt;=10,"0-10",AF643&lt;=20,"10-20",AF643&lt;=30,"20-30",TRUE,"30+")</f>
        <v>0-10</v>
      </c>
      <c r="AO643" t="str" cm="1">
        <f t="array" ref="AO643">_xlfn.IFS(Y643=1,"Poor",Y643=2,"Average",Y643=3,"Good",TRUE,"Excellent")</f>
        <v>Good</v>
      </c>
      <c r="AP643" t="str" cm="1">
        <f t="array" ref="AP643">_xlfn.IFS(Q643=1,"Low",Q643=2,"Medium",Q643=3,"High",TRUE,"Very High")</f>
        <v>Medium</v>
      </c>
    </row>
    <row r="644" spans="1:42" x14ac:dyDescent="0.25">
      <c r="A644">
        <v>38</v>
      </c>
      <c r="B644" t="s">
        <v>42</v>
      </c>
      <c r="C644" t="s">
        <v>90</v>
      </c>
      <c r="D644">
        <v>395</v>
      </c>
      <c r="E644" t="s">
        <v>36</v>
      </c>
      <c r="F644">
        <v>9</v>
      </c>
      <c r="G644">
        <v>3</v>
      </c>
      <c r="H644" t="s">
        <v>57</v>
      </c>
      <c r="I644">
        <v>1</v>
      </c>
      <c r="J644">
        <v>893</v>
      </c>
      <c r="K644">
        <v>2</v>
      </c>
      <c r="L644" t="s">
        <v>44</v>
      </c>
      <c r="M644">
        <v>98</v>
      </c>
      <c r="N644">
        <v>2</v>
      </c>
      <c r="O644">
        <v>1</v>
      </c>
      <c r="P644" t="s">
        <v>55</v>
      </c>
      <c r="Q644">
        <v>2</v>
      </c>
      <c r="R644" t="s">
        <v>46</v>
      </c>
      <c r="S644">
        <v>2899</v>
      </c>
      <c r="T644">
        <v>12102</v>
      </c>
      <c r="U644">
        <v>0</v>
      </c>
      <c r="V644" t="s">
        <v>41</v>
      </c>
      <c r="W644" t="s">
        <v>42</v>
      </c>
      <c r="X644">
        <v>19</v>
      </c>
      <c r="Y644">
        <v>3</v>
      </c>
      <c r="Z644">
        <v>4</v>
      </c>
      <c r="AA644">
        <v>80</v>
      </c>
      <c r="AB644">
        <v>1</v>
      </c>
      <c r="AC644">
        <v>3</v>
      </c>
      <c r="AD644">
        <v>3</v>
      </c>
      <c r="AE644">
        <v>3</v>
      </c>
      <c r="AF644">
        <v>2</v>
      </c>
      <c r="AG644">
        <v>2</v>
      </c>
      <c r="AH644">
        <v>1</v>
      </c>
      <c r="AI644">
        <v>2</v>
      </c>
      <c r="AJ644">
        <f t="shared" si="10"/>
        <v>0</v>
      </c>
      <c r="AK644" t="str" cm="1">
        <f t="array" ref="AK644">_xlfn.IFS(A644&lt;=30,"18-30",A644&lt;=45,"31-45",A644&lt;=60,"46-60",TRUE, "60+")</f>
        <v>31-45</v>
      </c>
      <c r="AL644" t="str" cm="1">
        <f t="array" ref="AL644">_xlfn.IFS(F644&lt;=10,"0-10",F644&lt;=20,"11-20",TRUE,"20+")</f>
        <v>0-10</v>
      </c>
      <c r="AM644" t="str" cm="1">
        <f t="array" ref="AM644">_xlfn.IFS(S644&lt;=5000,"0-5k",S644&lt;=10000,"5k-10k",S644&lt;=15000,"10k-15k",TRUE,"15k+")</f>
        <v>0-5k</v>
      </c>
      <c r="AN644" t="str" cm="1">
        <f t="array" ref="AN644">_xlfn.IFS(AF644&lt;=10,"0-10",AF644&lt;=20,"10-20",AF644&lt;=30,"20-30",TRUE,"30+")</f>
        <v>0-10</v>
      </c>
      <c r="AO644" t="str" cm="1">
        <f t="array" ref="AO644">_xlfn.IFS(Y644=1,"Poor",Y644=2,"Average",Y644=3,"Good",TRUE,"Excellent")</f>
        <v>Good</v>
      </c>
      <c r="AP644" t="str" cm="1">
        <f t="array" ref="AP644">_xlfn.IFS(Q644=1,"Low",Q644=2,"Medium",Q644=3,"High",TRUE,"Very High")</f>
        <v>Medium</v>
      </c>
    </row>
    <row r="645" spans="1:42" x14ac:dyDescent="0.25">
      <c r="A645">
        <v>42</v>
      </c>
      <c r="B645" t="s">
        <v>42</v>
      </c>
      <c r="C645" t="s">
        <v>90</v>
      </c>
      <c r="D645">
        <v>1265</v>
      </c>
      <c r="E645" t="s">
        <v>43</v>
      </c>
      <c r="F645">
        <v>3</v>
      </c>
      <c r="G645">
        <v>3</v>
      </c>
      <c r="H645" t="s">
        <v>37</v>
      </c>
      <c r="I645">
        <v>1</v>
      </c>
      <c r="J645">
        <v>894</v>
      </c>
      <c r="K645">
        <v>3</v>
      </c>
      <c r="L645" t="s">
        <v>38</v>
      </c>
      <c r="M645">
        <v>95</v>
      </c>
      <c r="N645">
        <v>4</v>
      </c>
      <c r="O645">
        <v>2</v>
      </c>
      <c r="P645" t="s">
        <v>48</v>
      </c>
      <c r="Q645">
        <v>4</v>
      </c>
      <c r="R645" t="s">
        <v>46</v>
      </c>
      <c r="S645">
        <v>5231</v>
      </c>
      <c r="T645">
        <v>23726</v>
      </c>
      <c r="U645">
        <v>2</v>
      </c>
      <c r="V645" t="s">
        <v>41</v>
      </c>
      <c r="W645" t="s">
        <v>35</v>
      </c>
      <c r="X645">
        <v>13</v>
      </c>
      <c r="Y645">
        <v>3</v>
      </c>
      <c r="Z645">
        <v>2</v>
      </c>
      <c r="AA645">
        <v>80</v>
      </c>
      <c r="AB645">
        <v>1</v>
      </c>
      <c r="AC645">
        <v>17</v>
      </c>
      <c r="AD645">
        <v>1</v>
      </c>
      <c r="AE645">
        <v>2</v>
      </c>
      <c r="AF645">
        <v>5</v>
      </c>
      <c r="AG645">
        <v>3</v>
      </c>
      <c r="AH645">
        <v>1</v>
      </c>
      <c r="AI645">
        <v>3</v>
      </c>
      <c r="AJ645">
        <f t="shared" si="10"/>
        <v>0</v>
      </c>
      <c r="AK645" t="str" cm="1">
        <f t="array" ref="AK645">_xlfn.IFS(A645&lt;=30,"18-30",A645&lt;=45,"31-45",A645&lt;=60,"46-60",TRUE, "60+")</f>
        <v>31-45</v>
      </c>
      <c r="AL645" t="str" cm="1">
        <f t="array" ref="AL645">_xlfn.IFS(F645&lt;=10,"0-10",F645&lt;=20,"11-20",TRUE,"20+")</f>
        <v>0-10</v>
      </c>
      <c r="AM645" t="str" cm="1">
        <f t="array" ref="AM645">_xlfn.IFS(S645&lt;=5000,"0-5k",S645&lt;=10000,"5k-10k",S645&lt;=15000,"10k-15k",TRUE,"15k+")</f>
        <v>5k-10k</v>
      </c>
      <c r="AN645" t="str" cm="1">
        <f t="array" ref="AN645">_xlfn.IFS(AF645&lt;=10,"0-10",AF645&lt;=20,"10-20",AF645&lt;=30,"20-30",TRUE,"30+")</f>
        <v>0-10</v>
      </c>
      <c r="AO645" t="str" cm="1">
        <f t="array" ref="AO645">_xlfn.IFS(Y645=1,"Poor",Y645=2,"Average",Y645=3,"Good",TRUE,"Excellent")</f>
        <v>Good</v>
      </c>
      <c r="AP645" t="str" cm="1">
        <f t="array" ref="AP645">_xlfn.IFS(Q645=1,"Low",Q645=2,"Medium",Q645=3,"High",TRUE,"Very High")</f>
        <v>Very High</v>
      </c>
    </row>
    <row r="646" spans="1:42" x14ac:dyDescent="0.25">
      <c r="A646">
        <v>31</v>
      </c>
      <c r="B646" t="s">
        <v>42</v>
      </c>
      <c r="C646" t="s">
        <v>90</v>
      </c>
      <c r="D646">
        <v>1222</v>
      </c>
      <c r="E646" t="s">
        <v>43</v>
      </c>
      <c r="F646">
        <v>11</v>
      </c>
      <c r="G646">
        <v>4</v>
      </c>
      <c r="H646" t="s">
        <v>37</v>
      </c>
      <c r="I646">
        <v>1</v>
      </c>
      <c r="J646">
        <v>895</v>
      </c>
      <c r="K646">
        <v>4</v>
      </c>
      <c r="L646" t="s">
        <v>44</v>
      </c>
      <c r="M646">
        <v>48</v>
      </c>
      <c r="N646">
        <v>3</v>
      </c>
      <c r="O646">
        <v>1</v>
      </c>
      <c r="P646" t="s">
        <v>45</v>
      </c>
      <c r="Q646">
        <v>4</v>
      </c>
      <c r="R646" t="s">
        <v>46</v>
      </c>
      <c r="S646">
        <v>2356</v>
      </c>
      <c r="T646">
        <v>14871</v>
      </c>
      <c r="U646">
        <v>3</v>
      </c>
      <c r="V646" t="s">
        <v>41</v>
      </c>
      <c r="W646" t="s">
        <v>35</v>
      </c>
      <c r="X646">
        <v>19</v>
      </c>
      <c r="Y646">
        <v>3</v>
      </c>
      <c r="Z646">
        <v>2</v>
      </c>
      <c r="AA646">
        <v>80</v>
      </c>
      <c r="AB646">
        <v>1</v>
      </c>
      <c r="AC646">
        <v>8</v>
      </c>
      <c r="AD646">
        <v>2</v>
      </c>
      <c r="AE646">
        <v>3</v>
      </c>
      <c r="AF646">
        <v>6</v>
      </c>
      <c r="AG646">
        <v>4</v>
      </c>
      <c r="AH646">
        <v>0</v>
      </c>
      <c r="AI646">
        <v>2</v>
      </c>
      <c r="AJ646">
        <f t="shared" si="10"/>
        <v>0</v>
      </c>
      <c r="AK646" t="str" cm="1">
        <f t="array" ref="AK646">_xlfn.IFS(A646&lt;=30,"18-30",A646&lt;=45,"31-45",A646&lt;=60,"46-60",TRUE, "60+")</f>
        <v>31-45</v>
      </c>
      <c r="AL646" t="str" cm="1">
        <f t="array" ref="AL646">_xlfn.IFS(F646&lt;=10,"0-10",F646&lt;=20,"11-20",TRUE,"20+")</f>
        <v>11-20</v>
      </c>
      <c r="AM646" t="str" cm="1">
        <f t="array" ref="AM646">_xlfn.IFS(S646&lt;=5000,"0-5k",S646&lt;=10000,"5k-10k",S646&lt;=15000,"10k-15k",TRUE,"15k+")</f>
        <v>0-5k</v>
      </c>
      <c r="AN646" t="str" cm="1">
        <f t="array" ref="AN646">_xlfn.IFS(AF646&lt;=10,"0-10",AF646&lt;=20,"10-20",AF646&lt;=30,"20-30",TRUE,"30+")</f>
        <v>0-10</v>
      </c>
      <c r="AO646" t="str" cm="1">
        <f t="array" ref="AO646">_xlfn.IFS(Y646=1,"Poor",Y646=2,"Average",Y646=3,"Good",TRUE,"Excellent")</f>
        <v>Good</v>
      </c>
      <c r="AP646" t="str" cm="1">
        <f t="array" ref="AP646">_xlfn.IFS(Q646=1,"Low",Q646=2,"Medium",Q646=3,"High",TRUE,"Very High")</f>
        <v>Very High</v>
      </c>
    </row>
    <row r="647" spans="1:42" x14ac:dyDescent="0.25">
      <c r="A647">
        <v>29</v>
      </c>
      <c r="B647" t="s">
        <v>35</v>
      </c>
      <c r="C647" t="s">
        <v>90</v>
      </c>
      <c r="D647">
        <v>341</v>
      </c>
      <c r="E647" t="s">
        <v>36</v>
      </c>
      <c r="F647">
        <v>1</v>
      </c>
      <c r="G647">
        <v>3</v>
      </c>
      <c r="H647" t="s">
        <v>49</v>
      </c>
      <c r="I647">
        <v>1</v>
      </c>
      <c r="J647">
        <v>896</v>
      </c>
      <c r="K647">
        <v>2</v>
      </c>
      <c r="L647" t="s">
        <v>38</v>
      </c>
      <c r="M647">
        <v>48</v>
      </c>
      <c r="N647">
        <v>2</v>
      </c>
      <c r="O647">
        <v>1</v>
      </c>
      <c r="P647" t="s">
        <v>55</v>
      </c>
      <c r="Q647">
        <v>3</v>
      </c>
      <c r="R647" t="s">
        <v>50</v>
      </c>
      <c r="S647">
        <v>2800</v>
      </c>
      <c r="T647">
        <v>23522</v>
      </c>
      <c r="U647">
        <v>6</v>
      </c>
      <c r="V647" t="s">
        <v>41</v>
      </c>
      <c r="W647" t="s">
        <v>35</v>
      </c>
      <c r="X647">
        <v>19</v>
      </c>
      <c r="Y647">
        <v>3</v>
      </c>
      <c r="Z647">
        <v>3</v>
      </c>
      <c r="AA647">
        <v>80</v>
      </c>
      <c r="AB647">
        <v>3</v>
      </c>
      <c r="AC647">
        <v>5</v>
      </c>
      <c r="AD647">
        <v>3</v>
      </c>
      <c r="AE647">
        <v>3</v>
      </c>
      <c r="AF647">
        <v>3</v>
      </c>
      <c r="AG647">
        <v>2</v>
      </c>
      <c r="AH647">
        <v>0</v>
      </c>
      <c r="AI647">
        <v>2</v>
      </c>
      <c r="AJ647">
        <f t="shared" si="10"/>
        <v>1</v>
      </c>
      <c r="AK647" t="str" cm="1">
        <f t="array" ref="AK647">_xlfn.IFS(A647&lt;=30,"18-30",A647&lt;=45,"31-45",A647&lt;=60,"46-60",TRUE, "60+")</f>
        <v>18-30</v>
      </c>
      <c r="AL647" t="str" cm="1">
        <f t="array" ref="AL647">_xlfn.IFS(F647&lt;=10,"0-10",F647&lt;=20,"11-20",TRUE,"20+")</f>
        <v>0-10</v>
      </c>
      <c r="AM647" t="str" cm="1">
        <f t="array" ref="AM647">_xlfn.IFS(S647&lt;=5000,"0-5k",S647&lt;=10000,"5k-10k",S647&lt;=15000,"10k-15k",TRUE,"15k+")</f>
        <v>0-5k</v>
      </c>
      <c r="AN647" t="str" cm="1">
        <f t="array" ref="AN647">_xlfn.IFS(AF647&lt;=10,"0-10",AF647&lt;=20,"10-20",AF647&lt;=30,"20-30",TRUE,"30+")</f>
        <v>0-10</v>
      </c>
      <c r="AO647" t="str" cm="1">
        <f t="array" ref="AO647">_xlfn.IFS(Y647=1,"Poor",Y647=2,"Average",Y647=3,"Good",TRUE,"Excellent")</f>
        <v>Good</v>
      </c>
      <c r="AP647" t="str" cm="1">
        <f t="array" ref="AP647">_xlfn.IFS(Q647=1,"Low",Q647=2,"Medium",Q647=3,"High",TRUE,"Very High")</f>
        <v>High</v>
      </c>
    </row>
    <row r="648" spans="1:42" x14ac:dyDescent="0.25">
      <c r="A648">
        <v>53</v>
      </c>
      <c r="B648" t="s">
        <v>42</v>
      </c>
      <c r="C648" t="s">
        <v>90</v>
      </c>
      <c r="D648">
        <v>868</v>
      </c>
      <c r="E648" t="s">
        <v>36</v>
      </c>
      <c r="F648">
        <v>8</v>
      </c>
      <c r="G648">
        <v>3</v>
      </c>
      <c r="H648" t="s">
        <v>57</v>
      </c>
      <c r="I648">
        <v>1</v>
      </c>
      <c r="J648">
        <v>897</v>
      </c>
      <c r="K648">
        <v>1</v>
      </c>
      <c r="L648" t="s">
        <v>44</v>
      </c>
      <c r="M648">
        <v>73</v>
      </c>
      <c r="N648">
        <v>3</v>
      </c>
      <c r="O648">
        <v>4</v>
      </c>
      <c r="P648" t="s">
        <v>39</v>
      </c>
      <c r="Q648">
        <v>4</v>
      </c>
      <c r="R648" t="s">
        <v>46</v>
      </c>
      <c r="S648">
        <v>11836</v>
      </c>
      <c r="T648">
        <v>22789</v>
      </c>
      <c r="U648">
        <v>5</v>
      </c>
      <c r="V648" t="s">
        <v>41</v>
      </c>
      <c r="W648" t="s">
        <v>42</v>
      </c>
      <c r="X648">
        <v>14</v>
      </c>
      <c r="Y648">
        <v>3</v>
      </c>
      <c r="Z648">
        <v>3</v>
      </c>
      <c r="AA648">
        <v>80</v>
      </c>
      <c r="AB648">
        <v>1</v>
      </c>
      <c r="AC648">
        <v>28</v>
      </c>
      <c r="AD648">
        <v>3</v>
      </c>
      <c r="AE648">
        <v>3</v>
      </c>
      <c r="AF648">
        <v>2</v>
      </c>
      <c r="AG648">
        <v>0</v>
      </c>
      <c r="AH648">
        <v>2</v>
      </c>
      <c r="AI648">
        <v>2</v>
      </c>
      <c r="AJ648">
        <f t="shared" si="10"/>
        <v>0</v>
      </c>
      <c r="AK648" t="str" cm="1">
        <f t="array" ref="AK648">_xlfn.IFS(A648&lt;=30,"18-30",A648&lt;=45,"31-45",A648&lt;=60,"46-60",TRUE, "60+")</f>
        <v>46-60</v>
      </c>
      <c r="AL648" t="str" cm="1">
        <f t="array" ref="AL648">_xlfn.IFS(F648&lt;=10,"0-10",F648&lt;=20,"11-20",TRUE,"20+")</f>
        <v>0-10</v>
      </c>
      <c r="AM648" t="str" cm="1">
        <f t="array" ref="AM648">_xlfn.IFS(S648&lt;=5000,"0-5k",S648&lt;=10000,"5k-10k",S648&lt;=15000,"10k-15k",TRUE,"15k+")</f>
        <v>10k-15k</v>
      </c>
      <c r="AN648" t="str" cm="1">
        <f t="array" ref="AN648">_xlfn.IFS(AF648&lt;=10,"0-10",AF648&lt;=20,"10-20",AF648&lt;=30,"20-30",TRUE,"30+")</f>
        <v>0-10</v>
      </c>
      <c r="AO648" t="str" cm="1">
        <f t="array" ref="AO648">_xlfn.IFS(Y648=1,"Poor",Y648=2,"Average",Y648=3,"Good",TRUE,"Excellent")</f>
        <v>Good</v>
      </c>
      <c r="AP648" t="str" cm="1">
        <f t="array" ref="AP648">_xlfn.IFS(Q648=1,"Low",Q648=2,"Medium",Q648=3,"High",TRUE,"Very High")</f>
        <v>Very High</v>
      </c>
    </row>
    <row r="649" spans="1:42" x14ac:dyDescent="0.25">
      <c r="A649">
        <v>35</v>
      </c>
      <c r="B649" t="s">
        <v>42</v>
      </c>
      <c r="C649" t="s">
        <v>90</v>
      </c>
      <c r="D649">
        <v>672</v>
      </c>
      <c r="E649" t="s">
        <v>43</v>
      </c>
      <c r="F649">
        <v>25</v>
      </c>
      <c r="G649">
        <v>3</v>
      </c>
      <c r="H649" t="s">
        <v>58</v>
      </c>
      <c r="I649">
        <v>1</v>
      </c>
      <c r="J649">
        <v>899</v>
      </c>
      <c r="K649">
        <v>4</v>
      </c>
      <c r="L649" t="s">
        <v>44</v>
      </c>
      <c r="M649">
        <v>78</v>
      </c>
      <c r="N649">
        <v>2</v>
      </c>
      <c r="O649">
        <v>3</v>
      </c>
      <c r="P649" t="s">
        <v>51</v>
      </c>
      <c r="Q649">
        <v>2</v>
      </c>
      <c r="R649" t="s">
        <v>46</v>
      </c>
      <c r="S649">
        <v>10903</v>
      </c>
      <c r="T649">
        <v>9129</v>
      </c>
      <c r="U649">
        <v>3</v>
      </c>
      <c r="V649" t="s">
        <v>41</v>
      </c>
      <c r="W649" t="s">
        <v>42</v>
      </c>
      <c r="X649">
        <v>16</v>
      </c>
      <c r="Y649">
        <v>3</v>
      </c>
      <c r="Z649">
        <v>1</v>
      </c>
      <c r="AA649">
        <v>80</v>
      </c>
      <c r="AB649">
        <v>0</v>
      </c>
      <c r="AC649">
        <v>16</v>
      </c>
      <c r="AD649">
        <v>2</v>
      </c>
      <c r="AE649">
        <v>3</v>
      </c>
      <c r="AF649">
        <v>13</v>
      </c>
      <c r="AG649">
        <v>10</v>
      </c>
      <c r="AH649">
        <v>4</v>
      </c>
      <c r="AI649">
        <v>8</v>
      </c>
      <c r="AJ649">
        <f t="shared" si="10"/>
        <v>0</v>
      </c>
      <c r="AK649" t="str" cm="1">
        <f t="array" ref="AK649">_xlfn.IFS(A649&lt;=30,"18-30",A649&lt;=45,"31-45",A649&lt;=60,"46-60",TRUE, "60+")</f>
        <v>31-45</v>
      </c>
      <c r="AL649" t="str" cm="1">
        <f t="array" ref="AL649">_xlfn.IFS(F649&lt;=10,"0-10",F649&lt;=20,"11-20",TRUE,"20+")</f>
        <v>20+</v>
      </c>
      <c r="AM649" t="str" cm="1">
        <f t="array" ref="AM649">_xlfn.IFS(S649&lt;=5000,"0-5k",S649&lt;=10000,"5k-10k",S649&lt;=15000,"10k-15k",TRUE,"15k+")</f>
        <v>10k-15k</v>
      </c>
      <c r="AN649" t="str" cm="1">
        <f t="array" ref="AN649">_xlfn.IFS(AF649&lt;=10,"0-10",AF649&lt;=20,"10-20",AF649&lt;=30,"20-30",TRUE,"30+")</f>
        <v>10-20</v>
      </c>
      <c r="AO649" t="str" cm="1">
        <f t="array" ref="AO649">_xlfn.IFS(Y649=1,"Poor",Y649=2,"Average",Y649=3,"Good",TRUE,"Excellent")</f>
        <v>Good</v>
      </c>
      <c r="AP649" t="str" cm="1">
        <f t="array" ref="AP649">_xlfn.IFS(Q649=1,"Low",Q649=2,"Medium",Q649=3,"High",TRUE,"Very High")</f>
        <v>Medium</v>
      </c>
    </row>
    <row r="650" spans="1:42" x14ac:dyDescent="0.25">
      <c r="A650">
        <v>37</v>
      </c>
      <c r="B650" t="s">
        <v>42</v>
      </c>
      <c r="C650" t="s">
        <v>91</v>
      </c>
      <c r="D650">
        <v>1231</v>
      </c>
      <c r="E650" t="s">
        <v>36</v>
      </c>
      <c r="F650">
        <v>21</v>
      </c>
      <c r="G650">
        <v>2</v>
      </c>
      <c r="H650" t="s">
        <v>49</v>
      </c>
      <c r="I650">
        <v>1</v>
      </c>
      <c r="J650">
        <v>900</v>
      </c>
      <c r="K650">
        <v>3</v>
      </c>
      <c r="L650" t="s">
        <v>38</v>
      </c>
      <c r="M650">
        <v>54</v>
      </c>
      <c r="N650">
        <v>3</v>
      </c>
      <c r="O650">
        <v>1</v>
      </c>
      <c r="P650" t="s">
        <v>55</v>
      </c>
      <c r="Q650">
        <v>4</v>
      </c>
      <c r="R650" t="s">
        <v>46</v>
      </c>
      <c r="S650">
        <v>2973</v>
      </c>
      <c r="T650">
        <v>21222</v>
      </c>
      <c r="U650">
        <v>5</v>
      </c>
      <c r="V650" t="s">
        <v>41</v>
      </c>
      <c r="W650" t="s">
        <v>42</v>
      </c>
      <c r="X650">
        <v>15</v>
      </c>
      <c r="Y650">
        <v>3</v>
      </c>
      <c r="Z650">
        <v>2</v>
      </c>
      <c r="AA650">
        <v>80</v>
      </c>
      <c r="AB650">
        <v>1</v>
      </c>
      <c r="AC650">
        <v>10</v>
      </c>
      <c r="AD650">
        <v>3</v>
      </c>
      <c r="AE650">
        <v>3</v>
      </c>
      <c r="AF650">
        <v>5</v>
      </c>
      <c r="AG650">
        <v>4</v>
      </c>
      <c r="AH650">
        <v>0</v>
      </c>
      <c r="AI650">
        <v>0</v>
      </c>
      <c r="AJ650">
        <f t="shared" si="10"/>
        <v>0</v>
      </c>
      <c r="AK650" t="str" cm="1">
        <f t="array" ref="AK650">_xlfn.IFS(A650&lt;=30,"18-30",A650&lt;=45,"31-45",A650&lt;=60,"46-60",TRUE, "60+")</f>
        <v>31-45</v>
      </c>
      <c r="AL650" t="str" cm="1">
        <f t="array" ref="AL650">_xlfn.IFS(F650&lt;=10,"0-10",F650&lt;=20,"11-20",TRUE,"20+")</f>
        <v>20+</v>
      </c>
      <c r="AM650" t="str" cm="1">
        <f t="array" ref="AM650">_xlfn.IFS(S650&lt;=5000,"0-5k",S650&lt;=10000,"5k-10k",S650&lt;=15000,"10k-15k",TRUE,"15k+")</f>
        <v>0-5k</v>
      </c>
      <c r="AN650" t="str" cm="1">
        <f t="array" ref="AN650">_xlfn.IFS(AF650&lt;=10,"0-10",AF650&lt;=20,"10-20",AF650&lt;=30,"20-30",TRUE,"30+")</f>
        <v>0-10</v>
      </c>
      <c r="AO650" t="str" cm="1">
        <f t="array" ref="AO650">_xlfn.IFS(Y650=1,"Poor",Y650=2,"Average",Y650=3,"Good",TRUE,"Excellent")</f>
        <v>Good</v>
      </c>
      <c r="AP650" t="str" cm="1">
        <f t="array" ref="AP650">_xlfn.IFS(Q650=1,"Low",Q650=2,"Medium",Q650=3,"High",TRUE,"Very High")</f>
        <v>Very High</v>
      </c>
    </row>
    <row r="651" spans="1:42" x14ac:dyDescent="0.25">
      <c r="A651">
        <v>53</v>
      </c>
      <c r="B651" t="s">
        <v>42</v>
      </c>
      <c r="C651" t="s">
        <v>90</v>
      </c>
      <c r="D651">
        <v>102</v>
      </c>
      <c r="E651" t="s">
        <v>43</v>
      </c>
      <c r="F651">
        <v>23</v>
      </c>
      <c r="G651">
        <v>4</v>
      </c>
      <c r="H651" t="s">
        <v>37</v>
      </c>
      <c r="I651">
        <v>1</v>
      </c>
      <c r="J651">
        <v>901</v>
      </c>
      <c r="K651">
        <v>4</v>
      </c>
      <c r="L651" t="s">
        <v>38</v>
      </c>
      <c r="M651">
        <v>72</v>
      </c>
      <c r="N651">
        <v>3</v>
      </c>
      <c r="O651">
        <v>4</v>
      </c>
      <c r="P651" t="s">
        <v>56</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c r="AJ651">
        <f t="shared" si="10"/>
        <v>0</v>
      </c>
      <c r="AK651" t="str" cm="1">
        <f t="array" ref="AK651">_xlfn.IFS(A651&lt;=30,"18-30",A651&lt;=45,"31-45",A651&lt;=60,"46-60",TRUE, "60+")</f>
        <v>46-60</v>
      </c>
      <c r="AL651" t="str" cm="1">
        <f t="array" ref="AL651">_xlfn.IFS(F651&lt;=10,"0-10",F651&lt;=20,"11-20",TRUE,"20+")</f>
        <v>20+</v>
      </c>
      <c r="AM651" t="str" cm="1">
        <f t="array" ref="AM651">_xlfn.IFS(S651&lt;=5000,"0-5k",S651&lt;=10000,"5k-10k",S651&lt;=15000,"10k-15k",TRUE,"15k+")</f>
        <v>10k-15k</v>
      </c>
      <c r="AN651" t="str" cm="1">
        <f t="array" ref="AN651">_xlfn.IFS(AF651&lt;=10,"0-10",AF651&lt;=20,"10-20",AF651&lt;=30,"20-30",TRUE,"30+")</f>
        <v>10-20</v>
      </c>
      <c r="AO651" t="str" cm="1">
        <f t="array" ref="AO651">_xlfn.IFS(Y651=1,"Poor",Y651=2,"Average",Y651=3,"Good",TRUE,"Excellent")</f>
        <v>Good</v>
      </c>
      <c r="AP651" t="str" cm="1">
        <f t="array" ref="AP651">_xlfn.IFS(Q651=1,"Low",Q651=2,"Medium",Q651=3,"High",TRUE,"Very High")</f>
        <v>Very High</v>
      </c>
    </row>
    <row r="652" spans="1:42" x14ac:dyDescent="0.25">
      <c r="A652">
        <v>43</v>
      </c>
      <c r="B652" t="s">
        <v>42</v>
      </c>
      <c r="C652" t="s">
        <v>91</v>
      </c>
      <c r="D652">
        <v>422</v>
      </c>
      <c r="E652" t="s">
        <v>43</v>
      </c>
      <c r="F652">
        <v>1</v>
      </c>
      <c r="G652">
        <v>3</v>
      </c>
      <c r="H652" t="s">
        <v>37</v>
      </c>
      <c r="I652">
        <v>1</v>
      </c>
      <c r="J652">
        <v>902</v>
      </c>
      <c r="K652">
        <v>4</v>
      </c>
      <c r="L652" t="s">
        <v>38</v>
      </c>
      <c r="M652">
        <v>33</v>
      </c>
      <c r="N652">
        <v>3</v>
      </c>
      <c r="O652">
        <v>2</v>
      </c>
      <c r="P652" t="s">
        <v>52</v>
      </c>
      <c r="Q652">
        <v>4</v>
      </c>
      <c r="R652" t="s">
        <v>46</v>
      </c>
      <c r="S652">
        <v>5562</v>
      </c>
      <c r="T652">
        <v>21782</v>
      </c>
      <c r="U652">
        <v>4</v>
      </c>
      <c r="V652" t="s">
        <v>41</v>
      </c>
      <c r="W652" t="s">
        <v>42</v>
      </c>
      <c r="X652">
        <v>13</v>
      </c>
      <c r="Y652">
        <v>3</v>
      </c>
      <c r="Z652">
        <v>2</v>
      </c>
      <c r="AA652">
        <v>80</v>
      </c>
      <c r="AB652">
        <v>1</v>
      </c>
      <c r="AC652">
        <v>12</v>
      </c>
      <c r="AD652">
        <v>2</v>
      </c>
      <c r="AE652">
        <v>2</v>
      </c>
      <c r="AF652">
        <v>5</v>
      </c>
      <c r="AG652">
        <v>2</v>
      </c>
      <c r="AH652">
        <v>2</v>
      </c>
      <c r="AI652">
        <v>2</v>
      </c>
      <c r="AJ652">
        <f t="shared" si="10"/>
        <v>0</v>
      </c>
      <c r="AK652" t="str" cm="1">
        <f t="array" ref="AK652">_xlfn.IFS(A652&lt;=30,"18-30",A652&lt;=45,"31-45",A652&lt;=60,"46-60",TRUE, "60+")</f>
        <v>31-45</v>
      </c>
      <c r="AL652" t="str" cm="1">
        <f t="array" ref="AL652">_xlfn.IFS(F652&lt;=10,"0-10",F652&lt;=20,"11-20",TRUE,"20+")</f>
        <v>0-10</v>
      </c>
      <c r="AM652" t="str" cm="1">
        <f t="array" ref="AM652">_xlfn.IFS(S652&lt;=5000,"0-5k",S652&lt;=10000,"5k-10k",S652&lt;=15000,"10k-15k",TRUE,"15k+")</f>
        <v>5k-10k</v>
      </c>
      <c r="AN652" t="str" cm="1">
        <f t="array" ref="AN652">_xlfn.IFS(AF652&lt;=10,"0-10",AF652&lt;=20,"10-20",AF652&lt;=30,"20-30",TRUE,"30+")</f>
        <v>0-10</v>
      </c>
      <c r="AO652" t="str" cm="1">
        <f t="array" ref="AO652">_xlfn.IFS(Y652=1,"Poor",Y652=2,"Average",Y652=3,"Good",TRUE,"Excellent")</f>
        <v>Good</v>
      </c>
      <c r="AP652" t="str" cm="1">
        <f t="array" ref="AP652">_xlfn.IFS(Q652=1,"Low",Q652=2,"Medium",Q652=3,"High",TRUE,"Very High")</f>
        <v>Very High</v>
      </c>
    </row>
    <row r="653" spans="1:42" x14ac:dyDescent="0.25">
      <c r="A653">
        <v>47</v>
      </c>
      <c r="B653" t="s">
        <v>42</v>
      </c>
      <c r="C653" t="s">
        <v>90</v>
      </c>
      <c r="D653">
        <v>249</v>
      </c>
      <c r="E653" t="s">
        <v>36</v>
      </c>
      <c r="F653">
        <v>2</v>
      </c>
      <c r="G653">
        <v>2</v>
      </c>
      <c r="H653" t="s">
        <v>57</v>
      </c>
      <c r="I653">
        <v>1</v>
      </c>
      <c r="J653">
        <v>903</v>
      </c>
      <c r="K653">
        <v>3</v>
      </c>
      <c r="L653" t="s">
        <v>38</v>
      </c>
      <c r="M653">
        <v>35</v>
      </c>
      <c r="N653">
        <v>3</v>
      </c>
      <c r="O653">
        <v>2</v>
      </c>
      <c r="P653" t="s">
        <v>39</v>
      </c>
      <c r="Q653">
        <v>4</v>
      </c>
      <c r="R653" t="s">
        <v>46</v>
      </c>
      <c r="S653">
        <v>4537</v>
      </c>
      <c r="T653">
        <v>17783</v>
      </c>
      <c r="U653">
        <v>0</v>
      </c>
      <c r="V653" t="s">
        <v>41</v>
      </c>
      <c r="W653" t="s">
        <v>35</v>
      </c>
      <c r="X653">
        <v>22</v>
      </c>
      <c r="Y653">
        <v>4</v>
      </c>
      <c r="Z653">
        <v>1</v>
      </c>
      <c r="AA653">
        <v>80</v>
      </c>
      <c r="AB653">
        <v>1</v>
      </c>
      <c r="AC653">
        <v>8</v>
      </c>
      <c r="AD653">
        <v>2</v>
      </c>
      <c r="AE653">
        <v>3</v>
      </c>
      <c r="AF653">
        <v>7</v>
      </c>
      <c r="AG653">
        <v>6</v>
      </c>
      <c r="AH653">
        <v>7</v>
      </c>
      <c r="AI653">
        <v>7</v>
      </c>
      <c r="AJ653">
        <f t="shared" si="10"/>
        <v>0</v>
      </c>
      <c r="AK653" t="str" cm="1">
        <f t="array" ref="AK653">_xlfn.IFS(A653&lt;=30,"18-30",A653&lt;=45,"31-45",A653&lt;=60,"46-60",TRUE, "60+")</f>
        <v>46-60</v>
      </c>
      <c r="AL653" t="str" cm="1">
        <f t="array" ref="AL653">_xlfn.IFS(F653&lt;=10,"0-10",F653&lt;=20,"11-20",TRUE,"20+")</f>
        <v>0-10</v>
      </c>
      <c r="AM653" t="str" cm="1">
        <f t="array" ref="AM653">_xlfn.IFS(S653&lt;=5000,"0-5k",S653&lt;=10000,"5k-10k",S653&lt;=15000,"10k-15k",TRUE,"15k+")</f>
        <v>0-5k</v>
      </c>
      <c r="AN653" t="str" cm="1">
        <f t="array" ref="AN653">_xlfn.IFS(AF653&lt;=10,"0-10",AF653&lt;=20,"10-20",AF653&lt;=30,"20-30",TRUE,"30+")</f>
        <v>0-10</v>
      </c>
      <c r="AO653" t="str" cm="1">
        <f t="array" ref="AO653">_xlfn.IFS(Y653=1,"Poor",Y653=2,"Average",Y653=3,"Good",TRUE,"Excellent")</f>
        <v>Excellent</v>
      </c>
      <c r="AP653" t="str" cm="1">
        <f t="array" ref="AP653">_xlfn.IFS(Q653=1,"Low",Q653=2,"Medium",Q653=3,"High",TRUE,"Very High")</f>
        <v>Very High</v>
      </c>
    </row>
    <row r="654" spans="1:42" x14ac:dyDescent="0.25">
      <c r="A654">
        <v>37</v>
      </c>
      <c r="B654" t="s">
        <v>42</v>
      </c>
      <c r="C654" t="s">
        <v>53</v>
      </c>
      <c r="D654">
        <v>1252</v>
      </c>
      <c r="E654" t="s">
        <v>36</v>
      </c>
      <c r="F654">
        <v>19</v>
      </c>
      <c r="G654">
        <v>2</v>
      </c>
      <c r="H654" t="s">
        <v>49</v>
      </c>
      <c r="I654">
        <v>1</v>
      </c>
      <c r="J654">
        <v>904</v>
      </c>
      <c r="K654">
        <v>1</v>
      </c>
      <c r="L654" t="s">
        <v>44</v>
      </c>
      <c r="M654">
        <v>32</v>
      </c>
      <c r="N654">
        <v>3</v>
      </c>
      <c r="O654">
        <v>3</v>
      </c>
      <c r="P654" t="s">
        <v>39</v>
      </c>
      <c r="Q654">
        <v>2</v>
      </c>
      <c r="R654" t="s">
        <v>40</v>
      </c>
      <c r="S654">
        <v>7642</v>
      </c>
      <c r="T654">
        <v>4814</v>
      </c>
      <c r="U654">
        <v>1</v>
      </c>
      <c r="V654" t="s">
        <v>41</v>
      </c>
      <c r="W654" t="s">
        <v>35</v>
      </c>
      <c r="X654">
        <v>13</v>
      </c>
      <c r="Y654">
        <v>3</v>
      </c>
      <c r="Z654">
        <v>4</v>
      </c>
      <c r="AA654">
        <v>80</v>
      </c>
      <c r="AB654">
        <v>0</v>
      </c>
      <c r="AC654">
        <v>10</v>
      </c>
      <c r="AD654">
        <v>2</v>
      </c>
      <c r="AE654">
        <v>3</v>
      </c>
      <c r="AF654">
        <v>10</v>
      </c>
      <c r="AG654">
        <v>0</v>
      </c>
      <c r="AH654">
        <v>0</v>
      </c>
      <c r="AI654">
        <v>9</v>
      </c>
      <c r="AJ654">
        <f t="shared" si="10"/>
        <v>0</v>
      </c>
      <c r="AK654" t="str" cm="1">
        <f t="array" ref="AK654">_xlfn.IFS(A654&lt;=30,"18-30",A654&lt;=45,"31-45",A654&lt;=60,"46-60",TRUE, "60+")</f>
        <v>31-45</v>
      </c>
      <c r="AL654" t="str" cm="1">
        <f t="array" ref="AL654">_xlfn.IFS(F654&lt;=10,"0-10",F654&lt;=20,"11-20",TRUE,"20+")</f>
        <v>11-20</v>
      </c>
      <c r="AM654" t="str" cm="1">
        <f t="array" ref="AM654">_xlfn.IFS(S654&lt;=5000,"0-5k",S654&lt;=10000,"5k-10k",S654&lt;=15000,"10k-15k",TRUE,"15k+")</f>
        <v>5k-10k</v>
      </c>
      <c r="AN654" t="str" cm="1">
        <f t="array" ref="AN654">_xlfn.IFS(AF654&lt;=10,"0-10",AF654&lt;=20,"10-20",AF654&lt;=30,"20-30",TRUE,"30+")</f>
        <v>0-10</v>
      </c>
      <c r="AO654" t="str" cm="1">
        <f t="array" ref="AO654">_xlfn.IFS(Y654=1,"Poor",Y654=2,"Average",Y654=3,"Good",TRUE,"Excellent")</f>
        <v>Good</v>
      </c>
      <c r="AP654" t="str" cm="1">
        <f t="array" ref="AP654">_xlfn.IFS(Q654=1,"Low",Q654=2,"Medium",Q654=3,"High",TRUE,"Very High")</f>
        <v>Medium</v>
      </c>
    </row>
    <row r="655" spans="1:42" x14ac:dyDescent="0.25">
      <c r="A655">
        <v>50</v>
      </c>
      <c r="B655" t="s">
        <v>42</v>
      </c>
      <c r="C655" t="s">
        <v>53</v>
      </c>
      <c r="D655">
        <v>881</v>
      </c>
      <c r="E655" t="s">
        <v>43</v>
      </c>
      <c r="F655">
        <v>2</v>
      </c>
      <c r="G655">
        <v>4</v>
      </c>
      <c r="H655" t="s">
        <v>37</v>
      </c>
      <c r="I655">
        <v>1</v>
      </c>
      <c r="J655">
        <v>905</v>
      </c>
      <c r="K655">
        <v>1</v>
      </c>
      <c r="L655" t="s">
        <v>44</v>
      </c>
      <c r="M655">
        <v>98</v>
      </c>
      <c r="N655">
        <v>3</v>
      </c>
      <c r="O655">
        <v>4</v>
      </c>
      <c r="P655" t="s">
        <v>54</v>
      </c>
      <c r="Q655">
        <v>1</v>
      </c>
      <c r="R655" t="s">
        <v>50</v>
      </c>
      <c r="S655">
        <v>17924</v>
      </c>
      <c r="T655">
        <v>4544</v>
      </c>
      <c r="U655">
        <v>1</v>
      </c>
      <c r="V655" t="s">
        <v>41</v>
      </c>
      <c r="W655" t="s">
        <v>42</v>
      </c>
      <c r="X655">
        <v>11</v>
      </c>
      <c r="Y655">
        <v>3</v>
      </c>
      <c r="Z655">
        <v>4</v>
      </c>
      <c r="AA655">
        <v>80</v>
      </c>
      <c r="AB655">
        <v>1</v>
      </c>
      <c r="AC655">
        <v>31</v>
      </c>
      <c r="AD655">
        <v>3</v>
      </c>
      <c r="AE655">
        <v>3</v>
      </c>
      <c r="AF655">
        <v>31</v>
      </c>
      <c r="AG655">
        <v>6</v>
      </c>
      <c r="AH655">
        <v>14</v>
      </c>
      <c r="AI655">
        <v>7</v>
      </c>
      <c r="AJ655">
        <f t="shared" si="10"/>
        <v>0</v>
      </c>
      <c r="AK655" t="str" cm="1">
        <f t="array" ref="AK655">_xlfn.IFS(A655&lt;=30,"18-30",A655&lt;=45,"31-45",A655&lt;=60,"46-60",TRUE, "60+")</f>
        <v>46-60</v>
      </c>
      <c r="AL655" t="str" cm="1">
        <f t="array" ref="AL655">_xlfn.IFS(F655&lt;=10,"0-10",F655&lt;=20,"11-20",TRUE,"20+")</f>
        <v>0-10</v>
      </c>
      <c r="AM655" t="str" cm="1">
        <f t="array" ref="AM655">_xlfn.IFS(S655&lt;=5000,"0-5k",S655&lt;=10000,"5k-10k",S655&lt;=15000,"10k-15k",TRUE,"15k+")</f>
        <v>15k+</v>
      </c>
      <c r="AN655" t="str" cm="1">
        <f t="array" ref="AN655">_xlfn.IFS(AF655&lt;=10,"0-10",AF655&lt;=20,"10-20",AF655&lt;=30,"20-30",TRUE,"30+")</f>
        <v>30+</v>
      </c>
      <c r="AO655" t="str" cm="1">
        <f t="array" ref="AO655">_xlfn.IFS(Y655=1,"Poor",Y655=2,"Average",Y655=3,"Good",TRUE,"Excellent")</f>
        <v>Good</v>
      </c>
      <c r="AP655" t="str" cm="1">
        <f t="array" ref="AP655">_xlfn.IFS(Q655=1,"Low",Q655=2,"Medium",Q655=3,"High",TRUE,"Very High")</f>
        <v>Low</v>
      </c>
    </row>
    <row r="656" spans="1:42" x14ac:dyDescent="0.25">
      <c r="A656">
        <v>39</v>
      </c>
      <c r="B656" t="s">
        <v>42</v>
      </c>
      <c r="C656" t="s">
        <v>90</v>
      </c>
      <c r="D656">
        <v>1383</v>
      </c>
      <c r="E656" t="s">
        <v>59</v>
      </c>
      <c r="F656">
        <v>2</v>
      </c>
      <c r="G656">
        <v>3</v>
      </c>
      <c r="H656" t="s">
        <v>37</v>
      </c>
      <c r="I656">
        <v>1</v>
      </c>
      <c r="J656">
        <v>909</v>
      </c>
      <c r="K656">
        <v>4</v>
      </c>
      <c r="L656" t="s">
        <v>38</v>
      </c>
      <c r="M656">
        <v>42</v>
      </c>
      <c r="N656">
        <v>2</v>
      </c>
      <c r="O656">
        <v>2</v>
      </c>
      <c r="P656" t="s">
        <v>59</v>
      </c>
      <c r="Q656">
        <v>4</v>
      </c>
      <c r="R656" t="s">
        <v>46</v>
      </c>
      <c r="S656">
        <v>5204</v>
      </c>
      <c r="T656">
        <v>7790</v>
      </c>
      <c r="U656">
        <v>8</v>
      </c>
      <c r="V656" t="s">
        <v>41</v>
      </c>
      <c r="W656" t="s">
        <v>42</v>
      </c>
      <c r="X656">
        <v>11</v>
      </c>
      <c r="Y656">
        <v>3</v>
      </c>
      <c r="Z656">
        <v>3</v>
      </c>
      <c r="AA656">
        <v>80</v>
      </c>
      <c r="AB656">
        <v>2</v>
      </c>
      <c r="AC656">
        <v>13</v>
      </c>
      <c r="AD656">
        <v>2</v>
      </c>
      <c r="AE656">
        <v>3</v>
      </c>
      <c r="AF656">
        <v>5</v>
      </c>
      <c r="AG656">
        <v>4</v>
      </c>
      <c r="AH656">
        <v>0</v>
      </c>
      <c r="AI656">
        <v>4</v>
      </c>
      <c r="AJ656">
        <f t="shared" si="10"/>
        <v>0</v>
      </c>
      <c r="AK656" t="str" cm="1">
        <f t="array" ref="AK656">_xlfn.IFS(A656&lt;=30,"18-30",A656&lt;=45,"31-45",A656&lt;=60,"46-60",TRUE, "60+")</f>
        <v>31-45</v>
      </c>
      <c r="AL656" t="str" cm="1">
        <f t="array" ref="AL656">_xlfn.IFS(F656&lt;=10,"0-10",F656&lt;=20,"11-20",TRUE,"20+")</f>
        <v>0-10</v>
      </c>
      <c r="AM656" t="str" cm="1">
        <f t="array" ref="AM656">_xlfn.IFS(S656&lt;=5000,"0-5k",S656&lt;=10000,"5k-10k",S656&lt;=15000,"10k-15k",TRUE,"15k+")</f>
        <v>5k-10k</v>
      </c>
      <c r="AN656" t="str" cm="1">
        <f t="array" ref="AN656">_xlfn.IFS(AF656&lt;=10,"0-10",AF656&lt;=20,"10-20",AF656&lt;=30,"20-30",TRUE,"30+")</f>
        <v>0-10</v>
      </c>
      <c r="AO656" t="str" cm="1">
        <f t="array" ref="AO656">_xlfn.IFS(Y656=1,"Poor",Y656=2,"Average",Y656=3,"Good",TRUE,"Excellent")</f>
        <v>Good</v>
      </c>
      <c r="AP656" t="str" cm="1">
        <f t="array" ref="AP656">_xlfn.IFS(Q656=1,"Low",Q656=2,"Medium",Q656=3,"High",TRUE,"Very High")</f>
        <v>Very High</v>
      </c>
    </row>
    <row r="657" spans="1:42" x14ac:dyDescent="0.25">
      <c r="A657">
        <v>33</v>
      </c>
      <c r="B657" t="s">
        <v>42</v>
      </c>
      <c r="C657" t="s">
        <v>90</v>
      </c>
      <c r="D657">
        <v>1075</v>
      </c>
      <c r="E657" t="s">
        <v>59</v>
      </c>
      <c r="F657">
        <v>3</v>
      </c>
      <c r="G657">
        <v>2</v>
      </c>
      <c r="H657" t="s">
        <v>59</v>
      </c>
      <c r="I657">
        <v>1</v>
      </c>
      <c r="J657">
        <v>910</v>
      </c>
      <c r="K657">
        <v>4</v>
      </c>
      <c r="L657" t="s">
        <v>44</v>
      </c>
      <c r="M657">
        <v>57</v>
      </c>
      <c r="N657">
        <v>3</v>
      </c>
      <c r="O657">
        <v>1</v>
      </c>
      <c r="P657" t="s">
        <v>59</v>
      </c>
      <c r="Q657">
        <v>2</v>
      </c>
      <c r="R657" t="s">
        <v>50</v>
      </c>
      <c r="S657">
        <v>2277</v>
      </c>
      <c r="T657">
        <v>22650</v>
      </c>
      <c r="U657">
        <v>3</v>
      </c>
      <c r="V657" t="s">
        <v>41</v>
      </c>
      <c r="W657" t="s">
        <v>35</v>
      </c>
      <c r="X657">
        <v>11</v>
      </c>
      <c r="Y657">
        <v>3</v>
      </c>
      <c r="Z657">
        <v>3</v>
      </c>
      <c r="AA657">
        <v>80</v>
      </c>
      <c r="AB657">
        <v>1</v>
      </c>
      <c r="AC657">
        <v>7</v>
      </c>
      <c r="AD657">
        <v>4</v>
      </c>
      <c r="AE657">
        <v>4</v>
      </c>
      <c r="AF657">
        <v>4</v>
      </c>
      <c r="AG657">
        <v>3</v>
      </c>
      <c r="AH657">
        <v>0</v>
      </c>
      <c r="AI657">
        <v>3</v>
      </c>
      <c r="AJ657">
        <f t="shared" si="10"/>
        <v>0</v>
      </c>
      <c r="AK657" t="str" cm="1">
        <f t="array" ref="AK657">_xlfn.IFS(A657&lt;=30,"18-30",A657&lt;=45,"31-45",A657&lt;=60,"46-60",TRUE, "60+")</f>
        <v>31-45</v>
      </c>
      <c r="AL657" t="str" cm="1">
        <f t="array" ref="AL657">_xlfn.IFS(F657&lt;=10,"0-10",F657&lt;=20,"11-20",TRUE,"20+")</f>
        <v>0-10</v>
      </c>
      <c r="AM657" t="str" cm="1">
        <f t="array" ref="AM657">_xlfn.IFS(S657&lt;=5000,"0-5k",S657&lt;=10000,"5k-10k",S657&lt;=15000,"10k-15k",TRUE,"15k+")</f>
        <v>0-5k</v>
      </c>
      <c r="AN657" t="str" cm="1">
        <f t="array" ref="AN657">_xlfn.IFS(AF657&lt;=10,"0-10",AF657&lt;=20,"10-20",AF657&lt;=30,"20-30",TRUE,"30+")</f>
        <v>0-10</v>
      </c>
      <c r="AO657" t="str" cm="1">
        <f t="array" ref="AO657">_xlfn.IFS(Y657=1,"Poor",Y657=2,"Average",Y657=3,"Good",TRUE,"Excellent")</f>
        <v>Good</v>
      </c>
      <c r="AP657" t="str" cm="1">
        <f t="array" ref="AP657">_xlfn.IFS(Q657=1,"Low",Q657=2,"Medium",Q657=3,"High",TRUE,"Very High")</f>
        <v>Medium</v>
      </c>
    </row>
    <row r="658" spans="1:42" x14ac:dyDescent="0.25">
      <c r="A658">
        <v>32</v>
      </c>
      <c r="B658" t="s">
        <v>35</v>
      </c>
      <c r="C658" t="s">
        <v>90</v>
      </c>
      <c r="D658">
        <v>374</v>
      </c>
      <c r="E658" t="s">
        <v>43</v>
      </c>
      <c r="F658">
        <v>25</v>
      </c>
      <c r="G658">
        <v>4</v>
      </c>
      <c r="H658" t="s">
        <v>37</v>
      </c>
      <c r="I658">
        <v>1</v>
      </c>
      <c r="J658">
        <v>911</v>
      </c>
      <c r="K658">
        <v>1</v>
      </c>
      <c r="L658" t="s">
        <v>44</v>
      </c>
      <c r="M658">
        <v>87</v>
      </c>
      <c r="N658">
        <v>3</v>
      </c>
      <c r="O658">
        <v>1</v>
      </c>
      <c r="P658" t="s">
        <v>48</v>
      </c>
      <c r="Q658">
        <v>4</v>
      </c>
      <c r="R658" t="s">
        <v>40</v>
      </c>
      <c r="S658">
        <v>2795</v>
      </c>
      <c r="T658">
        <v>18016</v>
      </c>
      <c r="U658">
        <v>1</v>
      </c>
      <c r="V658" t="s">
        <v>41</v>
      </c>
      <c r="W658" t="s">
        <v>35</v>
      </c>
      <c r="X658">
        <v>24</v>
      </c>
      <c r="Y658">
        <v>4</v>
      </c>
      <c r="Z658">
        <v>3</v>
      </c>
      <c r="AA658">
        <v>80</v>
      </c>
      <c r="AB658">
        <v>0</v>
      </c>
      <c r="AC658">
        <v>1</v>
      </c>
      <c r="AD658">
        <v>2</v>
      </c>
      <c r="AE658">
        <v>1</v>
      </c>
      <c r="AF658">
        <v>1</v>
      </c>
      <c r="AG658">
        <v>0</v>
      </c>
      <c r="AH658">
        <v>0</v>
      </c>
      <c r="AI658">
        <v>1</v>
      </c>
      <c r="AJ658">
        <f t="shared" si="10"/>
        <v>1</v>
      </c>
      <c r="AK658" t="str" cm="1">
        <f t="array" ref="AK658">_xlfn.IFS(A658&lt;=30,"18-30",A658&lt;=45,"31-45",A658&lt;=60,"46-60",TRUE, "60+")</f>
        <v>31-45</v>
      </c>
      <c r="AL658" t="str" cm="1">
        <f t="array" ref="AL658">_xlfn.IFS(F658&lt;=10,"0-10",F658&lt;=20,"11-20",TRUE,"20+")</f>
        <v>20+</v>
      </c>
      <c r="AM658" t="str" cm="1">
        <f t="array" ref="AM658">_xlfn.IFS(S658&lt;=5000,"0-5k",S658&lt;=10000,"5k-10k",S658&lt;=15000,"10k-15k",TRUE,"15k+")</f>
        <v>0-5k</v>
      </c>
      <c r="AN658" t="str" cm="1">
        <f t="array" ref="AN658">_xlfn.IFS(AF658&lt;=10,"0-10",AF658&lt;=20,"10-20",AF658&lt;=30,"20-30",TRUE,"30+")</f>
        <v>0-10</v>
      </c>
      <c r="AO658" t="str" cm="1">
        <f t="array" ref="AO658">_xlfn.IFS(Y658=1,"Poor",Y658=2,"Average",Y658=3,"Good",TRUE,"Excellent")</f>
        <v>Excellent</v>
      </c>
      <c r="AP658" t="str" cm="1">
        <f t="array" ref="AP658">_xlfn.IFS(Q658=1,"Low",Q658=2,"Medium",Q658=3,"High",TRUE,"Very High")</f>
        <v>Very High</v>
      </c>
    </row>
    <row r="659" spans="1:42" x14ac:dyDescent="0.25">
      <c r="A659">
        <v>29</v>
      </c>
      <c r="B659" t="s">
        <v>42</v>
      </c>
      <c r="C659" t="s">
        <v>90</v>
      </c>
      <c r="D659">
        <v>1086</v>
      </c>
      <c r="E659" t="s">
        <v>43</v>
      </c>
      <c r="F659">
        <v>7</v>
      </c>
      <c r="G659">
        <v>1</v>
      </c>
      <c r="H659" t="s">
        <v>49</v>
      </c>
      <c r="I659">
        <v>1</v>
      </c>
      <c r="J659">
        <v>912</v>
      </c>
      <c r="K659">
        <v>1</v>
      </c>
      <c r="L659" t="s">
        <v>38</v>
      </c>
      <c r="M659">
        <v>62</v>
      </c>
      <c r="N659">
        <v>2</v>
      </c>
      <c r="O659">
        <v>1</v>
      </c>
      <c r="P659" t="s">
        <v>48</v>
      </c>
      <c r="Q659">
        <v>4</v>
      </c>
      <c r="R659" t="s">
        <v>50</v>
      </c>
      <c r="S659">
        <v>2532</v>
      </c>
      <c r="T659">
        <v>6054</v>
      </c>
      <c r="U659">
        <v>6</v>
      </c>
      <c r="V659" t="s">
        <v>41</v>
      </c>
      <c r="W659" t="s">
        <v>42</v>
      </c>
      <c r="X659">
        <v>14</v>
      </c>
      <c r="Y659">
        <v>3</v>
      </c>
      <c r="Z659">
        <v>3</v>
      </c>
      <c r="AA659">
        <v>80</v>
      </c>
      <c r="AB659">
        <v>3</v>
      </c>
      <c r="AC659">
        <v>8</v>
      </c>
      <c r="AD659">
        <v>5</v>
      </c>
      <c r="AE659">
        <v>3</v>
      </c>
      <c r="AF659">
        <v>4</v>
      </c>
      <c r="AG659">
        <v>3</v>
      </c>
      <c r="AH659">
        <v>0</v>
      </c>
      <c r="AI659">
        <v>3</v>
      </c>
      <c r="AJ659">
        <f t="shared" si="10"/>
        <v>0</v>
      </c>
      <c r="AK659" t="str" cm="1">
        <f t="array" ref="AK659">_xlfn.IFS(A659&lt;=30,"18-30",A659&lt;=45,"31-45",A659&lt;=60,"46-60",TRUE, "60+")</f>
        <v>18-30</v>
      </c>
      <c r="AL659" t="str" cm="1">
        <f t="array" ref="AL659">_xlfn.IFS(F659&lt;=10,"0-10",F659&lt;=20,"11-20",TRUE,"20+")</f>
        <v>0-10</v>
      </c>
      <c r="AM659" t="str" cm="1">
        <f t="array" ref="AM659">_xlfn.IFS(S659&lt;=5000,"0-5k",S659&lt;=10000,"5k-10k",S659&lt;=15000,"10k-15k",TRUE,"15k+")</f>
        <v>0-5k</v>
      </c>
      <c r="AN659" t="str" cm="1">
        <f t="array" ref="AN659">_xlfn.IFS(AF659&lt;=10,"0-10",AF659&lt;=20,"10-20",AF659&lt;=30,"20-30",TRUE,"30+")</f>
        <v>0-10</v>
      </c>
      <c r="AO659" t="str" cm="1">
        <f t="array" ref="AO659">_xlfn.IFS(Y659=1,"Poor",Y659=2,"Average",Y659=3,"Good",TRUE,"Excellent")</f>
        <v>Good</v>
      </c>
      <c r="AP659" t="str" cm="1">
        <f t="array" ref="AP659">_xlfn.IFS(Q659=1,"Low",Q659=2,"Medium",Q659=3,"High",TRUE,"Very High")</f>
        <v>Very High</v>
      </c>
    </row>
    <row r="660" spans="1:42" x14ac:dyDescent="0.25">
      <c r="A660">
        <v>44</v>
      </c>
      <c r="B660" t="s">
        <v>42</v>
      </c>
      <c r="C660" t="s">
        <v>90</v>
      </c>
      <c r="D660">
        <v>661</v>
      </c>
      <c r="E660" t="s">
        <v>43</v>
      </c>
      <c r="F660">
        <v>9</v>
      </c>
      <c r="G660">
        <v>2</v>
      </c>
      <c r="H660" t="s">
        <v>37</v>
      </c>
      <c r="I660">
        <v>1</v>
      </c>
      <c r="J660">
        <v>913</v>
      </c>
      <c r="K660">
        <v>2</v>
      </c>
      <c r="L660" t="s">
        <v>44</v>
      </c>
      <c r="M660">
        <v>61</v>
      </c>
      <c r="N660">
        <v>3</v>
      </c>
      <c r="O660">
        <v>1</v>
      </c>
      <c r="P660" t="s">
        <v>45</v>
      </c>
      <c r="Q660">
        <v>1</v>
      </c>
      <c r="R660" t="s">
        <v>46</v>
      </c>
      <c r="S660">
        <v>2559</v>
      </c>
      <c r="T660">
        <v>7508</v>
      </c>
      <c r="U660">
        <v>1</v>
      </c>
      <c r="V660" t="s">
        <v>41</v>
      </c>
      <c r="W660" t="s">
        <v>35</v>
      </c>
      <c r="X660">
        <v>13</v>
      </c>
      <c r="Y660">
        <v>3</v>
      </c>
      <c r="Z660">
        <v>4</v>
      </c>
      <c r="AA660">
        <v>80</v>
      </c>
      <c r="AB660">
        <v>0</v>
      </c>
      <c r="AC660">
        <v>8</v>
      </c>
      <c r="AD660">
        <v>0</v>
      </c>
      <c r="AE660">
        <v>3</v>
      </c>
      <c r="AF660">
        <v>8</v>
      </c>
      <c r="AG660">
        <v>7</v>
      </c>
      <c r="AH660">
        <v>7</v>
      </c>
      <c r="AI660">
        <v>1</v>
      </c>
      <c r="AJ660">
        <f t="shared" si="10"/>
        <v>0</v>
      </c>
      <c r="AK660" t="str" cm="1">
        <f t="array" ref="AK660">_xlfn.IFS(A660&lt;=30,"18-30",A660&lt;=45,"31-45",A660&lt;=60,"46-60",TRUE, "60+")</f>
        <v>31-45</v>
      </c>
      <c r="AL660" t="str" cm="1">
        <f t="array" ref="AL660">_xlfn.IFS(F660&lt;=10,"0-10",F660&lt;=20,"11-20",TRUE,"20+")</f>
        <v>0-10</v>
      </c>
      <c r="AM660" t="str" cm="1">
        <f t="array" ref="AM660">_xlfn.IFS(S660&lt;=5000,"0-5k",S660&lt;=10000,"5k-10k",S660&lt;=15000,"10k-15k",TRUE,"15k+")</f>
        <v>0-5k</v>
      </c>
      <c r="AN660" t="str" cm="1">
        <f t="array" ref="AN660">_xlfn.IFS(AF660&lt;=10,"0-10",AF660&lt;=20,"10-20",AF660&lt;=30,"20-30",TRUE,"30+")</f>
        <v>0-10</v>
      </c>
      <c r="AO660" t="str" cm="1">
        <f t="array" ref="AO660">_xlfn.IFS(Y660=1,"Poor",Y660=2,"Average",Y660=3,"Good",TRUE,"Excellent")</f>
        <v>Good</v>
      </c>
      <c r="AP660" t="str" cm="1">
        <f t="array" ref="AP660">_xlfn.IFS(Q660=1,"Low",Q660=2,"Medium",Q660=3,"High",TRUE,"Very High")</f>
        <v>Low</v>
      </c>
    </row>
    <row r="661" spans="1:42" x14ac:dyDescent="0.25">
      <c r="A661">
        <v>28</v>
      </c>
      <c r="B661" t="s">
        <v>42</v>
      </c>
      <c r="C661" t="s">
        <v>90</v>
      </c>
      <c r="D661">
        <v>821</v>
      </c>
      <c r="E661" t="s">
        <v>36</v>
      </c>
      <c r="F661">
        <v>5</v>
      </c>
      <c r="G661">
        <v>4</v>
      </c>
      <c r="H661" t="s">
        <v>49</v>
      </c>
      <c r="I661">
        <v>1</v>
      </c>
      <c r="J661">
        <v>916</v>
      </c>
      <c r="K661">
        <v>1</v>
      </c>
      <c r="L661" t="s">
        <v>44</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c r="AJ661">
        <f t="shared" si="10"/>
        <v>0</v>
      </c>
      <c r="AK661" t="str" cm="1">
        <f t="array" ref="AK661">_xlfn.IFS(A661&lt;=30,"18-30",A661&lt;=45,"31-45",A661&lt;=60,"46-60",TRUE, "60+")</f>
        <v>18-30</v>
      </c>
      <c r="AL661" t="str" cm="1">
        <f t="array" ref="AL661">_xlfn.IFS(F661&lt;=10,"0-10",F661&lt;=20,"11-20",TRUE,"20+")</f>
        <v>0-10</v>
      </c>
      <c r="AM661" t="str" cm="1">
        <f t="array" ref="AM661">_xlfn.IFS(S661&lt;=5000,"0-5k",S661&lt;=10000,"5k-10k",S661&lt;=15000,"10k-15k",TRUE,"15k+")</f>
        <v>0-5k</v>
      </c>
      <c r="AN661" t="str" cm="1">
        <f t="array" ref="AN661">_xlfn.IFS(AF661&lt;=10,"0-10",AF661&lt;=20,"10-20",AF661&lt;=30,"20-30",TRUE,"30+")</f>
        <v>0-10</v>
      </c>
      <c r="AO661" t="str" cm="1">
        <f t="array" ref="AO661">_xlfn.IFS(Y661=1,"Poor",Y661=2,"Average",Y661=3,"Good",TRUE,"Excellent")</f>
        <v>Good</v>
      </c>
      <c r="AP661" t="str" cm="1">
        <f t="array" ref="AP661">_xlfn.IFS(Q661=1,"Low",Q661=2,"Medium",Q661=3,"High",TRUE,"Very High")</f>
        <v>Very High</v>
      </c>
    </row>
    <row r="662" spans="1:42" x14ac:dyDescent="0.25">
      <c r="A662">
        <v>58</v>
      </c>
      <c r="B662" t="s">
        <v>35</v>
      </c>
      <c r="C662" t="s">
        <v>91</v>
      </c>
      <c r="D662">
        <v>781</v>
      </c>
      <c r="E662" t="s">
        <v>43</v>
      </c>
      <c r="F662">
        <v>2</v>
      </c>
      <c r="G662">
        <v>1</v>
      </c>
      <c r="H662" t="s">
        <v>37</v>
      </c>
      <c r="I662">
        <v>1</v>
      </c>
      <c r="J662">
        <v>918</v>
      </c>
      <c r="K662">
        <v>4</v>
      </c>
      <c r="L662" t="s">
        <v>44</v>
      </c>
      <c r="M662">
        <v>57</v>
      </c>
      <c r="N662">
        <v>2</v>
      </c>
      <c r="O662">
        <v>1</v>
      </c>
      <c r="P662" t="s">
        <v>48</v>
      </c>
      <c r="Q662">
        <v>4</v>
      </c>
      <c r="R662" t="s">
        <v>50</v>
      </c>
      <c r="S662">
        <v>2380</v>
      </c>
      <c r="T662">
        <v>13384</v>
      </c>
      <c r="U662">
        <v>9</v>
      </c>
      <c r="V662" t="s">
        <v>41</v>
      </c>
      <c r="W662" t="s">
        <v>35</v>
      </c>
      <c r="X662">
        <v>14</v>
      </c>
      <c r="Y662">
        <v>3</v>
      </c>
      <c r="Z662">
        <v>4</v>
      </c>
      <c r="AA662">
        <v>80</v>
      </c>
      <c r="AB662">
        <v>1</v>
      </c>
      <c r="AC662">
        <v>3</v>
      </c>
      <c r="AD662">
        <v>3</v>
      </c>
      <c r="AE662">
        <v>2</v>
      </c>
      <c r="AF662">
        <v>1</v>
      </c>
      <c r="AG662">
        <v>0</v>
      </c>
      <c r="AH662">
        <v>0</v>
      </c>
      <c r="AI662">
        <v>0</v>
      </c>
      <c r="AJ662">
        <f t="shared" si="10"/>
        <v>1</v>
      </c>
      <c r="AK662" t="str" cm="1">
        <f t="array" ref="AK662">_xlfn.IFS(A662&lt;=30,"18-30",A662&lt;=45,"31-45",A662&lt;=60,"46-60",TRUE, "60+")</f>
        <v>46-60</v>
      </c>
      <c r="AL662" t="str" cm="1">
        <f t="array" ref="AL662">_xlfn.IFS(F662&lt;=10,"0-10",F662&lt;=20,"11-20",TRUE,"20+")</f>
        <v>0-10</v>
      </c>
      <c r="AM662" t="str" cm="1">
        <f t="array" ref="AM662">_xlfn.IFS(S662&lt;=5000,"0-5k",S662&lt;=10000,"5k-10k",S662&lt;=15000,"10k-15k",TRUE,"15k+")</f>
        <v>0-5k</v>
      </c>
      <c r="AN662" t="str" cm="1">
        <f t="array" ref="AN662">_xlfn.IFS(AF662&lt;=10,"0-10",AF662&lt;=20,"10-20",AF662&lt;=30,"20-30",TRUE,"30+")</f>
        <v>0-10</v>
      </c>
      <c r="AO662" t="str" cm="1">
        <f t="array" ref="AO662">_xlfn.IFS(Y662=1,"Poor",Y662=2,"Average",Y662=3,"Good",TRUE,"Excellent")</f>
        <v>Good</v>
      </c>
      <c r="AP662" t="str" cm="1">
        <f t="array" ref="AP662">_xlfn.IFS(Q662=1,"Low",Q662=2,"Medium",Q662=3,"High",TRUE,"Very High")</f>
        <v>Very High</v>
      </c>
    </row>
    <row r="663" spans="1:42" x14ac:dyDescent="0.25">
      <c r="A663">
        <v>43</v>
      </c>
      <c r="B663" t="s">
        <v>42</v>
      </c>
      <c r="C663" t="s">
        <v>90</v>
      </c>
      <c r="D663">
        <v>177</v>
      </c>
      <c r="E663" t="s">
        <v>43</v>
      </c>
      <c r="F663">
        <v>8</v>
      </c>
      <c r="G663">
        <v>3</v>
      </c>
      <c r="H663" t="s">
        <v>37</v>
      </c>
      <c r="I663">
        <v>1</v>
      </c>
      <c r="J663">
        <v>920</v>
      </c>
      <c r="K663">
        <v>1</v>
      </c>
      <c r="L663" t="s">
        <v>38</v>
      </c>
      <c r="M663">
        <v>55</v>
      </c>
      <c r="N663">
        <v>3</v>
      </c>
      <c r="O663">
        <v>2</v>
      </c>
      <c r="P663" t="s">
        <v>51</v>
      </c>
      <c r="Q663">
        <v>2</v>
      </c>
      <c r="R663" t="s">
        <v>50</v>
      </c>
      <c r="S663">
        <v>4765</v>
      </c>
      <c r="T663">
        <v>23814</v>
      </c>
      <c r="U663">
        <v>4</v>
      </c>
      <c r="V663" t="s">
        <v>41</v>
      </c>
      <c r="W663" t="s">
        <v>42</v>
      </c>
      <c r="X663">
        <v>21</v>
      </c>
      <c r="Y663">
        <v>4</v>
      </c>
      <c r="Z663">
        <v>3</v>
      </c>
      <c r="AA663">
        <v>80</v>
      </c>
      <c r="AB663">
        <v>1</v>
      </c>
      <c r="AC663">
        <v>4</v>
      </c>
      <c r="AD663">
        <v>2</v>
      </c>
      <c r="AE663">
        <v>4</v>
      </c>
      <c r="AF663">
        <v>1</v>
      </c>
      <c r="AG663">
        <v>0</v>
      </c>
      <c r="AH663">
        <v>0</v>
      </c>
      <c r="AI663">
        <v>0</v>
      </c>
      <c r="AJ663">
        <f t="shared" si="10"/>
        <v>0</v>
      </c>
      <c r="AK663" t="str" cm="1">
        <f t="array" ref="AK663">_xlfn.IFS(A663&lt;=30,"18-30",A663&lt;=45,"31-45",A663&lt;=60,"46-60",TRUE, "60+")</f>
        <v>31-45</v>
      </c>
      <c r="AL663" t="str" cm="1">
        <f t="array" ref="AL663">_xlfn.IFS(F663&lt;=10,"0-10",F663&lt;=20,"11-20",TRUE,"20+")</f>
        <v>0-10</v>
      </c>
      <c r="AM663" t="str" cm="1">
        <f t="array" ref="AM663">_xlfn.IFS(S663&lt;=5000,"0-5k",S663&lt;=10000,"5k-10k",S663&lt;=15000,"10k-15k",TRUE,"15k+")</f>
        <v>0-5k</v>
      </c>
      <c r="AN663" t="str" cm="1">
        <f t="array" ref="AN663">_xlfn.IFS(AF663&lt;=10,"0-10",AF663&lt;=20,"10-20",AF663&lt;=30,"20-30",TRUE,"30+")</f>
        <v>0-10</v>
      </c>
      <c r="AO663" t="str" cm="1">
        <f t="array" ref="AO663">_xlfn.IFS(Y663=1,"Poor",Y663=2,"Average",Y663=3,"Good",TRUE,"Excellent")</f>
        <v>Excellent</v>
      </c>
      <c r="AP663" t="str" cm="1">
        <f t="array" ref="AP663">_xlfn.IFS(Q663=1,"Low",Q663=2,"Medium",Q663=3,"High",TRUE,"Very High")</f>
        <v>Medium</v>
      </c>
    </row>
    <row r="664" spans="1:42" x14ac:dyDescent="0.25">
      <c r="A664">
        <v>20</v>
      </c>
      <c r="B664" t="s">
        <v>35</v>
      </c>
      <c r="C664" t="s">
        <v>90</v>
      </c>
      <c r="D664">
        <v>500</v>
      </c>
      <c r="E664" t="s">
        <v>36</v>
      </c>
      <c r="F664">
        <v>2</v>
      </c>
      <c r="G664">
        <v>3</v>
      </c>
      <c r="H664" t="s">
        <v>49</v>
      </c>
      <c r="I664">
        <v>1</v>
      </c>
      <c r="J664">
        <v>922</v>
      </c>
      <c r="K664">
        <v>3</v>
      </c>
      <c r="L664" t="s">
        <v>38</v>
      </c>
      <c r="M664">
        <v>49</v>
      </c>
      <c r="N664">
        <v>2</v>
      </c>
      <c r="O664">
        <v>1</v>
      </c>
      <c r="P664" t="s">
        <v>55</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c r="AJ664">
        <f t="shared" si="10"/>
        <v>1</v>
      </c>
      <c r="AK664" t="str" cm="1">
        <f t="array" ref="AK664">_xlfn.IFS(A664&lt;=30,"18-30",A664&lt;=45,"31-45",A664&lt;=60,"46-60",TRUE, "60+")</f>
        <v>18-30</v>
      </c>
      <c r="AL664" t="str" cm="1">
        <f t="array" ref="AL664">_xlfn.IFS(F664&lt;=10,"0-10",F664&lt;=20,"11-20",TRUE,"20+")</f>
        <v>0-10</v>
      </c>
      <c r="AM664" t="str" cm="1">
        <f t="array" ref="AM664">_xlfn.IFS(S664&lt;=5000,"0-5k",S664&lt;=10000,"5k-10k",S664&lt;=15000,"10k-15k",TRUE,"15k+")</f>
        <v>0-5k</v>
      </c>
      <c r="AN664" t="str" cm="1">
        <f t="array" ref="AN664">_xlfn.IFS(AF664&lt;=10,"0-10",AF664&lt;=20,"10-20",AF664&lt;=30,"20-30",TRUE,"30+")</f>
        <v>0-10</v>
      </c>
      <c r="AO664" t="str" cm="1">
        <f t="array" ref="AO664">_xlfn.IFS(Y664=1,"Poor",Y664=2,"Average",Y664=3,"Good",TRUE,"Excellent")</f>
        <v>Good</v>
      </c>
      <c r="AP664" t="str" cm="1">
        <f t="array" ref="AP664">_xlfn.IFS(Q664=1,"Low",Q664=2,"Medium",Q664=3,"High",TRUE,"Very High")</f>
        <v>High</v>
      </c>
    </row>
    <row r="665" spans="1:42" x14ac:dyDescent="0.25">
      <c r="A665">
        <v>21</v>
      </c>
      <c r="B665" t="s">
        <v>35</v>
      </c>
      <c r="C665" t="s">
        <v>90</v>
      </c>
      <c r="D665">
        <v>1427</v>
      </c>
      <c r="E665" t="s">
        <v>43</v>
      </c>
      <c r="F665">
        <v>18</v>
      </c>
      <c r="G665">
        <v>1</v>
      </c>
      <c r="H665" t="s">
        <v>47</v>
      </c>
      <c r="I665">
        <v>1</v>
      </c>
      <c r="J665">
        <v>923</v>
      </c>
      <c r="K665">
        <v>4</v>
      </c>
      <c r="L665" t="s">
        <v>38</v>
      </c>
      <c r="M665">
        <v>65</v>
      </c>
      <c r="N665">
        <v>3</v>
      </c>
      <c r="O665">
        <v>1</v>
      </c>
      <c r="P665" t="s">
        <v>45</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c r="AJ665">
        <f t="shared" si="10"/>
        <v>1</v>
      </c>
      <c r="AK665" t="str" cm="1">
        <f t="array" ref="AK665">_xlfn.IFS(A665&lt;=30,"18-30",A665&lt;=45,"31-45",A665&lt;=60,"46-60",TRUE, "60+")</f>
        <v>18-30</v>
      </c>
      <c r="AL665" t="str" cm="1">
        <f t="array" ref="AL665">_xlfn.IFS(F665&lt;=10,"0-10",F665&lt;=20,"11-20",TRUE,"20+")</f>
        <v>11-20</v>
      </c>
      <c r="AM665" t="str" cm="1">
        <f t="array" ref="AM665">_xlfn.IFS(S665&lt;=5000,"0-5k",S665&lt;=10000,"5k-10k",S665&lt;=15000,"10k-15k",TRUE,"15k+")</f>
        <v>0-5k</v>
      </c>
      <c r="AN665" t="str" cm="1">
        <f t="array" ref="AN665">_xlfn.IFS(AF665&lt;=10,"0-10",AF665&lt;=20,"10-20",AF665&lt;=30,"20-30",TRUE,"30+")</f>
        <v>0-10</v>
      </c>
      <c r="AO665" t="str" cm="1">
        <f t="array" ref="AO665">_xlfn.IFS(Y665=1,"Poor",Y665=2,"Average",Y665=3,"Good",TRUE,"Excellent")</f>
        <v>Good</v>
      </c>
      <c r="AP665" t="str" cm="1">
        <f t="array" ref="AP665">_xlfn.IFS(Q665=1,"Low",Q665=2,"Medium",Q665=3,"High",TRUE,"Very High")</f>
        <v>Very High</v>
      </c>
    </row>
    <row r="666" spans="1:42" x14ac:dyDescent="0.25">
      <c r="A666">
        <v>36</v>
      </c>
      <c r="B666" t="s">
        <v>42</v>
      </c>
      <c r="C666" t="s">
        <v>90</v>
      </c>
      <c r="D666">
        <v>1425</v>
      </c>
      <c r="E666" t="s">
        <v>43</v>
      </c>
      <c r="F666">
        <v>14</v>
      </c>
      <c r="G666">
        <v>1</v>
      </c>
      <c r="H666" t="s">
        <v>37</v>
      </c>
      <c r="I666">
        <v>1</v>
      </c>
      <c r="J666">
        <v>924</v>
      </c>
      <c r="K666">
        <v>3</v>
      </c>
      <c r="L666" t="s">
        <v>44</v>
      </c>
      <c r="M666">
        <v>68</v>
      </c>
      <c r="N666">
        <v>3</v>
      </c>
      <c r="O666">
        <v>2</v>
      </c>
      <c r="P666" t="s">
        <v>52</v>
      </c>
      <c r="Q666">
        <v>4</v>
      </c>
      <c r="R666" t="s">
        <v>46</v>
      </c>
      <c r="S666">
        <v>6586</v>
      </c>
      <c r="T666">
        <v>4821</v>
      </c>
      <c r="U666">
        <v>0</v>
      </c>
      <c r="V666" t="s">
        <v>41</v>
      </c>
      <c r="W666" t="s">
        <v>35</v>
      </c>
      <c r="X666">
        <v>17</v>
      </c>
      <c r="Y666">
        <v>3</v>
      </c>
      <c r="Z666">
        <v>1</v>
      </c>
      <c r="AA666">
        <v>80</v>
      </c>
      <c r="AB666">
        <v>1</v>
      </c>
      <c r="AC666">
        <v>17</v>
      </c>
      <c r="AD666">
        <v>2</v>
      </c>
      <c r="AE666">
        <v>2</v>
      </c>
      <c r="AF666">
        <v>16</v>
      </c>
      <c r="AG666">
        <v>8</v>
      </c>
      <c r="AH666">
        <v>4</v>
      </c>
      <c r="AI666">
        <v>11</v>
      </c>
      <c r="AJ666">
        <f t="shared" si="10"/>
        <v>0</v>
      </c>
      <c r="AK666" t="str" cm="1">
        <f t="array" ref="AK666">_xlfn.IFS(A666&lt;=30,"18-30",A666&lt;=45,"31-45",A666&lt;=60,"46-60",TRUE, "60+")</f>
        <v>31-45</v>
      </c>
      <c r="AL666" t="str" cm="1">
        <f t="array" ref="AL666">_xlfn.IFS(F666&lt;=10,"0-10",F666&lt;=20,"11-20",TRUE,"20+")</f>
        <v>11-20</v>
      </c>
      <c r="AM666" t="str" cm="1">
        <f t="array" ref="AM666">_xlfn.IFS(S666&lt;=5000,"0-5k",S666&lt;=10000,"5k-10k",S666&lt;=15000,"10k-15k",TRUE,"15k+")</f>
        <v>5k-10k</v>
      </c>
      <c r="AN666" t="str" cm="1">
        <f t="array" ref="AN666">_xlfn.IFS(AF666&lt;=10,"0-10",AF666&lt;=20,"10-20",AF666&lt;=30,"20-30",TRUE,"30+")</f>
        <v>10-20</v>
      </c>
      <c r="AO666" t="str" cm="1">
        <f t="array" ref="AO666">_xlfn.IFS(Y666=1,"Poor",Y666=2,"Average",Y666=3,"Good",TRUE,"Excellent")</f>
        <v>Good</v>
      </c>
      <c r="AP666" t="str" cm="1">
        <f t="array" ref="AP666">_xlfn.IFS(Q666=1,"Low",Q666=2,"Medium",Q666=3,"High",TRUE,"Very High")</f>
        <v>Very High</v>
      </c>
    </row>
    <row r="667" spans="1:42" x14ac:dyDescent="0.25">
      <c r="A667">
        <v>47</v>
      </c>
      <c r="B667" t="s">
        <v>42</v>
      </c>
      <c r="C667" t="s">
        <v>90</v>
      </c>
      <c r="D667">
        <v>1454</v>
      </c>
      <c r="E667" t="s">
        <v>36</v>
      </c>
      <c r="F667">
        <v>2</v>
      </c>
      <c r="G667">
        <v>4</v>
      </c>
      <c r="H667" t="s">
        <v>37</v>
      </c>
      <c r="I667">
        <v>1</v>
      </c>
      <c r="J667">
        <v>925</v>
      </c>
      <c r="K667">
        <v>4</v>
      </c>
      <c r="L667" t="s">
        <v>38</v>
      </c>
      <c r="M667">
        <v>65</v>
      </c>
      <c r="N667">
        <v>2</v>
      </c>
      <c r="O667">
        <v>1</v>
      </c>
      <c r="P667" t="s">
        <v>55</v>
      </c>
      <c r="Q667">
        <v>4</v>
      </c>
      <c r="R667" t="s">
        <v>40</v>
      </c>
      <c r="S667">
        <v>3294</v>
      </c>
      <c r="T667">
        <v>13137</v>
      </c>
      <c r="U667">
        <v>1</v>
      </c>
      <c r="V667" t="s">
        <v>41</v>
      </c>
      <c r="W667" t="s">
        <v>35</v>
      </c>
      <c r="X667">
        <v>18</v>
      </c>
      <c r="Y667">
        <v>3</v>
      </c>
      <c r="Z667">
        <v>1</v>
      </c>
      <c r="AA667">
        <v>80</v>
      </c>
      <c r="AB667">
        <v>0</v>
      </c>
      <c r="AC667">
        <v>3</v>
      </c>
      <c r="AD667">
        <v>3</v>
      </c>
      <c r="AE667">
        <v>2</v>
      </c>
      <c r="AF667">
        <v>3</v>
      </c>
      <c r="AG667">
        <v>2</v>
      </c>
      <c r="AH667">
        <v>1</v>
      </c>
      <c r="AI667">
        <v>2</v>
      </c>
      <c r="AJ667">
        <f t="shared" si="10"/>
        <v>0</v>
      </c>
      <c r="AK667" t="str" cm="1">
        <f t="array" ref="AK667">_xlfn.IFS(A667&lt;=30,"18-30",A667&lt;=45,"31-45",A667&lt;=60,"46-60",TRUE, "60+")</f>
        <v>46-60</v>
      </c>
      <c r="AL667" t="str" cm="1">
        <f t="array" ref="AL667">_xlfn.IFS(F667&lt;=10,"0-10",F667&lt;=20,"11-20",TRUE,"20+")</f>
        <v>0-10</v>
      </c>
      <c r="AM667" t="str" cm="1">
        <f t="array" ref="AM667">_xlfn.IFS(S667&lt;=5000,"0-5k",S667&lt;=10000,"5k-10k",S667&lt;=15000,"10k-15k",TRUE,"15k+")</f>
        <v>0-5k</v>
      </c>
      <c r="AN667" t="str" cm="1">
        <f t="array" ref="AN667">_xlfn.IFS(AF667&lt;=10,"0-10",AF667&lt;=20,"10-20",AF667&lt;=30,"20-30",TRUE,"30+")</f>
        <v>0-10</v>
      </c>
      <c r="AO667" t="str" cm="1">
        <f t="array" ref="AO667">_xlfn.IFS(Y667=1,"Poor",Y667=2,"Average",Y667=3,"Good",TRUE,"Excellent")</f>
        <v>Good</v>
      </c>
      <c r="AP667" t="str" cm="1">
        <f t="array" ref="AP667">_xlfn.IFS(Q667=1,"Low",Q667=2,"Medium",Q667=3,"High",TRUE,"Very High")</f>
        <v>Very High</v>
      </c>
    </row>
    <row r="668" spans="1:42" x14ac:dyDescent="0.25">
      <c r="A668">
        <v>22</v>
      </c>
      <c r="B668" t="s">
        <v>35</v>
      </c>
      <c r="C668" t="s">
        <v>90</v>
      </c>
      <c r="D668">
        <v>617</v>
      </c>
      <c r="E668" t="s">
        <v>43</v>
      </c>
      <c r="F668">
        <v>3</v>
      </c>
      <c r="G668">
        <v>1</v>
      </c>
      <c r="H668" t="s">
        <v>37</v>
      </c>
      <c r="I668">
        <v>1</v>
      </c>
      <c r="J668">
        <v>926</v>
      </c>
      <c r="K668">
        <v>2</v>
      </c>
      <c r="L668" t="s">
        <v>38</v>
      </c>
      <c r="M668">
        <v>34</v>
      </c>
      <c r="N668">
        <v>3</v>
      </c>
      <c r="O668">
        <v>2</v>
      </c>
      <c r="P668" t="s">
        <v>51</v>
      </c>
      <c r="Q668">
        <v>3</v>
      </c>
      <c r="R668" t="s">
        <v>46</v>
      </c>
      <c r="S668">
        <v>4171</v>
      </c>
      <c r="T668">
        <v>10022</v>
      </c>
      <c r="U668">
        <v>0</v>
      </c>
      <c r="V668" t="s">
        <v>41</v>
      </c>
      <c r="W668" t="s">
        <v>35</v>
      </c>
      <c r="X668">
        <v>19</v>
      </c>
      <c r="Y668">
        <v>3</v>
      </c>
      <c r="Z668">
        <v>1</v>
      </c>
      <c r="AA668">
        <v>80</v>
      </c>
      <c r="AB668">
        <v>1</v>
      </c>
      <c r="AC668">
        <v>4</v>
      </c>
      <c r="AD668">
        <v>3</v>
      </c>
      <c r="AE668">
        <v>4</v>
      </c>
      <c r="AF668">
        <v>3</v>
      </c>
      <c r="AG668">
        <v>2</v>
      </c>
      <c r="AH668">
        <v>0</v>
      </c>
      <c r="AI668">
        <v>2</v>
      </c>
      <c r="AJ668">
        <f t="shared" si="10"/>
        <v>1</v>
      </c>
      <c r="AK668" t="str" cm="1">
        <f t="array" ref="AK668">_xlfn.IFS(A668&lt;=30,"18-30",A668&lt;=45,"31-45",A668&lt;=60,"46-60",TRUE, "60+")</f>
        <v>18-30</v>
      </c>
      <c r="AL668" t="str" cm="1">
        <f t="array" ref="AL668">_xlfn.IFS(F668&lt;=10,"0-10",F668&lt;=20,"11-20",TRUE,"20+")</f>
        <v>0-10</v>
      </c>
      <c r="AM668" t="str" cm="1">
        <f t="array" ref="AM668">_xlfn.IFS(S668&lt;=5000,"0-5k",S668&lt;=10000,"5k-10k",S668&lt;=15000,"10k-15k",TRUE,"15k+")</f>
        <v>0-5k</v>
      </c>
      <c r="AN668" t="str" cm="1">
        <f t="array" ref="AN668">_xlfn.IFS(AF668&lt;=10,"0-10",AF668&lt;=20,"10-20",AF668&lt;=30,"20-30",TRUE,"30+")</f>
        <v>0-10</v>
      </c>
      <c r="AO668" t="str" cm="1">
        <f t="array" ref="AO668">_xlfn.IFS(Y668=1,"Poor",Y668=2,"Average",Y668=3,"Good",TRUE,"Excellent")</f>
        <v>Good</v>
      </c>
      <c r="AP668" t="str" cm="1">
        <f t="array" ref="AP668">_xlfn.IFS(Q668=1,"Low",Q668=2,"Medium",Q668=3,"High",TRUE,"Very High")</f>
        <v>High</v>
      </c>
    </row>
    <row r="669" spans="1:42" x14ac:dyDescent="0.25">
      <c r="A669">
        <v>41</v>
      </c>
      <c r="B669" t="s">
        <v>35</v>
      </c>
      <c r="C669" t="s">
        <v>90</v>
      </c>
      <c r="D669">
        <v>1085</v>
      </c>
      <c r="E669" t="s">
        <v>43</v>
      </c>
      <c r="F669">
        <v>2</v>
      </c>
      <c r="G669">
        <v>4</v>
      </c>
      <c r="H669" t="s">
        <v>37</v>
      </c>
      <c r="I669">
        <v>1</v>
      </c>
      <c r="J669">
        <v>927</v>
      </c>
      <c r="K669">
        <v>2</v>
      </c>
      <c r="L669" t="s">
        <v>38</v>
      </c>
      <c r="M669">
        <v>57</v>
      </c>
      <c r="N669">
        <v>1</v>
      </c>
      <c r="O669">
        <v>1</v>
      </c>
      <c r="P669" t="s">
        <v>48</v>
      </c>
      <c r="Q669">
        <v>4</v>
      </c>
      <c r="R669" t="s">
        <v>50</v>
      </c>
      <c r="S669">
        <v>2778</v>
      </c>
      <c r="T669">
        <v>17725</v>
      </c>
      <c r="U669">
        <v>4</v>
      </c>
      <c r="V669" t="s">
        <v>41</v>
      </c>
      <c r="W669" t="s">
        <v>35</v>
      </c>
      <c r="X669">
        <v>13</v>
      </c>
      <c r="Y669">
        <v>3</v>
      </c>
      <c r="Z669">
        <v>3</v>
      </c>
      <c r="AA669">
        <v>80</v>
      </c>
      <c r="AB669">
        <v>1</v>
      </c>
      <c r="AC669">
        <v>10</v>
      </c>
      <c r="AD669">
        <v>1</v>
      </c>
      <c r="AE669">
        <v>2</v>
      </c>
      <c r="AF669">
        <v>7</v>
      </c>
      <c r="AG669">
        <v>7</v>
      </c>
      <c r="AH669">
        <v>1</v>
      </c>
      <c r="AI669">
        <v>0</v>
      </c>
      <c r="AJ669">
        <f t="shared" si="10"/>
        <v>1</v>
      </c>
      <c r="AK669" t="str" cm="1">
        <f t="array" ref="AK669">_xlfn.IFS(A669&lt;=30,"18-30",A669&lt;=45,"31-45",A669&lt;=60,"46-60",TRUE, "60+")</f>
        <v>31-45</v>
      </c>
      <c r="AL669" t="str" cm="1">
        <f t="array" ref="AL669">_xlfn.IFS(F669&lt;=10,"0-10",F669&lt;=20,"11-20",TRUE,"20+")</f>
        <v>0-10</v>
      </c>
      <c r="AM669" t="str" cm="1">
        <f t="array" ref="AM669">_xlfn.IFS(S669&lt;=5000,"0-5k",S669&lt;=10000,"5k-10k",S669&lt;=15000,"10k-15k",TRUE,"15k+")</f>
        <v>0-5k</v>
      </c>
      <c r="AN669" t="str" cm="1">
        <f t="array" ref="AN669">_xlfn.IFS(AF669&lt;=10,"0-10",AF669&lt;=20,"10-20",AF669&lt;=30,"20-30",TRUE,"30+")</f>
        <v>0-10</v>
      </c>
      <c r="AO669" t="str" cm="1">
        <f t="array" ref="AO669">_xlfn.IFS(Y669=1,"Poor",Y669=2,"Average",Y669=3,"Good",TRUE,"Excellent")</f>
        <v>Good</v>
      </c>
      <c r="AP669" t="str" cm="1">
        <f t="array" ref="AP669">_xlfn.IFS(Q669=1,"Low",Q669=2,"Medium",Q669=3,"High",TRUE,"Very High")</f>
        <v>Very High</v>
      </c>
    </row>
    <row r="670" spans="1:42" x14ac:dyDescent="0.25">
      <c r="A670">
        <v>28</v>
      </c>
      <c r="B670" t="s">
        <v>42</v>
      </c>
      <c r="C670" t="s">
        <v>90</v>
      </c>
      <c r="D670">
        <v>995</v>
      </c>
      <c r="E670" t="s">
        <v>43</v>
      </c>
      <c r="F670">
        <v>9</v>
      </c>
      <c r="G670">
        <v>3</v>
      </c>
      <c r="H670" t="s">
        <v>49</v>
      </c>
      <c r="I670">
        <v>1</v>
      </c>
      <c r="J670">
        <v>930</v>
      </c>
      <c r="K670">
        <v>3</v>
      </c>
      <c r="L670" t="s">
        <v>38</v>
      </c>
      <c r="M670">
        <v>77</v>
      </c>
      <c r="N670">
        <v>3</v>
      </c>
      <c r="O670">
        <v>1</v>
      </c>
      <c r="P670" t="s">
        <v>45</v>
      </c>
      <c r="Q670">
        <v>3</v>
      </c>
      <c r="R670" t="s">
        <v>50</v>
      </c>
      <c r="S670">
        <v>2377</v>
      </c>
      <c r="T670">
        <v>9834</v>
      </c>
      <c r="U670">
        <v>5</v>
      </c>
      <c r="V670" t="s">
        <v>41</v>
      </c>
      <c r="W670" t="s">
        <v>42</v>
      </c>
      <c r="X670">
        <v>18</v>
      </c>
      <c r="Y670">
        <v>3</v>
      </c>
      <c r="Z670">
        <v>2</v>
      </c>
      <c r="AA670">
        <v>80</v>
      </c>
      <c r="AB670">
        <v>1</v>
      </c>
      <c r="AC670">
        <v>6</v>
      </c>
      <c r="AD670">
        <v>2</v>
      </c>
      <c r="AE670">
        <v>3</v>
      </c>
      <c r="AF670">
        <v>2</v>
      </c>
      <c r="AG670">
        <v>2</v>
      </c>
      <c r="AH670">
        <v>2</v>
      </c>
      <c r="AI670">
        <v>2</v>
      </c>
      <c r="AJ670">
        <f t="shared" si="10"/>
        <v>0</v>
      </c>
      <c r="AK670" t="str" cm="1">
        <f t="array" ref="AK670">_xlfn.IFS(A670&lt;=30,"18-30",A670&lt;=45,"31-45",A670&lt;=60,"46-60",TRUE, "60+")</f>
        <v>18-30</v>
      </c>
      <c r="AL670" t="str" cm="1">
        <f t="array" ref="AL670">_xlfn.IFS(F670&lt;=10,"0-10",F670&lt;=20,"11-20",TRUE,"20+")</f>
        <v>0-10</v>
      </c>
      <c r="AM670" t="str" cm="1">
        <f t="array" ref="AM670">_xlfn.IFS(S670&lt;=5000,"0-5k",S670&lt;=10000,"5k-10k",S670&lt;=15000,"10k-15k",TRUE,"15k+")</f>
        <v>0-5k</v>
      </c>
      <c r="AN670" t="str" cm="1">
        <f t="array" ref="AN670">_xlfn.IFS(AF670&lt;=10,"0-10",AF670&lt;=20,"10-20",AF670&lt;=30,"20-30",TRUE,"30+")</f>
        <v>0-10</v>
      </c>
      <c r="AO670" t="str" cm="1">
        <f t="array" ref="AO670">_xlfn.IFS(Y670=1,"Poor",Y670=2,"Average",Y670=3,"Good",TRUE,"Excellent")</f>
        <v>Good</v>
      </c>
      <c r="AP670" t="str" cm="1">
        <f t="array" ref="AP670">_xlfn.IFS(Q670=1,"Low",Q670=2,"Medium",Q670=3,"High",TRUE,"Very High")</f>
        <v>High</v>
      </c>
    </row>
    <row r="671" spans="1:42" x14ac:dyDescent="0.25">
      <c r="A671">
        <v>39</v>
      </c>
      <c r="B671" t="s">
        <v>35</v>
      </c>
      <c r="C671" t="s">
        <v>90</v>
      </c>
      <c r="D671">
        <v>1122</v>
      </c>
      <c r="E671" t="s">
        <v>43</v>
      </c>
      <c r="F671">
        <v>6</v>
      </c>
      <c r="G671">
        <v>3</v>
      </c>
      <c r="H671" t="s">
        <v>49</v>
      </c>
      <c r="I671">
        <v>1</v>
      </c>
      <c r="J671">
        <v>932</v>
      </c>
      <c r="K671">
        <v>4</v>
      </c>
      <c r="L671" t="s">
        <v>44</v>
      </c>
      <c r="M671">
        <v>70</v>
      </c>
      <c r="N671">
        <v>3</v>
      </c>
      <c r="O671">
        <v>1</v>
      </c>
      <c r="P671" t="s">
        <v>48</v>
      </c>
      <c r="Q671">
        <v>1</v>
      </c>
      <c r="R671" t="s">
        <v>46</v>
      </c>
      <c r="S671">
        <v>2404</v>
      </c>
      <c r="T671">
        <v>4303</v>
      </c>
      <c r="U671">
        <v>7</v>
      </c>
      <c r="V671" t="s">
        <v>41</v>
      </c>
      <c r="W671" t="s">
        <v>35</v>
      </c>
      <c r="X671">
        <v>21</v>
      </c>
      <c r="Y671">
        <v>4</v>
      </c>
      <c r="Z671">
        <v>4</v>
      </c>
      <c r="AA671">
        <v>80</v>
      </c>
      <c r="AB671">
        <v>0</v>
      </c>
      <c r="AC671">
        <v>8</v>
      </c>
      <c r="AD671">
        <v>2</v>
      </c>
      <c r="AE671">
        <v>1</v>
      </c>
      <c r="AF671">
        <v>2</v>
      </c>
      <c r="AG671">
        <v>2</v>
      </c>
      <c r="AH671">
        <v>2</v>
      </c>
      <c r="AI671">
        <v>2</v>
      </c>
      <c r="AJ671">
        <f t="shared" si="10"/>
        <v>1</v>
      </c>
      <c r="AK671" t="str" cm="1">
        <f t="array" ref="AK671">_xlfn.IFS(A671&lt;=30,"18-30",A671&lt;=45,"31-45",A671&lt;=60,"46-60",TRUE, "60+")</f>
        <v>31-45</v>
      </c>
      <c r="AL671" t="str" cm="1">
        <f t="array" ref="AL671">_xlfn.IFS(F671&lt;=10,"0-10",F671&lt;=20,"11-20",TRUE,"20+")</f>
        <v>0-10</v>
      </c>
      <c r="AM671" t="str" cm="1">
        <f t="array" ref="AM671">_xlfn.IFS(S671&lt;=5000,"0-5k",S671&lt;=10000,"5k-10k",S671&lt;=15000,"10k-15k",TRUE,"15k+")</f>
        <v>0-5k</v>
      </c>
      <c r="AN671" t="str" cm="1">
        <f t="array" ref="AN671">_xlfn.IFS(AF671&lt;=10,"0-10",AF671&lt;=20,"10-20",AF671&lt;=30,"20-30",TRUE,"30+")</f>
        <v>0-10</v>
      </c>
      <c r="AO671" t="str" cm="1">
        <f t="array" ref="AO671">_xlfn.IFS(Y671=1,"Poor",Y671=2,"Average",Y671=3,"Good",TRUE,"Excellent")</f>
        <v>Excellent</v>
      </c>
      <c r="AP671" t="str" cm="1">
        <f t="array" ref="AP671">_xlfn.IFS(Q671=1,"Low",Q671=2,"Medium",Q671=3,"High",TRUE,"Very High")</f>
        <v>Low</v>
      </c>
    </row>
    <row r="672" spans="1:42" x14ac:dyDescent="0.25">
      <c r="A672">
        <v>27</v>
      </c>
      <c r="B672" t="s">
        <v>42</v>
      </c>
      <c r="C672" t="s">
        <v>90</v>
      </c>
      <c r="D672">
        <v>618</v>
      </c>
      <c r="E672" t="s">
        <v>43</v>
      </c>
      <c r="F672">
        <v>4</v>
      </c>
      <c r="G672">
        <v>3</v>
      </c>
      <c r="H672" t="s">
        <v>37</v>
      </c>
      <c r="I672">
        <v>1</v>
      </c>
      <c r="J672">
        <v>933</v>
      </c>
      <c r="K672">
        <v>2</v>
      </c>
      <c r="L672" t="s">
        <v>38</v>
      </c>
      <c r="M672">
        <v>76</v>
      </c>
      <c r="N672">
        <v>3</v>
      </c>
      <c r="O672">
        <v>1</v>
      </c>
      <c r="P672" t="s">
        <v>45</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c r="AJ672">
        <f t="shared" si="10"/>
        <v>0</v>
      </c>
      <c r="AK672" t="str" cm="1">
        <f t="array" ref="AK672">_xlfn.IFS(A672&lt;=30,"18-30",A672&lt;=45,"31-45",A672&lt;=60,"46-60",TRUE, "60+")</f>
        <v>18-30</v>
      </c>
      <c r="AL672" t="str" cm="1">
        <f t="array" ref="AL672">_xlfn.IFS(F672&lt;=10,"0-10",F672&lt;=20,"11-20",TRUE,"20+")</f>
        <v>0-10</v>
      </c>
      <c r="AM672" t="str" cm="1">
        <f t="array" ref="AM672">_xlfn.IFS(S672&lt;=5000,"0-5k",S672&lt;=10000,"5k-10k",S672&lt;=15000,"10k-15k",TRUE,"15k+")</f>
        <v>0-5k</v>
      </c>
      <c r="AN672" t="str" cm="1">
        <f t="array" ref="AN672">_xlfn.IFS(AF672&lt;=10,"0-10",AF672&lt;=20,"10-20",AF672&lt;=30,"20-30",TRUE,"30+")</f>
        <v>0-10</v>
      </c>
      <c r="AO672" t="str" cm="1">
        <f t="array" ref="AO672">_xlfn.IFS(Y672=1,"Poor",Y672=2,"Average",Y672=3,"Good",TRUE,"Excellent")</f>
        <v>Good</v>
      </c>
      <c r="AP672" t="str" cm="1">
        <f t="array" ref="AP672">_xlfn.IFS(Q672=1,"Low",Q672=2,"Medium",Q672=3,"High",TRUE,"Very High")</f>
        <v>High</v>
      </c>
    </row>
    <row r="673" spans="1:42" x14ac:dyDescent="0.25">
      <c r="A673">
        <v>34</v>
      </c>
      <c r="B673" t="s">
        <v>42</v>
      </c>
      <c r="C673" t="s">
        <v>90</v>
      </c>
      <c r="D673">
        <v>546</v>
      </c>
      <c r="E673" t="s">
        <v>43</v>
      </c>
      <c r="F673">
        <v>10</v>
      </c>
      <c r="G673">
        <v>3</v>
      </c>
      <c r="H673" t="s">
        <v>37</v>
      </c>
      <c r="I673">
        <v>1</v>
      </c>
      <c r="J673">
        <v>934</v>
      </c>
      <c r="K673">
        <v>2</v>
      </c>
      <c r="L673" t="s">
        <v>44</v>
      </c>
      <c r="M673">
        <v>83</v>
      </c>
      <c r="N673">
        <v>3</v>
      </c>
      <c r="O673">
        <v>1</v>
      </c>
      <c r="P673" t="s">
        <v>48</v>
      </c>
      <c r="Q673">
        <v>2</v>
      </c>
      <c r="R673" t="s">
        <v>50</v>
      </c>
      <c r="S673">
        <v>2008</v>
      </c>
      <c r="T673">
        <v>6896</v>
      </c>
      <c r="U673">
        <v>1</v>
      </c>
      <c r="V673" t="s">
        <v>41</v>
      </c>
      <c r="W673" t="s">
        <v>42</v>
      </c>
      <c r="X673">
        <v>14</v>
      </c>
      <c r="Y673">
        <v>3</v>
      </c>
      <c r="Z673">
        <v>2</v>
      </c>
      <c r="AA673">
        <v>80</v>
      </c>
      <c r="AB673">
        <v>2</v>
      </c>
      <c r="AC673">
        <v>1</v>
      </c>
      <c r="AD673">
        <v>3</v>
      </c>
      <c r="AE673">
        <v>3</v>
      </c>
      <c r="AF673">
        <v>1</v>
      </c>
      <c r="AG673">
        <v>0</v>
      </c>
      <c r="AH673">
        <v>1</v>
      </c>
      <c r="AI673">
        <v>0</v>
      </c>
      <c r="AJ673">
        <f t="shared" si="10"/>
        <v>0</v>
      </c>
      <c r="AK673" t="str" cm="1">
        <f t="array" ref="AK673">_xlfn.IFS(A673&lt;=30,"18-30",A673&lt;=45,"31-45",A673&lt;=60,"46-60",TRUE, "60+")</f>
        <v>31-45</v>
      </c>
      <c r="AL673" t="str" cm="1">
        <f t="array" ref="AL673">_xlfn.IFS(F673&lt;=10,"0-10",F673&lt;=20,"11-20",TRUE,"20+")</f>
        <v>0-10</v>
      </c>
      <c r="AM673" t="str" cm="1">
        <f t="array" ref="AM673">_xlfn.IFS(S673&lt;=5000,"0-5k",S673&lt;=10000,"5k-10k",S673&lt;=15000,"10k-15k",TRUE,"15k+")</f>
        <v>0-5k</v>
      </c>
      <c r="AN673" t="str" cm="1">
        <f t="array" ref="AN673">_xlfn.IFS(AF673&lt;=10,"0-10",AF673&lt;=20,"10-20",AF673&lt;=30,"20-30",TRUE,"30+")</f>
        <v>0-10</v>
      </c>
      <c r="AO673" t="str" cm="1">
        <f t="array" ref="AO673">_xlfn.IFS(Y673=1,"Poor",Y673=2,"Average",Y673=3,"Good",TRUE,"Excellent")</f>
        <v>Good</v>
      </c>
      <c r="AP673" t="str" cm="1">
        <f t="array" ref="AP673">_xlfn.IFS(Q673=1,"Low",Q673=2,"Medium",Q673=3,"High",TRUE,"Very High")</f>
        <v>Medium</v>
      </c>
    </row>
    <row r="674" spans="1:42" x14ac:dyDescent="0.25">
      <c r="A674">
        <v>42</v>
      </c>
      <c r="B674" t="s">
        <v>42</v>
      </c>
      <c r="C674" t="s">
        <v>90</v>
      </c>
      <c r="D674">
        <v>462</v>
      </c>
      <c r="E674" t="s">
        <v>36</v>
      </c>
      <c r="F674">
        <v>14</v>
      </c>
      <c r="G674">
        <v>2</v>
      </c>
      <c r="H674" t="s">
        <v>49</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c r="AJ674">
        <f t="shared" si="10"/>
        <v>0</v>
      </c>
      <c r="AK674" t="str" cm="1">
        <f t="array" ref="AK674">_xlfn.IFS(A674&lt;=30,"18-30",A674&lt;=45,"31-45",A674&lt;=60,"46-60",TRUE, "60+")</f>
        <v>31-45</v>
      </c>
      <c r="AL674" t="str" cm="1">
        <f t="array" ref="AL674">_xlfn.IFS(F674&lt;=10,"0-10",F674&lt;=20,"11-20",TRUE,"20+")</f>
        <v>11-20</v>
      </c>
      <c r="AM674" t="str" cm="1">
        <f t="array" ref="AM674">_xlfn.IFS(S674&lt;=5000,"0-5k",S674&lt;=10000,"5k-10k",S674&lt;=15000,"10k-15k",TRUE,"15k+")</f>
        <v>5k-10k</v>
      </c>
      <c r="AN674" t="str" cm="1">
        <f t="array" ref="AN674">_xlfn.IFS(AF674&lt;=10,"0-10",AF674&lt;=20,"10-20",AF674&lt;=30,"20-30",TRUE,"30+")</f>
        <v>0-10</v>
      </c>
      <c r="AO674" t="str" cm="1">
        <f t="array" ref="AO674">_xlfn.IFS(Y674=1,"Poor",Y674=2,"Average",Y674=3,"Good",TRUE,"Excellent")</f>
        <v>Good</v>
      </c>
      <c r="AP674" t="str" cm="1">
        <f t="array" ref="AP674">_xlfn.IFS(Q674=1,"Low",Q674=2,"Medium",Q674=3,"High",TRUE,"Very High")</f>
        <v>High</v>
      </c>
    </row>
    <row r="675" spans="1:42" x14ac:dyDescent="0.25">
      <c r="A675">
        <v>33</v>
      </c>
      <c r="B675" t="s">
        <v>42</v>
      </c>
      <c r="C675" t="s">
        <v>90</v>
      </c>
      <c r="D675">
        <v>1198</v>
      </c>
      <c r="E675" t="s">
        <v>43</v>
      </c>
      <c r="F675">
        <v>1</v>
      </c>
      <c r="G675">
        <v>4</v>
      </c>
      <c r="H675" t="s">
        <v>47</v>
      </c>
      <c r="I675">
        <v>1</v>
      </c>
      <c r="J675">
        <v>939</v>
      </c>
      <c r="K675">
        <v>3</v>
      </c>
      <c r="L675" t="s">
        <v>44</v>
      </c>
      <c r="M675">
        <v>100</v>
      </c>
      <c r="N675">
        <v>2</v>
      </c>
      <c r="O675">
        <v>1</v>
      </c>
      <c r="P675" t="s">
        <v>45</v>
      </c>
      <c r="Q675">
        <v>1</v>
      </c>
      <c r="R675" t="s">
        <v>40</v>
      </c>
      <c r="S675">
        <v>2799</v>
      </c>
      <c r="T675">
        <v>3339</v>
      </c>
      <c r="U675">
        <v>3</v>
      </c>
      <c r="V675" t="s">
        <v>41</v>
      </c>
      <c r="W675" t="s">
        <v>35</v>
      </c>
      <c r="X675">
        <v>11</v>
      </c>
      <c r="Y675">
        <v>3</v>
      </c>
      <c r="Z675">
        <v>2</v>
      </c>
      <c r="AA675">
        <v>80</v>
      </c>
      <c r="AB675">
        <v>0</v>
      </c>
      <c r="AC675">
        <v>6</v>
      </c>
      <c r="AD675">
        <v>1</v>
      </c>
      <c r="AE675">
        <v>3</v>
      </c>
      <c r="AF675">
        <v>3</v>
      </c>
      <c r="AG675">
        <v>2</v>
      </c>
      <c r="AH675">
        <v>0</v>
      </c>
      <c r="AI675">
        <v>2</v>
      </c>
      <c r="AJ675">
        <f t="shared" si="10"/>
        <v>0</v>
      </c>
      <c r="AK675" t="str" cm="1">
        <f t="array" ref="AK675">_xlfn.IFS(A675&lt;=30,"18-30",A675&lt;=45,"31-45",A675&lt;=60,"46-60",TRUE, "60+")</f>
        <v>31-45</v>
      </c>
      <c r="AL675" t="str" cm="1">
        <f t="array" ref="AL675">_xlfn.IFS(F675&lt;=10,"0-10",F675&lt;=20,"11-20",TRUE,"20+")</f>
        <v>0-10</v>
      </c>
      <c r="AM675" t="str" cm="1">
        <f t="array" ref="AM675">_xlfn.IFS(S675&lt;=5000,"0-5k",S675&lt;=10000,"5k-10k",S675&lt;=15000,"10k-15k",TRUE,"15k+")</f>
        <v>0-5k</v>
      </c>
      <c r="AN675" t="str" cm="1">
        <f t="array" ref="AN675">_xlfn.IFS(AF675&lt;=10,"0-10",AF675&lt;=20,"10-20",AF675&lt;=30,"20-30",TRUE,"30+")</f>
        <v>0-10</v>
      </c>
      <c r="AO675" t="str" cm="1">
        <f t="array" ref="AO675">_xlfn.IFS(Y675=1,"Poor",Y675=2,"Average",Y675=3,"Good",TRUE,"Excellent")</f>
        <v>Good</v>
      </c>
      <c r="AP675" t="str" cm="1">
        <f t="array" ref="AP675">_xlfn.IFS(Q675=1,"Low",Q675=2,"Medium",Q675=3,"High",TRUE,"Very High")</f>
        <v>Low</v>
      </c>
    </row>
    <row r="676" spans="1:42" x14ac:dyDescent="0.25">
      <c r="A676">
        <v>58</v>
      </c>
      <c r="B676" t="s">
        <v>42</v>
      </c>
      <c r="C676" t="s">
        <v>90</v>
      </c>
      <c r="D676">
        <v>1272</v>
      </c>
      <c r="E676" t="s">
        <v>43</v>
      </c>
      <c r="F676">
        <v>5</v>
      </c>
      <c r="G676">
        <v>3</v>
      </c>
      <c r="H676" t="s">
        <v>58</v>
      </c>
      <c r="I676">
        <v>1</v>
      </c>
      <c r="J676">
        <v>940</v>
      </c>
      <c r="K676">
        <v>3</v>
      </c>
      <c r="L676" t="s">
        <v>38</v>
      </c>
      <c r="M676">
        <v>37</v>
      </c>
      <c r="N676">
        <v>2</v>
      </c>
      <c r="O676">
        <v>3</v>
      </c>
      <c r="P676" t="s">
        <v>52</v>
      </c>
      <c r="Q676">
        <v>2</v>
      </c>
      <c r="R676" t="s">
        <v>50</v>
      </c>
      <c r="S676">
        <v>10552</v>
      </c>
      <c r="T676">
        <v>9255</v>
      </c>
      <c r="U676">
        <v>2</v>
      </c>
      <c r="V676" t="s">
        <v>41</v>
      </c>
      <c r="W676" t="s">
        <v>35</v>
      </c>
      <c r="X676">
        <v>13</v>
      </c>
      <c r="Y676">
        <v>3</v>
      </c>
      <c r="Z676">
        <v>4</v>
      </c>
      <c r="AA676">
        <v>80</v>
      </c>
      <c r="AB676">
        <v>1</v>
      </c>
      <c r="AC676">
        <v>24</v>
      </c>
      <c r="AD676">
        <v>3</v>
      </c>
      <c r="AE676">
        <v>3</v>
      </c>
      <c r="AF676">
        <v>6</v>
      </c>
      <c r="AG676">
        <v>0</v>
      </c>
      <c r="AH676">
        <v>0</v>
      </c>
      <c r="AI676">
        <v>4</v>
      </c>
      <c r="AJ676">
        <f t="shared" si="10"/>
        <v>0</v>
      </c>
      <c r="AK676" t="str" cm="1">
        <f t="array" ref="AK676">_xlfn.IFS(A676&lt;=30,"18-30",A676&lt;=45,"31-45",A676&lt;=60,"46-60",TRUE, "60+")</f>
        <v>46-60</v>
      </c>
      <c r="AL676" t="str" cm="1">
        <f t="array" ref="AL676">_xlfn.IFS(F676&lt;=10,"0-10",F676&lt;=20,"11-20",TRUE,"20+")</f>
        <v>0-10</v>
      </c>
      <c r="AM676" t="str" cm="1">
        <f t="array" ref="AM676">_xlfn.IFS(S676&lt;=5000,"0-5k",S676&lt;=10000,"5k-10k",S676&lt;=15000,"10k-15k",TRUE,"15k+")</f>
        <v>10k-15k</v>
      </c>
      <c r="AN676" t="str" cm="1">
        <f t="array" ref="AN676">_xlfn.IFS(AF676&lt;=10,"0-10",AF676&lt;=20,"10-20",AF676&lt;=30,"20-30",TRUE,"30+")</f>
        <v>0-10</v>
      </c>
      <c r="AO676" t="str" cm="1">
        <f t="array" ref="AO676">_xlfn.IFS(Y676=1,"Poor",Y676=2,"Average",Y676=3,"Good",TRUE,"Excellent")</f>
        <v>Good</v>
      </c>
      <c r="AP676" t="str" cm="1">
        <f t="array" ref="AP676">_xlfn.IFS(Q676=1,"Low",Q676=2,"Medium",Q676=3,"High",TRUE,"Very High")</f>
        <v>Medium</v>
      </c>
    </row>
    <row r="677" spans="1:42" x14ac:dyDescent="0.25">
      <c r="A677">
        <v>31</v>
      </c>
      <c r="B677" t="s">
        <v>42</v>
      </c>
      <c r="C677" t="s">
        <v>90</v>
      </c>
      <c r="D677">
        <v>154</v>
      </c>
      <c r="E677" t="s">
        <v>36</v>
      </c>
      <c r="F677">
        <v>7</v>
      </c>
      <c r="G677">
        <v>4</v>
      </c>
      <c r="H677" t="s">
        <v>37</v>
      </c>
      <c r="I677">
        <v>1</v>
      </c>
      <c r="J677">
        <v>941</v>
      </c>
      <c r="K677">
        <v>2</v>
      </c>
      <c r="L677" t="s">
        <v>44</v>
      </c>
      <c r="M677">
        <v>41</v>
      </c>
      <c r="N677">
        <v>2</v>
      </c>
      <c r="O677">
        <v>1</v>
      </c>
      <c r="P677" t="s">
        <v>55</v>
      </c>
      <c r="Q677">
        <v>3</v>
      </c>
      <c r="R677" t="s">
        <v>46</v>
      </c>
      <c r="S677">
        <v>2329</v>
      </c>
      <c r="T677">
        <v>11737</v>
      </c>
      <c r="U677">
        <v>3</v>
      </c>
      <c r="V677" t="s">
        <v>41</v>
      </c>
      <c r="W677" t="s">
        <v>42</v>
      </c>
      <c r="X677">
        <v>15</v>
      </c>
      <c r="Y677">
        <v>3</v>
      </c>
      <c r="Z677">
        <v>2</v>
      </c>
      <c r="AA677">
        <v>80</v>
      </c>
      <c r="AB677">
        <v>0</v>
      </c>
      <c r="AC677">
        <v>13</v>
      </c>
      <c r="AD677">
        <v>2</v>
      </c>
      <c r="AE677">
        <v>4</v>
      </c>
      <c r="AF677">
        <v>7</v>
      </c>
      <c r="AG677">
        <v>7</v>
      </c>
      <c r="AH677">
        <v>5</v>
      </c>
      <c r="AI677">
        <v>2</v>
      </c>
      <c r="AJ677">
        <f t="shared" si="10"/>
        <v>0</v>
      </c>
      <c r="AK677" t="str" cm="1">
        <f t="array" ref="AK677">_xlfn.IFS(A677&lt;=30,"18-30",A677&lt;=45,"31-45",A677&lt;=60,"46-60",TRUE, "60+")</f>
        <v>31-45</v>
      </c>
      <c r="AL677" t="str" cm="1">
        <f t="array" ref="AL677">_xlfn.IFS(F677&lt;=10,"0-10",F677&lt;=20,"11-20",TRUE,"20+")</f>
        <v>0-10</v>
      </c>
      <c r="AM677" t="str" cm="1">
        <f t="array" ref="AM677">_xlfn.IFS(S677&lt;=5000,"0-5k",S677&lt;=10000,"5k-10k",S677&lt;=15000,"10k-15k",TRUE,"15k+")</f>
        <v>0-5k</v>
      </c>
      <c r="AN677" t="str" cm="1">
        <f t="array" ref="AN677">_xlfn.IFS(AF677&lt;=10,"0-10",AF677&lt;=20,"10-20",AF677&lt;=30,"20-30",TRUE,"30+")</f>
        <v>0-10</v>
      </c>
      <c r="AO677" t="str" cm="1">
        <f t="array" ref="AO677">_xlfn.IFS(Y677=1,"Poor",Y677=2,"Average",Y677=3,"Good",TRUE,"Excellent")</f>
        <v>Good</v>
      </c>
      <c r="AP677" t="str" cm="1">
        <f t="array" ref="AP677">_xlfn.IFS(Q677=1,"Low",Q677=2,"Medium",Q677=3,"High",TRUE,"Very High")</f>
        <v>High</v>
      </c>
    </row>
    <row r="678" spans="1:42" x14ac:dyDescent="0.25">
      <c r="A678">
        <v>35</v>
      </c>
      <c r="B678" t="s">
        <v>42</v>
      </c>
      <c r="C678" t="s">
        <v>90</v>
      </c>
      <c r="D678">
        <v>1137</v>
      </c>
      <c r="E678" t="s">
        <v>43</v>
      </c>
      <c r="F678">
        <v>21</v>
      </c>
      <c r="G678">
        <v>1</v>
      </c>
      <c r="H678" t="s">
        <v>37</v>
      </c>
      <c r="I678">
        <v>1</v>
      </c>
      <c r="J678">
        <v>942</v>
      </c>
      <c r="K678">
        <v>4</v>
      </c>
      <c r="L678" t="s">
        <v>38</v>
      </c>
      <c r="M678">
        <v>51</v>
      </c>
      <c r="N678">
        <v>3</v>
      </c>
      <c r="O678">
        <v>2</v>
      </c>
      <c r="P678" t="s">
        <v>52</v>
      </c>
      <c r="Q678">
        <v>4</v>
      </c>
      <c r="R678" t="s">
        <v>46</v>
      </c>
      <c r="S678">
        <v>4014</v>
      </c>
      <c r="T678">
        <v>19170</v>
      </c>
      <c r="U678">
        <v>1</v>
      </c>
      <c r="V678" t="s">
        <v>41</v>
      </c>
      <c r="W678" t="s">
        <v>35</v>
      </c>
      <c r="X678">
        <v>25</v>
      </c>
      <c r="Y678">
        <v>4</v>
      </c>
      <c r="Z678">
        <v>4</v>
      </c>
      <c r="AA678">
        <v>80</v>
      </c>
      <c r="AB678">
        <v>1</v>
      </c>
      <c r="AC678">
        <v>10</v>
      </c>
      <c r="AD678">
        <v>2</v>
      </c>
      <c r="AE678">
        <v>1</v>
      </c>
      <c r="AF678">
        <v>10</v>
      </c>
      <c r="AG678">
        <v>6</v>
      </c>
      <c r="AH678">
        <v>0</v>
      </c>
      <c r="AI678">
        <v>7</v>
      </c>
      <c r="AJ678">
        <f t="shared" si="10"/>
        <v>0</v>
      </c>
      <c r="AK678" t="str" cm="1">
        <f t="array" ref="AK678">_xlfn.IFS(A678&lt;=30,"18-30",A678&lt;=45,"31-45",A678&lt;=60,"46-60",TRUE, "60+")</f>
        <v>31-45</v>
      </c>
      <c r="AL678" t="str" cm="1">
        <f t="array" ref="AL678">_xlfn.IFS(F678&lt;=10,"0-10",F678&lt;=20,"11-20",TRUE,"20+")</f>
        <v>20+</v>
      </c>
      <c r="AM678" t="str" cm="1">
        <f t="array" ref="AM678">_xlfn.IFS(S678&lt;=5000,"0-5k",S678&lt;=10000,"5k-10k",S678&lt;=15000,"10k-15k",TRUE,"15k+")</f>
        <v>0-5k</v>
      </c>
      <c r="AN678" t="str" cm="1">
        <f t="array" ref="AN678">_xlfn.IFS(AF678&lt;=10,"0-10",AF678&lt;=20,"10-20",AF678&lt;=30,"20-30",TRUE,"30+")</f>
        <v>0-10</v>
      </c>
      <c r="AO678" t="str" cm="1">
        <f t="array" ref="AO678">_xlfn.IFS(Y678=1,"Poor",Y678=2,"Average",Y678=3,"Good",TRUE,"Excellent")</f>
        <v>Excellent</v>
      </c>
      <c r="AP678" t="str" cm="1">
        <f t="array" ref="AP678">_xlfn.IFS(Q678=1,"Low",Q678=2,"Medium",Q678=3,"High",TRUE,"Very High")</f>
        <v>Very High</v>
      </c>
    </row>
    <row r="679" spans="1:42" x14ac:dyDescent="0.25">
      <c r="A679">
        <v>49</v>
      </c>
      <c r="B679" t="s">
        <v>42</v>
      </c>
      <c r="C679" t="s">
        <v>90</v>
      </c>
      <c r="D679">
        <v>527</v>
      </c>
      <c r="E679" t="s">
        <v>43</v>
      </c>
      <c r="F679">
        <v>8</v>
      </c>
      <c r="G679">
        <v>2</v>
      </c>
      <c r="H679" t="s">
        <v>47</v>
      </c>
      <c r="I679">
        <v>1</v>
      </c>
      <c r="J679">
        <v>944</v>
      </c>
      <c r="K679">
        <v>1</v>
      </c>
      <c r="L679" t="s">
        <v>38</v>
      </c>
      <c r="M679">
        <v>51</v>
      </c>
      <c r="N679">
        <v>3</v>
      </c>
      <c r="O679">
        <v>3</v>
      </c>
      <c r="P679" t="s">
        <v>48</v>
      </c>
      <c r="Q679">
        <v>2</v>
      </c>
      <c r="R679" t="s">
        <v>46</v>
      </c>
      <c r="S679">
        <v>7403</v>
      </c>
      <c r="T679">
        <v>22477</v>
      </c>
      <c r="U679">
        <v>4</v>
      </c>
      <c r="V679" t="s">
        <v>41</v>
      </c>
      <c r="W679" t="s">
        <v>42</v>
      </c>
      <c r="X679">
        <v>11</v>
      </c>
      <c r="Y679">
        <v>3</v>
      </c>
      <c r="Z679">
        <v>3</v>
      </c>
      <c r="AA679">
        <v>80</v>
      </c>
      <c r="AB679">
        <v>1</v>
      </c>
      <c r="AC679">
        <v>29</v>
      </c>
      <c r="AD679">
        <v>3</v>
      </c>
      <c r="AE679">
        <v>2</v>
      </c>
      <c r="AF679">
        <v>26</v>
      </c>
      <c r="AG679">
        <v>9</v>
      </c>
      <c r="AH679">
        <v>1</v>
      </c>
      <c r="AI679">
        <v>7</v>
      </c>
      <c r="AJ679">
        <f t="shared" si="10"/>
        <v>0</v>
      </c>
      <c r="AK679" t="str" cm="1">
        <f t="array" ref="AK679">_xlfn.IFS(A679&lt;=30,"18-30",A679&lt;=45,"31-45",A679&lt;=60,"46-60",TRUE, "60+")</f>
        <v>46-60</v>
      </c>
      <c r="AL679" t="str" cm="1">
        <f t="array" ref="AL679">_xlfn.IFS(F679&lt;=10,"0-10",F679&lt;=20,"11-20",TRUE,"20+")</f>
        <v>0-10</v>
      </c>
      <c r="AM679" t="str" cm="1">
        <f t="array" ref="AM679">_xlfn.IFS(S679&lt;=5000,"0-5k",S679&lt;=10000,"5k-10k",S679&lt;=15000,"10k-15k",TRUE,"15k+")</f>
        <v>5k-10k</v>
      </c>
      <c r="AN679" t="str" cm="1">
        <f t="array" ref="AN679">_xlfn.IFS(AF679&lt;=10,"0-10",AF679&lt;=20,"10-20",AF679&lt;=30,"20-30",TRUE,"30+")</f>
        <v>20-30</v>
      </c>
      <c r="AO679" t="str" cm="1">
        <f t="array" ref="AO679">_xlfn.IFS(Y679=1,"Poor",Y679=2,"Average",Y679=3,"Good",TRUE,"Excellent")</f>
        <v>Good</v>
      </c>
      <c r="AP679" t="str" cm="1">
        <f t="array" ref="AP679">_xlfn.IFS(Q679=1,"Low",Q679=2,"Medium",Q679=3,"High",TRUE,"Very High")</f>
        <v>Medium</v>
      </c>
    </row>
    <row r="680" spans="1:42" x14ac:dyDescent="0.25">
      <c r="A680">
        <v>48</v>
      </c>
      <c r="B680" t="s">
        <v>42</v>
      </c>
      <c r="C680" t="s">
        <v>90</v>
      </c>
      <c r="D680">
        <v>1469</v>
      </c>
      <c r="E680" t="s">
        <v>43</v>
      </c>
      <c r="F680">
        <v>20</v>
      </c>
      <c r="G680">
        <v>4</v>
      </c>
      <c r="H680" t="s">
        <v>49</v>
      </c>
      <c r="I680">
        <v>1</v>
      </c>
      <c r="J680">
        <v>945</v>
      </c>
      <c r="K680">
        <v>4</v>
      </c>
      <c r="L680" t="s">
        <v>44</v>
      </c>
      <c r="M680">
        <v>51</v>
      </c>
      <c r="N680">
        <v>3</v>
      </c>
      <c r="O680">
        <v>1</v>
      </c>
      <c r="P680" t="s">
        <v>45</v>
      </c>
      <c r="Q680">
        <v>3</v>
      </c>
      <c r="R680" t="s">
        <v>46</v>
      </c>
      <c r="S680">
        <v>2259</v>
      </c>
      <c r="T680">
        <v>5543</v>
      </c>
      <c r="U680">
        <v>4</v>
      </c>
      <c r="V680" t="s">
        <v>41</v>
      </c>
      <c r="W680" t="s">
        <v>42</v>
      </c>
      <c r="X680">
        <v>17</v>
      </c>
      <c r="Y680">
        <v>3</v>
      </c>
      <c r="Z680">
        <v>1</v>
      </c>
      <c r="AA680">
        <v>80</v>
      </c>
      <c r="AB680">
        <v>2</v>
      </c>
      <c r="AC680">
        <v>13</v>
      </c>
      <c r="AD680">
        <v>2</v>
      </c>
      <c r="AE680">
        <v>2</v>
      </c>
      <c r="AF680">
        <v>0</v>
      </c>
      <c r="AG680">
        <v>0</v>
      </c>
      <c r="AH680">
        <v>0</v>
      </c>
      <c r="AI680">
        <v>0</v>
      </c>
      <c r="AJ680">
        <f t="shared" si="10"/>
        <v>0</v>
      </c>
      <c r="AK680" t="str" cm="1">
        <f t="array" ref="AK680">_xlfn.IFS(A680&lt;=30,"18-30",A680&lt;=45,"31-45",A680&lt;=60,"46-60",TRUE, "60+")</f>
        <v>46-60</v>
      </c>
      <c r="AL680" t="str" cm="1">
        <f t="array" ref="AL680">_xlfn.IFS(F680&lt;=10,"0-10",F680&lt;=20,"11-20",TRUE,"20+")</f>
        <v>11-20</v>
      </c>
      <c r="AM680" t="str" cm="1">
        <f t="array" ref="AM680">_xlfn.IFS(S680&lt;=5000,"0-5k",S680&lt;=10000,"5k-10k",S680&lt;=15000,"10k-15k",TRUE,"15k+")</f>
        <v>0-5k</v>
      </c>
      <c r="AN680" t="str" cm="1">
        <f t="array" ref="AN680">_xlfn.IFS(AF680&lt;=10,"0-10",AF680&lt;=20,"10-20",AF680&lt;=30,"20-30",TRUE,"30+")</f>
        <v>0-10</v>
      </c>
      <c r="AO680" t="str" cm="1">
        <f t="array" ref="AO680">_xlfn.IFS(Y680=1,"Poor",Y680=2,"Average",Y680=3,"Good",TRUE,"Excellent")</f>
        <v>Good</v>
      </c>
      <c r="AP680" t="str" cm="1">
        <f t="array" ref="AP680">_xlfn.IFS(Q680=1,"Low",Q680=2,"Medium",Q680=3,"High",TRUE,"Very High")</f>
        <v>High</v>
      </c>
    </row>
    <row r="681" spans="1:42" x14ac:dyDescent="0.25">
      <c r="A681">
        <v>31</v>
      </c>
      <c r="B681" t="s">
        <v>42</v>
      </c>
      <c r="C681" t="s">
        <v>53</v>
      </c>
      <c r="D681">
        <v>1188</v>
      </c>
      <c r="E681" t="s">
        <v>36</v>
      </c>
      <c r="F681">
        <v>20</v>
      </c>
      <c r="G681">
        <v>2</v>
      </c>
      <c r="H681" t="s">
        <v>57</v>
      </c>
      <c r="I681">
        <v>1</v>
      </c>
      <c r="J681">
        <v>947</v>
      </c>
      <c r="K681">
        <v>4</v>
      </c>
      <c r="L681" t="s">
        <v>38</v>
      </c>
      <c r="M681">
        <v>45</v>
      </c>
      <c r="N681">
        <v>3</v>
      </c>
      <c r="O681">
        <v>2</v>
      </c>
      <c r="P681" t="s">
        <v>39</v>
      </c>
      <c r="Q681">
        <v>3</v>
      </c>
      <c r="R681" t="s">
        <v>46</v>
      </c>
      <c r="S681">
        <v>6932</v>
      </c>
      <c r="T681">
        <v>24406</v>
      </c>
      <c r="U681">
        <v>1</v>
      </c>
      <c r="V681" t="s">
        <v>41</v>
      </c>
      <c r="W681" t="s">
        <v>42</v>
      </c>
      <c r="X681">
        <v>13</v>
      </c>
      <c r="Y681">
        <v>3</v>
      </c>
      <c r="Z681">
        <v>4</v>
      </c>
      <c r="AA681">
        <v>80</v>
      </c>
      <c r="AB681">
        <v>1</v>
      </c>
      <c r="AC681">
        <v>9</v>
      </c>
      <c r="AD681">
        <v>2</v>
      </c>
      <c r="AE681">
        <v>2</v>
      </c>
      <c r="AF681">
        <v>9</v>
      </c>
      <c r="AG681">
        <v>8</v>
      </c>
      <c r="AH681">
        <v>0</v>
      </c>
      <c r="AI681">
        <v>0</v>
      </c>
      <c r="AJ681">
        <f t="shared" si="10"/>
        <v>0</v>
      </c>
      <c r="AK681" t="str" cm="1">
        <f t="array" ref="AK681">_xlfn.IFS(A681&lt;=30,"18-30",A681&lt;=45,"31-45",A681&lt;=60,"46-60",TRUE, "60+")</f>
        <v>31-45</v>
      </c>
      <c r="AL681" t="str" cm="1">
        <f t="array" ref="AL681">_xlfn.IFS(F681&lt;=10,"0-10",F681&lt;=20,"11-20",TRUE,"20+")</f>
        <v>11-20</v>
      </c>
      <c r="AM681" t="str" cm="1">
        <f t="array" ref="AM681">_xlfn.IFS(S681&lt;=5000,"0-5k",S681&lt;=10000,"5k-10k",S681&lt;=15000,"10k-15k",TRUE,"15k+")</f>
        <v>5k-10k</v>
      </c>
      <c r="AN681" t="str" cm="1">
        <f t="array" ref="AN681">_xlfn.IFS(AF681&lt;=10,"0-10",AF681&lt;=20,"10-20",AF681&lt;=30,"20-30",TRUE,"30+")</f>
        <v>0-10</v>
      </c>
      <c r="AO681" t="str" cm="1">
        <f t="array" ref="AO681">_xlfn.IFS(Y681=1,"Poor",Y681=2,"Average",Y681=3,"Good",TRUE,"Excellent")</f>
        <v>Good</v>
      </c>
      <c r="AP681" t="str" cm="1">
        <f t="array" ref="AP681">_xlfn.IFS(Q681=1,"Low",Q681=2,"Medium",Q681=3,"High",TRUE,"Very High")</f>
        <v>High</v>
      </c>
    </row>
    <row r="682" spans="1:42" x14ac:dyDescent="0.25">
      <c r="A682">
        <v>36</v>
      </c>
      <c r="B682" t="s">
        <v>42</v>
      </c>
      <c r="C682" t="s">
        <v>90</v>
      </c>
      <c r="D682">
        <v>188</v>
      </c>
      <c r="E682" t="s">
        <v>43</v>
      </c>
      <c r="F682">
        <v>7</v>
      </c>
      <c r="G682">
        <v>4</v>
      </c>
      <c r="H682" t="s">
        <v>47</v>
      </c>
      <c r="I682">
        <v>1</v>
      </c>
      <c r="J682">
        <v>949</v>
      </c>
      <c r="K682">
        <v>2</v>
      </c>
      <c r="L682" t="s">
        <v>44</v>
      </c>
      <c r="M682">
        <v>65</v>
      </c>
      <c r="N682">
        <v>3</v>
      </c>
      <c r="O682">
        <v>1</v>
      </c>
      <c r="P682" t="s">
        <v>45</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c r="AJ682">
        <f t="shared" si="10"/>
        <v>0</v>
      </c>
      <c r="AK682" t="str" cm="1">
        <f t="array" ref="AK682">_xlfn.IFS(A682&lt;=30,"18-30",A682&lt;=45,"31-45",A682&lt;=60,"46-60",TRUE, "60+")</f>
        <v>31-45</v>
      </c>
      <c r="AL682" t="str" cm="1">
        <f t="array" ref="AL682">_xlfn.IFS(F682&lt;=10,"0-10",F682&lt;=20,"11-20",TRUE,"20+")</f>
        <v>0-10</v>
      </c>
      <c r="AM682" t="str" cm="1">
        <f t="array" ref="AM682">_xlfn.IFS(S682&lt;=5000,"0-5k",S682&lt;=10000,"5k-10k",S682&lt;=15000,"10k-15k",TRUE,"15k+")</f>
        <v>0-5k</v>
      </c>
      <c r="AN682" t="str" cm="1">
        <f t="array" ref="AN682">_xlfn.IFS(AF682&lt;=10,"0-10",AF682&lt;=20,"10-20",AF682&lt;=30,"20-30",TRUE,"30+")</f>
        <v>0-10</v>
      </c>
      <c r="AO682" t="str" cm="1">
        <f t="array" ref="AO682">_xlfn.IFS(Y682=1,"Poor",Y682=2,"Average",Y682=3,"Good",TRUE,"Excellent")</f>
        <v>Good</v>
      </c>
      <c r="AP682" t="str" cm="1">
        <f t="array" ref="AP682">_xlfn.IFS(Q682=1,"Low",Q682=2,"Medium",Q682=3,"High",TRUE,"Very High")</f>
        <v>Very High</v>
      </c>
    </row>
    <row r="683" spans="1:42" x14ac:dyDescent="0.25">
      <c r="A683">
        <v>38</v>
      </c>
      <c r="B683" t="s">
        <v>42</v>
      </c>
      <c r="C683" t="s">
        <v>90</v>
      </c>
      <c r="D683">
        <v>1333</v>
      </c>
      <c r="E683" t="s">
        <v>43</v>
      </c>
      <c r="F683">
        <v>1</v>
      </c>
      <c r="G683">
        <v>3</v>
      </c>
      <c r="H683" t="s">
        <v>58</v>
      </c>
      <c r="I683">
        <v>1</v>
      </c>
      <c r="J683">
        <v>950</v>
      </c>
      <c r="K683">
        <v>4</v>
      </c>
      <c r="L683" t="s">
        <v>38</v>
      </c>
      <c r="M683">
        <v>80</v>
      </c>
      <c r="N683">
        <v>3</v>
      </c>
      <c r="O683">
        <v>3</v>
      </c>
      <c r="P683" t="s">
        <v>56</v>
      </c>
      <c r="Q683">
        <v>1</v>
      </c>
      <c r="R683" t="s">
        <v>46</v>
      </c>
      <c r="S683">
        <v>13582</v>
      </c>
      <c r="T683">
        <v>16292</v>
      </c>
      <c r="U683">
        <v>1</v>
      </c>
      <c r="V683" t="s">
        <v>41</v>
      </c>
      <c r="W683" t="s">
        <v>42</v>
      </c>
      <c r="X683">
        <v>13</v>
      </c>
      <c r="Y683">
        <v>3</v>
      </c>
      <c r="Z683">
        <v>2</v>
      </c>
      <c r="AA683">
        <v>80</v>
      </c>
      <c r="AB683">
        <v>1</v>
      </c>
      <c r="AC683">
        <v>15</v>
      </c>
      <c r="AD683">
        <v>3</v>
      </c>
      <c r="AE683">
        <v>3</v>
      </c>
      <c r="AF683">
        <v>15</v>
      </c>
      <c r="AG683">
        <v>12</v>
      </c>
      <c r="AH683">
        <v>5</v>
      </c>
      <c r="AI683">
        <v>11</v>
      </c>
      <c r="AJ683">
        <f t="shared" si="10"/>
        <v>0</v>
      </c>
      <c r="AK683" t="str" cm="1">
        <f t="array" ref="AK683">_xlfn.IFS(A683&lt;=30,"18-30",A683&lt;=45,"31-45",A683&lt;=60,"46-60",TRUE, "60+")</f>
        <v>31-45</v>
      </c>
      <c r="AL683" t="str" cm="1">
        <f t="array" ref="AL683">_xlfn.IFS(F683&lt;=10,"0-10",F683&lt;=20,"11-20",TRUE,"20+")</f>
        <v>0-10</v>
      </c>
      <c r="AM683" t="str" cm="1">
        <f t="array" ref="AM683">_xlfn.IFS(S683&lt;=5000,"0-5k",S683&lt;=10000,"5k-10k",S683&lt;=15000,"10k-15k",TRUE,"15k+")</f>
        <v>10k-15k</v>
      </c>
      <c r="AN683" t="str" cm="1">
        <f t="array" ref="AN683">_xlfn.IFS(AF683&lt;=10,"0-10",AF683&lt;=20,"10-20",AF683&lt;=30,"20-30",TRUE,"30+")</f>
        <v>10-20</v>
      </c>
      <c r="AO683" t="str" cm="1">
        <f t="array" ref="AO683">_xlfn.IFS(Y683=1,"Poor",Y683=2,"Average",Y683=3,"Good",TRUE,"Excellent")</f>
        <v>Good</v>
      </c>
      <c r="AP683" t="str" cm="1">
        <f t="array" ref="AP683">_xlfn.IFS(Q683=1,"Low",Q683=2,"Medium",Q683=3,"High",TRUE,"Very High")</f>
        <v>Low</v>
      </c>
    </row>
    <row r="684" spans="1:42" x14ac:dyDescent="0.25">
      <c r="A684">
        <v>32</v>
      </c>
      <c r="B684" t="s">
        <v>42</v>
      </c>
      <c r="C684" t="s">
        <v>53</v>
      </c>
      <c r="D684">
        <v>1184</v>
      </c>
      <c r="E684" t="s">
        <v>43</v>
      </c>
      <c r="F684">
        <v>1</v>
      </c>
      <c r="G684">
        <v>3</v>
      </c>
      <c r="H684" t="s">
        <v>37</v>
      </c>
      <c r="I684">
        <v>1</v>
      </c>
      <c r="J684">
        <v>951</v>
      </c>
      <c r="K684">
        <v>3</v>
      </c>
      <c r="L684" t="s">
        <v>38</v>
      </c>
      <c r="M684">
        <v>70</v>
      </c>
      <c r="N684">
        <v>2</v>
      </c>
      <c r="O684">
        <v>1</v>
      </c>
      <c r="P684" t="s">
        <v>48</v>
      </c>
      <c r="Q684">
        <v>2</v>
      </c>
      <c r="R684" t="s">
        <v>46</v>
      </c>
      <c r="S684">
        <v>2332</v>
      </c>
      <c r="T684">
        <v>3974</v>
      </c>
      <c r="U684">
        <v>6</v>
      </c>
      <c r="V684" t="s">
        <v>41</v>
      </c>
      <c r="W684" t="s">
        <v>42</v>
      </c>
      <c r="X684">
        <v>20</v>
      </c>
      <c r="Y684">
        <v>4</v>
      </c>
      <c r="Z684">
        <v>3</v>
      </c>
      <c r="AA684">
        <v>80</v>
      </c>
      <c r="AB684">
        <v>0</v>
      </c>
      <c r="AC684">
        <v>5</v>
      </c>
      <c r="AD684">
        <v>3</v>
      </c>
      <c r="AE684">
        <v>3</v>
      </c>
      <c r="AF684">
        <v>3</v>
      </c>
      <c r="AG684">
        <v>0</v>
      </c>
      <c r="AH684">
        <v>0</v>
      </c>
      <c r="AI684">
        <v>2</v>
      </c>
      <c r="AJ684">
        <f t="shared" si="10"/>
        <v>0</v>
      </c>
      <c r="AK684" t="str" cm="1">
        <f t="array" ref="AK684">_xlfn.IFS(A684&lt;=30,"18-30",A684&lt;=45,"31-45",A684&lt;=60,"46-60",TRUE, "60+")</f>
        <v>31-45</v>
      </c>
      <c r="AL684" t="str" cm="1">
        <f t="array" ref="AL684">_xlfn.IFS(F684&lt;=10,"0-10",F684&lt;=20,"11-20",TRUE,"20+")</f>
        <v>0-10</v>
      </c>
      <c r="AM684" t="str" cm="1">
        <f t="array" ref="AM684">_xlfn.IFS(S684&lt;=5000,"0-5k",S684&lt;=10000,"5k-10k",S684&lt;=15000,"10k-15k",TRUE,"15k+")</f>
        <v>0-5k</v>
      </c>
      <c r="AN684" t="str" cm="1">
        <f t="array" ref="AN684">_xlfn.IFS(AF684&lt;=10,"0-10",AF684&lt;=20,"10-20",AF684&lt;=30,"20-30",TRUE,"30+")</f>
        <v>0-10</v>
      </c>
      <c r="AO684" t="str" cm="1">
        <f t="array" ref="AO684">_xlfn.IFS(Y684=1,"Poor",Y684=2,"Average",Y684=3,"Good",TRUE,"Excellent")</f>
        <v>Excellent</v>
      </c>
      <c r="AP684" t="str" cm="1">
        <f t="array" ref="AP684">_xlfn.IFS(Q684=1,"Low",Q684=2,"Medium",Q684=3,"High",TRUE,"Very High")</f>
        <v>Medium</v>
      </c>
    </row>
    <row r="685" spans="1:42" x14ac:dyDescent="0.25">
      <c r="A685">
        <v>25</v>
      </c>
      <c r="B685" t="s">
        <v>35</v>
      </c>
      <c r="C685" t="s">
        <v>90</v>
      </c>
      <c r="D685">
        <v>867</v>
      </c>
      <c r="E685" t="s">
        <v>36</v>
      </c>
      <c r="F685">
        <v>19</v>
      </c>
      <c r="G685">
        <v>2</v>
      </c>
      <c r="H685" t="s">
        <v>57</v>
      </c>
      <c r="I685">
        <v>1</v>
      </c>
      <c r="J685">
        <v>952</v>
      </c>
      <c r="K685">
        <v>3</v>
      </c>
      <c r="L685" t="s">
        <v>44</v>
      </c>
      <c r="M685">
        <v>36</v>
      </c>
      <c r="N685">
        <v>2</v>
      </c>
      <c r="O685">
        <v>1</v>
      </c>
      <c r="P685" t="s">
        <v>55</v>
      </c>
      <c r="Q685">
        <v>2</v>
      </c>
      <c r="R685" t="s">
        <v>46</v>
      </c>
      <c r="S685">
        <v>2413</v>
      </c>
      <c r="T685">
        <v>18798</v>
      </c>
      <c r="U685">
        <v>1</v>
      </c>
      <c r="V685" t="s">
        <v>41</v>
      </c>
      <c r="W685" t="s">
        <v>35</v>
      </c>
      <c r="X685">
        <v>18</v>
      </c>
      <c r="Y685">
        <v>3</v>
      </c>
      <c r="Z685">
        <v>3</v>
      </c>
      <c r="AA685">
        <v>80</v>
      </c>
      <c r="AB685">
        <v>3</v>
      </c>
      <c r="AC685">
        <v>1</v>
      </c>
      <c r="AD685">
        <v>2</v>
      </c>
      <c r="AE685">
        <v>3</v>
      </c>
      <c r="AF685">
        <v>1</v>
      </c>
      <c r="AG685">
        <v>0</v>
      </c>
      <c r="AH685">
        <v>0</v>
      </c>
      <c r="AI685">
        <v>0</v>
      </c>
      <c r="AJ685">
        <f t="shared" si="10"/>
        <v>1</v>
      </c>
      <c r="AK685" t="str" cm="1">
        <f t="array" ref="AK685">_xlfn.IFS(A685&lt;=30,"18-30",A685&lt;=45,"31-45",A685&lt;=60,"46-60",TRUE, "60+")</f>
        <v>18-30</v>
      </c>
      <c r="AL685" t="str" cm="1">
        <f t="array" ref="AL685">_xlfn.IFS(F685&lt;=10,"0-10",F685&lt;=20,"11-20",TRUE,"20+")</f>
        <v>11-20</v>
      </c>
      <c r="AM685" t="str" cm="1">
        <f t="array" ref="AM685">_xlfn.IFS(S685&lt;=5000,"0-5k",S685&lt;=10000,"5k-10k",S685&lt;=15000,"10k-15k",TRUE,"15k+")</f>
        <v>0-5k</v>
      </c>
      <c r="AN685" t="str" cm="1">
        <f t="array" ref="AN685">_xlfn.IFS(AF685&lt;=10,"0-10",AF685&lt;=20,"10-20",AF685&lt;=30,"20-30",TRUE,"30+")</f>
        <v>0-10</v>
      </c>
      <c r="AO685" t="str" cm="1">
        <f t="array" ref="AO685">_xlfn.IFS(Y685=1,"Poor",Y685=2,"Average",Y685=3,"Good",TRUE,"Excellent")</f>
        <v>Good</v>
      </c>
      <c r="AP685" t="str" cm="1">
        <f t="array" ref="AP685">_xlfn.IFS(Q685=1,"Low",Q685=2,"Medium",Q685=3,"High",TRUE,"Very High")</f>
        <v>Medium</v>
      </c>
    </row>
    <row r="686" spans="1:42" x14ac:dyDescent="0.25">
      <c r="A686">
        <v>40</v>
      </c>
      <c r="B686" t="s">
        <v>42</v>
      </c>
      <c r="C686" t="s">
        <v>90</v>
      </c>
      <c r="D686">
        <v>658</v>
      </c>
      <c r="E686" t="s">
        <v>36</v>
      </c>
      <c r="F686">
        <v>10</v>
      </c>
      <c r="G686">
        <v>4</v>
      </c>
      <c r="H686" t="s">
        <v>57</v>
      </c>
      <c r="I686">
        <v>1</v>
      </c>
      <c r="J686">
        <v>954</v>
      </c>
      <c r="K686">
        <v>1</v>
      </c>
      <c r="L686" t="s">
        <v>44</v>
      </c>
      <c r="M686">
        <v>67</v>
      </c>
      <c r="N686">
        <v>2</v>
      </c>
      <c r="O686">
        <v>3</v>
      </c>
      <c r="P686" t="s">
        <v>39</v>
      </c>
      <c r="Q686">
        <v>2</v>
      </c>
      <c r="R686" t="s">
        <v>50</v>
      </c>
      <c r="S686">
        <v>9705</v>
      </c>
      <c r="T686">
        <v>20652</v>
      </c>
      <c r="U686">
        <v>2</v>
      </c>
      <c r="V686" t="s">
        <v>41</v>
      </c>
      <c r="W686" t="s">
        <v>42</v>
      </c>
      <c r="X686">
        <v>12</v>
      </c>
      <c r="Y686">
        <v>3</v>
      </c>
      <c r="Z686">
        <v>2</v>
      </c>
      <c r="AA686">
        <v>80</v>
      </c>
      <c r="AB686">
        <v>1</v>
      </c>
      <c r="AC686">
        <v>11</v>
      </c>
      <c r="AD686">
        <v>2</v>
      </c>
      <c r="AE686">
        <v>2</v>
      </c>
      <c r="AF686">
        <v>1</v>
      </c>
      <c r="AG686">
        <v>0</v>
      </c>
      <c r="AH686">
        <v>0</v>
      </c>
      <c r="AI686">
        <v>0</v>
      </c>
      <c r="AJ686">
        <f t="shared" si="10"/>
        <v>0</v>
      </c>
      <c r="AK686" t="str" cm="1">
        <f t="array" ref="AK686">_xlfn.IFS(A686&lt;=30,"18-30",A686&lt;=45,"31-45",A686&lt;=60,"46-60",TRUE, "60+")</f>
        <v>31-45</v>
      </c>
      <c r="AL686" t="str" cm="1">
        <f t="array" ref="AL686">_xlfn.IFS(F686&lt;=10,"0-10",F686&lt;=20,"11-20",TRUE,"20+")</f>
        <v>0-10</v>
      </c>
      <c r="AM686" t="str" cm="1">
        <f t="array" ref="AM686">_xlfn.IFS(S686&lt;=5000,"0-5k",S686&lt;=10000,"5k-10k",S686&lt;=15000,"10k-15k",TRUE,"15k+")</f>
        <v>5k-10k</v>
      </c>
      <c r="AN686" t="str" cm="1">
        <f t="array" ref="AN686">_xlfn.IFS(AF686&lt;=10,"0-10",AF686&lt;=20,"10-20",AF686&lt;=30,"20-30",TRUE,"30+")</f>
        <v>0-10</v>
      </c>
      <c r="AO686" t="str" cm="1">
        <f t="array" ref="AO686">_xlfn.IFS(Y686=1,"Poor",Y686=2,"Average",Y686=3,"Good",TRUE,"Excellent")</f>
        <v>Good</v>
      </c>
      <c r="AP686" t="str" cm="1">
        <f t="array" ref="AP686">_xlfn.IFS(Q686=1,"Low",Q686=2,"Medium",Q686=3,"High",TRUE,"Very High")</f>
        <v>Medium</v>
      </c>
    </row>
    <row r="687" spans="1:42" x14ac:dyDescent="0.25">
      <c r="A687">
        <v>26</v>
      </c>
      <c r="B687" t="s">
        <v>42</v>
      </c>
      <c r="C687" t="s">
        <v>91</v>
      </c>
      <c r="D687">
        <v>1283</v>
      </c>
      <c r="E687" t="s">
        <v>36</v>
      </c>
      <c r="F687">
        <v>1</v>
      </c>
      <c r="G687">
        <v>3</v>
      </c>
      <c r="H687" t="s">
        <v>49</v>
      </c>
      <c r="I687">
        <v>1</v>
      </c>
      <c r="J687">
        <v>956</v>
      </c>
      <c r="K687">
        <v>3</v>
      </c>
      <c r="L687" t="s">
        <v>44</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c r="AJ687">
        <f t="shared" si="10"/>
        <v>0</v>
      </c>
      <c r="AK687" t="str" cm="1">
        <f t="array" ref="AK687">_xlfn.IFS(A687&lt;=30,"18-30",A687&lt;=45,"31-45",A687&lt;=60,"46-60",TRUE, "60+")</f>
        <v>18-30</v>
      </c>
      <c r="AL687" t="str" cm="1">
        <f t="array" ref="AL687">_xlfn.IFS(F687&lt;=10,"0-10",F687&lt;=20,"11-20",TRUE,"20+")</f>
        <v>0-10</v>
      </c>
      <c r="AM687" t="str" cm="1">
        <f t="array" ref="AM687">_xlfn.IFS(S687&lt;=5000,"0-5k",S687&lt;=10000,"5k-10k",S687&lt;=15000,"10k-15k",TRUE,"15k+")</f>
        <v>0-5k</v>
      </c>
      <c r="AN687" t="str" cm="1">
        <f t="array" ref="AN687">_xlfn.IFS(AF687&lt;=10,"0-10",AF687&lt;=20,"10-20",AF687&lt;=30,"20-30",TRUE,"30+")</f>
        <v>0-10</v>
      </c>
      <c r="AO687" t="str" cm="1">
        <f t="array" ref="AO687">_xlfn.IFS(Y687=1,"Poor",Y687=2,"Average",Y687=3,"Good",TRUE,"Excellent")</f>
        <v>Good</v>
      </c>
      <c r="AP687" t="str" cm="1">
        <f t="array" ref="AP687">_xlfn.IFS(Q687=1,"Low",Q687=2,"Medium",Q687=3,"High",TRUE,"Very High")</f>
        <v>Low</v>
      </c>
    </row>
    <row r="688" spans="1:42" x14ac:dyDescent="0.25">
      <c r="A688">
        <v>41</v>
      </c>
      <c r="B688" t="s">
        <v>42</v>
      </c>
      <c r="C688" t="s">
        <v>90</v>
      </c>
      <c r="D688">
        <v>263</v>
      </c>
      <c r="E688" t="s">
        <v>43</v>
      </c>
      <c r="F688">
        <v>6</v>
      </c>
      <c r="G688">
        <v>3</v>
      </c>
      <c r="H688" t="s">
        <v>49</v>
      </c>
      <c r="I688">
        <v>1</v>
      </c>
      <c r="J688">
        <v>957</v>
      </c>
      <c r="K688">
        <v>4</v>
      </c>
      <c r="L688" t="s">
        <v>44</v>
      </c>
      <c r="M688">
        <v>59</v>
      </c>
      <c r="N688">
        <v>3</v>
      </c>
      <c r="O688">
        <v>1</v>
      </c>
      <c r="P688" t="s">
        <v>48</v>
      </c>
      <c r="Q688">
        <v>1</v>
      </c>
      <c r="R688" t="s">
        <v>40</v>
      </c>
      <c r="S688">
        <v>4721</v>
      </c>
      <c r="T688">
        <v>3119</v>
      </c>
      <c r="U688">
        <v>2</v>
      </c>
      <c r="V688" t="s">
        <v>41</v>
      </c>
      <c r="W688" t="s">
        <v>35</v>
      </c>
      <c r="X688">
        <v>13</v>
      </c>
      <c r="Y688">
        <v>3</v>
      </c>
      <c r="Z688">
        <v>3</v>
      </c>
      <c r="AA688">
        <v>80</v>
      </c>
      <c r="AB688">
        <v>0</v>
      </c>
      <c r="AC688">
        <v>20</v>
      </c>
      <c r="AD688">
        <v>3</v>
      </c>
      <c r="AE688">
        <v>3</v>
      </c>
      <c r="AF688">
        <v>18</v>
      </c>
      <c r="AG688">
        <v>13</v>
      </c>
      <c r="AH688">
        <v>2</v>
      </c>
      <c r="AI688">
        <v>17</v>
      </c>
      <c r="AJ688">
        <f t="shared" si="10"/>
        <v>0</v>
      </c>
      <c r="AK688" t="str" cm="1">
        <f t="array" ref="AK688">_xlfn.IFS(A688&lt;=30,"18-30",A688&lt;=45,"31-45",A688&lt;=60,"46-60",TRUE, "60+")</f>
        <v>31-45</v>
      </c>
      <c r="AL688" t="str" cm="1">
        <f t="array" ref="AL688">_xlfn.IFS(F688&lt;=10,"0-10",F688&lt;=20,"11-20",TRUE,"20+")</f>
        <v>0-10</v>
      </c>
      <c r="AM688" t="str" cm="1">
        <f t="array" ref="AM688">_xlfn.IFS(S688&lt;=5000,"0-5k",S688&lt;=10000,"5k-10k",S688&lt;=15000,"10k-15k",TRUE,"15k+")</f>
        <v>0-5k</v>
      </c>
      <c r="AN688" t="str" cm="1">
        <f t="array" ref="AN688">_xlfn.IFS(AF688&lt;=10,"0-10",AF688&lt;=20,"10-20",AF688&lt;=30,"20-30",TRUE,"30+")</f>
        <v>10-20</v>
      </c>
      <c r="AO688" t="str" cm="1">
        <f t="array" ref="AO688">_xlfn.IFS(Y688=1,"Poor",Y688=2,"Average",Y688=3,"Good",TRUE,"Excellent")</f>
        <v>Good</v>
      </c>
      <c r="AP688" t="str" cm="1">
        <f t="array" ref="AP688">_xlfn.IFS(Q688=1,"Low",Q688=2,"Medium",Q688=3,"High",TRUE,"Very High")</f>
        <v>Low</v>
      </c>
    </row>
    <row r="689" spans="1:42" x14ac:dyDescent="0.25">
      <c r="A689">
        <v>36</v>
      </c>
      <c r="B689" t="s">
        <v>42</v>
      </c>
      <c r="C689" t="s">
        <v>90</v>
      </c>
      <c r="D689">
        <v>938</v>
      </c>
      <c r="E689" t="s">
        <v>43</v>
      </c>
      <c r="F689">
        <v>2</v>
      </c>
      <c r="G689">
        <v>4</v>
      </c>
      <c r="H689" t="s">
        <v>49</v>
      </c>
      <c r="I689">
        <v>1</v>
      </c>
      <c r="J689">
        <v>958</v>
      </c>
      <c r="K689">
        <v>3</v>
      </c>
      <c r="L689" t="s">
        <v>44</v>
      </c>
      <c r="M689">
        <v>79</v>
      </c>
      <c r="N689">
        <v>3</v>
      </c>
      <c r="O689">
        <v>1</v>
      </c>
      <c r="P689" t="s">
        <v>48</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c r="AJ689">
        <f t="shared" si="10"/>
        <v>0</v>
      </c>
      <c r="AK689" t="str" cm="1">
        <f t="array" ref="AK689">_xlfn.IFS(A689&lt;=30,"18-30",A689&lt;=45,"31-45",A689&lt;=60,"46-60",TRUE, "60+")</f>
        <v>31-45</v>
      </c>
      <c r="AL689" t="str" cm="1">
        <f t="array" ref="AL689">_xlfn.IFS(F689&lt;=10,"0-10",F689&lt;=20,"11-20",TRUE,"20+")</f>
        <v>0-10</v>
      </c>
      <c r="AM689" t="str" cm="1">
        <f t="array" ref="AM689">_xlfn.IFS(S689&lt;=5000,"0-5k",S689&lt;=10000,"5k-10k",S689&lt;=15000,"10k-15k",TRUE,"15k+")</f>
        <v>0-5k</v>
      </c>
      <c r="AN689" t="str" cm="1">
        <f t="array" ref="AN689">_xlfn.IFS(AF689&lt;=10,"0-10",AF689&lt;=20,"10-20",AF689&lt;=30,"20-30",TRUE,"30+")</f>
        <v>10-20</v>
      </c>
      <c r="AO689" t="str" cm="1">
        <f t="array" ref="AO689">_xlfn.IFS(Y689=1,"Poor",Y689=2,"Average",Y689=3,"Good",TRUE,"Excellent")</f>
        <v>Excellent</v>
      </c>
      <c r="AP689" t="str" cm="1">
        <f t="array" ref="AP689">_xlfn.IFS(Q689=1,"Low",Q689=2,"Medium",Q689=3,"High",TRUE,"Very High")</f>
        <v>High</v>
      </c>
    </row>
    <row r="690" spans="1:42" x14ac:dyDescent="0.25">
      <c r="A690">
        <v>19</v>
      </c>
      <c r="B690" t="s">
        <v>35</v>
      </c>
      <c r="C690" t="s">
        <v>90</v>
      </c>
      <c r="D690">
        <v>419</v>
      </c>
      <c r="E690" t="s">
        <v>36</v>
      </c>
      <c r="F690">
        <v>21</v>
      </c>
      <c r="G690">
        <v>3</v>
      </c>
      <c r="H690" t="s">
        <v>47</v>
      </c>
      <c r="I690">
        <v>1</v>
      </c>
      <c r="J690">
        <v>959</v>
      </c>
      <c r="K690">
        <v>4</v>
      </c>
      <c r="L690" t="s">
        <v>44</v>
      </c>
      <c r="M690">
        <v>37</v>
      </c>
      <c r="N690">
        <v>2</v>
      </c>
      <c r="O690">
        <v>1</v>
      </c>
      <c r="P690" t="s">
        <v>55</v>
      </c>
      <c r="Q690">
        <v>2</v>
      </c>
      <c r="R690" t="s">
        <v>40</v>
      </c>
      <c r="S690">
        <v>2121</v>
      </c>
      <c r="T690">
        <v>9947</v>
      </c>
      <c r="U690">
        <v>1</v>
      </c>
      <c r="V690" t="s">
        <v>41</v>
      </c>
      <c r="W690" t="s">
        <v>35</v>
      </c>
      <c r="X690">
        <v>13</v>
      </c>
      <c r="Y690">
        <v>3</v>
      </c>
      <c r="Z690">
        <v>2</v>
      </c>
      <c r="AA690">
        <v>80</v>
      </c>
      <c r="AB690">
        <v>0</v>
      </c>
      <c r="AC690">
        <v>1</v>
      </c>
      <c r="AD690">
        <v>3</v>
      </c>
      <c r="AE690">
        <v>4</v>
      </c>
      <c r="AF690">
        <v>1</v>
      </c>
      <c r="AG690">
        <v>0</v>
      </c>
      <c r="AH690">
        <v>0</v>
      </c>
      <c r="AI690">
        <v>0</v>
      </c>
      <c r="AJ690">
        <f t="shared" si="10"/>
        <v>1</v>
      </c>
      <c r="AK690" t="str" cm="1">
        <f t="array" ref="AK690">_xlfn.IFS(A690&lt;=30,"18-30",A690&lt;=45,"31-45",A690&lt;=60,"46-60",TRUE, "60+")</f>
        <v>18-30</v>
      </c>
      <c r="AL690" t="str" cm="1">
        <f t="array" ref="AL690">_xlfn.IFS(F690&lt;=10,"0-10",F690&lt;=20,"11-20",TRUE,"20+")</f>
        <v>20+</v>
      </c>
      <c r="AM690" t="str" cm="1">
        <f t="array" ref="AM690">_xlfn.IFS(S690&lt;=5000,"0-5k",S690&lt;=10000,"5k-10k",S690&lt;=15000,"10k-15k",TRUE,"15k+")</f>
        <v>0-5k</v>
      </c>
      <c r="AN690" t="str" cm="1">
        <f t="array" ref="AN690">_xlfn.IFS(AF690&lt;=10,"0-10",AF690&lt;=20,"10-20",AF690&lt;=30,"20-30",TRUE,"30+")</f>
        <v>0-10</v>
      </c>
      <c r="AO690" t="str" cm="1">
        <f t="array" ref="AO690">_xlfn.IFS(Y690=1,"Poor",Y690=2,"Average",Y690=3,"Good",TRUE,"Excellent")</f>
        <v>Good</v>
      </c>
      <c r="AP690" t="str" cm="1">
        <f t="array" ref="AP690">_xlfn.IFS(Q690=1,"Low",Q690=2,"Medium",Q690=3,"High",TRUE,"Very High")</f>
        <v>Medium</v>
      </c>
    </row>
    <row r="691" spans="1:42" x14ac:dyDescent="0.25">
      <c r="A691">
        <v>20</v>
      </c>
      <c r="B691" t="s">
        <v>35</v>
      </c>
      <c r="C691" t="s">
        <v>90</v>
      </c>
      <c r="D691">
        <v>129</v>
      </c>
      <c r="E691" t="s">
        <v>43</v>
      </c>
      <c r="F691">
        <v>4</v>
      </c>
      <c r="G691">
        <v>3</v>
      </c>
      <c r="H691" t="s">
        <v>58</v>
      </c>
      <c r="I691">
        <v>1</v>
      </c>
      <c r="J691">
        <v>960</v>
      </c>
      <c r="K691">
        <v>1</v>
      </c>
      <c r="L691" t="s">
        <v>44</v>
      </c>
      <c r="M691">
        <v>84</v>
      </c>
      <c r="N691">
        <v>3</v>
      </c>
      <c r="O691">
        <v>1</v>
      </c>
      <c r="P691" t="s">
        <v>48</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c r="AJ691">
        <f t="shared" si="10"/>
        <v>1</v>
      </c>
      <c r="AK691" t="str" cm="1">
        <f t="array" ref="AK691">_xlfn.IFS(A691&lt;=30,"18-30",A691&lt;=45,"31-45",A691&lt;=60,"46-60",TRUE, "60+")</f>
        <v>18-30</v>
      </c>
      <c r="AL691" t="str" cm="1">
        <f t="array" ref="AL691">_xlfn.IFS(F691&lt;=10,"0-10",F691&lt;=20,"11-20",TRUE,"20+")</f>
        <v>0-10</v>
      </c>
      <c r="AM691" t="str" cm="1">
        <f t="array" ref="AM691">_xlfn.IFS(S691&lt;=5000,"0-5k",S691&lt;=10000,"5k-10k",S691&lt;=15000,"10k-15k",TRUE,"15k+")</f>
        <v>0-5k</v>
      </c>
      <c r="AN691" t="str" cm="1">
        <f t="array" ref="AN691">_xlfn.IFS(AF691&lt;=10,"0-10",AF691&lt;=20,"10-20",AF691&lt;=30,"20-30",TRUE,"30+")</f>
        <v>0-10</v>
      </c>
      <c r="AO691" t="str" cm="1">
        <f t="array" ref="AO691">_xlfn.IFS(Y691=1,"Poor",Y691=2,"Average",Y691=3,"Good",TRUE,"Excellent")</f>
        <v>Good</v>
      </c>
      <c r="AP691" t="str" cm="1">
        <f t="array" ref="AP691">_xlfn.IFS(Q691=1,"Low",Q691=2,"Medium",Q691=3,"High",TRUE,"Very High")</f>
        <v>Low</v>
      </c>
    </row>
    <row r="692" spans="1:42" x14ac:dyDescent="0.25">
      <c r="A692">
        <v>31</v>
      </c>
      <c r="B692" t="s">
        <v>42</v>
      </c>
      <c r="C692" t="s">
        <v>90</v>
      </c>
      <c r="D692">
        <v>616</v>
      </c>
      <c r="E692" t="s">
        <v>43</v>
      </c>
      <c r="F692">
        <v>12</v>
      </c>
      <c r="G692">
        <v>3</v>
      </c>
      <c r="H692" t="s">
        <v>49</v>
      </c>
      <c r="I692">
        <v>1</v>
      </c>
      <c r="J692">
        <v>961</v>
      </c>
      <c r="K692">
        <v>4</v>
      </c>
      <c r="L692" t="s">
        <v>38</v>
      </c>
      <c r="M692">
        <v>41</v>
      </c>
      <c r="N692">
        <v>3</v>
      </c>
      <c r="O692">
        <v>2</v>
      </c>
      <c r="P692" t="s">
        <v>52</v>
      </c>
      <c r="Q692">
        <v>4</v>
      </c>
      <c r="R692" t="s">
        <v>46</v>
      </c>
      <c r="S692">
        <v>5855</v>
      </c>
      <c r="T692">
        <v>17369</v>
      </c>
      <c r="U692">
        <v>0</v>
      </c>
      <c r="V692" t="s">
        <v>41</v>
      </c>
      <c r="W692" t="s">
        <v>35</v>
      </c>
      <c r="X692">
        <v>11</v>
      </c>
      <c r="Y692">
        <v>3</v>
      </c>
      <c r="Z692">
        <v>3</v>
      </c>
      <c r="AA692">
        <v>80</v>
      </c>
      <c r="AB692">
        <v>2</v>
      </c>
      <c r="AC692">
        <v>10</v>
      </c>
      <c r="AD692">
        <v>2</v>
      </c>
      <c r="AE692">
        <v>1</v>
      </c>
      <c r="AF692">
        <v>9</v>
      </c>
      <c r="AG692">
        <v>7</v>
      </c>
      <c r="AH692">
        <v>8</v>
      </c>
      <c r="AI692">
        <v>5</v>
      </c>
      <c r="AJ692">
        <f t="shared" si="10"/>
        <v>0</v>
      </c>
      <c r="AK692" t="str" cm="1">
        <f t="array" ref="AK692">_xlfn.IFS(A692&lt;=30,"18-30",A692&lt;=45,"31-45",A692&lt;=60,"46-60",TRUE, "60+")</f>
        <v>31-45</v>
      </c>
      <c r="AL692" t="str" cm="1">
        <f t="array" ref="AL692">_xlfn.IFS(F692&lt;=10,"0-10",F692&lt;=20,"11-20",TRUE,"20+")</f>
        <v>11-20</v>
      </c>
      <c r="AM692" t="str" cm="1">
        <f t="array" ref="AM692">_xlfn.IFS(S692&lt;=5000,"0-5k",S692&lt;=10000,"5k-10k",S692&lt;=15000,"10k-15k",TRUE,"15k+")</f>
        <v>5k-10k</v>
      </c>
      <c r="AN692" t="str" cm="1">
        <f t="array" ref="AN692">_xlfn.IFS(AF692&lt;=10,"0-10",AF692&lt;=20,"10-20",AF692&lt;=30,"20-30",TRUE,"30+")</f>
        <v>0-10</v>
      </c>
      <c r="AO692" t="str" cm="1">
        <f t="array" ref="AO692">_xlfn.IFS(Y692=1,"Poor",Y692=2,"Average",Y692=3,"Good",TRUE,"Excellent")</f>
        <v>Good</v>
      </c>
      <c r="AP692" t="str" cm="1">
        <f t="array" ref="AP692">_xlfn.IFS(Q692=1,"Low",Q692=2,"Medium",Q692=3,"High",TRUE,"Very High")</f>
        <v>Very High</v>
      </c>
    </row>
    <row r="693" spans="1:42" x14ac:dyDescent="0.25">
      <c r="A693">
        <v>40</v>
      </c>
      <c r="B693" t="s">
        <v>42</v>
      </c>
      <c r="C693" t="s">
        <v>91</v>
      </c>
      <c r="D693">
        <v>1469</v>
      </c>
      <c r="E693" t="s">
        <v>43</v>
      </c>
      <c r="F693">
        <v>9</v>
      </c>
      <c r="G693">
        <v>4</v>
      </c>
      <c r="H693" t="s">
        <v>49</v>
      </c>
      <c r="I693">
        <v>1</v>
      </c>
      <c r="J693">
        <v>964</v>
      </c>
      <c r="K693">
        <v>4</v>
      </c>
      <c r="L693" t="s">
        <v>44</v>
      </c>
      <c r="M693">
        <v>35</v>
      </c>
      <c r="N693">
        <v>3</v>
      </c>
      <c r="O693">
        <v>1</v>
      </c>
      <c r="P693" t="s">
        <v>45</v>
      </c>
      <c r="Q693">
        <v>2</v>
      </c>
      <c r="R693" t="s">
        <v>50</v>
      </c>
      <c r="S693">
        <v>3617</v>
      </c>
      <c r="T693">
        <v>25063</v>
      </c>
      <c r="U693">
        <v>8</v>
      </c>
      <c r="V693" t="s">
        <v>41</v>
      </c>
      <c r="W693" t="s">
        <v>35</v>
      </c>
      <c r="X693">
        <v>14</v>
      </c>
      <c r="Y693">
        <v>3</v>
      </c>
      <c r="Z693">
        <v>4</v>
      </c>
      <c r="AA693">
        <v>80</v>
      </c>
      <c r="AB693">
        <v>1</v>
      </c>
      <c r="AC693">
        <v>3</v>
      </c>
      <c r="AD693">
        <v>2</v>
      </c>
      <c r="AE693">
        <v>3</v>
      </c>
      <c r="AF693">
        <v>1</v>
      </c>
      <c r="AG693">
        <v>1</v>
      </c>
      <c r="AH693">
        <v>0</v>
      </c>
      <c r="AI693">
        <v>0</v>
      </c>
      <c r="AJ693">
        <f t="shared" si="10"/>
        <v>0</v>
      </c>
      <c r="AK693" t="str" cm="1">
        <f t="array" ref="AK693">_xlfn.IFS(A693&lt;=30,"18-30",A693&lt;=45,"31-45",A693&lt;=60,"46-60",TRUE, "60+")</f>
        <v>31-45</v>
      </c>
      <c r="AL693" t="str" cm="1">
        <f t="array" ref="AL693">_xlfn.IFS(F693&lt;=10,"0-10",F693&lt;=20,"11-20",TRUE,"20+")</f>
        <v>0-10</v>
      </c>
      <c r="AM693" t="str" cm="1">
        <f t="array" ref="AM693">_xlfn.IFS(S693&lt;=5000,"0-5k",S693&lt;=10000,"5k-10k",S693&lt;=15000,"10k-15k",TRUE,"15k+")</f>
        <v>0-5k</v>
      </c>
      <c r="AN693" t="str" cm="1">
        <f t="array" ref="AN693">_xlfn.IFS(AF693&lt;=10,"0-10",AF693&lt;=20,"10-20",AF693&lt;=30,"20-30",TRUE,"30+")</f>
        <v>0-10</v>
      </c>
      <c r="AO693" t="str" cm="1">
        <f t="array" ref="AO693">_xlfn.IFS(Y693=1,"Poor",Y693=2,"Average",Y693=3,"Good",TRUE,"Excellent")</f>
        <v>Good</v>
      </c>
      <c r="AP693" t="str" cm="1">
        <f t="array" ref="AP693">_xlfn.IFS(Q693=1,"Low",Q693=2,"Medium",Q693=3,"High",TRUE,"Very High")</f>
        <v>Medium</v>
      </c>
    </row>
    <row r="694" spans="1:42" x14ac:dyDescent="0.25">
      <c r="A694">
        <v>32</v>
      </c>
      <c r="B694" t="s">
        <v>42</v>
      </c>
      <c r="C694" t="s">
        <v>90</v>
      </c>
      <c r="D694">
        <v>498</v>
      </c>
      <c r="E694" t="s">
        <v>43</v>
      </c>
      <c r="F694">
        <v>3</v>
      </c>
      <c r="G694">
        <v>4</v>
      </c>
      <c r="H694" t="s">
        <v>49</v>
      </c>
      <c r="I694">
        <v>1</v>
      </c>
      <c r="J694">
        <v>966</v>
      </c>
      <c r="K694">
        <v>3</v>
      </c>
      <c r="L694" t="s">
        <v>38</v>
      </c>
      <c r="M694">
        <v>93</v>
      </c>
      <c r="N694">
        <v>3</v>
      </c>
      <c r="O694">
        <v>2</v>
      </c>
      <c r="P694" t="s">
        <v>51</v>
      </c>
      <c r="Q694">
        <v>1</v>
      </c>
      <c r="R694" t="s">
        <v>46</v>
      </c>
      <c r="S694">
        <v>6725</v>
      </c>
      <c r="T694">
        <v>13554</v>
      </c>
      <c r="U694">
        <v>1</v>
      </c>
      <c r="V694" t="s">
        <v>41</v>
      </c>
      <c r="W694" t="s">
        <v>42</v>
      </c>
      <c r="X694">
        <v>12</v>
      </c>
      <c r="Y694">
        <v>3</v>
      </c>
      <c r="Z694">
        <v>3</v>
      </c>
      <c r="AA694">
        <v>80</v>
      </c>
      <c r="AB694">
        <v>1</v>
      </c>
      <c r="AC694">
        <v>8</v>
      </c>
      <c r="AD694">
        <v>2</v>
      </c>
      <c r="AE694">
        <v>4</v>
      </c>
      <c r="AF694">
        <v>8</v>
      </c>
      <c r="AG694">
        <v>7</v>
      </c>
      <c r="AH694">
        <v>6</v>
      </c>
      <c r="AI694">
        <v>3</v>
      </c>
      <c r="AJ694">
        <f t="shared" si="10"/>
        <v>0</v>
      </c>
      <c r="AK694" t="str" cm="1">
        <f t="array" ref="AK694">_xlfn.IFS(A694&lt;=30,"18-30",A694&lt;=45,"31-45",A694&lt;=60,"46-60",TRUE, "60+")</f>
        <v>31-45</v>
      </c>
      <c r="AL694" t="str" cm="1">
        <f t="array" ref="AL694">_xlfn.IFS(F694&lt;=10,"0-10",F694&lt;=20,"11-20",TRUE,"20+")</f>
        <v>0-10</v>
      </c>
      <c r="AM694" t="str" cm="1">
        <f t="array" ref="AM694">_xlfn.IFS(S694&lt;=5000,"0-5k",S694&lt;=10000,"5k-10k",S694&lt;=15000,"10k-15k",TRUE,"15k+")</f>
        <v>5k-10k</v>
      </c>
      <c r="AN694" t="str" cm="1">
        <f t="array" ref="AN694">_xlfn.IFS(AF694&lt;=10,"0-10",AF694&lt;=20,"10-20",AF694&lt;=30,"20-30",TRUE,"30+")</f>
        <v>0-10</v>
      </c>
      <c r="AO694" t="str" cm="1">
        <f t="array" ref="AO694">_xlfn.IFS(Y694=1,"Poor",Y694=2,"Average",Y694=3,"Good",TRUE,"Excellent")</f>
        <v>Good</v>
      </c>
      <c r="AP694" t="str" cm="1">
        <f t="array" ref="AP694">_xlfn.IFS(Q694=1,"Low",Q694=2,"Medium",Q694=3,"High",TRUE,"Very High")</f>
        <v>Low</v>
      </c>
    </row>
    <row r="695" spans="1:42" x14ac:dyDescent="0.25">
      <c r="A695">
        <v>36</v>
      </c>
      <c r="B695" t="s">
        <v>35</v>
      </c>
      <c r="C695" t="s">
        <v>90</v>
      </c>
      <c r="D695">
        <v>530</v>
      </c>
      <c r="E695" t="s">
        <v>36</v>
      </c>
      <c r="F695">
        <v>3</v>
      </c>
      <c r="G695">
        <v>1</v>
      </c>
      <c r="H695" t="s">
        <v>37</v>
      </c>
      <c r="I695">
        <v>1</v>
      </c>
      <c r="J695">
        <v>967</v>
      </c>
      <c r="K695">
        <v>3</v>
      </c>
      <c r="L695" t="s">
        <v>44</v>
      </c>
      <c r="M695">
        <v>51</v>
      </c>
      <c r="N695">
        <v>2</v>
      </c>
      <c r="O695">
        <v>3</v>
      </c>
      <c r="P695" t="s">
        <v>39</v>
      </c>
      <c r="Q695">
        <v>4</v>
      </c>
      <c r="R695" t="s">
        <v>46</v>
      </c>
      <c r="S695">
        <v>10325</v>
      </c>
      <c r="T695">
        <v>5518</v>
      </c>
      <c r="U695">
        <v>1</v>
      </c>
      <c r="V695" t="s">
        <v>41</v>
      </c>
      <c r="W695" t="s">
        <v>35</v>
      </c>
      <c r="X695">
        <v>11</v>
      </c>
      <c r="Y695">
        <v>3</v>
      </c>
      <c r="Z695">
        <v>1</v>
      </c>
      <c r="AA695">
        <v>80</v>
      </c>
      <c r="AB695">
        <v>1</v>
      </c>
      <c r="AC695">
        <v>16</v>
      </c>
      <c r="AD695">
        <v>6</v>
      </c>
      <c r="AE695">
        <v>3</v>
      </c>
      <c r="AF695">
        <v>16</v>
      </c>
      <c r="AG695">
        <v>7</v>
      </c>
      <c r="AH695">
        <v>3</v>
      </c>
      <c r="AI695">
        <v>7</v>
      </c>
      <c r="AJ695">
        <f t="shared" si="10"/>
        <v>1</v>
      </c>
      <c r="AK695" t="str" cm="1">
        <f t="array" ref="AK695">_xlfn.IFS(A695&lt;=30,"18-30",A695&lt;=45,"31-45",A695&lt;=60,"46-60",TRUE, "60+")</f>
        <v>31-45</v>
      </c>
      <c r="AL695" t="str" cm="1">
        <f t="array" ref="AL695">_xlfn.IFS(F695&lt;=10,"0-10",F695&lt;=20,"11-20",TRUE,"20+")</f>
        <v>0-10</v>
      </c>
      <c r="AM695" t="str" cm="1">
        <f t="array" ref="AM695">_xlfn.IFS(S695&lt;=5000,"0-5k",S695&lt;=10000,"5k-10k",S695&lt;=15000,"10k-15k",TRUE,"15k+")</f>
        <v>10k-15k</v>
      </c>
      <c r="AN695" t="str" cm="1">
        <f t="array" ref="AN695">_xlfn.IFS(AF695&lt;=10,"0-10",AF695&lt;=20,"10-20",AF695&lt;=30,"20-30",TRUE,"30+")</f>
        <v>10-20</v>
      </c>
      <c r="AO695" t="str" cm="1">
        <f t="array" ref="AO695">_xlfn.IFS(Y695=1,"Poor",Y695=2,"Average",Y695=3,"Good",TRUE,"Excellent")</f>
        <v>Good</v>
      </c>
      <c r="AP695" t="str" cm="1">
        <f t="array" ref="AP695">_xlfn.IFS(Q695=1,"Low",Q695=2,"Medium",Q695=3,"High",TRUE,"Very High")</f>
        <v>Very High</v>
      </c>
    </row>
    <row r="696" spans="1:42" x14ac:dyDescent="0.25">
      <c r="A696">
        <v>33</v>
      </c>
      <c r="B696" t="s">
        <v>42</v>
      </c>
      <c r="C696" t="s">
        <v>90</v>
      </c>
      <c r="D696">
        <v>1069</v>
      </c>
      <c r="E696" t="s">
        <v>43</v>
      </c>
      <c r="F696">
        <v>1</v>
      </c>
      <c r="G696">
        <v>3</v>
      </c>
      <c r="H696" t="s">
        <v>37</v>
      </c>
      <c r="I696">
        <v>1</v>
      </c>
      <c r="J696">
        <v>969</v>
      </c>
      <c r="K696">
        <v>2</v>
      </c>
      <c r="L696" t="s">
        <v>38</v>
      </c>
      <c r="M696">
        <v>42</v>
      </c>
      <c r="N696">
        <v>2</v>
      </c>
      <c r="O696">
        <v>2</v>
      </c>
      <c r="P696" t="s">
        <v>52</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c r="AJ696">
        <f t="shared" si="10"/>
        <v>0</v>
      </c>
      <c r="AK696" t="str" cm="1">
        <f t="array" ref="AK696">_xlfn.IFS(A696&lt;=30,"18-30",A696&lt;=45,"31-45",A696&lt;=60,"46-60",TRUE, "60+")</f>
        <v>31-45</v>
      </c>
      <c r="AL696" t="str" cm="1">
        <f t="array" ref="AL696">_xlfn.IFS(F696&lt;=10,"0-10",F696&lt;=20,"11-20",TRUE,"20+")</f>
        <v>0-10</v>
      </c>
      <c r="AM696" t="str" cm="1">
        <f t="array" ref="AM696">_xlfn.IFS(S696&lt;=5000,"0-5k",S696&lt;=10000,"5k-10k",S696&lt;=15000,"10k-15k",TRUE,"15k+")</f>
        <v>5k-10k</v>
      </c>
      <c r="AN696" t="str" cm="1">
        <f t="array" ref="AN696">_xlfn.IFS(AF696&lt;=10,"0-10",AF696&lt;=20,"10-20",AF696&lt;=30,"20-30",TRUE,"30+")</f>
        <v>0-10</v>
      </c>
      <c r="AO696" t="str" cm="1">
        <f t="array" ref="AO696">_xlfn.IFS(Y696=1,"Poor",Y696=2,"Average",Y696=3,"Good",TRUE,"Excellent")</f>
        <v>Good</v>
      </c>
      <c r="AP696" t="str" cm="1">
        <f t="array" ref="AP696">_xlfn.IFS(Q696=1,"Low",Q696=2,"Medium",Q696=3,"High",TRUE,"Very High")</f>
        <v>Very High</v>
      </c>
    </row>
    <row r="697" spans="1:42" x14ac:dyDescent="0.25">
      <c r="A697">
        <v>37</v>
      </c>
      <c r="B697" t="s">
        <v>35</v>
      </c>
      <c r="C697" t="s">
        <v>90</v>
      </c>
      <c r="D697">
        <v>625</v>
      </c>
      <c r="E697" t="s">
        <v>36</v>
      </c>
      <c r="F697">
        <v>1</v>
      </c>
      <c r="G697">
        <v>4</v>
      </c>
      <c r="H697" t="s">
        <v>37</v>
      </c>
      <c r="I697">
        <v>1</v>
      </c>
      <c r="J697">
        <v>970</v>
      </c>
      <c r="K697">
        <v>1</v>
      </c>
      <c r="L697" t="s">
        <v>44</v>
      </c>
      <c r="M697">
        <v>46</v>
      </c>
      <c r="N697">
        <v>2</v>
      </c>
      <c r="O697">
        <v>3</v>
      </c>
      <c r="P697" t="s">
        <v>39</v>
      </c>
      <c r="Q697">
        <v>3</v>
      </c>
      <c r="R697" t="s">
        <v>46</v>
      </c>
      <c r="S697">
        <v>10609</v>
      </c>
      <c r="T697">
        <v>14922</v>
      </c>
      <c r="U697">
        <v>5</v>
      </c>
      <c r="V697" t="s">
        <v>41</v>
      </c>
      <c r="W697" t="s">
        <v>42</v>
      </c>
      <c r="X697">
        <v>11</v>
      </c>
      <c r="Y697">
        <v>3</v>
      </c>
      <c r="Z697">
        <v>3</v>
      </c>
      <c r="AA697">
        <v>80</v>
      </c>
      <c r="AB697">
        <v>0</v>
      </c>
      <c r="AC697">
        <v>17</v>
      </c>
      <c r="AD697">
        <v>2</v>
      </c>
      <c r="AE697">
        <v>1</v>
      </c>
      <c r="AF697">
        <v>14</v>
      </c>
      <c r="AG697">
        <v>1</v>
      </c>
      <c r="AH697">
        <v>11</v>
      </c>
      <c r="AI697">
        <v>7</v>
      </c>
      <c r="AJ697">
        <f t="shared" si="10"/>
        <v>1</v>
      </c>
      <c r="AK697" t="str" cm="1">
        <f t="array" ref="AK697">_xlfn.IFS(A697&lt;=30,"18-30",A697&lt;=45,"31-45",A697&lt;=60,"46-60",TRUE, "60+")</f>
        <v>31-45</v>
      </c>
      <c r="AL697" t="str" cm="1">
        <f t="array" ref="AL697">_xlfn.IFS(F697&lt;=10,"0-10",F697&lt;=20,"11-20",TRUE,"20+")</f>
        <v>0-10</v>
      </c>
      <c r="AM697" t="str" cm="1">
        <f t="array" ref="AM697">_xlfn.IFS(S697&lt;=5000,"0-5k",S697&lt;=10000,"5k-10k",S697&lt;=15000,"10k-15k",TRUE,"15k+")</f>
        <v>10k-15k</v>
      </c>
      <c r="AN697" t="str" cm="1">
        <f t="array" ref="AN697">_xlfn.IFS(AF697&lt;=10,"0-10",AF697&lt;=20,"10-20",AF697&lt;=30,"20-30",TRUE,"30+")</f>
        <v>10-20</v>
      </c>
      <c r="AO697" t="str" cm="1">
        <f t="array" ref="AO697">_xlfn.IFS(Y697=1,"Poor",Y697=2,"Average",Y697=3,"Good",TRUE,"Excellent")</f>
        <v>Good</v>
      </c>
      <c r="AP697" t="str" cm="1">
        <f t="array" ref="AP697">_xlfn.IFS(Q697=1,"Low",Q697=2,"Medium",Q697=3,"High",TRUE,"Very High")</f>
        <v>High</v>
      </c>
    </row>
    <row r="698" spans="1:42" x14ac:dyDescent="0.25">
      <c r="A698">
        <v>45</v>
      </c>
      <c r="B698" t="s">
        <v>42</v>
      </c>
      <c r="C698" t="s">
        <v>53</v>
      </c>
      <c r="D698">
        <v>805</v>
      </c>
      <c r="E698" t="s">
        <v>43</v>
      </c>
      <c r="F698">
        <v>4</v>
      </c>
      <c r="G698">
        <v>2</v>
      </c>
      <c r="H698" t="s">
        <v>37</v>
      </c>
      <c r="I698">
        <v>1</v>
      </c>
      <c r="J698">
        <v>972</v>
      </c>
      <c r="K698">
        <v>3</v>
      </c>
      <c r="L698" t="s">
        <v>44</v>
      </c>
      <c r="M698">
        <v>57</v>
      </c>
      <c r="N698">
        <v>3</v>
      </c>
      <c r="O698">
        <v>2</v>
      </c>
      <c r="P698" t="s">
        <v>48</v>
      </c>
      <c r="Q698">
        <v>2</v>
      </c>
      <c r="R698" t="s">
        <v>46</v>
      </c>
      <c r="S698">
        <v>4447</v>
      </c>
      <c r="T698">
        <v>23163</v>
      </c>
      <c r="U698">
        <v>1</v>
      </c>
      <c r="V698" t="s">
        <v>41</v>
      </c>
      <c r="W698" t="s">
        <v>42</v>
      </c>
      <c r="X698">
        <v>12</v>
      </c>
      <c r="Y698">
        <v>3</v>
      </c>
      <c r="Z698">
        <v>2</v>
      </c>
      <c r="AA698">
        <v>80</v>
      </c>
      <c r="AB698">
        <v>0</v>
      </c>
      <c r="AC698">
        <v>9</v>
      </c>
      <c r="AD698">
        <v>5</v>
      </c>
      <c r="AE698">
        <v>2</v>
      </c>
      <c r="AF698">
        <v>9</v>
      </c>
      <c r="AG698">
        <v>7</v>
      </c>
      <c r="AH698">
        <v>0</v>
      </c>
      <c r="AI698">
        <v>8</v>
      </c>
      <c r="AJ698">
        <f t="shared" si="10"/>
        <v>0</v>
      </c>
      <c r="AK698" t="str" cm="1">
        <f t="array" ref="AK698">_xlfn.IFS(A698&lt;=30,"18-30",A698&lt;=45,"31-45",A698&lt;=60,"46-60",TRUE, "60+")</f>
        <v>31-45</v>
      </c>
      <c r="AL698" t="str" cm="1">
        <f t="array" ref="AL698">_xlfn.IFS(F698&lt;=10,"0-10",F698&lt;=20,"11-20",TRUE,"20+")</f>
        <v>0-10</v>
      </c>
      <c r="AM698" t="str" cm="1">
        <f t="array" ref="AM698">_xlfn.IFS(S698&lt;=5000,"0-5k",S698&lt;=10000,"5k-10k",S698&lt;=15000,"10k-15k",TRUE,"15k+")</f>
        <v>0-5k</v>
      </c>
      <c r="AN698" t="str" cm="1">
        <f t="array" ref="AN698">_xlfn.IFS(AF698&lt;=10,"0-10",AF698&lt;=20,"10-20",AF698&lt;=30,"20-30",TRUE,"30+")</f>
        <v>0-10</v>
      </c>
      <c r="AO698" t="str" cm="1">
        <f t="array" ref="AO698">_xlfn.IFS(Y698=1,"Poor",Y698=2,"Average",Y698=3,"Good",TRUE,"Excellent")</f>
        <v>Good</v>
      </c>
      <c r="AP698" t="str" cm="1">
        <f t="array" ref="AP698">_xlfn.IFS(Q698=1,"Low",Q698=2,"Medium",Q698=3,"High",TRUE,"Very High")</f>
        <v>Medium</v>
      </c>
    </row>
    <row r="699" spans="1:42" x14ac:dyDescent="0.25">
      <c r="A699">
        <v>29</v>
      </c>
      <c r="B699" t="s">
        <v>42</v>
      </c>
      <c r="C699" t="s">
        <v>91</v>
      </c>
      <c r="D699">
        <v>1404</v>
      </c>
      <c r="E699" t="s">
        <v>36</v>
      </c>
      <c r="F699">
        <v>20</v>
      </c>
      <c r="G699">
        <v>3</v>
      </c>
      <c r="H699" t="s">
        <v>58</v>
      </c>
      <c r="I699">
        <v>1</v>
      </c>
      <c r="J699">
        <v>974</v>
      </c>
      <c r="K699">
        <v>3</v>
      </c>
      <c r="L699" t="s">
        <v>38</v>
      </c>
      <c r="M699">
        <v>84</v>
      </c>
      <c r="N699">
        <v>3</v>
      </c>
      <c r="O699">
        <v>1</v>
      </c>
      <c r="P699" t="s">
        <v>55</v>
      </c>
      <c r="Q699">
        <v>4</v>
      </c>
      <c r="R699" t="s">
        <v>46</v>
      </c>
      <c r="S699">
        <v>2157</v>
      </c>
      <c r="T699">
        <v>18203</v>
      </c>
      <c r="U699">
        <v>1</v>
      </c>
      <c r="V699" t="s">
        <v>41</v>
      </c>
      <c r="W699" t="s">
        <v>42</v>
      </c>
      <c r="X699">
        <v>15</v>
      </c>
      <c r="Y699">
        <v>3</v>
      </c>
      <c r="Z699">
        <v>2</v>
      </c>
      <c r="AA699">
        <v>80</v>
      </c>
      <c r="AB699">
        <v>1</v>
      </c>
      <c r="AC699">
        <v>3</v>
      </c>
      <c r="AD699">
        <v>5</v>
      </c>
      <c r="AE699">
        <v>3</v>
      </c>
      <c r="AF699">
        <v>3</v>
      </c>
      <c r="AG699">
        <v>1</v>
      </c>
      <c r="AH699">
        <v>0</v>
      </c>
      <c r="AI699">
        <v>2</v>
      </c>
      <c r="AJ699">
        <f t="shared" si="10"/>
        <v>0</v>
      </c>
      <c r="AK699" t="str" cm="1">
        <f t="array" ref="AK699">_xlfn.IFS(A699&lt;=30,"18-30",A699&lt;=45,"31-45",A699&lt;=60,"46-60",TRUE, "60+")</f>
        <v>18-30</v>
      </c>
      <c r="AL699" t="str" cm="1">
        <f t="array" ref="AL699">_xlfn.IFS(F699&lt;=10,"0-10",F699&lt;=20,"11-20",TRUE,"20+")</f>
        <v>11-20</v>
      </c>
      <c r="AM699" t="str" cm="1">
        <f t="array" ref="AM699">_xlfn.IFS(S699&lt;=5000,"0-5k",S699&lt;=10000,"5k-10k",S699&lt;=15000,"10k-15k",TRUE,"15k+")</f>
        <v>0-5k</v>
      </c>
      <c r="AN699" t="str" cm="1">
        <f t="array" ref="AN699">_xlfn.IFS(AF699&lt;=10,"0-10",AF699&lt;=20,"10-20",AF699&lt;=30,"20-30",TRUE,"30+")</f>
        <v>0-10</v>
      </c>
      <c r="AO699" t="str" cm="1">
        <f t="array" ref="AO699">_xlfn.IFS(Y699=1,"Poor",Y699=2,"Average",Y699=3,"Good",TRUE,"Excellent")</f>
        <v>Good</v>
      </c>
      <c r="AP699" t="str" cm="1">
        <f t="array" ref="AP699">_xlfn.IFS(Q699=1,"Low",Q699=2,"Medium",Q699=3,"High",TRUE,"Very High")</f>
        <v>Very High</v>
      </c>
    </row>
    <row r="700" spans="1:42" x14ac:dyDescent="0.25">
      <c r="A700">
        <v>35</v>
      </c>
      <c r="B700" t="s">
        <v>42</v>
      </c>
      <c r="C700" t="s">
        <v>90</v>
      </c>
      <c r="D700">
        <v>1219</v>
      </c>
      <c r="E700" t="s">
        <v>36</v>
      </c>
      <c r="F700">
        <v>18</v>
      </c>
      <c r="G700">
        <v>3</v>
      </c>
      <c r="H700" t="s">
        <v>49</v>
      </c>
      <c r="I700">
        <v>1</v>
      </c>
      <c r="J700">
        <v>975</v>
      </c>
      <c r="K700">
        <v>3</v>
      </c>
      <c r="L700" t="s">
        <v>38</v>
      </c>
      <c r="M700">
        <v>86</v>
      </c>
      <c r="N700">
        <v>3</v>
      </c>
      <c r="O700">
        <v>2</v>
      </c>
      <c r="P700" t="s">
        <v>39</v>
      </c>
      <c r="Q700">
        <v>3</v>
      </c>
      <c r="R700" t="s">
        <v>46</v>
      </c>
      <c r="S700">
        <v>4601</v>
      </c>
      <c r="T700">
        <v>6179</v>
      </c>
      <c r="U700">
        <v>1</v>
      </c>
      <c r="V700" t="s">
        <v>41</v>
      </c>
      <c r="W700" t="s">
        <v>42</v>
      </c>
      <c r="X700">
        <v>16</v>
      </c>
      <c r="Y700">
        <v>3</v>
      </c>
      <c r="Z700">
        <v>2</v>
      </c>
      <c r="AA700">
        <v>80</v>
      </c>
      <c r="AB700">
        <v>0</v>
      </c>
      <c r="AC700">
        <v>5</v>
      </c>
      <c r="AD700">
        <v>3</v>
      </c>
      <c r="AE700">
        <v>3</v>
      </c>
      <c r="AF700">
        <v>5</v>
      </c>
      <c r="AG700">
        <v>2</v>
      </c>
      <c r="AH700">
        <v>1</v>
      </c>
      <c r="AI700">
        <v>0</v>
      </c>
      <c r="AJ700">
        <f t="shared" si="10"/>
        <v>0</v>
      </c>
      <c r="AK700" t="str" cm="1">
        <f t="array" ref="AK700">_xlfn.IFS(A700&lt;=30,"18-30",A700&lt;=45,"31-45",A700&lt;=60,"46-60",TRUE, "60+")</f>
        <v>31-45</v>
      </c>
      <c r="AL700" t="str" cm="1">
        <f t="array" ref="AL700">_xlfn.IFS(F700&lt;=10,"0-10",F700&lt;=20,"11-20",TRUE,"20+")</f>
        <v>11-20</v>
      </c>
      <c r="AM700" t="str" cm="1">
        <f t="array" ref="AM700">_xlfn.IFS(S700&lt;=5000,"0-5k",S700&lt;=10000,"5k-10k",S700&lt;=15000,"10k-15k",TRUE,"15k+")</f>
        <v>0-5k</v>
      </c>
      <c r="AN700" t="str" cm="1">
        <f t="array" ref="AN700">_xlfn.IFS(AF700&lt;=10,"0-10",AF700&lt;=20,"10-20",AF700&lt;=30,"20-30",TRUE,"30+")</f>
        <v>0-10</v>
      </c>
      <c r="AO700" t="str" cm="1">
        <f t="array" ref="AO700">_xlfn.IFS(Y700=1,"Poor",Y700=2,"Average",Y700=3,"Good",TRUE,"Excellent")</f>
        <v>Good</v>
      </c>
      <c r="AP700" t="str" cm="1">
        <f t="array" ref="AP700">_xlfn.IFS(Q700=1,"Low",Q700=2,"Medium",Q700=3,"High",TRUE,"Very High")</f>
        <v>High</v>
      </c>
    </row>
    <row r="701" spans="1:42" x14ac:dyDescent="0.25">
      <c r="A701">
        <v>52</v>
      </c>
      <c r="B701" t="s">
        <v>42</v>
      </c>
      <c r="C701" t="s">
        <v>90</v>
      </c>
      <c r="D701">
        <v>1053</v>
      </c>
      <c r="E701" t="s">
        <v>43</v>
      </c>
      <c r="F701">
        <v>1</v>
      </c>
      <c r="G701">
        <v>2</v>
      </c>
      <c r="H701" t="s">
        <v>37</v>
      </c>
      <c r="I701">
        <v>1</v>
      </c>
      <c r="J701">
        <v>976</v>
      </c>
      <c r="K701">
        <v>4</v>
      </c>
      <c r="L701" t="s">
        <v>44</v>
      </c>
      <c r="M701">
        <v>70</v>
      </c>
      <c r="N701">
        <v>3</v>
      </c>
      <c r="O701">
        <v>4</v>
      </c>
      <c r="P701" t="s">
        <v>54</v>
      </c>
      <c r="Q701">
        <v>4</v>
      </c>
      <c r="R701" t="s">
        <v>46</v>
      </c>
      <c r="S701">
        <v>17099</v>
      </c>
      <c r="T701">
        <v>13829</v>
      </c>
      <c r="U701">
        <v>2</v>
      </c>
      <c r="V701" t="s">
        <v>41</v>
      </c>
      <c r="W701" t="s">
        <v>42</v>
      </c>
      <c r="X701">
        <v>15</v>
      </c>
      <c r="Y701">
        <v>3</v>
      </c>
      <c r="Z701">
        <v>2</v>
      </c>
      <c r="AA701">
        <v>80</v>
      </c>
      <c r="AB701">
        <v>1</v>
      </c>
      <c r="AC701">
        <v>26</v>
      </c>
      <c r="AD701">
        <v>2</v>
      </c>
      <c r="AE701">
        <v>2</v>
      </c>
      <c r="AF701">
        <v>9</v>
      </c>
      <c r="AG701">
        <v>8</v>
      </c>
      <c r="AH701">
        <v>7</v>
      </c>
      <c r="AI701">
        <v>8</v>
      </c>
      <c r="AJ701">
        <f t="shared" si="10"/>
        <v>0</v>
      </c>
      <c r="AK701" t="str" cm="1">
        <f t="array" ref="AK701">_xlfn.IFS(A701&lt;=30,"18-30",A701&lt;=45,"31-45",A701&lt;=60,"46-60",TRUE, "60+")</f>
        <v>46-60</v>
      </c>
      <c r="AL701" t="str" cm="1">
        <f t="array" ref="AL701">_xlfn.IFS(F701&lt;=10,"0-10",F701&lt;=20,"11-20",TRUE,"20+")</f>
        <v>0-10</v>
      </c>
      <c r="AM701" t="str" cm="1">
        <f t="array" ref="AM701">_xlfn.IFS(S701&lt;=5000,"0-5k",S701&lt;=10000,"5k-10k",S701&lt;=15000,"10k-15k",TRUE,"15k+")</f>
        <v>15k+</v>
      </c>
      <c r="AN701" t="str" cm="1">
        <f t="array" ref="AN701">_xlfn.IFS(AF701&lt;=10,"0-10",AF701&lt;=20,"10-20",AF701&lt;=30,"20-30",TRUE,"30+")</f>
        <v>0-10</v>
      </c>
      <c r="AO701" t="str" cm="1">
        <f t="array" ref="AO701">_xlfn.IFS(Y701=1,"Poor",Y701=2,"Average",Y701=3,"Good",TRUE,"Excellent")</f>
        <v>Good</v>
      </c>
      <c r="AP701" t="str" cm="1">
        <f t="array" ref="AP701">_xlfn.IFS(Q701=1,"Low",Q701=2,"Medium",Q701=3,"High",TRUE,"Very High")</f>
        <v>Very High</v>
      </c>
    </row>
    <row r="702" spans="1:42" x14ac:dyDescent="0.25">
      <c r="A702">
        <v>58</v>
      </c>
      <c r="B702" t="s">
        <v>35</v>
      </c>
      <c r="C702" t="s">
        <v>90</v>
      </c>
      <c r="D702">
        <v>289</v>
      </c>
      <c r="E702" t="s">
        <v>43</v>
      </c>
      <c r="F702">
        <v>2</v>
      </c>
      <c r="G702">
        <v>3</v>
      </c>
      <c r="H702" t="s">
        <v>58</v>
      </c>
      <c r="I702">
        <v>1</v>
      </c>
      <c r="J702">
        <v>977</v>
      </c>
      <c r="K702">
        <v>4</v>
      </c>
      <c r="L702" t="s">
        <v>44</v>
      </c>
      <c r="M702">
        <v>51</v>
      </c>
      <c r="N702">
        <v>3</v>
      </c>
      <c r="O702">
        <v>1</v>
      </c>
      <c r="P702" t="s">
        <v>45</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c r="AJ702">
        <f t="shared" si="10"/>
        <v>1</v>
      </c>
      <c r="AK702" t="str" cm="1">
        <f t="array" ref="AK702">_xlfn.IFS(A702&lt;=30,"18-30",A702&lt;=45,"31-45",A702&lt;=60,"46-60",TRUE, "60+")</f>
        <v>46-60</v>
      </c>
      <c r="AL702" t="str" cm="1">
        <f t="array" ref="AL702">_xlfn.IFS(F702&lt;=10,"0-10",F702&lt;=20,"11-20",TRUE,"20+")</f>
        <v>0-10</v>
      </c>
      <c r="AM702" t="str" cm="1">
        <f t="array" ref="AM702">_xlfn.IFS(S702&lt;=5000,"0-5k",S702&lt;=10000,"5k-10k",S702&lt;=15000,"10k-15k",TRUE,"15k+")</f>
        <v>0-5k</v>
      </c>
      <c r="AN702" t="str" cm="1">
        <f t="array" ref="AN702">_xlfn.IFS(AF702&lt;=10,"0-10",AF702&lt;=20,"10-20",AF702&lt;=30,"20-30",TRUE,"30+")</f>
        <v>0-10</v>
      </c>
      <c r="AO702" t="str" cm="1">
        <f t="array" ref="AO702">_xlfn.IFS(Y702=1,"Poor",Y702=2,"Average",Y702=3,"Good",TRUE,"Excellent")</f>
        <v>Excellent</v>
      </c>
      <c r="AP702" t="str" cm="1">
        <f t="array" ref="AP702">_xlfn.IFS(Q702=1,"Low",Q702=2,"Medium",Q702=3,"High",TRUE,"Very High")</f>
        <v>High</v>
      </c>
    </row>
    <row r="703" spans="1:42" x14ac:dyDescent="0.25">
      <c r="A703">
        <v>53</v>
      </c>
      <c r="B703" t="s">
        <v>42</v>
      </c>
      <c r="C703" t="s">
        <v>90</v>
      </c>
      <c r="D703">
        <v>1376</v>
      </c>
      <c r="E703" t="s">
        <v>36</v>
      </c>
      <c r="F703">
        <v>2</v>
      </c>
      <c r="G703">
        <v>2</v>
      </c>
      <c r="H703" t="s">
        <v>49</v>
      </c>
      <c r="I703">
        <v>1</v>
      </c>
      <c r="J703">
        <v>981</v>
      </c>
      <c r="K703">
        <v>3</v>
      </c>
      <c r="L703" t="s">
        <v>44</v>
      </c>
      <c r="M703">
        <v>45</v>
      </c>
      <c r="N703">
        <v>3</v>
      </c>
      <c r="O703">
        <v>4</v>
      </c>
      <c r="P703" t="s">
        <v>54</v>
      </c>
      <c r="Q703">
        <v>3</v>
      </c>
      <c r="R703" t="s">
        <v>50</v>
      </c>
      <c r="S703">
        <v>14852</v>
      </c>
      <c r="T703">
        <v>13938</v>
      </c>
      <c r="U703">
        <v>6</v>
      </c>
      <c r="V703" t="s">
        <v>41</v>
      </c>
      <c r="W703" t="s">
        <v>42</v>
      </c>
      <c r="X703">
        <v>13</v>
      </c>
      <c r="Y703">
        <v>3</v>
      </c>
      <c r="Z703">
        <v>3</v>
      </c>
      <c r="AA703">
        <v>80</v>
      </c>
      <c r="AB703">
        <v>1</v>
      </c>
      <c r="AC703">
        <v>22</v>
      </c>
      <c r="AD703">
        <v>3</v>
      </c>
      <c r="AE703">
        <v>4</v>
      </c>
      <c r="AF703">
        <v>17</v>
      </c>
      <c r="AG703">
        <v>13</v>
      </c>
      <c r="AH703">
        <v>15</v>
      </c>
      <c r="AI703">
        <v>2</v>
      </c>
      <c r="AJ703">
        <f t="shared" si="10"/>
        <v>0</v>
      </c>
      <c r="AK703" t="str" cm="1">
        <f t="array" ref="AK703">_xlfn.IFS(A703&lt;=30,"18-30",A703&lt;=45,"31-45",A703&lt;=60,"46-60",TRUE, "60+")</f>
        <v>46-60</v>
      </c>
      <c r="AL703" t="str" cm="1">
        <f t="array" ref="AL703">_xlfn.IFS(F703&lt;=10,"0-10",F703&lt;=20,"11-20",TRUE,"20+")</f>
        <v>0-10</v>
      </c>
      <c r="AM703" t="str" cm="1">
        <f t="array" ref="AM703">_xlfn.IFS(S703&lt;=5000,"0-5k",S703&lt;=10000,"5k-10k",S703&lt;=15000,"10k-15k",TRUE,"15k+")</f>
        <v>10k-15k</v>
      </c>
      <c r="AN703" t="str" cm="1">
        <f t="array" ref="AN703">_xlfn.IFS(AF703&lt;=10,"0-10",AF703&lt;=20,"10-20",AF703&lt;=30,"20-30",TRUE,"30+")</f>
        <v>10-20</v>
      </c>
      <c r="AO703" t="str" cm="1">
        <f t="array" ref="AO703">_xlfn.IFS(Y703=1,"Poor",Y703=2,"Average",Y703=3,"Good",TRUE,"Excellent")</f>
        <v>Good</v>
      </c>
      <c r="AP703" t="str" cm="1">
        <f t="array" ref="AP703">_xlfn.IFS(Q703=1,"Low",Q703=2,"Medium",Q703=3,"High",TRUE,"Very High")</f>
        <v>High</v>
      </c>
    </row>
    <row r="704" spans="1:42" x14ac:dyDescent="0.25">
      <c r="A704">
        <v>30</v>
      </c>
      <c r="B704" t="s">
        <v>42</v>
      </c>
      <c r="C704" t="s">
        <v>90</v>
      </c>
      <c r="D704">
        <v>231</v>
      </c>
      <c r="E704" t="s">
        <v>36</v>
      </c>
      <c r="F704">
        <v>8</v>
      </c>
      <c r="G704">
        <v>2</v>
      </c>
      <c r="H704" t="s">
        <v>47</v>
      </c>
      <c r="I704">
        <v>1</v>
      </c>
      <c r="J704">
        <v>982</v>
      </c>
      <c r="K704">
        <v>3</v>
      </c>
      <c r="L704" t="s">
        <v>44</v>
      </c>
      <c r="M704">
        <v>62</v>
      </c>
      <c r="N704">
        <v>3</v>
      </c>
      <c r="O704">
        <v>3</v>
      </c>
      <c r="P704" t="s">
        <v>39</v>
      </c>
      <c r="Q704">
        <v>3</v>
      </c>
      <c r="R704" t="s">
        <v>50</v>
      </c>
      <c r="S704">
        <v>7264</v>
      </c>
      <c r="T704">
        <v>9977</v>
      </c>
      <c r="U704">
        <v>5</v>
      </c>
      <c r="V704" t="s">
        <v>41</v>
      </c>
      <c r="W704" t="s">
        <v>42</v>
      </c>
      <c r="X704">
        <v>11</v>
      </c>
      <c r="Y704">
        <v>3</v>
      </c>
      <c r="Z704">
        <v>1</v>
      </c>
      <c r="AA704">
        <v>80</v>
      </c>
      <c r="AB704">
        <v>1</v>
      </c>
      <c r="AC704">
        <v>10</v>
      </c>
      <c r="AD704">
        <v>2</v>
      </c>
      <c r="AE704">
        <v>4</v>
      </c>
      <c r="AF704">
        <v>8</v>
      </c>
      <c r="AG704">
        <v>4</v>
      </c>
      <c r="AH704">
        <v>7</v>
      </c>
      <c r="AI704">
        <v>7</v>
      </c>
      <c r="AJ704">
        <f t="shared" si="10"/>
        <v>0</v>
      </c>
      <c r="AK704" t="str" cm="1">
        <f t="array" ref="AK704">_xlfn.IFS(A704&lt;=30,"18-30",A704&lt;=45,"31-45",A704&lt;=60,"46-60",TRUE, "60+")</f>
        <v>18-30</v>
      </c>
      <c r="AL704" t="str" cm="1">
        <f t="array" ref="AL704">_xlfn.IFS(F704&lt;=10,"0-10",F704&lt;=20,"11-20",TRUE,"20+")</f>
        <v>0-10</v>
      </c>
      <c r="AM704" t="str" cm="1">
        <f t="array" ref="AM704">_xlfn.IFS(S704&lt;=5000,"0-5k",S704&lt;=10000,"5k-10k",S704&lt;=15000,"10k-15k",TRUE,"15k+")</f>
        <v>5k-10k</v>
      </c>
      <c r="AN704" t="str" cm="1">
        <f t="array" ref="AN704">_xlfn.IFS(AF704&lt;=10,"0-10",AF704&lt;=20,"10-20",AF704&lt;=30,"20-30",TRUE,"30+")</f>
        <v>0-10</v>
      </c>
      <c r="AO704" t="str" cm="1">
        <f t="array" ref="AO704">_xlfn.IFS(Y704=1,"Poor",Y704=2,"Average",Y704=3,"Good",TRUE,"Excellent")</f>
        <v>Good</v>
      </c>
      <c r="AP704" t="str" cm="1">
        <f t="array" ref="AP704">_xlfn.IFS(Q704=1,"Low",Q704=2,"Medium",Q704=3,"High",TRUE,"Very High")</f>
        <v>High</v>
      </c>
    </row>
    <row r="705" spans="1:42" x14ac:dyDescent="0.25">
      <c r="A705">
        <v>38</v>
      </c>
      <c r="B705" t="s">
        <v>42</v>
      </c>
      <c r="C705" t="s">
        <v>53</v>
      </c>
      <c r="D705">
        <v>152</v>
      </c>
      <c r="E705" t="s">
        <v>36</v>
      </c>
      <c r="F705">
        <v>10</v>
      </c>
      <c r="G705">
        <v>3</v>
      </c>
      <c r="H705" t="s">
        <v>58</v>
      </c>
      <c r="I705">
        <v>1</v>
      </c>
      <c r="J705">
        <v>983</v>
      </c>
      <c r="K705">
        <v>3</v>
      </c>
      <c r="L705" t="s">
        <v>38</v>
      </c>
      <c r="M705">
        <v>85</v>
      </c>
      <c r="N705">
        <v>3</v>
      </c>
      <c r="O705">
        <v>2</v>
      </c>
      <c r="P705" t="s">
        <v>39</v>
      </c>
      <c r="Q705">
        <v>4</v>
      </c>
      <c r="R705" t="s">
        <v>40</v>
      </c>
      <c r="S705">
        <v>5666</v>
      </c>
      <c r="T705">
        <v>19899</v>
      </c>
      <c r="U705">
        <v>1</v>
      </c>
      <c r="V705" t="s">
        <v>41</v>
      </c>
      <c r="W705" t="s">
        <v>35</v>
      </c>
      <c r="X705">
        <v>13</v>
      </c>
      <c r="Y705">
        <v>3</v>
      </c>
      <c r="Z705">
        <v>2</v>
      </c>
      <c r="AA705">
        <v>80</v>
      </c>
      <c r="AB705">
        <v>0</v>
      </c>
      <c r="AC705">
        <v>6</v>
      </c>
      <c r="AD705">
        <v>1</v>
      </c>
      <c r="AE705">
        <v>3</v>
      </c>
      <c r="AF705">
        <v>5</v>
      </c>
      <c r="AG705">
        <v>3</v>
      </c>
      <c r="AH705">
        <v>1</v>
      </c>
      <c r="AI705">
        <v>3</v>
      </c>
      <c r="AJ705">
        <f t="shared" si="10"/>
        <v>0</v>
      </c>
      <c r="AK705" t="str" cm="1">
        <f t="array" ref="AK705">_xlfn.IFS(A705&lt;=30,"18-30",A705&lt;=45,"31-45",A705&lt;=60,"46-60",TRUE, "60+")</f>
        <v>31-45</v>
      </c>
      <c r="AL705" t="str" cm="1">
        <f t="array" ref="AL705">_xlfn.IFS(F705&lt;=10,"0-10",F705&lt;=20,"11-20",TRUE,"20+")</f>
        <v>0-10</v>
      </c>
      <c r="AM705" t="str" cm="1">
        <f t="array" ref="AM705">_xlfn.IFS(S705&lt;=5000,"0-5k",S705&lt;=10000,"5k-10k",S705&lt;=15000,"10k-15k",TRUE,"15k+")</f>
        <v>5k-10k</v>
      </c>
      <c r="AN705" t="str" cm="1">
        <f t="array" ref="AN705">_xlfn.IFS(AF705&lt;=10,"0-10",AF705&lt;=20,"10-20",AF705&lt;=30,"20-30",TRUE,"30+")</f>
        <v>0-10</v>
      </c>
      <c r="AO705" t="str" cm="1">
        <f t="array" ref="AO705">_xlfn.IFS(Y705=1,"Poor",Y705=2,"Average",Y705=3,"Good",TRUE,"Excellent")</f>
        <v>Good</v>
      </c>
      <c r="AP705" t="str" cm="1">
        <f t="array" ref="AP705">_xlfn.IFS(Q705=1,"Low",Q705=2,"Medium",Q705=3,"High",TRUE,"Very High")</f>
        <v>Very High</v>
      </c>
    </row>
    <row r="706" spans="1:42" x14ac:dyDescent="0.25">
      <c r="A706">
        <v>35</v>
      </c>
      <c r="B706" t="s">
        <v>42</v>
      </c>
      <c r="C706" t="s">
        <v>90</v>
      </c>
      <c r="D706">
        <v>882</v>
      </c>
      <c r="E706" t="s">
        <v>36</v>
      </c>
      <c r="F706">
        <v>3</v>
      </c>
      <c r="G706">
        <v>4</v>
      </c>
      <c r="H706" t="s">
        <v>37</v>
      </c>
      <c r="I706">
        <v>1</v>
      </c>
      <c r="J706">
        <v>984</v>
      </c>
      <c r="K706">
        <v>4</v>
      </c>
      <c r="L706" t="s">
        <v>44</v>
      </c>
      <c r="M706">
        <v>92</v>
      </c>
      <c r="N706">
        <v>3</v>
      </c>
      <c r="O706">
        <v>3</v>
      </c>
      <c r="P706" t="s">
        <v>39</v>
      </c>
      <c r="Q706">
        <v>4</v>
      </c>
      <c r="R706" t="s">
        <v>50</v>
      </c>
      <c r="S706">
        <v>7823</v>
      </c>
      <c r="T706">
        <v>6812</v>
      </c>
      <c r="U706">
        <v>6</v>
      </c>
      <c r="V706" t="s">
        <v>41</v>
      </c>
      <c r="W706" t="s">
        <v>42</v>
      </c>
      <c r="X706">
        <v>13</v>
      </c>
      <c r="Y706">
        <v>3</v>
      </c>
      <c r="Z706">
        <v>2</v>
      </c>
      <c r="AA706">
        <v>80</v>
      </c>
      <c r="AB706">
        <v>1</v>
      </c>
      <c r="AC706">
        <v>12</v>
      </c>
      <c r="AD706">
        <v>2</v>
      </c>
      <c r="AE706">
        <v>3</v>
      </c>
      <c r="AF706">
        <v>10</v>
      </c>
      <c r="AG706">
        <v>9</v>
      </c>
      <c r="AH706">
        <v>0</v>
      </c>
      <c r="AI706">
        <v>8</v>
      </c>
      <c r="AJ706">
        <f t="shared" ref="AJ706:AJ769" si="11">IF(B706="yes",1,0)</f>
        <v>0</v>
      </c>
      <c r="AK706" t="str" cm="1">
        <f t="array" ref="AK706">_xlfn.IFS(A706&lt;=30,"18-30",A706&lt;=45,"31-45",A706&lt;=60,"46-60",TRUE, "60+")</f>
        <v>31-45</v>
      </c>
      <c r="AL706" t="str" cm="1">
        <f t="array" ref="AL706">_xlfn.IFS(F706&lt;=10,"0-10",F706&lt;=20,"11-20",TRUE,"20+")</f>
        <v>0-10</v>
      </c>
      <c r="AM706" t="str" cm="1">
        <f t="array" ref="AM706">_xlfn.IFS(S706&lt;=5000,"0-5k",S706&lt;=10000,"5k-10k",S706&lt;=15000,"10k-15k",TRUE,"15k+")</f>
        <v>5k-10k</v>
      </c>
      <c r="AN706" t="str" cm="1">
        <f t="array" ref="AN706">_xlfn.IFS(AF706&lt;=10,"0-10",AF706&lt;=20,"10-20",AF706&lt;=30,"20-30",TRUE,"30+")</f>
        <v>0-10</v>
      </c>
      <c r="AO706" t="str" cm="1">
        <f t="array" ref="AO706">_xlfn.IFS(Y706=1,"Poor",Y706=2,"Average",Y706=3,"Good",TRUE,"Excellent")</f>
        <v>Good</v>
      </c>
      <c r="AP706" t="str" cm="1">
        <f t="array" ref="AP706">_xlfn.IFS(Q706=1,"Low",Q706=2,"Medium",Q706=3,"High",TRUE,"Very High")</f>
        <v>Very High</v>
      </c>
    </row>
    <row r="707" spans="1:42" x14ac:dyDescent="0.25">
      <c r="A707">
        <v>39</v>
      </c>
      <c r="B707" t="s">
        <v>42</v>
      </c>
      <c r="C707" t="s">
        <v>90</v>
      </c>
      <c r="D707">
        <v>903</v>
      </c>
      <c r="E707" t="s">
        <v>36</v>
      </c>
      <c r="F707">
        <v>2</v>
      </c>
      <c r="G707">
        <v>5</v>
      </c>
      <c r="H707" t="s">
        <v>37</v>
      </c>
      <c r="I707">
        <v>1</v>
      </c>
      <c r="J707">
        <v>985</v>
      </c>
      <c r="K707">
        <v>1</v>
      </c>
      <c r="L707" t="s">
        <v>44</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c r="AJ707">
        <f t="shared" si="11"/>
        <v>0</v>
      </c>
      <c r="AK707" t="str" cm="1">
        <f t="array" ref="AK707">_xlfn.IFS(A707&lt;=30,"18-30",A707&lt;=45,"31-45",A707&lt;=60,"46-60",TRUE, "60+")</f>
        <v>31-45</v>
      </c>
      <c r="AL707" t="str" cm="1">
        <f t="array" ref="AL707">_xlfn.IFS(F707&lt;=10,"0-10",F707&lt;=20,"11-20",TRUE,"20+")</f>
        <v>0-10</v>
      </c>
      <c r="AM707" t="str" cm="1">
        <f t="array" ref="AM707">_xlfn.IFS(S707&lt;=5000,"0-5k",S707&lt;=10000,"5k-10k",S707&lt;=15000,"10k-15k",TRUE,"15k+")</f>
        <v>5k-10k</v>
      </c>
      <c r="AN707" t="str" cm="1">
        <f t="array" ref="AN707">_xlfn.IFS(AF707&lt;=10,"0-10",AF707&lt;=20,"10-20",AF707&lt;=30,"20-30",TRUE,"30+")</f>
        <v>0-10</v>
      </c>
      <c r="AO707" t="str" cm="1">
        <f t="array" ref="AO707">_xlfn.IFS(Y707=1,"Poor",Y707=2,"Average",Y707=3,"Good",TRUE,"Excellent")</f>
        <v>Good</v>
      </c>
      <c r="AP707" t="str" cm="1">
        <f t="array" ref="AP707">_xlfn.IFS(Q707=1,"Low",Q707=2,"Medium",Q707=3,"High",TRUE,"Very High")</f>
        <v>High</v>
      </c>
    </row>
    <row r="708" spans="1:42" x14ac:dyDescent="0.25">
      <c r="A708">
        <v>40</v>
      </c>
      <c r="B708" t="s">
        <v>35</v>
      </c>
      <c r="C708" t="s">
        <v>53</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35</v>
      </c>
      <c r="X708">
        <v>16</v>
      </c>
      <c r="Y708">
        <v>3</v>
      </c>
      <c r="Z708">
        <v>4</v>
      </c>
      <c r="AA708">
        <v>80</v>
      </c>
      <c r="AB708">
        <v>0</v>
      </c>
      <c r="AC708">
        <v>22</v>
      </c>
      <c r="AD708">
        <v>2</v>
      </c>
      <c r="AE708">
        <v>2</v>
      </c>
      <c r="AF708">
        <v>1</v>
      </c>
      <c r="AG708">
        <v>0</v>
      </c>
      <c r="AH708">
        <v>0</v>
      </c>
      <c r="AI708">
        <v>0</v>
      </c>
      <c r="AJ708">
        <f t="shared" si="11"/>
        <v>1</v>
      </c>
      <c r="AK708" t="str" cm="1">
        <f t="array" ref="AK708">_xlfn.IFS(A708&lt;=30,"18-30",A708&lt;=45,"31-45",A708&lt;=60,"46-60",TRUE, "60+")</f>
        <v>31-45</v>
      </c>
      <c r="AL708" t="str" cm="1">
        <f t="array" ref="AL708">_xlfn.IFS(F708&lt;=10,"0-10",F708&lt;=20,"11-20",TRUE,"20+")</f>
        <v>20+</v>
      </c>
      <c r="AM708" t="str" cm="1">
        <f t="array" ref="AM708">_xlfn.IFS(S708&lt;=5000,"0-5k",S708&lt;=10000,"5k-10k",S708&lt;=15000,"10k-15k",TRUE,"15k+")</f>
        <v>10k-15k</v>
      </c>
      <c r="AN708" t="str" cm="1">
        <f t="array" ref="AN708">_xlfn.IFS(AF708&lt;=10,"0-10",AF708&lt;=20,"10-20",AF708&lt;=30,"20-30",TRUE,"30+")</f>
        <v>0-10</v>
      </c>
      <c r="AO708" t="str" cm="1">
        <f t="array" ref="AO708">_xlfn.IFS(Y708=1,"Poor",Y708=2,"Average",Y708=3,"Good",TRUE,"Excellent")</f>
        <v>Good</v>
      </c>
      <c r="AP708" t="str" cm="1">
        <f t="array" ref="AP708">_xlfn.IFS(Q708=1,"Low",Q708=2,"Medium",Q708=3,"High",TRUE,"Very High")</f>
        <v>Medium</v>
      </c>
    </row>
    <row r="709" spans="1:42" x14ac:dyDescent="0.25">
      <c r="A709">
        <v>47</v>
      </c>
      <c r="B709" t="s">
        <v>42</v>
      </c>
      <c r="C709" t="s">
        <v>91</v>
      </c>
      <c r="D709">
        <v>1379</v>
      </c>
      <c r="E709" t="s">
        <v>43</v>
      </c>
      <c r="F709">
        <v>16</v>
      </c>
      <c r="G709">
        <v>4</v>
      </c>
      <c r="H709" t="s">
        <v>49</v>
      </c>
      <c r="I709">
        <v>1</v>
      </c>
      <c r="J709">
        <v>987</v>
      </c>
      <c r="K709">
        <v>3</v>
      </c>
      <c r="L709" t="s">
        <v>44</v>
      </c>
      <c r="M709">
        <v>64</v>
      </c>
      <c r="N709">
        <v>4</v>
      </c>
      <c r="O709">
        <v>2</v>
      </c>
      <c r="P709" t="s">
        <v>51</v>
      </c>
      <c r="Q709">
        <v>3</v>
      </c>
      <c r="R709" t="s">
        <v>50</v>
      </c>
      <c r="S709">
        <v>5067</v>
      </c>
      <c r="T709">
        <v>6759</v>
      </c>
      <c r="U709">
        <v>1</v>
      </c>
      <c r="V709" t="s">
        <v>41</v>
      </c>
      <c r="W709" t="s">
        <v>35</v>
      </c>
      <c r="X709">
        <v>19</v>
      </c>
      <c r="Y709">
        <v>3</v>
      </c>
      <c r="Z709">
        <v>3</v>
      </c>
      <c r="AA709">
        <v>80</v>
      </c>
      <c r="AB709">
        <v>0</v>
      </c>
      <c r="AC709">
        <v>20</v>
      </c>
      <c r="AD709">
        <v>3</v>
      </c>
      <c r="AE709">
        <v>4</v>
      </c>
      <c r="AF709">
        <v>19</v>
      </c>
      <c r="AG709">
        <v>10</v>
      </c>
      <c r="AH709">
        <v>2</v>
      </c>
      <c r="AI709">
        <v>7</v>
      </c>
      <c r="AJ709">
        <f t="shared" si="11"/>
        <v>0</v>
      </c>
      <c r="AK709" t="str" cm="1">
        <f t="array" ref="AK709">_xlfn.IFS(A709&lt;=30,"18-30",A709&lt;=45,"31-45",A709&lt;=60,"46-60",TRUE, "60+")</f>
        <v>46-60</v>
      </c>
      <c r="AL709" t="str" cm="1">
        <f t="array" ref="AL709">_xlfn.IFS(F709&lt;=10,"0-10",F709&lt;=20,"11-20",TRUE,"20+")</f>
        <v>11-20</v>
      </c>
      <c r="AM709" t="str" cm="1">
        <f t="array" ref="AM709">_xlfn.IFS(S709&lt;=5000,"0-5k",S709&lt;=10000,"5k-10k",S709&lt;=15000,"10k-15k",TRUE,"15k+")</f>
        <v>5k-10k</v>
      </c>
      <c r="AN709" t="str" cm="1">
        <f t="array" ref="AN709">_xlfn.IFS(AF709&lt;=10,"0-10",AF709&lt;=20,"10-20",AF709&lt;=30,"20-30",TRUE,"30+")</f>
        <v>10-20</v>
      </c>
      <c r="AO709" t="str" cm="1">
        <f t="array" ref="AO709">_xlfn.IFS(Y709=1,"Poor",Y709=2,"Average",Y709=3,"Good",TRUE,"Excellent")</f>
        <v>Good</v>
      </c>
      <c r="AP709" t="str" cm="1">
        <f t="array" ref="AP709">_xlfn.IFS(Q709=1,"Low",Q709=2,"Medium",Q709=3,"High",TRUE,"Very High")</f>
        <v>High</v>
      </c>
    </row>
    <row r="710" spans="1:42" x14ac:dyDescent="0.25">
      <c r="A710">
        <v>36</v>
      </c>
      <c r="B710" t="s">
        <v>42</v>
      </c>
      <c r="C710" t="s">
        <v>53</v>
      </c>
      <c r="D710">
        <v>1229</v>
      </c>
      <c r="E710" t="s">
        <v>36</v>
      </c>
      <c r="F710">
        <v>8</v>
      </c>
      <c r="G710">
        <v>4</v>
      </c>
      <c r="H710" t="s">
        <v>58</v>
      </c>
      <c r="I710">
        <v>1</v>
      </c>
      <c r="J710">
        <v>990</v>
      </c>
      <c r="K710">
        <v>1</v>
      </c>
      <c r="L710" t="s">
        <v>44</v>
      </c>
      <c r="M710">
        <v>84</v>
      </c>
      <c r="N710">
        <v>3</v>
      </c>
      <c r="O710">
        <v>2</v>
      </c>
      <c r="P710" t="s">
        <v>39</v>
      </c>
      <c r="Q710">
        <v>4</v>
      </c>
      <c r="R710" t="s">
        <v>50</v>
      </c>
      <c r="S710">
        <v>5079</v>
      </c>
      <c r="T710">
        <v>25952</v>
      </c>
      <c r="U710">
        <v>4</v>
      </c>
      <c r="V710" t="s">
        <v>41</v>
      </c>
      <c r="W710" t="s">
        <v>42</v>
      </c>
      <c r="X710">
        <v>13</v>
      </c>
      <c r="Y710">
        <v>3</v>
      </c>
      <c r="Z710">
        <v>4</v>
      </c>
      <c r="AA710">
        <v>80</v>
      </c>
      <c r="AB710">
        <v>2</v>
      </c>
      <c r="AC710">
        <v>12</v>
      </c>
      <c r="AD710">
        <v>3</v>
      </c>
      <c r="AE710">
        <v>3</v>
      </c>
      <c r="AF710">
        <v>7</v>
      </c>
      <c r="AG710">
        <v>7</v>
      </c>
      <c r="AH710">
        <v>0</v>
      </c>
      <c r="AI710">
        <v>7</v>
      </c>
      <c r="AJ710">
        <f t="shared" si="11"/>
        <v>0</v>
      </c>
      <c r="AK710" t="str" cm="1">
        <f t="array" ref="AK710">_xlfn.IFS(A710&lt;=30,"18-30",A710&lt;=45,"31-45",A710&lt;=60,"46-60",TRUE, "60+")</f>
        <v>31-45</v>
      </c>
      <c r="AL710" t="str" cm="1">
        <f t="array" ref="AL710">_xlfn.IFS(F710&lt;=10,"0-10",F710&lt;=20,"11-20",TRUE,"20+")</f>
        <v>0-10</v>
      </c>
      <c r="AM710" t="str" cm="1">
        <f t="array" ref="AM710">_xlfn.IFS(S710&lt;=5000,"0-5k",S710&lt;=10000,"5k-10k",S710&lt;=15000,"10k-15k",TRUE,"15k+")</f>
        <v>5k-10k</v>
      </c>
      <c r="AN710" t="str" cm="1">
        <f t="array" ref="AN710">_xlfn.IFS(AF710&lt;=10,"0-10",AF710&lt;=20,"10-20",AF710&lt;=30,"20-30",TRUE,"30+")</f>
        <v>0-10</v>
      </c>
      <c r="AO710" t="str" cm="1">
        <f t="array" ref="AO710">_xlfn.IFS(Y710=1,"Poor",Y710=2,"Average",Y710=3,"Good",TRUE,"Excellent")</f>
        <v>Good</v>
      </c>
      <c r="AP710" t="str" cm="1">
        <f t="array" ref="AP710">_xlfn.IFS(Q710=1,"Low",Q710=2,"Medium",Q710=3,"High",TRUE,"Very High")</f>
        <v>Very High</v>
      </c>
    </row>
    <row r="711" spans="1:42" x14ac:dyDescent="0.25">
      <c r="A711">
        <v>31</v>
      </c>
      <c r="B711" t="s">
        <v>35</v>
      </c>
      <c r="C711" t="s">
        <v>53</v>
      </c>
      <c r="D711">
        <v>335</v>
      </c>
      <c r="E711" t="s">
        <v>43</v>
      </c>
      <c r="F711">
        <v>9</v>
      </c>
      <c r="G711">
        <v>2</v>
      </c>
      <c r="H711" t="s">
        <v>49</v>
      </c>
      <c r="I711">
        <v>1</v>
      </c>
      <c r="J711">
        <v>991</v>
      </c>
      <c r="K711">
        <v>3</v>
      </c>
      <c r="L711" t="s">
        <v>44</v>
      </c>
      <c r="M711">
        <v>46</v>
      </c>
      <c r="N711">
        <v>2</v>
      </c>
      <c r="O711">
        <v>1</v>
      </c>
      <c r="P711" t="s">
        <v>45</v>
      </c>
      <c r="Q711">
        <v>1</v>
      </c>
      <c r="R711" t="s">
        <v>40</v>
      </c>
      <c r="S711">
        <v>2321</v>
      </c>
      <c r="T711">
        <v>10322</v>
      </c>
      <c r="U711">
        <v>0</v>
      </c>
      <c r="V711" t="s">
        <v>41</v>
      </c>
      <c r="W711" t="s">
        <v>35</v>
      </c>
      <c r="X711">
        <v>22</v>
      </c>
      <c r="Y711">
        <v>4</v>
      </c>
      <c r="Z711">
        <v>1</v>
      </c>
      <c r="AA711">
        <v>80</v>
      </c>
      <c r="AB711">
        <v>0</v>
      </c>
      <c r="AC711">
        <v>4</v>
      </c>
      <c r="AD711">
        <v>0</v>
      </c>
      <c r="AE711">
        <v>3</v>
      </c>
      <c r="AF711">
        <v>3</v>
      </c>
      <c r="AG711">
        <v>2</v>
      </c>
      <c r="AH711">
        <v>1</v>
      </c>
      <c r="AI711">
        <v>2</v>
      </c>
      <c r="AJ711">
        <f t="shared" si="11"/>
        <v>1</v>
      </c>
      <c r="AK711" t="str" cm="1">
        <f t="array" ref="AK711">_xlfn.IFS(A711&lt;=30,"18-30",A711&lt;=45,"31-45",A711&lt;=60,"46-60",TRUE, "60+")</f>
        <v>31-45</v>
      </c>
      <c r="AL711" t="str" cm="1">
        <f t="array" ref="AL711">_xlfn.IFS(F711&lt;=10,"0-10",F711&lt;=20,"11-20",TRUE,"20+")</f>
        <v>0-10</v>
      </c>
      <c r="AM711" t="str" cm="1">
        <f t="array" ref="AM711">_xlfn.IFS(S711&lt;=5000,"0-5k",S711&lt;=10000,"5k-10k",S711&lt;=15000,"10k-15k",TRUE,"15k+")</f>
        <v>0-5k</v>
      </c>
      <c r="AN711" t="str" cm="1">
        <f t="array" ref="AN711">_xlfn.IFS(AF711&lt;=10,"0-10",AF711&lt;=20,"10-20",AF711&lt;=30,"20-30",TRUE,"30+")</f>
        <v>0-10</v>
      </c>
      <c r="AO711" t="str" cm="1">
        <f t="array" ref="AO711">_xlfn.IFS(Y711=1,"Poor",Y711=2,"Average",Y711=3,"Good",TRUE,"Excellent")</f>
        <v>Excellent</v>
      </c>
      <c r="AP711" t="str" cm="1">
        <f t="array" ref="AP711">_xlfn.IFS(Q711=1,"Low",Q711=2,"Medium",Q711=3,"High",TRUE,"Very High")</f>
        <v>Low</v>
      </c>
    </row>
    <row r="712" spans="1:42" x14ac:dyDescent="0.25">
      <c r="A712">
        <v>33</v>
      </c>
      <c r="B712" t="s">
        <v>42</v>
      </c>
      <c r="C712" t="s">
        <v>53</v>
      </c>
      <c r="D712">
        <v>722</v>
      </c>
      <c r="E712" t="s">
        <v>36</v>
      </c>
      <c r="F712">
        <v>17</v>
      </c>
      <c r="G712">
        <v>3</v>
      </c>
      <c r="H712" t="s">
        <v>37</v>
      </c>
      <c r="I712">
        <v>1</v>
      </c>
      <c r="J712">
        <v>992</v>
      </c>
      <c r="K712">
        <v>4</v>
      </c>
      <c r="L712" t="s">
        <v>44</v>
      </c>
      <c r="M712">
        <v>38</v>
      </c>
      <c r="N712">
        <v>3</v>
      </c>
      <c r="O712">
        <v>4</v>
      </c>
      <c r="P712" t="s">
        <v>54</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c r="AJ712">
        <f t="shared" si="11"/>
        <v>0</v>
      </c>
      <c r="AK712" t="str" cm="1">
        <f t="array" ref="AK712">_xlfn.IFS(A712&lt;=30,"18-30",A712&lt;=45,"31-45",A712&lt;=60,"46-60",TRUE, "60+")</f>
        <v>31-45</v>
      </c>
      <c r="AL712" t="str" cm="1">
        <f t="array" ref="AL712">_xlfn.IFS(F712&lt;=10,"0-10",F712&lt;=20,"11-20",TRUE,"20+")</f>
        <v>11-20</v>
      </c>
      <c r="AM712" t="str" cm="1">
        <f t="array" ref="AM712">_xlfn.IFS(S712&lt;=5000,"0-5k",S712&lt;=10000,"5k-10k",S712&lt;=15000,"10k-15k",TRUE,"15k+")</f>
        <v>15k+</v>
      </c>
      <c r="AN712" t="str" cm="1">
        <f t="array" ref="AN712">_xlfn.IFS(AF712&lt;=10,"0-10",AF712&lt;=20,"10-20",AF712&lt;=30,"20-30",TRUE,"30+")</f>
        <v>0-10</v>
      </c>
      <c r="AO712" t="str" cm="1">
        <f t="array" ref="AO712">_xlfn.IFS(Y712=1,"Poor",Y712=2,"Average",Y712=3,"Good",TRUE,"Excellent")</f>
        <v>Good</v>
      </c>
      <c r="AP712" t="str" cm="1">
        <f t="array" ref="AP712">_xlfn.IFS(Q712=1,"Low",Q712=2,"Medium",Q712=3,"High",TRUE,"Very High")</f>
        <v>High</v>
      </c>
    </row>
    <row r="713" spans="1:42" x14ac:dyDescent="0.25">
      <c r="A713">
        <v>29</v>
      </c>
      <c r="B713" t="s">
        <v>35</v>
      </c>
      <c r="C713" t="s">
        <v>90</v>
      </c>
      <c r="D713">
        <v>906</v>
      </c>
      <c r="E713" t="s">
        <v>43</v>
      </c>
      <c r="F713">
        <v>10</v>
      </c>
      <c r="G713">
        <v>3</v>
      </c>
      <c r="H713" t="s">
        <v>37</v>
      </c>
      <c r="I713">
        <v>1</v>
      </c>
      <c r="J713">
        <v>994</v>
      </c>
      <c r="K713">
        <v>4</v>
      </c>
      <c r="L713" t="s">
        <v>38</v>
      </c>
      <c r="M713">
        <v>92</v>
      </c>
      <c r="N713">
        <v>2</v>
      </c>
      <c r="O713">
        <v>1</v>
      </c>
      <c r="P713" t="s">
        <v>45</v>
      </c>
      <c r="Q713">
        <v>1</v>
      </c>
      <c r="R713" t="s">
        <v>40</v>
      </c>
      <c r="S713">
        <v>2404</v>
      </c>
      <c r="T713">
        <v>11479</v>
      </c>
      <c r="U713">
        <v>6</v>
      </c>
      <c r="V713" t="s">
        <v>41</v>
      </c>
      <c r="W713" t="s">
        <v>35</v>
      </c>
      <c r="X713">
        <v>20</v>
      </c>
      <c r="Y713">
        <v>4</v>
      </c>
      <c r="Z713">
        <v>3</v>
      </c>
      <c r="AA713">
        <v>80</v>
      </c>
      <c r="AB713">
        <v>0</v>
      </c>
      <c r="AC713">
        <v>3</v>
      </c>
      <c r="AD713">
        <v>5</v>
      </c>
      <c r="AE713">
        <v>3</v>
      </c>
      <c r="AF713">
        <v>0</v>
      </c>
      <c r="AG713">
        <v>0</v>
      </c>
      <c r="AH713">
        <v>0</v>
      </c>
      <c r="AI713">
        <v>0</v>
      </c>
      <c r="AJ713">
        <f t="shared" si="11"/>
        <v>1</v>
      </c>
      <c r="AK713" t="str" cm="1">
        <f t="array" ref="AK713">_xlfn.IFS(A713&lt;=30,"18-30",A713&lt;=45,"31-45",A713&lt;=60,"46-60",TRUE, "60+")</f>
        <v>18-30</v>
      </c>
      <c r="AL713" t="str" cm="1">
        <f t="array" ref="AL713">_xlfn.IFS(F713&lt;=10,"0-10",F713&lt;=20,"11-20",TRUE,"20+")</f>
        <v>0-10</v>
      </c>
      <c r="AM713" t="str" cm="1">
        <f t="array" ref="AM713">_xlfn.IFS(S713&lt;=5000,"0-5k",S713&lt;=10000,"5k-10k",S713&lt;=15000,"10k-15k",TRUE,"15k+")</f>
        <v>0-5k</v>
      </c>
      <c r="AN713" t="str" cm="1">
        <f t="array" ref="AN713">_xlfn.IFS(AF713&lt;=10,"0-10",AF713&lt;=20,"10-20",AF713&lt;=30,"20-30",TRUE,"30+")</f>
        <v>0-10</v>
      </c>
      <c r="AO713" t="str" cm="1">
        <f t="array" ref="AO713">_xlfn.IFS(Y713=1,"Poor",Y713=2,"Average",Y713=3,"Good",TRUE,"Excellent")</f>
        <v>Excellent</v>
      </c>
      <c r="AP713" t="str" cm="1">
        <f t="array" ref="AP713">_xlfn.IFS(Q713=1,"Low",Q713=2,"Medium",Q713=3,"High",TRUE,"Very High")</f>
        <v>Low</v>
      </c>
    </row>
    <row r="714" spans="1:42" x14ac:dyDescent="0.25">
      <c r="A714">
        <v>33</v>
      </c>
      <c r="B714" t="s">
        <v>42</v>
      </c>
      <c r="C714" t="s">
        <v>90</v>
      </c>
      <c r="D714">
        <v>461</v>
      </c>
      <c r="E714" t="s">
        <v>43</v>
      </c>
      <c r="F714">
        <v>13</v>
      </c>
      <c r="G714">
        <v>1</v>
      </c>
      <c r="H714" t="s">
        <v>37</v>
      </c>
      <c r="I714">
        <v>1</v>
      </c>
      <c r="J714">
        <v>995</v>
      </c>
      <c r="K714">
        <v>2</v>
      </c>
      <c r="L714" t="s">
        <v>38</v>
      </c>
      <c r="M714">
        <v>53</v>
      </c>
      <c r="N714">
        <v>3</v>
      </c>
      <c r="O714">
        <v>1</v>
      </c>
      <c r="P714" t="s">
        <v>45</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c r="AJ714">
        <f t="shared" si="11"/>
        <v>0</v>
      </c>
      <c r="AK714" t="str" cm="1">
        <f t="array" ref="AK714">_xlfn.IFS(A714&lt;=30,"18-30",A714&lt;=45,"31-45",A714&lt;=60,"46-60",TRUE, "60+")</f>
        <v>31-45</v>
      </c>
      <c r="AL714" t="str" cm="1">
        <f t="array" ref="AL714">_xlfn.IFS(F714&lt;=10,"0-10",F714&lt;=20,"11-20",TRUE,"20+")</f>
        <v>11-20</v>
      </c>
      <c r="AM714" t="str" cm="1">
        <f t="array" ref="AM714">_xlfn.IFS(S714&lt;=5000,"0-5k",S714&lt;=10000,"5k-10k",S714&lt;=15000,"10k-15k",TRUE,"15k+")</f>
        <v>0-5k</v>
      </c>
      <c r="AN714" t="str" cm="1">
        <f t="array" ref="AN714">_xlfn.IFS(AF714&lt;=10,"0-10",AF714&lt;=20,"10-20",AF714&lt;=30,"20-30",TRUE,"30+")</f>
        <v>0-10</v>
      </c>
      <c r="AO714" t="str" cm="1">
        <f t="array" ref="AO714">_xlfn.IFS(Y714=1,"Poor",Y714=2,"Average",Y714=3,"Good",TRUE,"Excellent")</f>
        <v>Good</v>
      </c>
      <c r="AP714" t="str" cm="1">
        <f t="array" ref="AP714">_xlfn.IFS(Q714=1,"Low",Q714=2,"Medium",Q714=3,"High",TRUE,"Very High")</f>
        <v>Very High</v>
      </c>
    </row>
    <row r="715" spans="1:42" x14ac:dyDescent="0.25">
      <c r="A715">
        <v>45</v>
      </c>
      <c r="B715" t="s">
        <v>42</v>
      </c>
      <c r="C715" t="s">
        <v>90</v>
      </c>
      <c r="D715">
        <v>974</v>
      </c>
      <c r="E715" t="s">
        <v>43</v>
      </c>
      <c r="F715">
        <v>1</v>
      </c>
      <c r="G715">
        <v>4</v>
      </c>
      <c r="H715" t="s">
        <v>49</v>
      </c>
      <c r="I715">
        <v>1</v>
      </c>
      <c r="J715">
        <v>996</v>
      </c>
      <c r="K715">
        <v>4</v>
      </c>
      <c r="L715" t="s">
        <v>38</v>
      </c>
      <c r="M715">
        <v>91</v>
      </c>
      <c r="N715">
        <v>3</v>
      </c>
      <c r="O715">
        <v>1</v>
      </c>
      <c r="P715" t="s">
        <v>48</v>
      </c>
      <c r="Q715">
        <v>4</v>
      </c>
      <c r="R715" t="s">
        <v>50</v>
      </c>
      <c r="S715">
        <v>2270</v>
      </c>
      <c r="T715">
        <v>11005</v>
      </c>
      <c r="U715">
        <v>3</v>
      </c>
      <c r="V715" t="s">
        <v>41</v>
      </c>
      <c r="W715" t="s">
        <v>42</v>
      </c>
      <c r="X715">
        <v>14</v>
      </c>
      <c r="Y715">
        <v>3</v>
      </c>
      <c r="Z715">
        <v>4</v>
      </c>
      <c r="AA715">
        <v>80</v>
      </c>
      <c r="AB715">
        <v>2</v>
      </c>
      <c r="AC715">
        <v>8</v>
      </c>
      <c r="AD715">
        <v>2</v>
      </c>
      <c r="AE715">
        <v>3</v>
      </c>
      <c r="AF715">
        <v>5</v>
      </c>
      <c r="AG715">
        <v>3</v>
      </c>
      <c r="AH715">
        <v>0</v>
      </c>
      <c r="AI715">
        <v>2</v>
      </c>
      <c r="AJ715">
        <f t="shared" si="11"/>
        <v>0</v>
      </c>
      <c r="AK715" t="str" cm="1">
        <f t="array" ref="AK715">_xlfn.IFS(A715&lt;=30,"18-30",A715&lt;=45,"31-45",A715&lt;=60,"46-60",TRUE, "60+")</f>
        <v>31-45</v>
      </c>
      <c r="AL715" t="str" cm="1">
        <f t="array" ref="AL715">_xlfn.IFS(F715&lt;=10,"0-10",F715&lt;=20,"11-20",TRUE,"20+")</f>
        <v>0-10</v>
      </c>
      <c r="AM715" t="str" cm="1">
        <f t="array" ref="AM715">_xlfn.IFS(S715&lt;=5000,"0-5k",S715&lt;=10000,"5k-10k",S715&lt;=15000,"10k-15k",TRUE,"15k+")</f>
        <v>0-5k</v>
      </c>
      <c r="AN715" t="str" cm="1">
        <f t="array" ref="AN715">_xlfn.IFS(AF715&lt;=10,"0-10",AF715&lt;=20,"10-20",AF715&lt;=30,"20-30",TRUE,"30+")</f>
        <v>0-10</v>
      </c>
      <c r="AO715" t="str" cm="1">
        <f t="array" ref="AO715">_xlfn.IFS(Y715=1,"Poor",Y715=2,"Average",Y715=3,"Good",TRUE,"Excellent")</f>
        <v>Good</v>
      </c>
      <c r="AP715" t="str" cm="1">
        <f t="array" ref="AP715">_xlfn.IFS(Q715=1,"Low",Q715=2,"Medium",Q715=3,"High",TRUE,"Very High")</f>
        <v>Very High</v>
      </c>
    </row>
    <row r="716" spans="1:42" x14ac:dyDescent="0.25">
      <c r="A716">
        <v>50</v>
      </c>
      <c r="B716" t="s">
        <v>42</v>
      </c>
      <c r="C716" t="s">
        <v>90</v>
      </c>
      <c r="D716">
        <v>1126</v>
      </c>
      <c r="E716" t="s">
        <v>43</v>
      </c>
      <c r="F716">
        <v>1</v>
      </c>
      <c r="G716">
        <v>2</v>
      </c>
      <c r="H716" t="s">
        <v>49</v>
      </c>
      <c r="I716">
        <v>1</v>
      </c>
      <c r="J716">
        <v>997</v>
      </c>
      <c r="K716">
        <v>4</v>
      </c>
      <c r="L716" t="s">
        <v>44</v>
      </c>
      <c r="M716">
        <v>66</v>
      </c>
      <c r="N716">
        <v>3</v>
      </c>
      <c r="O716">
        <v>4</v>
      </c>
      <c r="P716" t="s">
        <v>56</v>
      </c>
      <c r="Q716">
        <v>4</v>
      </c>
      <c r="R716" t="s">
        <v>50</v>
      </c>
      <c r="S716">
        <v>17399</v>
      </c>
      <c r="T716">
        <v>6615</v>
      </c>
      <c r="U716">
        <v>9</v>
      </c>
      <c r="V716" t="s">
        <v>41</v>
      </c>
      <c r="W716" t="s">
        <v>42</v>
      </c>
      <c r="X716">
        <v>22</v>
      </c>
      <c r="Y716">
        <v>4</v>
      </c>
      <c r="Z716">
        <v>3</v>
      </c>
      <c r="AA716">
        <v>80</v>
      </c>
      <c r="AB716">
        <v>1</v>
      </c>
      <c r="AC716">
        <v>32</v>
      </c>
      <c r="AD716">
        <v>1</v>
      </c>
      <c r="AE716">
        <v>2</v>
      </c>
      <c r="AF716">
        <v>5</v>
      </c>
      <c r="AG716">
        <v>4</v>
      </c>
      <c r="AH716">
        <v>1</v>
      </c>
      <c r="AI716">
        <v>3</v>
      </c>
      <c r="AJ716">
        <f t="shared" si="11"/>
        <v>0</v>
      </c>
      <c r="AK716" t="str" cm="1">
        <f t="array" ref="AK716">_xlfn.IFS(A716&lt;=30,"18-30",A716&lt;=45,"31-45",A716&lt;=60,"46-60",TRUE, "60+")</f>
        <v>46-60</v>
      </c>
      <c r="AL716" t="str" cm="1">
        <f t="array" ref="AL716">_xlfn.IFS(F716&lt;=10,"0-10",F716&lt;=20,"11-20",TRUE,"20+")</f>
        <v>0-10</v>
      </c>
      <c r="AM716" t="str" cm="1">
        <f t="array" ref="AM716">_xlfn.IFS(S716&lt;=5000,"0-5k",S716&lt;=10000,"5k-10k",S716&lt;=15000,"10k-15k",TRUE,"15k+")</f>
        <v>15k+</v>
      </c>
      <c r="AN716" t="str" cm="1">
        <f t="array" ref="AN716">_xlfn.IFS(AF716&lt;=10,"0-10",AF716&lt;=20,"10-20",AF716&lt;=30,"20-30",TRUE,"30+")</f>
        <v>0-10</v>
      </c>
      <c r="AO716" t="str" cm="1">
        <f t="array" ref="AO716">_xlfn.IFS(Y716=1,"Poor",Y716=2,"Average",Y716=3,"Good",TRUE,"Excellent")</f>
        <v>Excellent</v>
      </c>
      <c r="AP716" t="str" cm="1">
        <f t="array" ref="AP716">_xlfn.IFS(Q716=1,"Low",Q716=2,"Medium",Q716=3,"High",TRUE,"Very High")</f>
        <v>Very High</v>
      </c>
    </row>
    <row r="717" spans="1:42" x14ac:dyDescent="0.25">
      <c r="A717">
        <v>33</v>
      </c>
      <c r="B717" t="s">
        <v>42</v>
      </c>
      <c r="C717" t="s">
        <v>91</v>
      </c>
      <c r="D717">
        <v>827</v>
      </c>
      <c r="E717" t="s">
        <v>43</v>
      </c>
      <c r="F717">
        <v>1</v>
      </c>
      <c r="G717">
        <v>4</v>
      </c>
      <c r="H717" t="s">
        <v>47</v>
      </c>
      <c r="I717">
        <v>1</v>
      </c>
      <c r="J717">
        <v>998</v>
      </c>
      <c r="K717">
        <v>3</v>
      </c>
      <c r="L717" t="s">
        <v>38</v>
      </c>
      <c r="M717">
        <v>84</v>
      </c>
      <c r="N717">
        <v>4</v>
      </c>
      <c r="O717">
        <v>2</v>
      </c>
      <c r="P717" t="s">
        <v>52</v>
      </c>
      <c r="Q717">
        <v>2</v>
      </c>
      <c r="R717" t="s">
        <v>46</v>
      </c>
      <c r="S717">
        <v>5488</v>
      </c>
      <c r="T717">
        <v>20161</v>
      </c>
      <c r="U717">
        <v>1</v>
      </c>
      <c r="V717" t="s">
        <v>41</v>
      </c>
      <c r="W717" t="s">
        <v>35</v>
      </c>
      <c r="X717">
        <v>13</v>
      </c>
      <c r="Y717">
        <v>3</v>
      </c>
      <c r="Z717">
        <v>1</v>
      </c>
      <c r="AA717">
        <v>80</v>
      </c>
      <c r="AB717">
        <v>1</v>
      </c>
      <c r="AC717">
        <v>6</v>
      </c>
      <c r="AD717">
        <v>2</v>
      </c>
      <c r="AE717">
        <v>3</v>
      </c>
      <c r="AF717">
        <v>6</v>
      </c>
      <c r="AG717">
        <v>5</v>
      </c>
      <c r="AH717">
        <v>1</v>
      </c>
      <c r="AI717">
        <v>2</v>
      </c>
      <c r="AJ717">
        <f t="shared" si="11"/>
        <v>0</v>
      </c>
      <c r="AK717" t="str" cm="1">
        <f t="array" ref="AK717">_xlfn.IFS(A717&lt;=30,"18-30",A717&lt;=45,"31-45",A717&lt;=60,"46-60",TRUE, "60+")</f>
        <v>31-45</v>
      </c>
      <c r="AL717" t="str" cm="1">
        <f t="array" ref="AL717">_xlfn.IFS(F717&lt;=10,"0-10",F717&lt;=20,"11-20",TRUE,"20+")</f>
        <v>0-10</v>
      </c>
      <c r="AM717" t="str" cm="1">
        <f t="array" ref="AM717">_xlfn.IFS(S717&lt;=5000,"0-5k",S717&lt;=10000,"5k-10k",S717&lt;=15000,"10k-15k",TRUE,"15k+")</f>
        <v>5k-10k</v>
      </c>
      <c r="AN717" t="str" cm="1">
        <f t="array" ref="AN717">_xlfn.IFS(AF717&lt;=10,"0-10",AF717&lt;=20,"10-20",AF717&lt;=30,"20-30",TRUE,"30+")</f>
        <v>0-10</v>
      </c>
      <c r="AO717" t="str" cm="1">
        <f t="array" ref="AO717">_xlfn.IFS(Y717=1,"Poor",Y717=2,"Average",Y717=3,"Good",TRUE,"Excellent")</f>
        <v>Good</v>
      </c>
      <c r="AP717" t="str" cm="1">
        <f t="array" ref="AP717">_xlfn.IFS(Q717=1,"Low",Q717=2,"Medium",Q717=3,"High",TRUE,"Very High")</f>
        <v>Medium</v>
      </c>
    </row>
    <row r="718" spans="1:42" x14ac:dyDescent="0.25">
      <c r="A718">
        <v>41</v>
      </c>
      <c r="B718" t="s">
        <v>42</v>
      </c>
      <c r="C718" t="s">
        <v>91</v>
      </c>
      <c r="D718">
        <v>840</v>
      </c>
      <c r="E718" t="s">
        <v>43</v>
      </c>
      <c r="F718">
        <v>9</v>
      </c>
      <c r="G718">
        <v>3</v>
      </c>
      <c r="H718" t="s">
        <v>49</v>
      </c>
      <c r="I718">
        <v>1</v>
      </c>
      <c r="J718">
        <v>999</v>
      </c>
      <c r="K718">
        <v>1</v>
      </c>
      <c r="L718" t="s">
        <v>44</v>
      </c>
      <c r="M718">
        <v>64</v>
      </c>
      <c r="N718">
        <v>3</v>
      </c>
      <c r="O718">
        <v>5</v>
      </c>
      <c r="P718" t="s">
        <v>56</v>
      </c>
      <c r="Q718">
        <v>3</v>
      </c>
      <c r="R718" t="s">
        <v>50</v>
      </c>
      <c r="S718">
        <v>19419</v>
      </c>
      <c r="T718">
        <v>3735</v>
      </c>
      <c r="U718">
        <v>2</v>
      </c>
      <c r="V718" t="s">
        <v>41</v>
      </c>
      <c r="W718" t="s">
        <v>42</v>
      </c>
      <c r="X718">
        <v>17</v>
      </c>
      <c r="Y718">
        <v>3</v>
      </c>
      <c r="Z718">
        <v>2</v>
      </c>
      <c r="AA718">
        <v>80</v>
      </c>
      <c r="AB718">
        <v>1</v>
      </c>
      <c r="AC718">
        <v>21</v>
      </c>
      <c r="AD718">
        <v>2</v>
      </c>
      <c r="AE718">
        <v>4</v>
      </c>
      <c r="AF718">
        <v>18</v>
      </c>
      <c r="AG718">
        <v>16</v>
      </c>
      <c r="AH718">
        <v>0</v>
      </c>
      <c r="AI718">
        <v>11</v>
      </c>
      <c r="AJ718">
        <f t="shared" si="11"/>
        <v>0</v>
      </c>
      <c r="AK718" t="str" cm="1">
        <f t="array" ref="AK718">_xlfn.IFS(A718&lt;=30,"18-30",A718&lt;=45,"31-45",A718&lt;=60,"46-60",TRUE, "60+")</f>
        <v>31-45</v>
      </c>
      <c r="AL718" t="str" cm="1">
        <f t="array" ref="AL718">_xlfn.IFS(F718&lt;=10,"0-10",F718&lt;=20,"11-20",TRUE,"20+")</f>
        <v>0-10</v>
      </c>
      <c r="AM718" t="str" cm="1">
        <f t="array" ref="AM718">_xlfn.IFS(S718&lt;=5000,"0-5k",S718&lt;=10000,"5k-10k",S718&lt;=15000,"10k-15k",TRUE,"15k+")</f>
        <v>15k+</v>
      </c>
      <c r="AN718" t="str" cm="1">
        <f t="array" ref="AN718">_xlfn.IFS(AF718&lt;=10,"0-10",AF718&lt;=20,"10-20",AF718&lt;=30,"20-30",TRUE,"30+")</f>
        <v>10-20</v>
      </c>
      <c r="AO718" t="str" cm="1">
        <f t="array" ref="AO718">_xlfn.IFS(Y718=1,"Poor",Y718=2,"Average",Y718=3,"Good",TRUE,"Excellent")</f>
        <v>Good</v>
      </c>
      <c r="AP718" t="str" cm="1">
        <f t="array" ref="AP718">_xlfn.IFS(Q718=1,"Low",Q718=2,"Medium",Q718=3,"High",TRUE,"Very High")</f>
        <v>High</v>
      </c>
    </row>
    <row r="719" spans="1:42" x14ac:dyDescent="0.25">
      <c r="A719">
        <v>27</v>
      </c>
      <c r="B719" t="s">
        <v>42</v>
      </c>
      <c r="C719" t="s">
        <v>90</v>
      </c>
      <c r="D719">
        <v>1134</v>
      </c>
      <c r="E719" t="s">
        <v>43</v>
      </c>
      <c r="F719">
        <v>16</v>
      </c>
      <c r="G719">
        <v>4</v>
      </c>
      <c r="H719" t="s">
        <v>58</v>
      </c>
      <c r="I719">
        <v>1</v>
      </c>
      <c r="J719">
        <v>1001</v>
      </c>
      <c r="K719">
        <v>3</v>
      </c>
      <c r="L719" t="s">
        <v>38</v>
      </c>
      <c r="M719">
        <v>37</v>
      </c>
      <c r="N719">
        <v>3</v>
      </c>
      <c r="O719">
        <v>1</v>
      </c>
      <c r="P719" t="s">
        <v>48</v>
      </c>
      <c r="Q719">
        <v>2</v>
      </c>
      <c r="R719" t="s">
        <v>46</v>
      </c>
      <c r="S719">
        <v>2811</v>
      </c>
      <c r="T719">
        <v>12086</v>
      </c>
      <c r="U719">
        <v>9</v>
      </c>
      <c r="V719" t="s">
        <v>41</v>
      </c>
      <c r="W719" t="s">
        <v>42</v>
      </c>
      <c r="X719">
        <v>14</v>
      </c>
      <c r="Y719">
        <v>3</v>
      </c>
      <c r="Z719">
        <v>2</v>
      </c>
      <c r="AA719">
        <v>80</v>
      </c>
      <c r="AB719">
        <v>1</v>
      </c>
      <c r="AC719">
        <v>4</v>
      </c>
      <c r="AD719">
        <v>2</v>
      </c>
      <c r="AE719">
        <v>3</v>
      </c>
      <c r="AF719">
        <v>2</v>
      </c>
      <c r="AG719">
        <v>2</v>
      </c>
      <c r="AH719">
        <v>2</v>
      </c>
      <c r="AI719">
        <v>2</v>
      </c>
      <c r="AJ719">
        <f t="shared" si="11"/>
        <v>0</v>
      </c>
      <c r="AK719" t="str" cm="1">
        <f t="array" ref="AK719">_xlfn.IFS(A719&lt;=30,"18-30",A719&lt;=45,"31-45",A719&lt;=60,"46-60",TRUE, "60+")</f>
        <v>18-30</v>
      </c>
      <c r="AL719" t="str" cm="1">
        <f t="array" ref="AL719">_xlfn.IFS(F719&lt;=10,"0-10",F719&lt;=20,"11-20",TRUE,"20+")</f>
        <v>11-20</v>
      </c>
      <c r="AM719" t="str" cm="1">
        <f t="array" ref="AM719">_xlfn.IFS(S719&lt;=5000,"0-5k",S719&lt;=10000,"5k-10k",S719&lt;=15000,"10k-15k",TRUE,"15k+")</f>
        <v>0-5k</v>
      </c>
      <c r="AN719" t="str" cm="1">
        <f t="array" ref="AN719">_xlfn.IFS(AF719&lt;=10,"0-10",AF719&lt;=20,"10-20",AF719&lt;=30,"20-30",TRUE,"30+")</f>
        <v>0-10</v>
      </c>
      <c r="AO719" t="str" cm="1">
        <f t="array" ref="AO719">_xlfn.IFS(Y719=1,"Poor",Y719=2,"Average",Y719=3,"Good",TRUE,"Excellent")</f>
        <v>Good</v>
      </c>
      <c r="AP719" t="str" cm="1">
        <f t="array" ref="AP719">_xlfn.IFS(Q719=1,"Low",Q719=2,"Medium",Q719=3,"High",TRUE,"Very High")</f>
        <v>Medium</v>
      </c>
    </row>
    <row r="720" spans="1:42" x14ac:dyDescent="0.25">
      <c r="A720">
        <v>45</v>
      </c>
      <c r="B720" t="s">
        <v>42</v>
      </c>
      <c r="C720" t="s">
        <v>53</v>
      </c>
      <c r="D720">
        <v>248</v>
      </c>
      <c r="E720" t="s">
        <v>43</v>
      </c>
      <c r="F720">
        <v>23</v>
      </c>
      <c r="G720">
        <v>2</v>
      </c>
      <c r="H720" t="s">
        <v>37</v>
      </c>
      <c r="I720">
        <v>1</v>
      </c>
      <c r="J720">
        <v>1002</v>
      </c>
      <c r="K720">
        <v>4</v>
      </c>
      <c r="L720" t="s">
        <v>44</v>
      </c>
      <c r="M720">
        <v>42</v>
      </c>
      <c r="N720">
        <v>3</v>
      </c>
      <c r="O720">
        <v>2</v>
      </c>
      <c r="P720" t="s">
        <v>48</v>
      </c>
      <c r="Q720">
        <v>1</v>
      </c>
      <c r="R720" t="s">
        <v>46</v>
      </c>
      <c r="S720">
        <v>3633</v>
      </c>
      <c r="T720">
        <v>14039</v>
      </c>
      <c r="U720">
        <v>1</v>
      </c>
      <c r="V720" t="s">
        <v>41</v>
      </c>
      <c r="W720" t="s">
        <v>35</v>
      </c>
      <c r="X720">
        <v>15</v>
      </c>
      <c r="Y720">
        <v>3</v>
      </c>
      <c r="Z720">
        <v>3</v>
      </c>
      <c r="AA720">
        <v>80</v>
      </c>
      <c r="AB720">
        <v>1</v>
      </c>
      <c r="AC720">
        <v>9</v>
      </c>
      <c r="AD720">
        <v>2</v>
      </c>
      <c r="AE720">
        <v>3</v>
      </c>
      <c r="AF720">
        <v>9</v>
      </c>
      <c r="AG720">
        <v>8</v>
      </c>
      <c r="AH720">
        <v>0</v>
      </c>
      <c r="AI720">
        <v>8</v>
      </c>
      <c r="AJ720">
        <f t="shared" si="11"/>
        <v>0</v>
      </c>
      <c r="AK720" t="str" cm="1">
        <f t="array" ref="AK720">_xlfn.IFS(A720&lt;=30,"18-30",A720&lt;=45,"31-45",A720&lt;=60,"46-60",TRUE, "60+")</f>
        <v>31-45</v>
      </c>
      <c r="AL720" t="str" cm="1">
        <f t="array" ref="AL720">_xlfn.IFS(F720&lt;=10,"0-10",F720&lt;=20,"11-20",TRUE,"20+")</f>
        <v>20+</v>
      </c>
      <c r="AM720" t="str" cm="1">
        <f t="array" ref="AM720">_xlfn.IFS(S720&lt;=5000,"0-5k",S720&lt;=10000,"5k-10k",S720&lt;=15000,"10k-15k",TRUE,"15k+")</f>
        <v>0-5k</v>
      </c>
      <c r="AN720" t="str" cm="1">
        <f t="array" ref="AN720">_xlfn.IFS(AF720&lt;=10,"0-10",AF720&lt;=20,"10-20",AF720&lt;=30,"20-30",TRUE,"30+")</f>
        <v>0-10</v>
      </c>
      <c r="AO720" t="str" cm="1">
        <f t="array" ref="AO720">_xlfn.IFS(Y720=1,"Poor",Y720=2,"Average",Y720=3,"Good",TRUE,"Excellent")</f>
        <v>Good</v>
      </c>
      <c r="AP720" t="str" cm="1">
        <f t="array" ref="AP720">_xlfn.IFS(Q720=1,"Low",Q720=2,"Medium",Q720=3,"High",TRUE,"Very High")</f>
        <v>Low</v>
      </c>
    </row>
    <row r="721" spans="1:42" x14ac:dyDescent="0.25">
      <c r="A721">
        <v>47</v>
      </c>
      <c r="B721" t="s">
        <v>42</v>
      </c>
      <c r="C721" t="s">
        <v>90</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35</v>
      </c>
      <c r="X721">
        <v>17</v>
      </c>
      <c r="Y721">
        <v>3</v>
      </c>
      <c r="Z721">
        <v>3</v>
      </c>
      <c r="AA721">
        <v>80</v>
      </c>
      <c r="AB721">
        <v>0</v>
      </c>
      <c r="AC721">
        <v>9</v>
      </c>
      <c r="AD721">
        <v>0</v>
      </c>
      <c r="AE721">
        <v>3</v>
      </c>
      <c r="AF721">
        <v>9</v>
      </c>
      <c r="AG721">
        <v>0</v>
      </c>
      <c r="AH721">
        <v>0</v>
      </c>
      <c r="AI721">
        <v>7</v>
      </c>
      <c r="AJ721">
        <f t="shared" si="11"/>
        <v>0</v>
      </c>
      <c r="AK721" t="str" cm="1">
        <f t="array" ref="AK721">_xlfn.IFS(A721&lt;=30,"18-30",A721&lt;=45,"31-45",A721&lt;=60,"46-60",TRUE, "60+")</f>
        <v>46-60</v>
      </c>
      <c r="AL721" t="str" cm="1">
        <f t="array" ref="AL721">_xlfn.IFS(F721&lt;=10,"0-10",F721&lt;=20,"11-20",TRUE,"20+")</f>
        <v>0-10</v>
      </c>
      <c r="AM721" t="str" cm="1">
        <f t="array" ref="AM721">_xlfn.IFS(S721&lt;=5000,"0-5k",S721&lt;=10000,"5k-10k",S721&lt;=15000,"10k-15k",TRUE,"15k+")</f>
        <v>0-5k</v>
      </c>
      <c r="AN721" t="str" cm="1">
        <f t="array" ref="AN721">_xlfn.IFS(AF721&lt;=10,"0-10",AF721&lt;=20,"10-20",AF721&lt;=30,"20-30",TRUE,"30+")</f>
        <v>0-10</v>
      </c>
      <c r="AO721" t="str" cm="1">
        <f t="array" ref="AO721">_xlfn.IFS(Y721=1,"Poor",Y721=2,"Average",Y721=3,"Good",TRUE,"Excellent")</f>
        <v>Good</v>
      </c>
      <c r="AP721" t="str" cm="1">
        <f t="array" ref="AP721">_xlfn.IFS(Q721=1,"Low",Q721=2,"Medium",Q721=3,"High",TRUE,"Very High")</f>
        <v>Very High</v>
      </c>
    </row>
    <row r="722" spans="1:42" x14ac:dyDescent="0.25">
      <c r="A722">
        <v>30</v>
      </c>
      <c r="B722" t="s">
        <v>35</v>
      </c>
      <c r="C722" t="s">
        <v>90</v>
      </c>
      <c r="D722">
        <v>138</v>
      </c>
      <c r="E722" t="s">
        <v>43</v>
      </c>
      <c r="F722">
        <v>22</v>
      </c>
      <c r="G722">
        <v>3</v>
      </c>
      <c r="H722" t="s">
        <v>37</v>
      </c>
      <c r="I722">
        <v>1</v>
      </c>
      <c r="J722">
        <v>1004</v>
      </c>
      <c r="K722">
        <v>1</v>
      </c>
      <c r="L722" t="s">
        <v>38</v>
      </c>
      <c r="M722">
        <v>48</v>
      </c>
      <c r="N722">
        <v>3</v>
      </c>
      <c r="O722">
        <v>1</v>
      </c>
      <c r="P722" t="s">
        <v>45</v>
      </c>
      <c r="Q722">
        <v>3</v>
      </c>
      <c r="R722" t="s">
        <v>46</v>
      </c>
      <c r="S722">
        <v>2132</v>
      </c>
      <c r="T722">
        <v>11539</v>
      </c>
      <c r="U722">
        <v>4</v>
      </c>
      <c r="V722" t="s">
        <v>41</v>
      </c>
      <c r="W722" t="s">
        <v>35</v>
      </c>
      <c r="X722">
        <v>11</v>
      </c>
      <c r="Y722">
        <v>3</v>
      </c>
      <c r="Z722">
        <v>2</v>
      </c>
      <c r="AA722">
        <v>80</v>
      </c>
      <c r="AB722">
        <v>0</v>
      </c>
      <c r="AC722">
        <v>7</v>
      </c>
      <c r="AD722">
        <v>2</v>
      </c>
      <c r="AE722">
        <v>3</v>
      </c>
      <c r="AF722">
        <v>5</v>
      </c>
      <c r="AG722">
        <v>2</v>
      </c>
      <c r="AH722">
        <v>0</v>
      </c>
      <c r="AI722">
        <v>1</v>
      </c>
      <c r="AJ722">
        <f t="shared" si="11"/>
        <v>1</v>
      </c>
      <c r="AK722" t="str" cm="1">
        <f t="array" ref="AK722">_xlfn.IFS(A722&lt;=30,"18-30",A722&lt;=45,"31-45",A722&lt;=60,"46-60",TRUE, "60+")</f>
        <v>18-30</v>
      </c>
      <c r="AL722" t="str" cm="1">
        <f t="array" ref="AL722">_xlfn.IFS(F722&lt;=10,"0-10",F722&lt;=20,"11-20",TRUE,"20+")</f>
        <v>20+</v>
      </c>
      <c r="AM722" t="str" cm="1">
        <f t="array" ref="AM722">_xlfn.IFS(S722&lt;=5000,"0-5k",S722&lt;=10000,"5k-10k",S722&lt;=15000,"10k-15k",TRUE,"15k+")</f>
        <v>0-5k</v>
      </c>
      <c r="AN722" t="str" cm="1">
        <f t="array" ref="AN722">_xlfn.IFS(AF722&lt;=10,"0-10",AF722&lt;=20,"10-20",AF722&lt;=30,"20-30",TRUE,"30+")</f>
        <v>0-10</v>
      </c>
      <c r="AO722" t="str" cm="1">
        <f t="array" ref="AO722">_xlfn.IFS(Y722=1,"Poor",Y722=2,"Average",Y722=3,"Good",TRUE,"Excellent")</f>
        <v>Good</v>
      </c>
      <c r="AP722" t="str" cm="1">
        <f t="array" ref="AP722">_xlfn.IFS(Q722=1,"Low",Q722=2,"Medium",Q722=3,"High",TRUE,"Very High")</f>
        <v>High</v>
      </c>
    </row>
    <row r="723" spans="1:42" x14ac:dyDescent="0.25">
      <c r="A723">
        <v>50</v>
      </c>
      <c r="B723" t="s">
        <v>42</v>
      </c>
      <c r="C723" t="s">
        <v>90</v>
      </c>
      <c r="D723">
        <v>939</v>
      </c>
      <c r="E723" t="s">
        <v>43</v>
      </c>
      <c r="F723">
        <v>24</v>
      </c>
      <c r="G723">
        <v>3</v>
      </c>
      <c r="H723" t="s">
        <v>37</v>
      </c>
      <c r="I723">
        <v>1</v>
      </c>
      <c r="J723">
        <v>1005</v>
      </c>
      <c r="K723">
        <v>4</v>
      </c>
      <c r="L723" t="s">
        <v>44</v>
      </c>
      <c r="M723">
        <v>95</v>
      </c>
      <c r="N723">
        <v>3</v>
      </c>
      <c r="O723">
        <v>4</v>
      </c>
      <c r="P723" t="s">
        <v>51</v>
      </c>
      <c r="Q723">
        <v>3</v>
      </c>
      <c r="R723" t="s">
        <v>46</v>
      </c>
      <c r="S723">
        <v>13973</v>
      </c>
      <c r="T723">
        <v>4161</v>
      </c>
      <c r="U723">
        <v>3</v>
      </c>
      <c r="V723" t="s">
        <v>41</v>
      </c>
      <c r="W723" t="s">
        <v>35</v>
      </c>
      <c r="X723">
        <v>18</v>
      </c>
      <c r="Y723">
        <v>3</v>
      </c>
      <c r="Z723">
        <v>4</v>
      </c>
      <c r="AA723">
        <v>80</v>
      </c>
      <c r="AB723">
        <v>1</v>
      </c>
      <c r="AC723">
        <v>22</v>
      </c>
      <c r="AD723">
        <v>2</v>
      </c>
      <c r="AE723">
        <v>3</v>
      </c>
      <c r="AF723">
        <v>12</v>
      </c>
      <c r="AG723">
        <v>11</v>
      </c>
      <c r="AH723">
        <v>1</v>
      </c>
      <c r="AI723">
        <v>5</v>
      </c>
      <c r="AJ723">
        <f t="shared" si="11"/>
        <v>0</v>
      </c>
      <c r="AK723" t="str" cm="1">
        <f t="array" ref="AK723">_xlfn.IFS(A723&lt;=30,"18-30",A723&lt;=45,"31-45",A723&lt;=60,"46-60",TRUE, "60+")</f>
        <v>46-60</v>
      </c>
      <c r="AL723" t="str" cm="1">
        <f t="array" ref="AL723">_xlfn.IFS(F723&lt;=10,"0-10",F723&lt;=20,"11-20",TRUE,"20+")</f>
        <v>20+</v>
      </c>
      <c r="AM723" t="str" cm="1">
        <f t="array" ref="AM723">_xlfn.IFS(S723&lt;=5000,"0-5k",S723&lt;=10000,"5k-10k",S723&lt;=15000,"10k-15k",TRUE,"15k+")</f>
        <v>10k-15k</v>
      </c>
      <c r="AN723" t="str" cm="1">
        <f t="array" ref="AN723">_xlfn.IFS(AF723&lt;=10,"0-10",AF723&lt;=20,"10-20",AF723&lt;=30,"20-30",TRUE,"30+")</f>
        <v>10-20</v>
      </c>
      <c r="AO723" t="str" cm="1">
        <f t="array" ref="AO723">_xlfn.IFS(Y723=1,"Poor",Y723=2,"Average",Y723=3,"Good",TRUE,"Excellent")</f>
        <v>Good</v>
      </c>
      <c r="AP723" t="str" cm="1">
        <f t="array" ref="AP723">_xlfn.IFS(Q723=1,"Low",Q723=2,"Medium",Q723=3,"High",TRUE,"Very High")</f>
        <v>High</v>
      </c>
    </row>
    <row r="724" spans="1:42" x14ac:dyDescent="0.25">
      <c r="A724">
        <v>38</v>
      </c>
      <c r="B724" t="s">
        <v>42</v>
      </c>
      <c r="C724" t="s">
        <v>91</v>
      </c>
      <c r="D724">
        <v>1391</v>
      </c>
      <c r="E724" t="s">
        <v>43</v>
      </c>
      <c r="F724">
        <v>10</v>
      </c>
      <c r="G724">
        <v>1</v>
      </c>
      <c r="H724" t="s">
        <v>49</v>
      </c>
      <c r="I724">
        <v>1</v>
      </c>
      <c r="J724">
        <v>1006</v>
      </c>
      <c r="K724">
        <v>3</v>
      </c>
      <c r="L724" t="s">
        <v>44</v>
      </c>
      <c r="M724">
        <v>66</v>
      </c>
      <c r="N724">
        <v>3</v>
      </c>
      <c r="O724">
        <v>1</v>
      </c>
      <c r="P724" t="s">
        <v>45</v>
      </c>
      <c r="Q724">
        <v>3</v>
      </c>
      <c r="R724" t="s">
        <v>46</v>
      </c>
      <c r="S724">
        <v>2684</v>
      </c>
      <c r="T724">
        <v>12127</v>
      </c>
      <c r="U724">
        <v>0</v>
      </c>
      <c r="V724" t="s">
        <v>41</v>
      </c>
      <c r="W724" t="s">
        <v>42</v>
      </c>
      <c r="X724">
        <v>17</v>
      </c>
      <c r="Y724">
        <v>3</v>
      </c>
      <c r="Z724">
        <v>2</v>
      </c>
      <c r="AA724">
        <v>80</v>
      </c>
      <c r="AB724">
        <v>1</v>
      </c>
      <c r="AC724">
        <v>3</v>
      </c>
      <c r="AD724">
        <v>0</v>
      </c>
      <c r="AE724">
        <v>2</v>
      </c>
      <c r="AF724">
        <v>2</v>
      </c>
      <c r="AG724">
        <v>1</v>
      </c>
      <c r="AH724">
        <v>0</v>
      </c>
      <c r="AI724">
        <v>2</v>
      </c>
      <c r="AJ724">
        <f t="shared" si="11"/>
        <v>0</v>
      </c>
      <c r="AK724" t="str" cm="1">
        <f t="array" ref="AK724">_xlfn.IFS(A724&lt;=30,"18-30",A724&lt;=45,"31-45",A724&lt;=60,"46-60",TRUE, "60+")</f>
        <v>31-45</v>
      </c>
      <c r="AL724" t="str" cm="1">
        <f t="array" ref="AL724">_xlfn.IFS(F724&lt;=10,"0-10",F724&lt;=20,"11-20",TRUE,"20+")</f>
        <v>0-10</v>
      </c>
      <c r="AM724" t="str" cm="1">
        <f t="array" ref="AM724">_xlfn.IFS(S724&lt;=5000,"0-5k",S724&lt;=10000,"5k-10k",S724&lt;=15000,"10k-15k",TRUE,"15k+")</f>
        <v>0-5k</v>
      </c>
      <c r="AN724" t="str" cm="1">
        <f t="array" ref="AN724">_xlfn.IFS(AF724&lt;=10,"0-10",AF724&lt;=20,"10-20",AF724&lt;=30,"20-30",TRUE,"30+")</f>
        <v>0-10</v>
      </c>
      <c r="AO724" t="str" cm="1">
        <f t="array" ref="AO724">_xlfn.IFS(Y724=1,"Poor",Y724=2,"Average",Y724=3,"Good",TRUE,"Excellent")</f>
        <v>Good</v>
      </c>
      <c r="AP724" t="str" cm="1">
        <f t="array" ref="AP724">_xlfn.IFS(Q724=1,"Low",Q724=2,"Medium",Q724=3,"High",TRUE,"Very High")</f>
        <v>High</v>
      </c>
    </row>
    <row r="725" spans="1:42" x14ac:dyDescent="0.25">
      <c r="A725">
        <v>46</v>
      </c>
      <c r="B725" t="s">
        <v>42</v>
      </c>
      <c r="C725" t="s">
        <v>90</v>
      </c>
      <c r="D725">
        <v>566</v>
      </c>
      <c r="E725" t="s">
        <v>43</v>
      </c>
      <c r="F725">
        <v>7</v>
      </c>
      <c r="G725">
        <v>2</v>
      </c>
      <c r="H725" t="s">
        <v>49</v>
      </c>
      <c r="I725">
        <v>1</v>
      </c>
      <c r="J725">
        <v>1007</v>
      </c>
      <c r="K725">
        <v>4</v>
      </c>
      <c r="L725" t="s">
        <v>44</v>
      </c>
      <c r="M725">
        <v>75</v>
      </c>
      <c r="N725">
        <v>3</v>
      </c>
      <c r="O725">
        <v>3</v>
      </c>
      <c r="P725" t="s">
        <v>51</v>
      </c>
      <c r="Q725">
        <v>3</v>
      </c>
      <c r="R725" t="s">
        <v>50</v>
      </c>
      <c r="S725">
        <v>10845</v>
      </c>
      <c r="T725">
        <v>24208</v>
      </c>
      <c r="U725">
        <v>6</v>
      </c>
      <c r="V725" t="s">
        <v>41</v>
      </c>
      <c r="W725" t="s">
        <v>42</v>
      </c>
      <c r="X725">
        <v>13</v>
      </c>
      <c r="Y725">
        <v>3</v>
      </c>
      <c r="Z725">
        <v>2</v>
      </c>
      <c r="AA725">
        <v>80</v>
      </c>
      <c r="AB725">
        <v>1</v>
      </c>
      <c r="AC725">
        <v>13</v>
      </c>
      <c r="AD725">
        <v>3</v>
      </c>
      <c r="AE725">
        <v>3</v>
      </c>
      <c r="AF725">
        <v>8</v>
      </c>
      <c r="AG725">
        <v>7</v>
      </c>
      <c r="AH725">
        <v>0</v>
      </c>
      <c r="AI725">
        <v>7</v>
      </c>
      <c r="AJ725">
        <f t="shared" si="11"/>
        <v>0</v>
      </c>
      <c r="AK725" t="str" cm="1">
        <f t="array" ref="AK725">_xlfn.IFS(A725&lt;=30,"18-30",A725&lt;=45,"31-45",A725&lt;=60,"46-60",TRUE, "60+")</f>
        <v>46-60</v>
      </c>
      <c r="AL725" t="str" cm="1">
        <f t="array" ref="AL725">_xlfn.IFS(F725&lt;=10,"0-10",F725&lt;=20,"11-20",TRUE,"20+")</f>
        <v>0-10</v>
      </c>
      <c r="AM725" t="str" cm="1">
        <f t="array" ref="AM725">_xlfn.IFS(S725&lt;=5000,"0-5k",S725&lt;=10000,"5k-10k",S725&lt;=15000,"10k-15k",TRUE,"15k+")</f>
        <v>10k-15k</v>
      </c>
      <c r="AN725" t="str" cm="1">
        <f t="array" ref="AN725">_xlfn.IFS(AF725&lt;=10,"0-10",AF725&lt;=20,"10-20",AF725&lt;=30,"20-30",TRUE,"30+")</f>
        <v>0-10</v>
      </c>
      <c r="AO725" t="str" cm="1">
        <f t="array" ref="AO725">_xlfn.IFS(Y725=1,"Poor",Y725=2,"Average",Y725=3,"Good",TRUE,"Excellent")</f>
        <v>Good</v>
      </c>
      <c r="AP725" t="str" cm="1">
        <f t="array" ref="AP725">_xlfn.IFS(Q725=1,"Low",Q725=2,"Medium",Q725=3,"High",TRUE,"Very High")</f>
        <v>High</v>
      </c>
    </row>
    <row r="726" spans="1:42" x14ac:dyDescent="0.25">
      <c r="A726">
        <v>24</v>
      </c>
      <c r="B726" t="s">
        <v>42</v>
      </c>
      <c r="C726" t="s">
        <v>90</v>
      </c>
      <c r="D726">
        <v>1206</v>
      </c>
      <c r="E726" t="s">
        <v>43</v>
      </c>
      <c r="F726">
        <v>17</v>
      </c>
      <c r="G726">
        <v>1</v>
      </c>
      <c r="H726" t="s">
        <v>49</v>
      </c>
      <c r="I726">
        <v>1</v>
      </c>
      <c r="J726">
        <v>1009</v>
      </c>
      <c r="K726">
        <v>4</v>
      </c>
      <c r="L726" t="s">
        <v>38</v>
      </c>
      <c r="M726">
        <v>41</v>
      </c>
      <c r="N726">
        <v>2</v>
      </c>
      <c r="O726">
        <v>2</v>
      </c>
      <c r="P726" t="s">
        <v>51</v>
      </c>
      <c r="Q726">
        <v>3</v>
      </c>
      <c r="R726" t="s">
        <v>50</v>
      </c>
      <c r="S726">
        <v>4377</v>
      </c>
      <c r="T726">
        <v>24117</v>
      </c>
      <c r="U726">
        <v>1</v>
      </c>
      <c r="V726" t="s">
        <v>41</v>
      </c>
      <c r="W726" t="s">
        <v>42</v>
      </c>
      <c r="X726">
        <v>15</v>
      </c>
      <c r="Y726">
        <v>3</v>
      </c>
      <c r="Z726">
        <v>2</v>
      </c>
      <c r="AA726">
        <v>80</v>
      </c>
      <c r="AB726">
        <v>2</v>
      </c>
      <c r="AC726">
        <v>5</v>
      </c>
      <c r="AD726">
        <v>6</v>
      </c>
      <c r="AE726">
        <v>3</v>
      </c>
      <c r="AF726">
        <v>4</v>
      </c>
      <c r="AG726">
        <v>2</v>
      </c>
      <c r="AH726">
        <v>3</v>
      </c>
      <c r="AI726">
        <v>2</v>
      </c>
      <c r="AJ726">
        <f t="shared" si="11"/>
        <v>0</v>
      </c>
      <c r="AK726" t="str" cm="1">
        <f t="array" ref="AK726">_xlfn.IFS(A726&lt;=30,"18-30",A726&lt;=45,"31-45",A726&lt;=60,"46-60",TRUE, "60+")</f>
        <v>18-30</v>
      </c>
      <c r="AL726" t="str" cm="1">
        <f t="array" ref="AL726">_xlfn.IFS(F726&lt;=10,"0-10",F726&lt;=20,"11-20",TRUE,"20+")</f>
        <v>11-20</v>
      </c>
      <c r="AM726" t="str" cm="1">
        <f t="array" ref="AM726">_xlfn.IFS(S726&lt;=5000,"0-5k",S726&lt;=10000,"5k-10k",S726&lt;=15000,"10k-15k",TRUE,"15k+")</f>
        <v>0-5k</v>
      </c>
      <c r="AN726" t="str" cm="1">
        <f t="array" ref="AN726">_xlfn.IFS(AF726&lt;=10,"0-10",AF726&lt;=20,"10-20",AF726&lt;=30,"20-30",TRUE,"30+")</f>
        <v>0-10</v>
      </c>
      <c r="AO726" t="str" cm="1">
        <f t="array" ref="AO726">_xlfn.IFS(Y726=1,"Poor",Y726=2,"Average",Y726=3,"Good",TRUE,"Excellent")</f>
        <v>Good</v>
      </c>
      <c r="AP726" t="str" cm="1">
        <f t="array" ref="AP726">_xlfn.IFS(Q726=1,"Low",Q726=2,"Medium",Q726=3,"High",TRUE,"Very High")</f>
        <v>High</v>
      </c>
    </row>
    <row r="727" spans="1:42" x14ac:dyDescent="0.25">
      <c r="A727">
        <v>35</v>
      </c>
      <c r="B727" t="s">
        <v>35</v>
      </c>
      <c r="C727" t="s">
        <v>90</v>
      </c>
      <c r="D727">
        <v>622</v>
      </c>
      <c r="E727" t="s">
        <v>43</v>
      </c>
      <c r="F727">
        <v>14</v>
      </c>
      <c r="G727">
        <v>4</v>
      </c>
      <c r="H727" t="s">
        <v>47</v>
      </c>
      <c r="I727">
        <v>1</v>
      </c>
      <c r="J727">
        <v>1010</v>
      </c>
      <c r="K727">
        <v>3</v>
      </c>
      <c r="L727" t="s">
        <v>44</v>
      </c>
      <c r="M727">
        <v>39</v>
      </c>
      <c r="N727">
        <v>2</v>
      </c>
      <c r="O727">
        <v>1</v>
      </c>
      <c r="P727" t="s">
        <v>48</v>
      </c>
      <c r="Q727">
        <v>2</v>
      </c>
      <c r="R727" t="s">
        <v>50</v>
      </c>
      <c r="S727">
        <v>3743</v>
      </c>
      <c r="T727">
        <v>10074</v>
      </c>
      <c r="U727">
        <v>1</v>
      </c>
      <c r="V727" t="s">
        <v>41</v>
      </c>
      <c r="W727" t="s">
        <v>35</v>
      </c>
      <c r="X727">
        <v>24</v>
      </c>
      <c r="Y727">
        <v>4</v>
      </c>
      <c r="Z727">
        <v>4</v>
      </c>
      <c r="AA727">
        <v>80</v>
      </c>
      <c r="AB727">
        <v>1</v>
      </c>
      <c r="AC727">
        <v>5</v>
      </c>
      <c r="AD727">
        <v>2</v>
      </c>
      <c r="AE727">
        <v>1</v>
      </c>
      <c r="AF727">
        <v>4</v>
      </c>
      <c r="AG727">
        <v>2</v>
      </c>
      <c r="AH727">
        <v>0</v>
      </c>
      <c r="AI727">
        <v>2</v>
      </c>
      <c r="AJ727">
        <f t="shared" si="11"/>
        <v>1</v>
      </c>
      <c r="AK727" t="str" cm="1">
        <f t="array" ref="AK727">_xlfn.IFS(A727&lt;=30,"18-30",A727&lt;=45,"31-45",A727&lt;=60,"46-60",TRUE, "60+")</f>
        <v>31-45</v>
      </c>
      <c r="AL727" t="str" cm="1">
        <f t="array" ref="AL727">_xlfn.IFS(F727&lt;=10,"0-10",F727&lt;=20,"11-20",TRUE,"20+")</f>
        <v>11-20</v>
      </c>
      <c r="AM727" t="str" cm="1">
        <f t="array" ref="AM727">_xlfn.IFS(S727&lt;=5000,"0-5k",S727&lt;=10000,"5k-10k",S727&lt;=15000,"10k-15k",TRUE,"15k+")</f>
        <v>0-5k</v>
      </c>
      <c r="AN727" t="str" cm="1">
        <f t="array" ref="AN727">_xlfn.IFS(AF727&lt;=10,"0-10",AF727&lt;=20,"10-20",AF727&lt;=30,"20-30",TRUE,"30+")</f>
        <v>0-10</v>
      </c>
      <c r="AO727" t="str" cm="1">
        <f t="array" ref="AO727">_xlfn.IFS(Y727=1,"Poor",Y727=2,"Average",Y727=3,"Good",TRUE,"Excellent")</f>
        <v>Excellent</v>
      </c>
      <c r="AP727" t="str" cm="1">
        <f t="array" ref="AP727">_xlfn.IFS(Q727=1,"Low",Q727=2,"Medium",Q727=3,"High",TRUE,"Very High")</f>
        <v>Medium</v>
      </c>
    </row>
    <row r="728" spans="1:42" x14ac:dyDescent="0.25">
      <c r="A728">
        <v>31</v>
      </c>
      <c r="B728" t="s">
        <v>42</v>
      </c>
      <c r="C728" t="s">
        <v>91</v>
      </c>
      <c r="D728">
        <v>853</v>
      </c>
      <c r="E728" t="s">
        <v>43</v>
      </c>
      <c r="F728">
        <v>1</v>
      </c>
      <c r="G728">
        <v>1</v>
      </c>
      <c r="H728" t="s">
        <v>37</v>
      </c>
      <c r="I728">
        <v>1</v>
      </c>
      <c r="J728">
        <v>1011</v>
      </c>
      <c r="K728">
        <v>3</v>
      </c>
      <c r="L728" t="s">
        <v>38</v>
      </c>
      <c r="M728">
        <v>96</v>
      </c>
      <c r="N728">
        <v>3</v>
      </c>
      <c r="O728">
        <v>2</v>
      </c>
      <c r="P728" t="s">
        <v>51</v>
      </c>
      <c r="Q728">
        <v>1</v>
      </c>
      <c r="R728" t="s">
        <v>46</v>
      </c>
      <c r="S728">
        <v>4148</v>
      </c>
      <c r="T728">
        <v>11275</v>
      </c>
      <c r="U728">
        <v>1</v>
      </c>
      <c r="V728" t="s">
        <v>41</v>
      </c>
      <c r="W728" t="s">
        <v>42</v>
      </c>
      <c r="X728">
        <v>12</v>
      </c>
      <c r="Y728">
        <v>3</v>
      </c>
      <c r="Z728">
        <v>3</v>
      </c>
      <c r="AA728">
        <v>80</v>
      </c>
      <c r="AB728">
        <v>1</v>
      </c>
      <c r="AC728">
        <v>4</v>
      </c>
      <c r="AD728">
        <v>1</v>
      </c>
      <c r="AE728">
        <v>3</v>
      </c>
      <c r="AF728">
        <v>4</v>
      </c>
      <c r="AG728">
        <v>3</v>
      </c>
      <c r="AH728">
        <v>0</v>
      </c>
      <c r="AI728">
        <v>3</v>
      </c>
      <c r="AJ728">
        <f t="shared" si="11"/>
        <v>0</v>
      </c>
      <c r="AK728" t="str" cm="1">
        <f t="array" ref="AK728">_xlfn.IFS(A728&lt;=30,"18-30",A728&lt;=45,"31-45",A728&lt;=60,"46-60",TRUE, "60+")</f>
        <v>31-45</v>
      </c>
      <c r="AL728" t="str" cm="1">
        <f t="array" ref="AL728">_xlfn.IFS(F728&lt;=10,"0-10",F728&lt;=20,"11-20",TRUE,"20+")</f>
        <v>0-10</v>
      </c>
      <c r="AM728" t="str" cm="1">
        <f t="array" ref="AM728">_xlfn.IFS(S728&lt;=5000,"0-5k",S728&lt;=10000,"5k-10k",S728&lt;=15000,"10k-15k",TRUE,"15k+")</f>
        <v>0-5k</v>
      </c>
      <c r="AN728" t="str" cm="1">
        <f t="array" ref="AN728">_xlfn.IFS(AF728&lt;=10,"0-10",AF728&lt;=20,"10-20",AF728&lt;=30,"20-30",TRUE,"30+")</f>
        <v>0-10</v>
      </c>
      <c r="AO728" t="str" cm="1">
        <f t="array" ref="AO728">_xlfn.IFS(Y728=1,"Poor",Y728=2,"Average",Y728=3,"Good",TRUE,"Excellent")</f>
        <v>Good</v>
      </c>
      <c r="AP728" t="str" cm="1">
        <f t="array" ref="AP728">_xlfn.IFS(Q728=1,"Low",Q728=2,"Medium",Q728=3,"High",TRUE,"Very High")</f>
        <v>Low</v>
      </c>
    </row>
    <row r="729" spans="1:42" x14ac:dyDescent="0.25">
      <c r="A729">
        <v>18</v>
      </c>
      <c r="B729" t="s">
        <v>42</v>
      </c>
      <c r="C729" t="s">
        <v>53</v>
      </c>
      <c r="D729">
        <v>287</v>
      </c>
      <c r="E729" t="s">
        <v>43</v>
      </c>
      <c r="F729">
        <v>5</v>
      </c>
      <c r="G729">
        <v>2</v>
      </c>
      <c r="H729" t="s">
        <v>37</v>
      </c>
      <c r="I729">
        <v>1</v>
      </c>
      <c r="J729">
        <v>1012</v>
      </c>
      <c r="K729">
        <v>2</v>
      </c>
      <c r="L729" t="s">
        <v>44</v>
      </c>
      <c r="M729">
        <v>73</v>
      </c>
      <c r="N729">
        <v>3</v>
      </c>
      <c r="O729">
        <v>1</v>
      </c>
      <c r="P729" t="s">
        <v>45</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c r="AJ729">
        <f t="shared" si="11"/>
        <v>0</v>
      </c>
      <c r="AK729" t="str" cm="1">
        <f t="array" ref="AK729">_xlfn.IFS(A729&lt;=30,"18-30",A729&lt;=45,"31-45",A729&lt;=60,"46-60",TRUE, "60+")</f>
        <v>18-30</v>
      </c>
      <c r="AL729" t="str" cm="1">
        <f t="array" ref="AL729">_xlfn.IFS(F729&lt;=10,"0-10",F729&lt;=20,"11-20",TRUE,"20+")</f>
        <v>0-10</v>
      </c>
      <c r="AM729" t="str" cm="1">
        <f t="array" ref="AM729">_xlfn.IFS(S729&lt;=5000,"0-5k",S729&lt;=10000,"5k-10k",S729&lt;=15000,"10k-15k",TRUE,"15k+")</f>
        <v>0-5k</v>
      </c>
      <c r="AN729" t="str" cm="1">
        <f t="array" ref="AN729">_xlfn.IFS(AF729&lt;=10,"0-10",AF729&lt;=20,"10-20",AF729&lt;=30,"20-30",TRUE,"30+")</f>
        <v>0-10</v>
      </c>
      <c r="AO729" t="str" cm="1">
        <f t="array" ref="AO729">_xlfn.IFS(Y729=1,"Poor",Y729=2,"Average",Y729=3,"Good",TRUE,"Excellent")</f>
        <v>Good</v>
      </c>
      <c r="AP729" t="str" cm="1">
        <f t="array" ref="AP729">_xlfn.IFS(Q729=1,"Low",Q729=2,"Medium",Q729=3,"High",TRUE,"Very High")</f>
        <v>Very High</v>
      </c>
    </row>
    <row r="730" spans="1:42" x14ac:dyDescent="0.25">
      <c r="A730">
        <v>54</v>
      </c>
      <c r="B730" t="s">
        <v>42</v>
      </c>
      <c r="C730" t="s">
        <v>90</v>
      </c>
      <c r="D730">
        <v>1441</v>
      </c>
      <c r="E730" t="s">
        <v>43</v>
      </c>
      <c r="F730">
        <v>17</v>
      </c>
      <c r="G730">
        <v>3</v>
      </c>
      <c r="H730" t="s">
        <v>58</v>
      </c>
      <c r="I730">
        <v>1</v>
      </c>
      <c r="J730">
        <v>1013</v>
      </c>
      <c r="K730">
        <v>3</v>
      </c>
      <c r="L730" t="s">
        <v>38</v>
      </c>
      <c r="M730">
        <v>56</v>
      </c>
      <c r="N730">
        <v>3</v>
      </c>
      <c r="O730">
        <v>3</v>
      </c>
      <c r="P730" t="s">
        <v>51</v>
      </c>
      <c r="Q730">
        <v>3</v>
      </c>
      <c r="R730" t="s">
        <v>46</v>
      </c>
      <c r="S730">
        <v>10739</v>
      </c>
      <c r="T730">
        <v>13943</v>
      </c>
      <c r="U730">
        <v>8</v>
      </c>
      <c r="V730" t="s">
        <v>41</v>
      </c>
      <c r="W730" t="s">
        <v>42</v>
      </c>
      <c r="X730">
        <v>11</v>
      </c>
      <c r="Y730">
        <v>3</v>
      </c>
      <c r="Z730">
        <v>3</v>
      </c>
      <c r="AA730">
        <v>80</v>
      </c>
      <c r="AB730">
        <v>1</v>
      </c>
      <c r="AC730">
        <v>22</v>
      </c>
      <c r="AD730">
        <v>2</v>
      </c>
      <c r="AE730">
        <v>3</v>
      </c>
      <c r="AF730">
        <v>10</v>
      </c>
      <c r="AG730">
        <v>7</v>
      </c>
      <c r="AH730">
        <v>0</v>
      </c>
      <c r="AI730">
        <v>8</v>
      </c>
      <c r="AJ730">
        <f t="shared" si="11"/>
        <v>0</v>
      </c>
      <c r="AK730" t="str" cm="1">
        <f t="array" ref="AK730">_xlfn.IFS(A730&lt;=30,"18-30",A730&lt;=45,"31-45",A730&lt;=60,"46-60",TRUE, "60+")</f>
        <v>46-60</v>
      </c>
      <c r="AL730" t="str" cm="1">
        <f t="array" ref="AL730">_xlfn.IFS(F730&lt;=10,"0-10",F730&lt;=20,"11-20",TRUE,"20+")</f>
        <v>11-20</v>
      </c>
      <c r="AM730" t="str" cm="1">
        <f t="array" ref="AM730">_xlfn.IFS(S730&lt;=5000,"0-5k",S730&lt;=10000,"5k-10k",S730&lt;=15000,"10k-15k",TRUE,"15k+")</f>
        <v>10k-15k</v>
      </c>
      <c r="AN730" t="str" cm="1">
        <f t="array" ref="AN730">_xlfn.IFS(AF730&lt;=10,"0-10",AF730&lt;=20,"10-20",AF730&lt;=30,"20-30",TRUE,"30+")</f>
        <v>0-10</v>
      </c>
      <c r="AO730" t="str" cm="1">
        <f t="array" ref="AO730">_xlfn.IFS(Y730=1,"Poor",Y730=2,"Average",Y730=3,"Good",TRUE,"Excellent")</f>
        <v>Good</v>
      </c>
      <c r="AP730" t="str" cm="1">
        <f t="array" ref="AP730">_xlfn.IFS(Q730=1,"Low",Q730=2,"Medium",Q730=3,"High",TRUE,"Very High")</f>
        <v>High</v>
      </c>
    </row>
    <row r="731" spans="1:42" x14ac:dyDescent="0.25">
      <c r="A731">
        <v>35</v>
      </c>
      <c r="B731" t="s">
        <v>42</v>
      </c>
      <c r="C731" t="s">
        <v>90</v>
      </c>
      <c r="D731">
        <v>583</v>
      </c>
      <c r="E731" t="s">
        <v>43</v>
      </c>
      <c r="F731">
        <v>25</v>
      </c>
      <c r="G731">
        <v>4</v>
      </c>
      <c r="H731" t="s">
        <v>49</v>
      </c>
      <c r="I731">
        <v>1</v>
      </c>
      <c r="J731">
        <v>1014</v>
      </c>
      <c r="K731">
        <v>3</v>
      </c>
      <c r="L731" t="s">
        <v>38</v>
      </c>
      <c r="M731">
        <v>57</v>
      </c>
      <c r="N731">
        <v>3</v>
      </c>
      <c r="O731">
        <v>3</v>
      </c>
      <c r="P731" t="s">
        <v>52</v>
      </c>
      <c r="Q731">
        <v>3</v>
      </c>
      <c r="R731" t="s">
        <v>50</v>
      </c>
      <c r="S731">
        <v>10388</v>
      </c>
      <c r="T731">
        <v>6975</v>
      </c>
      <c r="U731">
        <v>1</v>
      </c>
      <c r="V731" t="s">
        <v>41</v>
      </c>
      <c r="W731" t="s">
        <v>35</v>
      </c>
      <c r="X731">
        <v>11</v>
      </c>
      <c r="Y731">
        <v>3</v>
      </c>
      <c r="Z731">
        <v>3</v>
      </c>
      <c r="AA731">
        <v>80</v>
      </c>
      <c r="AB731">
        <v>1</v>
      </c>
      <c r="AC731">
        <v>16</v>
      </c>
      <c r="AD731">
        <v>3</v>
      </c>
      <c r="AE731">
        <v>2</v>
      </c>
      <c r="AF731">
        <v>16</v>
      </c>
      <c r="AG731">
        <v>10</v>
      </c>
      <c r="AH731">
        <v>10</v>
      </c>
      <c r="AI731">
        <v>1</v>
      </c>
      <c r="AJ731">
        <f t="shared" si="11"/>
        <v>0</v>
      </c>
      <c r="AK731" t="str" cm="1">
        <f t="array" ref="AK731">_xlfn.IFS(A731&lt;=30,"18-30",A731&lt;=45,"31-45",A731&lt;=60,"46-60",TRUE, "60+")</f>
        <v>31-45</v>
      </c>
      <c r="AL731" t="str" cm="1">
        <f t="array" ref="AL731">_xlfn.IFS(F731&lt;=10,"0-10",F731&lt;=20,"11-20",TRUE,"20+")</f>
        <v>20+</v>
      </c>
      <c r="AM731" t="str" cm="1">
        <f t="array" ref="AM731">_xlfn.IFS(S731&lt;=5000,"0-5k",S731&lt;=10000,"5k-10k",S731&lt;=15000,"10k-15k",TRUE,"15k+")</f>
        <v>10k-15k</v>
      </c>
      <c r="AN731" t="str" cm="1">
        <f t="array" ref="AN731">_xlfn.IFS(AF731&lt;=10,"0-10",AF731&lt;=20,"10-20",AF731&lt;=30,"20-30",TRUE,"30+")</f>
        <v>10-20</v>
      </c>
      <c r="AO731" t="str" cm="1">
        <f t="array" ref="AO731">_xlfn.IFS(Y731=1,"Poor",Y731=2,"Average",Y731=3,"Good",TRUE,"Excellent")</f>
        <v>Good</v>
      </c>
      <c r="AP731" t="str" cm="1">
        <f t="array" ref="AP731">_xlfn.IFS(Q731=1,"Low",Q731=2,"Medium",Q731=3,"High",TRUE,"Very High")</f>
        <v>High</v>
      </c>
    </row>
    <row r="732" spans="1:42" x14ac:dyDescent="0.25">
      <c r="A732">
        <v>30</v>
      </c>
      <c r="B732" t="s">
        <v>42</v>
      </c>
      <c r="C732" t="s">
        <v>90</v>
      </c>
      <c r="D732">
        <v>153</v>
      </c>
      <c r="E732" t="s">
        <v>43</v>
      </c>
      <c r="F732">
        <v>8</v>
      </c>
      <c r="G732">
        <v>2</v>
      </c>
      <c r="H732" t="s">
        <v>37</v>
      </c>
      <c r="I732">
        <v>1</v>
      </c>
      <c r="J732">
        <v>1015</v>
      </c>
      <c r="K732">
        <v>2</v>
      </c>
      <c r="L732" t="s">
        <v>38</v>
      </c>
      <c r="M732">
        <v>73</v>
      </c>
      <c r="N732">
        <v>4</v>
      </c>
      <c r="O732">
        <v>3</v>
      </c>
      <c r="P732" t="s">
        <v>56</v>
      </c>
      <c r="Q732">
        <v>1</v>
      </c>
      <c r="R732" t="s">
        <v>46</v>
      </c>
      <c r="S732">
        <v>11416</v>
      </c>
      <c r="T732">
        <v>17802</v>
      </c>
      <c r="U732">
        <v>0</v>
      </c>
      <c r="V732" t="s">
        <v>41</v>
      </c>
      <c r="W732" t="s">
        <v>35</v>
      </c>
      <c r="X732">
        <v>12</v>
      </c>
      <c r="Y732">
        <v>3</v>
      </c>
      <c r="Z732">
        <v>3</v>
      </c>
      <c r="AA732">
        <v>80</v>
      </c>
      <c r="AB732">
        <v>3</v>
      </c>
      <c r="AC732">
        <v>9</v>
      </c>
      <c r="AD732">
        <v>4</v>
      </c>
      <c r="AE732">
        <v>2</v>
      </c>
      <c r="AF732">
        <v>8</v>
      </c>
      <c r="AG732">
        <v>7</v>
      </c>
      <c r="AH732">
        <v>1</v>
      </c>
      <c r="AI732">
        <v>7</v>
      </c>
      <c r="AJ732">
        <f t="shared" si="11"/>
        <v>0</v>
      </c>
      <c r="AK732" t="str" cm="1">
        <f t="array" ref="AK732">_xlfn.IFS(A732&lt;=30,"18-30",A732&lt;=45,"31-45",A732&lt;=60,"46-60",TRUE, "60+")</f>
        <v>18-30</v>
      </c>
      <c r="AL732" t="str" cm="1">
        <f t="array" ref="AL732">_xlfn.IFS(F732&lt;=10,"0-10",F732&lt;=20,"11-20",TRUE,"20+")</f>
        <v>0-10</v>
      </c>
      <c r="AM732" t="str" cm="1">
        <f t="array" ref="AM732">_xlfn.IFS(S732&lt;=5000,"0-5k",S732&lt;=10000,"5k-10k",S732&lt;=15000,"10k-15k",TRUE,"15k+")</f>
        <v>10k-15k</v>
      </c>
      <c r="AN732" t="str" cm="1">
        <f t="array" ref="AN732">_xlfn.IFS(AF732&lt;=10,"0-10",AF732&lt;=20,"10-20",AF732&lt;=30,"20-30",TRUE,"30+")</f>
        <v>0-10</v>
      </c>
      <c r="AO732" t="str" cm="1">
        <f t="array" ref="AO732">_xlfn.IFS(Y732=1,"Poor",Y732=2,"Average",Y732=3,"Good",TRUE,"Excellent")</f>
        <v>Good</v>
      </c>
      <c r="AP732" t="str" cm="1">
        <f t="array" ref="AP732">_xlfn.IFS(Q732=1,"Low",Q732=2,"Medium",Q732=3,"High",TRUE,"Very High")</f>
        <v>Low</v>
      </c>
    </row>
    <row r="733" spans="1:42" x14ac:dyDescent="0.25">
      <c r="A733">
        <v>20</v>
      </c>
      <c r="B733" t="s">
        <v>35</v>
      </c>
      <c r="C733" t="s">
        <v>90</v>
      </c>
      <c r="D733">
        <v>1097</v>
      </c>
      <c r="E733" t="s">
        <v>43</v>
      </c>
      <c r="F733">
        <v>11</v>
      </c>
      <c r="G733">
        <v>3</v>
      </c>
      <c r="H733" t="s">
        <v>49</v>
      </c>
      <c r="I733">
        <v>1</v>
      </c>
      <c r="J733">
        <v>1016</v>
      </c>
      <c r="K733">
        <v>4</v>
      </c>
      <c r="L733" t="s">
        <v>38</v>
      </c>
      <c r="M733">
        <v>98</v>
      </c>
      <c r="N733">
        <v>2</v>
      </c>
      <c r="O733">
        <v>1</v>
      </c>
      <c r="P733" t="s">
        <v>45</v>
      </c>
      <c r="Q733">
        <v>1</v>
      </c>
      <c r="R733" t="s">
        <v>40</v>
      </c>
      <c r="S733">
        <v>2600</v>
      </c>
      <c r="T733">
        <v>18275</v>
      </c>
      <c r="U733">
        <v>1</v>
      </c>
      <c r="V733" t="s">
        <v>41</v>
      </c>
      <c r="W733" t="s">
        <v>35</v>
      </c>
      <c r="X733">
        <v>15</v>
      </c>
      <c r="Y733">
        <v>3</v>
      </c>
      <c r="Z733">
        <v>1</v>
      </c>
      <c r="AA733">
        <v>80</v>
      </c>
      <c r="AB733">
        <v>0</v>
      </c>
      <c r="AC733">
        <v>1</v>
      </c>
      <c r="AD733">
        <v>2</v>
      </c>
      <c r="AE733">
        <v>3</v>
      </c>
      <c r="AF733">
        <v>1</v>
      </c>
      <c r="AG733">
        <v>0</v>
      </c>
      <c r="AH733">
        <v>0</v>
      </c>
      <c r="AI733">
        <v>0</v>
      </c>
      <c r="AJ733">
        <f t="shared" si="11"/>
        <v>1</v>
      </c>
      <c r="AK733" t="str" cm="1">
        <f t="array" ref="AK733">_xlfn.IFS(A733&lt;=30,"18-30",A733&lt;=45,"31-45",A733&lt;=60,"46-60",TRUE, "60+")</f>
        <v>18-30</v>
      </c>
      <c r="AL733" t="str" cm="1">
        <f t="array" ref="AL733">_xlfn.IFS(F733&lt;=10,"0-10",F733&lt;=20,"11-20",TRUE,"20+")</f>
        <v>11-20</v>
      </c>
      <c r="AM733" t="str" cm="1">
        <f t="array" ref="AM733">_xlfn.IFS(S733&lt;=5000,"0-5k",S733&lt;=10000,"5k-10k",S733&lt;=15000,"10k-15k",TRUE,"15k+")</f>
        <v>0-5k</v>
      </c>
      <c r="AN733" t="str" cm="1">
        <f t="array" ref="AN733">_xlfn.IFS(AF733&lt;=10,"0-10",AF733&lt;=20,"10-20",AF733&lt;=30,"20-30",TRUE,"30+")</f>
        <v>0-10</v>
      </c>
      <c r="AO733" t="str" cm="1">
        <f t="array" ref="AO733">_xlfn.IFS(Y733=1,"Poor",Y733=2,"Average",Y733=3,"Good",TRUE,"Excellent")</f>
        <v>Good</v>
      </c>
      <c r="AP733" t="str" cm="1">
        <f t="array" ref="AP733">_xlfn.IFS(Q733=1,"Low",Q733=2,"Medium",Q733=3,"High",TRUE,"Very High")</f>
        <v>Low</v>
      </c>
    </row>
    <row r="734" spans="1:42" x14ac:dyDescent="0.25">
      <c r="A734">
        <v>30</v>
      </c>
      <c r="B734" t="s">
        <v>35</v>
      </c>
      <c r="C734" t="s">
        <v>91</v>
      </c>
      <c r="D734">
        <v>109</v>
      </c>
      <c r="E734" t="s">
        <v>43</v>
      </c>
      <c r="F734">
        <v>5</v>
      </c>
      <c r="G734">
        <v>3</v>
      </c>
      <c r="H734" t="s">
        <v>49</v>
      </c>
      <c r="I734">
        <v>1</v>
      </c>
      <c r="J734">
        <v>1017</v>
      </c>
      <c r="K734">
        <v>2</v>
      </c>
      <c r="L734" t="s">
        <v>38</v>
      </c>
      <c r="M734">
        <v>60</v>
      </c>
      <c r="N734">
        <v>3</v>
      </c>
      <c r="O734">
        <v>1</v>
      </c>
      <c r="P734" t="s">
        <v>48</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c r="AJ734">
        <f t="shared" si="11"/>
        <v>1</v>
      </c>
      <c r="AK734" t="str" cm="1">
        <f t="array" ref="AK734">_xlfn.IFS(A734&lt;=30,"18-30",A734&lt;=45,"31-45",A734&lt;=60,"46-60",TRUE, "60+")</f>
        <v>18-30</v>
      </c>
      <c r="AL734" t="str" cm="1">
        <f t="array" ref="AL734">_xlfn.IFS(F734&lt;=10,"0-10",F734&lt;=20,"11-20",TRUE,"20+")</f>
        <v>0-10</v>
      </c>
      <c r="AM734" t="str" cm="1">
        <f t="array" ref="AM734">_xlfn.IFS(S734&lt;=5000,"0-5k",S734&lt;=10000,"5k-10k",S734&lt;=15000,"10k-15k",TRUE,"15k+")</f>
        <v>0-5k</v>
      </c>
      <c r="AN734" t="str" cm="1">
        <f t="array" ref="AN734">_xlfn.IFS(AF734&lt;=10,"0-10",AF734&lt;=20,"10-20",AF734&lt;=30,"20-30",TRUE,"30+")</f>
        <v>0-10</v>
      </c>
      <c r="AO734" t="str" cm="1">
        <f t="array" ref="AO734">_xlfn.IFS(Y734=1,"Poor",Y734=2,"Average",Y734=3,"Good",TRUE,"Excellent")</f>
        <v>Good</v>
      </c>
      <c r="AP734" t="str" cm="1">
        <f t="array" ref="AP734">_xlfn.IFS(Q734=1,"Low",Q734=2,"Medium",Q734=3,"High",TRUE,"Very High")</f>
        <v>Medium</v>
      </c>
    </row>
    <row r="735" spans="1:42" x14ac:dyDescent="0.25">
      <c r="A735">
        <v>26</v>
      </c>
      <c r="B735" t="s">
        <v>42</v>
      </c>
      <c r="C735" t="s">
        <v>90</v>
      </c>
      <c r="D735">
        <v>1066</v>
      </c>
      <c r="E735" t="s">
        <v>43</v>
      </c>
      <c r="F735">
        <v>2</v>
      </c>
      <c r="G735">
        <v>2</v>
      </c>
      <c r="H735" t="s">
        <v>49</v>
      </c>
      <c r="I735">
        <v>1</v>
      </c>
      <c r="J735">
        <v>1018</v>
      </c>
      <c r="K735">
        <v>4</v>
      </c>
      <c r="L735" t="s">
        <v>44</v>
      </c>
      <c r="M735">
        <v>32</v>
      </c>
      <c r="N735">
        <v>4</v>
      </c>
      <c r="O735">
        <v>2</v>
      </c>
      <c r="P735" t="s">
        <v>51</v>
      </c>
      <c r="Q735">
        <v>4</v>
      </c>
      <c r="R735" t="s">
        <v>46</v>
      </c>
      <c r="S735">
        <v>5472</v>
      </c>
      <c r="T735">
        <v>3334</v>
      </c>
      <c r="U735">
        <v>1</v>
      </c>
      <c r="V735" t="s">
        <v>41</v>
      </c>
      <c r="W735" t="s">
        <v>42</v>
      </c>
      <c r="X735">
        <v>12</v>
      </c>
      <c r="Y735">
        <v>3</v>
      </c>
      <c r="Z735">
        <v>2</v>
      </c>
      <c r="AA735">
        <v>80</v>
      </c>
      <c r="AB735">
        <v>0</v>
      </c>
      <c r="AC735">
        <v>8</v>
      </c>
      <c r="AD735">
        <v>2</v>
      </c>
      <c r="AE735">
        <v>3</v>
      </c>
      <c r="AF735">
        <v>8</v>
      </c>
      <c r="AG735">
        <v>7</v>
      </c>
      <c r="AH735">
        <v>1</v>
      </c>
      <c r="AI735">
        <v>3</v>
      </c>
      <c r="AJ735">
        <f t="shared" si="11"/>
        <v>0</v>
      </c>
      <c r="AK735" t="str" cm="1">
        <f t="array" ref="AK735">_xlfn.IFS(A735&lt;=30,"18-30",A735&lt;=45,"31-45",A735&lt;=60,"46-60",TRUE, "60+")</f>
        <v>18-30</v>
      </c>
      <c r="AL735" t="str" cm="1">
        <f t="array" ref="AL735">_xlfn.IFS(F735&lt;=10,"0-10",F735&lt;=20,"11-20",TRUE,"20+")</f>
        <v>0-10</v>
      </c>
      <c r="AM735" t="str" cm="1">
        <f t="array" ref="AM735">_xlfn.IFS(S735&lt;=5000,"0-5k",S735&lt;=10000,"5k-10k",S735&lt;=15000,"10k-15k",TRUE,"15k+")</f>
        <v>5k-10k</v>
      </c>
      <c r="AN735" t="str" cm="1">
        <f t="array" ref="AN735">_xlfn.IFS(AF735&lt;=10,"0-10",AF735&lt;=20,"10-20",AF735&lt;=30,"20-30",TRUE,"30+")</f>
        <v>0-10</v>
      </c>
      <c r="AO735" t="str" cm="1">
        <f t="array" ref="AO735">_xlfn.IFS(Y735=1,"Poor",Y735=2,"Average",Y735=3,"Good",TRUE,"Excellent")</f>
        <v>Good</v>
      </c>
      <c r="AP735" t="str" cm="1">
        <f t="array" ref="AP735">_xlfn.IFS(Q735=1,"Low",Q735=2,"Medium",Q735=3,"High",TRUE,"Very High")</f>
        <v>Very High</v>
      </c>
    </row>
    <row r="736" spans="1:42" x14ac:dyDescent="0.25">
      <c r="A736">
        <v>22</v>
      </c>
      <c r="B736" t="s">
        <v>42</v>
      </c>
      <c r="C736" t="s">
        <v>90</v>
      </c>
      <c r="D736">
        <v>217</v>
      </c>
      <c r="E736" t="s">
        <v>43</v>
      </c>
      <c r="F736">
        <v>8</v>
      </c>
      <c r="G736">
        <v>1</v>
      </c>
      <c r="H736" t="s">
        <v>37</v>
      </c>
      <c r="I736">
        <v>1</v>
      </c>
      <c r="J736">
        <v>1019</v>
      </c>
      <c r="K736">
        <v>2</v>
      </c>
      <c r="L736" t="s">
        <v>44</v>
      </c>
      <c r="M736">
        <v>94</v>
      </c>
      <c r="N736">
        <v>1</v>
      </c>
      <c r="O736">
        <v>1</v>
      </c>
      <c r="P736" t="s">
        <v>48</v>
      </c>
      <c r="Q736">
        <v>1</v>
      </c>
      <c r="R736" t="s">
        <v>46</v>
      </c>
      <c r="S736">
        <v>2451</v>
      </c>
      <c r="T736">
        <v>6881</v>
      </c>
      <c r="U736">
        <v>1</v>
      </c>
      <c r="V736" t="s">
        <v>41</v>
      </c>
      <c r="W736" t="s">
        <v>42</v>
      </c>
      <c r="X736">
        <v>15</v>
      </c>
      <c r="Y736">
        <v>3</v>
      </c>
      <c r="Z736">
        <v>1</v>
      </c>
      <c r="AA736">
        <v>80</v>
      </c>
      <c r="AB736">
        <v>1</v>
      </c>
      <c r="AC736">
        <v>4</v>
      </c>
      <c r="AD736">
        <v>3</v>
      </c>
      <c r="AE736">
        <v>2</v>
      </c>
      <c r="AF736">
        <v>4</v>
      </c>
      <c r="AG736">
        <v>3</v>
      </c>
      <c r="AH736">
        <v>1</v>
      </c>
      <c r="AI736">
        <v>1</v>
      </c>
      <c r="AJ736">
        <f t="shared" si="11"/>
        <v>0</v>
      </c>
      <c r="AK736" t="str" cm="1">
        <f t="array" ref="AK736">_xlfn.IFS(A736&lt;=30,"18-30",A736&lt;=45,"31-45",A736&lt;=60,"46-60",TRUE, "60+")</f>
        <v>18-30</v>
      </c>
      <c r="AL736" t="str" cm="1">
        <f t="array" ref="AL736">_xlfn.IFS(F736&lt;=10,"0-10",F736&lt;=20,"11-20",TRUE,"20+")</f>
        <v>0-10</v>
      </c>
      <c r="AM736" t="str" cm="1">
        <f t="array" ref="AM736">_xlfn.IFS(S736&lt;=5000,"0-5k",S736&lt;=10000,"5k-10k",S736&lt;=15000,"10k-15k",TRUE,"15k+")</f>
        <v>0-5k</v>
      </c>
      <c r="AN736" t="str" cm="1">
        <f t="array" ref="AN736">_xlfn.IFS(AF736&lt;=10,"0-10",AF736&lt;=20,"10-20",AF736&lt;=30,"20-30",TRUE,"30+")</f>
        <v>0-10</v>
      </c>
      <c r="AO736" t="str" cm="1">
        <f t="array" ref="AO736">_xlfn.IFS(Y736=1,"Poor",Y736=2,"Average",Y736=3,"Good",TRUE,"Excellent")</f>
        <v>Good</v>
      </c>
      <c r="AP736" t="str" cm="1">
        <f t="array" ref="AP736">_xlfn.IFS(Q736=1,"Low",Q736=2,"Medium",Q736=3,"High",TRUE,"Very High")</f>
        <v>Low</v>
      </c>
    </row>
    <row r="737" spans="1:42" x14ac:dyDescent="0.25">
      <c r="A737">
        <v>48</v>
      </c>
      <c r="B737" t="s">
        <v>42</v>
      </c>
      <c r="C737" t="s">
        <v>90</v>
      </c>
      <c r="D737">
        <v>277</v>
      </c>
      <c r="E737" t="s">
        <v>43</v>
      </c>
      <c r="F737">
        <v>6</v>
      </c>
      <c r="G737">
        <v>3</v>
      </c>
      <c r="H737" t="s">
        <v>37</v>
      </c>
      <c r="I737">
        <v>1</v>
      </c>
      <c r="J737">
        <v>1022</v>
      </c>
      <c r="K737">
        <v>1</v>
      </c>
      <c r="L737" t="s">
        <v>44</v>
      </c>
      <c r="M737">
        <v>97</v>
      </c>
      <c r="N737">
        <v>2</v>
      </c>
      <c r="O737">
        <v>2</v>
      </c>
      <c r="P737" t="s">
        <v>52</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c r="AJ737">
        <f t="shared" si="11"/>
        <v>0</v>
      </c>
      <c r="AK737" t="str" cm="1">
        <f t="array" ref="AK737">_xlfn.IFS(A737&lt;=30,"18-30",A737&lt;=45,"31-45",A737&lt;=60,"46-60",TRUE, "60+")</f>
        <v>46-60</v>
      </c>
      <c r="AL737" t="str" cm="1">
        <f t="array" ref="AL737">_xlfn.IFS(F737&lt;=10,"0-10",F737&lt;=20,"11-20",TRUE,"20+")</f>
        <v>0-10</v>
      </c>
      <c r="AM737" t="str" cm="1">
        <f t="array" ref="AM737">_xlfn.IFS(S737&lt;=5000,"0-5k",S737&lt;=10000,"5k-10k",S737&lt;=15000,"10k-15k",TRUE,"15k+")</f>
        <v>0-5k</v>
      </c>
      <c r="AN737" t="str" cm="1">
        <f t="array" ref="AN737">_xlfn.IFS(AF737&lt;=10,"0-10",AF737&lt;=20,"10-20",AF737&lt;=30,"20-30",TRUE,"30+")</f>
        <v>0-10</v>
      </c>
      <c r="AO737" t="str" cm="1">
        <f t="array" ref="AO737">_xlfn.IFS(Y737=1,"Poor",Y737=2,"Average",Y737=3,"Good",TRUE,"Excellent")</f>
        <v>Good</v>
      </c>
      <c r="AP737" t="str" cm="1">
        <f t="array" ref="AP737">_xlfn.IFS(Q737=1,"Low",Q737=2,"Medium",Q737=3,"High",TRUE,"Very High")</f>
        <v>High</v>
      </c>
    </row>
    <row r="738" spans="1:42" x14ac:dyDescent="0.25">
      <c r="A738">
        <v>48</v>
      </c>
      <c r="B738" t="s">
        <v>42</v>
      </c>
      <c r="C738" t="s">
        <v>90</v>
      </c>
      <c r="D738">
        <v>1355</v>
      </c>
      <c r="E738" t="s">
        <v>43</v>
      </c>
      <c r="F738">
        <v>4</v>
      </c>
      <c r="G738">
        <v>4</v>
      </c>
      <c r="H738" t="s">
        <v>37</v>
      </c>
      <c r="I738">
        <v>1</v>
      </c>
      <c r="J738">
        <v>1024</v>
      </c>
      <c r="K738">
        <v>3</v>
      </c>
      <c r="L738" t="s">
        <v>44</v>
      </c>
      <c r="M738">
        <v>78</v>
      </c>
      <c r="N738">
        <v>2</v>
      </c>
      <c r="O738">
        <v>3</v>
      </c>
      <c r="P738" t="s">
        <v>52</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c r="AJ738">
        <f t="shared" si="11"/>
        <v>0</v>
      </c>
      <c r="AK738" t="str" cm="1">
        <f t="array" ref="AK738">_xlfn.IFS(A738&lt;=30,"18-30",A738&lt;=45,"31-45",A738&lt;=60,"46-60",TRUE, "60+")</f>
        <v>46-60</v>
      </c>
      <c r="AL738" t="str" cm="1">
        <f t="array" ref="AL738">_xlfn.IFS(F738&lt;=10,"0-10",F738&lt;=20,"11-20",TRUE,"20+")</f>
        <v>0-10</v>
      </c>
      <c r="AM738" t="str" cm="1">
        <f t="array" ref="AM738">_xlfn.IFS(S738&lt;=5000,"0-5k",S738&lt;=10000,"5k-10k",S738&lt;=15000,"10k-15k",TRUE,"15k+")</f>
        <v>10k-15k</v>
      </c>
      <c r="AN738" t="str" cm="1">
        <f t="array" ref="AN738">_xlfn.IFS(AF738&lt;=10,"0-10",AF738&lt;=20,"10-20",AF738&lt;=30,"20-30",TRUE,"30+")</f>
        <v>10-20</v>
      </c>
      <c r="AO738" t="str" cm="1">
        <f t="array" ref="AO738">_xlfn.IFS(Y738=1,"Poor",Y738=2,"Average",Y738=3,"Good",TRUE,"Excellent")</f>
        <v>Good</v>
      </c>
      <c r="AP738" t="str" cm="1">
        <f t="array" ref="AP738">_xlfn.IFS(Q738=1,"Low",Q738=2,"Medium",Q738=3,"High",TRUE,"Very High")</f>
        <v>High</v>
      </c>
    </row>
    <row r="739" spans="1:42" x14ac:dyDescent="0.25">
      <c r="A739">
        <v>41</v>
      </c>
      <c r="B739" t="s">
        <v>42</v>
      </c>
      <c r="C739" t="s">
        <v>90</v>
      </c>
      <c r="D739">
        <v>549</v>
      </c>
      <c r="E739" t="s">
        <v>43</v>
      </c>
      <c r="F739">
        <v>7</v>
      </c>
      <c r="G739">
        <v>2</v>
      </c>
      <c r="H739" t="s">
        <v>49</v>
      </c>
      <c r="I739">
        <v>1</v>
      </c>
      <c r="J739">
        <v>1025</v>
      </c>
      <c r="K739">
        <v>4</v>
      </c>
      <c r="L739" t="s">
        <v>38</v>
      </c>
      <c r="M739">
        <v>42</v>
      </c>
      <c r="N739">
        <v>3</v>
      </c>
      <c r="O739">
        <v>2</v>
      </c>
      <c r="P739" t="s">
        <v>51</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c r="AJ739">
        <f t="shared" si="11"/>
        <v>0</v>
      </c>
      <c r="AK739" t="str" cm="1">
        <f t="array" ref="AK739">_xlfn.IFS(A739&lt;=30,"18-30",A739&lt;=45,"31-45",A739&lt;=60,"46-60",TRUE, "60+")</f>
        <v>31-45</v>
      </c>
      <c r="AL739" t="str" cm="1">
        <f t="array" ref="AL739">_xlfn.IFS(F739&lt;=10,"0-10",F739&lt;=20,"11-20",TRUE,"20+")</f>
        <v>0-10</v>
      </c>
      <c r="AM739" t="str" cm="1">
        <f t="array" ref="AM739">_xlfn.IFS(S739&lt;=5000,"0-5k",S739&lt;=10000,"5k-10k",S739&lt;=15000,"10k-15k",TRUE,"15k+")</f>
        <v>5k-10k</v>
      </c>
      <c r="AN739" t="str" cm="1">
        <f t="array" ref="AN739">_xlfn.IFS(AF739&lt;=10,"0-10",AF739&lt;=20,"10-20",AF739&lt;=30,"20-30",TRUE,"30+")</f>
        <v>0-10</v>
      </c>
      <c r="AO739" t="str" cm="1">
        <f t="array" ref="AO739">_xlfn.IFS(Y739=1,"Poor",Y739=2,"Average",Y739=3,"Good",TRUE,"Excellent")</f>
        <v>Good</v>
      </c>
      <c r="AP739" t="str" cm="1">
        <f t="array" ref="AP739">_xlfn.IFS(Q739=1,"Low",Q739=2,"Medium",Q739=3,"High",TRUE,"Very High")</f>
        <v>High</v>
      </c>
    </row>
    <row r="740" spans="1:42" x14ac:dyDescent="0.25">
      <c r="A740">
        <v>39</v>
      </c>
      <c r="B740" t="s">
        <v>42</v>
      </c>
      <c r="C740" t="s">
        <v>90</v>
      </c>
      <c r="D740">
        <v>466</v>
      </c>
      <c r="E740" t="s">
        <v>43</v>
      </c>
      <c r="F740">
        <v>1</v>
      </c>
      <c r="G740">
        <v>1</v>
      </c>
      <c r="H740" t="s">
        <v>37</v>
      </c>
      <c r="I740">
        <v>1</v>
      </c>
      <c r="J740">
        <v>1026</v>
      </c>
      <c r="K740">
        <v>4</v>
      </c>
      <c r="L740" t="s">
        <v>38</v>
      </c>
      <c r="M740">
        <v>65</v>
      </c>
      <c r="N740">
        <v>2</v>
      </c>
      <c r="O740">
        <v>4</v>
      </c>
      <c r="P740" t="s">
        <v>51</v>
      </c>
      <c r="Q740">
        <v>4</v>
      </c>
      <c r="R740" t="s">
        <v>46</v>
      </c>
      <c r="S740">
        <v>12742</v>
      </c>
      <c r="T740">
        <v>7060</v>
      </c>
      <c r="U740">
        <v>1</v>
      </c>
      <c r="V740" t="s">
        <v>41</v>
      </c>
      <c r="W740" t="s">
        <v>42</v>
      </c>
      <c r="X740">
        <v>16</v>
      </c>
      <c r="Y740">
        <v>3</v>
      </c>
      <c r="Z740">
        <v>3</v>
      </c>
      <c r="AA740">
        <v>80</v>
      </c>
      <c r="AB740">
        <v>1</v>
      </c>
      <c r="AC740">
        <v>21</v>
      </c>
      <c r="AD740">
        <v>3</v>
      </c>
      <c r="AE740">
        <v>3</v>
      </c>
      <c r="AF740">
        <v>21</v>
      </c>
      <c r="AG740">
        <v>6</v>
      </c>
      <c r="AH740">
        <v>11</v>
      </c>
      <c r="AI740">
        <v>8</v>
      </c>
      <c r="AJ740">
        <f t="shared" si="11"/>
        <v>0</v>
      </c>
      <c r="AK740" t="str" cm="1">
        <f t="array" ref="AK740">_xlfn.IFS(A740&lt;=30,"18-30",A740&lt;=45,"31-45",A740&lt;=60,"46-60",TRUE, "60+")</f>
        <v>31-45</v>
      </c>
      <c r="AL740" t="str" cm="1">
        <f t="array" ref="AL740">_xlfn.IFS(F740&lt;=10,"0-10",F740&lt;=20,"11-20",TRUE,"20+")</f>
        <v>0-10</v>
      </c>
      <c r="AM740" t="str" cm="1">
        <f t="array" ref="AM740">_xlfn.IFS(S740&lt;=5000,"0-5k",S740&lt;=10000,"5k-10k",S740&lt;=15000,"10k-15k",TRUE,"15k+")</f>
        <v>10k-15k</v>
      </c>
      <c r="AN740" t="str" cm="1">
        <f t="array" ref="AN740">_xlfn.IFS(AF740&lt;=10,"0-10",AF740&lt;=20,"10-20",AF740&lt;=30,"20-30",TRUE,"30+")</f>
        <v>20-30</v>
      </c>
      <c r="AO740" t="str" cm="1">
        <f t="array" ref="AO740">_xlfn.IFS(Y740=1,"Poor",Y740=2,"Average",Y740=3,"Good",TRUE,"Excellent")</f>
        <v>Good</v>
      </c>
      <c r="AP740" t="str" cm="1">
        <f t="array" ref="AP740">_xlfn.IFS(Q740=1,"Low",Q740=2,"Medium",Q740=3,"High",TRUE,"Very High")</f>
        <v>Very High</v>
      </c>
    </row>
    <row r="741" spans="1:42" x14ac:dyDescent="0.25">
      <c r="A741">
        <v>27</v>
      </c>
      <c r="B741" t="s">
        <v>42</v>
      </c>
      <c r="C741" t="s">
        <v>90</v>
      </c>
      <c r="D741">
        <v>1055</v>
      </c>
      <c r="E741" t="s">
        <v>43</v>
      </c>
      <c r="F741">
        <v>2</v>
      </c>
      <c r="G741">
        <v>4</v>
      </c>
      <c r="H741" t="s">
        <v>37</v>
      </c>
      <c r="I741">
        <v>1</v>
      </c>
      <c r="J741">
        <v>1027</v>
      </c>
      <c r="K741">
        <v>1</v>
      </c>
      <c r="L741" t="s">
        <v>38</v>
      </c>
      <c r="M741">
        <v>47</v>
      </c>
      <c r="N741">
        <v>3</v>
      </c>
      <c r="O741">
        <v>2</v>
      </c>
      <c r="P741" t="s">
        <v>51</v>
      </c>
      <c r="Q741">
        <v>4</v>
      </c>
      <c r="R741" t="s">
        <v>46</v>
      </c>
      <c r="S741">
        <v>4227</v>
      </c>
      <c r="T741">
        <v>4658</v>
      </c>
      <c r="U741">
        <v>0</v>
      </c>
      <c r="V741" t="s">
        <v>41</v>
      </c>
      <c r="W741" t="s">
        <v>42</v>
      </c>
      <c r="X741">
        <v>18</v>
      </c>
      <c r="Y741">
        <v>3</v>
      </c>
      <c r="Z741">
        <v>2</v>
      </c>
      <c r="AA741">
        <v>80</v>
      </c>
      <c r="AB741">
        <v>1</v>
      </c>
      <c r="AC741">
        <v>4</v>
      </c>
      <c r="AD741">
        <v>2</v>
      </c>
      <c r="AE741">
        <v>3</v>
      </c>
      <c r="AF741">
        <v>3</v>
      </c>
      <c r="AG741">
        <v>2</v>
      </c>
      <c r="AH741">
        <v>2</v>
      </c>
      <c r="AI741">
        <v>2</v>
      </c>
      <c r="AJ741">
        <f t="shared" si="11"/>
        <v>0</v>
      </c>
      <c r="AK741" t="str" cm="1">
        <f t="array" ref="AK741">_xlfn.IFS(A741&lt;=30,"18-30",A741&lt;=45,"31-45",A741&lt;=60,"46-60",TRUE, "60+")</f>
        <v>18-30</v>
      </c>
      <c r="AL741" t="str" cm="1">
        <f t="array" ref="AL741">_xlfn.IFS(F741&lt;=10,"0-10",F741&lt;=20,"11-20",TRUE,"20+")</f>
        <v>0-10</v>
      </c>
      <c r="AM741" t="str" cm="1">
        <f t="array" ref="AM741">_xlfn.IFS(S741&lt;=5000,"0-5k",S741&lt;=10000,"5k-10k",S741&lt;=15000,"10k-15k",TRUE,"15k+")</f>
        <v>0-5k</v>
      </c>
      <c r="AN741" t="str" cm="1">
        <f t="array" ref="AN741">_xlfn.IFS(AF741&lt;=10,"0-10",AF741&lt;=20,"10-20",AF741&lt;=30,"20-30",TRUE,"30+")</f>
        <v>0-10</v>
      </c>
      <c r="AO741" t="str" cm="1">
        <f t="array" ref="AO741">_xlfn.IFS(Y741=1,"Poor",Y741=2,"Average",Y741=3,"Good",TRUE,"Excellent")</f>
        <v>Good</v>
      </c>
      <c r="AP741" t="str" cm="1">
        <f t="array" ref="AP741">_xlfn.IFS(Q741=1,"Low",Q741=2,"Medium",Q741=3,"High",TRUE,"Very High")</f>
        <v>Very High</v>
      </c>
    </row>
    <row r="742" spans="1:42" x14ac:dyDescent="0.25">
      <c r="A742">
        <v>35</v>
      </c>
      <c r="B742" t="s">
        <v>42</v>
      </c>
      <c r="C742" t="s">
        <v>90</v>
      </c>
      <c r="D742">
        <v>802</v>
      </c>
      <c r="E742" t="s">
        <v>43</v>
      </c>
      <c r="F742">
        <v>10</v>
      </c>
      <c r="G742">
        <v>3</v>
      </c>
      <c r="H742" t="s">
        <v>47</v>
      </c>
      <c r="I742">
        <v>1</v>
      </c>
      <c r="J742">
        <v>1028</v>
      </c>
      <c r="K742">
        <v>2</v>
      </c>
      <c r="L742" t="s">
        <v>44</v>
      </c>
      <c r="M742">
        <v>45</v>
      </c>
      <c r="N742">
        <v>3</v>
      </c>
      <c r="O742">
        <v>1</v>
      </c>
      <c r="P742" t="s">
        <v>48</v>
      </c>
      <c r="Q742">
        <v>4</v>
      </c>
      <c r="R742" t="s">
        <v>50</v>
      </c>
      <c r="S742">
        <v>3917</v>
      </c>
      <c r="T742">
        <v>9541</v>
      </c>
      <c r="U742">
        <v>1</v>
      </c>
      <c r="V742" t="s">
        <v>41</v>
      </c>
      <c r="W742" t="s">
        <v>42</v>
      </c>
      <c r="X742">
        <v>20</v>
      </c>
      <c r="Y742">
        <v>4</v>
      </c>
      <c r="Z742">
        <v>1</v>
      </c>
      <c r="AA742">
        <v>80</v>
      </c>
      <c r="AB742">
        <v>1</v>
      </c>
      <c r="AC742">
        <v>3</v>
      </c>
      <c r="AD742">
        <v>4</v>
      </c>
      <c r="AE742">
        <v>2</v>
      </c>
      <c r="AF742">
        <v>3</v>
      </c>
      <c r="AG742">
        <v>2</v>
      </c>
      <c r="AH742">
        <v>1</v>
      </c>
      <c r="AI742">
        <v>2</v>
      </c>
      <c r="AJ742">
        <f t="shared" si="11"/>
        <v>0</v>
      </c>
      <c r="AK742" t="str" cm="1">
        <f t="array" ref="AK742">_xlfn.IFS(A742&lt;=30,"18-30",A742&lt;=45,"31-45",A742&lt;=60,"46-60",TRUE, "60+")</f>
        <v>31-45</v>
      </c>
      <c r="AL742" t="str" cm="1">
        <f t="array" ref="AL742">_xlfn.IFS(F742&lt;=10,"0-10",F742&lt;=20,"11-20",TRUE,"20+")</f>
        <v>0-10</v>
      </c>
      <c r="AM742" t="str" cm="1">
        <f t="array" ref="AM742">_xlfn.IFS(S742&lt;=5000,"0-5k",S742&lt;=10000,"5k-10k",S742&lt;=15000,"10k-15k",TRUE,"15k+")</f>
        <v>0-5k</v>
      </c>
      <c r="AN742" t="str" cm="1">
        <f t="array" ref="AN742">_xlfn.IFS(AF742&lt;=10,"0-10",AF742&lt;=20,"10-20",AF742&lt;=30,"20-30",TRUE,"30+")</f>
        <v>0-10</v>
      </c>
      <c r="AO742" t="str" cm="1">
        <f t="array" ref="AO742">_xlfn.IFS(Y742=1,"Poor",Y742=2,"Average",Y742=3,"Good",TRUE,"Excellent")</f>
        <v>Excellent</v>
      </c>
      <c r="AP742" t="str" cm="1">
        <f t="array" ref="AP742">_xlfn.IFS(Q742=1,"Low",Q742=2,"Medium",Q742=3,"High",TRUE,"Very High")</f>
        <v>Very High</v>
      </c>
    </row>
    <row r="743" spans="1:42" x14ac:dyDescent="0.25">
      <c r="A743">
        <v>42</v>
      </c>
      <c r="B743" t="s">
        <v>42</v>
      </c>
      <c r="C743" t="s">
        <v>90</v>
      </c>
      <c r="D743">
        <v>265</v>
      </c>
      <c r="E743" t="s">
        <v>36</v>
      </c>
      <c r="F743">
        <v>5</v>
      </c>
      <c r="G743">
        <v>2</v>
      </c>
      <c r="H743" t="s">
        <v>57</v>
      </c>
      <c r="I743">
        <v>1</v>
      </c>
      <c r="J743">
        <v>1029</v>
      </c>
      <c r="K743">
        <v>4</v>
      </c>
      <c r="L743" t="s">
        <v>44</v>
      </c>
      <c r="M743">
        <v>90</v>
      </c>
      <c r="N743">
        <v>3</v>
      </c>
      <c r="O743">
        <v>5</v>
      </c>
      <c r="P743" t="s">
        <v>54</v>
      </c>
      <c r="Q743">
        <v>3</v>
      </c>
      <c r="R743" t="s">
        <v>46</v>
      </c>
      <c r="S743">
        <v>18303</v>
      </c>
      <c r="T743">
        <v>7770</v>
      </c>
      <c r="U743">
        <v>6</v>
      </c>
      <c r="V743" t="s">
        <v>41</v>
      </c>
      <c r="W743" t="s">
        <v>42</v>
      </c>
      <c r="X743">
        <v>13</v>
      </c>
      <c r="Y743">
        <v>3</v>
      </c>
      <c r="Z743">
        <v>2</v>
      </c>
      <c r="AA743">
        <v>80</v>
      </c>
      <c r="AB743">
        <v>0</v>
      </c>
      <c r="AC743">
        <v>21</v>
      </c>
      <c r="AD743">
        <v>3</v>
      </c>
      <c r="AE743">
        <v>4</v>
      </c>
      <c r="AF743">
        <v>1</v>
      </c>
      <c r="AG743">
        <v>0</v>
      </c>
      <c r="AH743">
        <v>0</v>
      </c>
      <c r="AI743">
        <v>0</v>
      </c>
      <c r="AJ743">
        <f t="shared" si="11"/>
        <v>0</v>
      </c>
      <c r="AK743" t="str" cm="1">
        <f t="array" ref="AK743">_xlfn.IFS(A743&lt;=30,"18-30",A743&lt;=45,"31-45",A743&lt;=60,"46-60",TRUE, "60+")</f>
        <v>31-45</v>
      </c>
      <c r="AL743" t="str" cm="1">
        <f t="array" ref="AL743">_xlfn.IFS(F743&lt;=10,"0-10",F743&lt;=20,"11-20",TRUE,"20+")</f>
        <v>0-10</v>
      </c>
      <c r="AM743" t="str" cm="1">
        <f t="array" ref="AM743">_xlfn.IFS(S743&lt;=5000,"0-5k",S743&lt;=10000,"5k-10k",S743&lt;=15000,"10k-15k",TRUE,"15k+")</f>
        <v>15k+</v>
      </c>
      <c r="AN743" t="str" cm="1">
        <f t="array" ref="AN743">_xlfn.IFS(AF743&lt;=10,"0-10",AF743&lt;=20,"10-20",AF743&lt;=30,"20-30",TRUE,"30+")</f>
        <v>0-10</v>
      </c>
      <c r="AO743" t="str" cm="1">
        <f t="array" ref="AO743">_xlfn.IFS(Y743=1,"Poor",Y743=2,"Average",Y743=3,"Good",TRUE,"Excellent")</f>
        <v>Good</v>
      </c>
      <c r="AP743" t="str" cm="1">
        <f t="array" ref="AP743">_xlfn.IFS(Q743=1,"Low",Q743=2,"Medium",Q743=3,"High",TRUE,"Very High")</f>
        <v>High</v>
      </c>
    </row>
    <row r="744" spans="1:42" x14ac:dyDescent="0.25">
      <c r="A744">
        <v>50</v>
      </c>
      <c r="B744" t="s">
        <v>42</v>
      </c>
      <c r="C744" t="s">
        <v>90</v>
      </c>
      <c r="D744">
        <v>804</v>
      </c>
      <c r="E744" t="s">
        <v>43</v>
      </c>
      <c r="F744">
        <v>9</v>
      </c>
      <c r="G744">
        <v>3</v>
      </c>
      <c r="H744" t="s">
        <v>37</v>
      </c>
      <c r="I744">
        <v>1</v>
      </c>
      <c r="J744">
        <v>1030</v>
      </c>
      <c r="K744">
        <v>1</v>
      </c>
      <c r="L744" t="s">
        <v>44</v>
      </c>
      <c r="M744">
        <v>64</v>
      </c>
      <c r="N744">
        <v>3</v>
      </c>
      <c r="O744">
        <v>1</v>
      </c>
      <c r="P744" t="s">
        <v>48</v>
      </c>
      <c r="Q744">
        <v>4</v>
      </c>
      <c r="R744" t="s">
        <v>46</v>
      </c>
      <c r="S744">
        <v>2380</v>
      </c>
      <c r="T744">
        <v>20165</v>
      </c>
      <c r="U744">
        <v>4</v>
      </c>
      <c r="V744" t="s">
        <v>41</v>
      </c>
      <c r="W744" t="s">
        <v>42</v>
      </c>
      <c r="X744">
        <v>18</v>
      </c>
      <c r="Y744">
        <v>3</v>
      </c>
      <c r="Z744">
        <v>2</v>
      </c>
      <c r="AA744">
        <v>80</v>
      </c>
      <c r="AB744">
        <v>0</v>
      </c>
      <c r="AC744">
        <v>8</v>
      </c>
      <c r="AD744">
        <v>5</v>
      </c>
      <c r="AE744">
        <v>3</v>
      </c>
      <c r="AF744">
        <v>1</v>
      </c>
      <c r="AG744">
        <v>0</v>
      </c>
      <c r="AH744">
        <v>0</v>
      </c>
      <c r="AI744">
        <v>0</v>
      </c>
      <c r="AJ744">
        <f t="shared" si="11"/>
        <v>0</v>
      </c>
      <c r="AK744" t="str" cm="1">
        <f t="array" ref="AK744">_xlfn.IFS(A744&lt;=30,"18-30",A744&lt;=45,"31-45",A744&lt;=60,"46-60",TRUE, "60+")</f>
        <v>46-60</v>
      </c>
      <c r="AL744" t="str" cm="1">
        <f t="array" ref="AL744">_xlfn.IFS(F744&lt;=10,"0-10",F744&lt;=20,"11-20",TRUE,"20+")</f>
        <v>0-10</v>
      </c>
      <c r="AM744" t="str" cm="1">
        <f t="array" ref="AM744">_xlfn.IFS(S744&lt;=5000,"0-5k",S744&lt;=10000,"5k-10k",S744&lt;=15000,"10k-15k",TRUE,"15k+")</f>
        <v>0-5k</v>
      </c>
      <c r="AN744" t="str" cm="1">
        <f t="array" ref="AN744">_xlfn.IFS(AF744&lt;=10,"0-10",AF744&lt;=20,"10-20",AF744&lt;=30,"20-30",TRUE,"30+")</f>
        <v>0-10</v>
      </c>
      <c r="AO744" t="str" cm="1">
        <f t="array" ref="AO744">_xlfn.IFS(Y744=1,"Poor",Y744=2,"Average",Y744=3,"Good",TRUE,"Excellent")</f>
        <v>Good</v>
      </c>
      <c r="AP744" t="str" cm="1">
        <f t="array" ref="AP744">_xlfn.IFS(Q744=1,"Low",Q744=2,"Medium",Q744=3,"High",TRUE,"Very High")</f>
        <v>Very High</v>
      </c>
    </row>
    <row r="745" spans="1:42" x14ac:dyDescent="0.25">
      <c r="A745">
        <v>59</v>
      </c>
      <c r="B745" t="s">
        <v>42</v>
      </c>
      <c r="C745" t="s">
        <v>90</v>
      </c>
      <c r="D745">
        <v>715</v>
      </c>
      <c r="E745" t="s">
        <v>43</v>
      </c>
      <c r="F745">
        <v>2</v>
      </c>
      <c r="G745">
        <v>3</v>
      </c>
      <c r="H745" t="s">
        <v>37</v>
      </c>
      <c r="I745">
        <v>1</v>
      </c>
      <c r="J745">
        <v>1032</v>
      </c>
      <c r="K745">
        <v>3</v>
      </c>
      <c r="L745" t="s">
        <v>38</v>
      </c>
      <c r="M745">
        <v>69</v>
      </c>
      <c r="N745">
        <v>2</v>
      </c>
      <c r="O745">
        <v>4</v>
      </c>
      <c r="P745" t="s">
        <v>51</v>
      </c>
      <c r="Q745">
        <v>4</v>
      </c>
      <c r="R745" t="s">
        <v>40</v>
      </c>
      <c r="S745">
        <v>13726</v>
      </c>
      <c r="T745">
        <v>21829</v>
      </c>
      <c r="U745">
        <v>3</v>
      </c>
      <c r="V745" t="s">
        <v>41</v>
      </c>
      <c r="W745" t="s">
        <v>35</v>
      </c>
      <c r="X745">
        <v>13</v>
      </c>
      <c r="Y745">
        <v>3</v>
      </c>
      <c r="Z745">
        <v>1</v>
      </c>
      <c r="AA745">
        <v>80</v>
      </c>
      <c r="AB745">
        <v>0</v>
      </c>
      <c r="AC745">
        <v>30</v>
      </c>
      <c r="AD745">
        <v>4</v>
      </c>
      <c r="AE745">
        <v>3</v>
      </c>
      <c r="AF745">
        <v>5</v>
      </c>
      <c r="AG745">
        <v>3</v>
      </c>
      <c r="AH745">
        <v>4</v>
      </c>
      <c r="AI745">
        <v>3</v>
      </c>
      <c r="AJ745">
        <f t="shared" si="11"/>
        <v>0</v>
      </c>
      <c r="AK745" t="str" cm="1">
        <f t="array" ref="AK745">_xlfn.IFS(A745&lt;=30,"18-30",A745&lt;=45,"31-45",A745&lt;=60,"46-60",TRUE, "60+")</f>
        <v>46-60</v>
      </c>
      <c r="AL745" t="str" cm="1">
        <f t="array" ref="AL745">_xlfn.IFS(F745&lt;=10,"0-10",F745&lt;=20,"11-20",TRUE,"20+")</f>
        <v>0-10</v>
      </c>
      <c r="AM745" t="str" cm="1">
        <f t="array" ref="AM745">_xlfn.IFS(S745&lt;=5000,"0-5k",S745&lt;=10000,"5k-10k",S745&lt;=15000,"10k-15k",TRUE,"15k+")</f>
        <v>10k-15k</v>
      </c>
      <c r="AN745" t="str" cm="1">
        <f t="array" ref="AN745">_xlfn.IFS(AF745&lt;=10,"0-10",AF745&lt;=20,"10-20",AF745&lt;=30,"20-30",TRUE,"30+")</f>
        <v>0-10</v>
      </c>
      <c r="AO745" t="str" cm="1">
        <f t="array" ref="AO745">_xlfn.IFS(Y745=1,"Poor",Y745=2,"Average",Y745=3,"Good",TRUE,"Excellent")</f>
        <v>Good</v>
      </c>
      <c r="AP745" t="str" cm="1">
        <f t="array" ref="AP745">_xlfn.IFS(Q745=1,"Low",Q745=2,"Medium",Q745=3,"High",TRUE,"Very High")</f>
        <v>Very High</v>
      </c>
    </row>
    <row r="746" spans="1:42" x14ac:dyDescent="0.25">
      <c r="A746">
        <v>37</v>
      </c>
      <c r="B746" t="s">
        <v>35</v>
      </c>
      <c r="C746" t="s">
        <v>90</v>
      </c>
      <c r="D746">
        <v>1141</v>
      </c>
      <c r="E746" t="s">
        <v>43</v>
      </c>
      <c r="F746">
        <v>11</v>
      </c>
      <c r="G746">
        <v>2</v>
      </c>
      <c r="H746" t="s">
        <v>49</v>
      </c>
      <c r="I746">
        <v>1</v>
      </c>
      <c r="J746">
        <v>1033</v>
      </c>
      <c r="K746">
        <v>1</v>
      </c>
      <c r="L746" t="s">
        <v>38</v>
      </c>
      <c r="M746">
        <v>61</v>
      </c>
      <c r="N746">
        <v>1</v>
      </c>
      <c r="O746">
        <v>2</v>
      </c>
      <c r="P746" t="s">
        <v>52</v>
      </c>
      <c r="Q746">
        <v>2</v>
      </c>
      <c r="R746" t="s">
        <v>46</v>
      </c>
      <c r="S746">
        <v>4777</v>
      </c>
      <c r="T746">
        <v>14382</v>
      </c>
      <c r="U746">
        <v>5</v>
      </c>
      <c r="V746" t="s">
        <v>41</v>
      </c>
      <c r="W746" t="s">
        <v>42</v>
      </c>
      <c r="X746">
        <v>15</v>
      </c>
      <c r="Y746">
        <v>3</v>
      </c>
      <c r="Z746">
        <v>1</v>
      </c>
      <c r="AA746">
        <v>80</v>
      </c>
      <c r="AB746">
        <v>0</v>
      </c>
      <c r="AC746">
        <v>15</v>
      </c>
      <c r="AD746">
        <v>2</v>
      </c>
      <c r="AE746">
        <v>1</v>
      </c>
      <c r="AF746">
        <v>1</v>
      </c>
      <c r="AG746">
        <v>0</v>
      </c>
      <c r="AH746">
        <v>0</v>
      </c>
      <c r="AI746">
        <v>0</v>
      </c>
      <c r="AJ746">
        <f t="shared" si="11"/>
        <v>1</v>
      </c>
      <c r="AK746" t="str" cm="1">
        <f t="array" ref="AK746">_xlfn.IFS(A746&lt;=30,"18-30",A746&lt;=45,"31-45",A746&lt;=60,"46-60",TRUE, "60+")</f>
        <v>31-45</v>
      </c>
      <c r="AL746" t="str" cm="1">
        <f t="array" ref="AL746">_xlfn.IFS(F746&lt;=10,"0-10",F746&lt;=20,"11-20",TRUE,"20+")</f>
        <v>11-20</v>
      </c>
      <c r="AM746" t="str" cm="1">
        <f t="array" ref="AM746">_xlfn.IFS(S746&lt;=5000,"0-5k",S746&lt;=10000,"5k-10k",S746&lt;=15000,"10k-15k",TRUE,"15k+")</f>
        <v>0-5k</v>
      </c>
      <c r="AN746" t="str" cm="1">
        <f t="array" ref="AN746">_xlfn.IFS(AF746&lt;=10,"0-10",AF746&lt;=20,"10-20",AF746&lt;=30,"20-30",TRUE,"30+")</f>
        <v>0-10</v>
      </c>
      <c r="AO746" t="str" cm="1">
        <f t="array" ref="AO746">_xlfn.IFS(Y746=1,"Poor",Y746=2,"Average",Y746=3,"Good",TRUE,"Excellent")</f>
        <v>Good</v>
      </c>
      <c r="AP746" t="str" cm="1">
        <f t="array" ref="AP746">_xlfn.IFS(Q746=1,"Low",Q746=2,"Medium",Q746=3,"High",TRUE,"Very High")</f>
        <v>Medium</v>
      </c>
    </row>
    <row r="747" spans="1:42" x14ac:dyDescent="0.25">
      <c r="A747">
        <v>55</v>
      </c>
      <c r="B747" t="s">
        <v>42</v>
      </c>
      <c r="C747" t="s">
        <v>91</v>
      </c>
      <c r="D747">
        <v>135</v>
      </c>
      <c r="E747" t="s">
        <v>43</v>
      </c>
      <c r="F747">
        <v>18</v>
      </c>
      <c r="G747">
        <v>4</v>
      </c>
      <c r="H747" t="s">
        <v>49</v>
      </c>
      <c r="I747">
        <v>1</v>
      </c>
      <c r="J747">
        <v>1034</v>
      </c>
      <c r="K747">
        <v>3</v>
      </c>
      <c r="L747" t="s">
        <v>44</v>
      </c>
      <c r="M747">
        <v>62</v>
      </c>
      <c r="N747">
        <v>3</v>
      </c>
      <c r="O747">
        <v>2</v>
      </c>
      <c r="P747" t="s">
        <v>52</v>
      </c>
      <c r="Q747">
        <v>2</v>
      </c>
      <c r="R747" t="s">
        <v>46</v>
      </c>
      <c r="S747">
        <v>6385</v>
      </c>
      <c r="T747">
        <v>12992</v>
      </c>
      <c r="U747">
        <v>3</v>
      </c>
      <c r="V747" t="s">
        <v>41</v>
      </c>
      <c r="W747" t="s">
        <v>35</v>
      </c>
      <c r="X747">
        <v>14</v>
      </c>
      <c r="Y747">
        <v>3</v>
      </c>
      <c r="Z747">
        <v>4</v>
      </c>
      <c r="AA747">
        <v>80</v>
      </c>
      <c r="AB747">
        <v>2</v>
      </c>
      <c r="AC747">
        <v>17</v>
      </c>
      <c r="AD747">
        <v>3</v>
      </c>
      <c r="AE747">
        <v>3</v>
      </c>
      <c r="AF747">
        <v>8</v>
      </c>
      <c r="AG747">
        <v>7</v>
      </c>
      <c r="AH747">
        <v>6</v>
      </c>
      <c r="AI747">
        <v>7</v>
      </c>
      <c r="AJ747">
        <f t="shared" si="11"/>
        <v>0</v>
      </c>
      <c r="AK747" t="str" cm="1">
        <f t="array" ref="AK747">_xlfn.IFS(A747&lt;=30,"18-30",A747&lt;=45,"31-45",A747&lt;=60,"46-60",TRUE, "60+")</f>
        <v>46-60</v>
      </c>
      <c r="AL747" t="str" cm="1">
        <f t="array" ref="AL747">_xlfn.IFS(F747&lt;=10,"0-10",F747&lt;=20,"11-20",TRUE,"20+")</f>
        <v>11-20</v>
      </c>
      <c r="AM747" t="str" cm="1">
        <f t="array" ref="AM747">_xlfn.IFS(S747&lt;=5000,"0-5k",S747&lt;=10000,"5k-10k",S747&lt;=15000,"10k-15k",TRUE,"15k+")</f>
        <v>5k-10k</v>
      </c>
      <c r="AN747" t="str" cm="1">
        <f t="array" ref="AN747">_xlfn.IFS(AF747&lt;=10,"0-10",AF747&lt;=20,"10-20",AF747&lt;=30,"20-30",TRUE,"30+")</f>
        <v>0-10</v>
      </c>
      <c r="AO747" t="str" cm="1">
        <f t="array" ref="AO747">_xlfn.IFS(Y747=1,"Poor",Y747=2,"Average",Y747=3,"Good",TRUE,"Excellent")</f>
        <v>Good</v>
      </c>
      <c r="AP747" t="str" cm="1">
        <f t="array" ref="AP747">_xlfn.IFS(Q747=1,"Low",Q747=2,"Medium",Q747=3,"High",TRUE,"Very High")</f>
        <v>Medium</v>
      </c>
    </row>
    <row r="748" spans="1:42" x14ac:dyDescent="0.25">
      <c r="A748">
        <v>41</v>
      </c>
      <c r="B748" t="s">
        <v>42</v>
      </c>
      <c r="C748" t="s">
        <v>53</v>
      </c>
      <c r="D748">
        <v>247</v>
      </c>
      <c r="E748" t="s">
        <v>43</v>
      </c>
      <c r="F748">
        <v>7</v>
      </c>
      <c r="G748">
        <v>1</v>
      </c>
      <c r="H748" t="s">
        <v>37</v>
      </c>
      <c r="I748">
        <v>1</v>
      </c>
      <c r="J748">
        <v>1035</v>
      </c>
      <c r="K748">
        <v>2</v>
      </c>
      <c r="L748" t="s">
        <v>38</v>
      </c>
      <c r="M748">
        <v>55</v>
      </c>
      <c r="N748">
        <v>1</v>
      </c>
      <c r="O748">
        <v>5</v>
      </c>
      <c r="P748" t="s">
        <v>56</v>
      </c>
      <c r="Q748">
        <v>3</v>
      </c>
      <c r="R748" t="s">
        <v>50</v>
      </c>
      <c r="S748">
        <v>19973</v>
      </c>
      <c r="T748">
        <v>20284</v>
      </c>
      <c r="U748">
        <v>1</v>
      </c>
      <c r="V748" t="s">
        <v>41</v>
      </c>
      <c r="W748" t="s">
        <v>42</v>
      </c>
      <c r="X748">
        <v>22</v>
      </c>
      <c r="Y748">
        <v>4</v>
      </c>
      <c r="Z748">
        <v>2</v>
      </c>
      <c r="AA748">
        <v>80</v>
      </c>
      <c r="AB748">
        <v>2</v>
      </c>
      <c r="AC748">
        <v>21</v>
      </c>
      <c r="AD748">
        <v>3</v>
      </c>
      <c r="AE748">
        <v>3</v>
      </c>
      <c r="AF748">
        <v>21</v>
      </c>
      <c r="AG748">
        <v>16</v>
      </c>
      <c r="AH748">
        <v>5</v>
      </c>
      <c r="AI748">
        <v>10</v>
      </c>
      <c r="AJ748">
        <f t="shared" si="11"/>
        <v>0</v>
      </c>
      <c r="AK748" t="str" cm="1">
        <f t="array" ref="AK748">_xlfn.IFS(A748&lt;=30,"18-30",A748&lt;=45,"31-45",A748&lt;=60,"46-60",TRUE, "60+")</f>
        <v>31-45</v>
      </c>
      <c r="AL748" t="str" cm="1">
        <f t="array" ref="AL748">_xlfn.IFS(F748&lt;=10,"0-10",F748&lt;=20,"11-20",TRUE,"20+")</f>
        <v>0-10</v>
      </c>
      <c r="AM748" t="str" cm="1">
        <f t="array" ref="AM748">_xlfn.IFS(S748&lt;=5000,"0-5k",S748&lt;=10000,"5k-10k",S748&lt;=15000,"10k-15k",TRUE,"15k+")</f>
        <v>15k+</v>
      </c>
      <c r="AN748" t="str" cm="1">
        <f t="array" ref="AN748">_xlfn.IFS(AF748&lt;=10,"0-10",AF748&lt;=20,"10-20",AF748&lt;=30,"20-30",TRUE,"30+")</f>
        <v>20-30</v>
      </c>
      <c r="AO748" t="str" cm="1">
        <f t="array" ref="AO748">_xlfn.IFS(Y748=1,"Poor",Y748=2,"Average",Y748=3,"Good",TRUE,"Excellent")</f>
        <v>Excellent</v>
      </c>
      <c r="AP748" t="str" cm="1">
        <f t="array" ref="AP748">_xlfn.IFS(Q748=1,"Low",Q748=2,"Medium",Q748=3,"High",TRUE,"Very High")</f>
        <v>High</v>
      </c>
    </row>
    <row r="749" spans="1:42" x14ac:dyDescent="0.25">
      <c r="A749">
        <v>38</v>
      </c>
      <c r="B749" t="s">
        <v>42</v>
      </c>
      <c r="C749" t="s">
        <v>90</v>
      </c>
      <c r="D749">
        <v>1035</v>
      </c>
      <c r="E749" t="s">
        <v>36</v>
      </c>
      <c r="F749">
        <v>3</v>
      </c>
      <c r="G749">
        <v>4</v>
      </c>
      <c r="H749" t="s">
        <v>37</v>
      </c>
      <c r="I749">
        <v>1</v>
      </c>
      <c r="J749">
        <v>1036</v>
      </c>
      <c r="K749">
        <v>2</v>
      </c>
      <c r="L749" t="s">
        <v>44</v>
      </c>
      <c r="M749">
        <v>42</v>
      </c>
      <c r="N749">
        <v>3</v>
      </c>
      <c r="O749">
        <v>2</v>
      </c>
      <c r="P749" t="s">
        <v>39</v>
      </c>
      <c r="Q749">
        <v>4</v>
      </c>
      <c r="R749" t="s">
        <v>40</v>
      </c>
      <c r="S749">
        <v>6861</v>
      </c>
      <c r="T749">
        <v>4981</v>
      </c>
      <c r="U749">
        <v>8</v>
      </c>
      <c r="V749" t="s">
        <v>41</v>
      </c>
      <c r="W749" t="s">
        <v>35</v>
      </c>
      <c r="X749">
        <v>12</v>
      </c>
      <c r="Y749">
        <v>3</v>
      </c>
      <c r="Z749">
        <v>3</v>
      </c>
      <c r="AA749">
        <v>80</v>
      </c>
      <c r="AB749">
        <v>0</v>
      </c>
      <c r="AC749">
        <v>19</v>
      </c>
      <c r="AD749">
        <v>1</v>
      </c>
      <c r="AE749">
        <v>3</v>
      </c>
      <c r="AF749">
        <v>1</v>
      </c>
      <c r="AG749">
        <v>0</v>
      </c>
      <c r="AH749">
        <v>0</v>
      </c>
      <c r="AI749">
        <v>0</v>
      </c>
      <c r="AJ749">
        <f t="shared" si="11"/>
        <v>0</v>
      </c>
      <c r="AK749" t="str" cm="1">
        <f t="array" ref="AK749">_xlfn.IFS(A749&lt;=30,"18-30",A749&lt;=45,"31-45",A749&lt;=60,"46-60",TRUE, "60+")</f>
        <v>31-45</v>
      </c>
      <c r="AL749" t="str" cm="1">
        <f t="array" ref="AL749">_xlfn.IFS(F749&lt;=10,"0-10",F749&lt;=20,"11-20",TRUE,"20+")</f>
        <v>0-10</v>
      </c>
      <c r="AM749" t="str" cm="1">
        <f t="array" ref="AM749">_xlfn.IFS(S749&lt;=5000,"0-5k",S749&lt;=10000,"5k-10k",S749&lt;=15000,"10k-15k",TRUE,"15k+")</f>
        <v>5k-10k</v>
      </c>
      <c r="AN749" t="str" cm="1">
        <f t="array" ref="AN749">_xlfn.IFS(AF749&lt;=10,"0-10",AF749&lt;=20,"10-20",AF749&lt;=30,"20-30",TRUE,"30+")</f>
        <v>0-10</v>
      </c>
      <c r="AO749" t="str" cm="1">
        <f t="array" ref="AO749">_xlfn.IFS(Y749=1,"Poor",Y749=2,"Average",Y749=3,"Good",TRUE,"Excellent")</f>
        <v>Good</v>
      </c>
      <c r="AP749" t="str" cm="1">
        <f t="array" ref="AP749">_xlfn.IFS(Q749=1,"Low",Q749=2,"Medium",Q749=3,"High",TRUE,"Very High")</f>
        <v>Very High</v>
      </c>
    </row>
    <row r="750" spans="1:42" x14ac:dyDescent="0.25">
      <c r="A750">
        <v>26</v>
      </c>
      <c r="B750" t="s">
        <v>35</v>
      </c>
      <c r="C750" t="s">
        <v>53</v>
      </c>
      <c r="D750">
        <v>265</v>
      </c>
      <c r="E750" t="s">
        <v>36</v>
      </c>
      <c r="F750">
        <v>29</v>
      </c>
      <c r="G750">
        <v>2</v>
      </c>
      <c r="H750" t="s">
        <v>49</v>
      </c>
      <c r="I750">
        <v>1</v>
      </c>
      <c r="J750">
        <v>1037</v>
      </c>
      <c r="K750">
        <v>2</v>
      </c>
      <c r="L750" t="s">
        <v>44</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c r="AJ750">
        <f t="shared" si="11"/>
        <v>1</v>
      </c>
      <c r="AK750" t="str" cm="1">
        <f t="array" ref="AK750">_xlfn.IFS(A750&lt;=30,"18-30",A750&lt;=45,"31-45",A750&lt;=60,"46-60",TRUE, "60+")</f>
        <v>18-30</v>
      </c>
      <c r="AL750" t="str" cm="1">
        <f t="array" ref="AL750">_xlfn.IFS(F750&lt;=10,"0-10",F750&lt;=20,"11-20",TRUE,"20+")</f>
        <v>20+</v>
      </c>
      <c r="AM750" t="str" cm="1">
        <f t="array" ref="AM750">_xlfn.IFS(S750&lt;=5000,"0-5k",S750&lt;=10000,"5k-10k",S750&lt;=15000,"10k-15k",TRUE,"15k+")</f>
        <v>0-5k</v>
      </c>
      <c r="AN750" t="str" cm="1">
        <f t="array" ref="AN750">_xlfn.IFS(AF750&lt;=10,"0-10",AF750&lt;=20,"10-20",AF750&lt;=30,"20-30",TRUE,"30+")</f>
        <v>0-10</v>
      </c>
      <c r="AO750" t="str" cm="1">
        <f t="array" ref="AO750">_xlfn.IFS(Y750=1,"Poor",Y750=2,"Average",Y750=3,"Good",TRUE,"Excellent")</f>
        <v>Good</v>
      </c>
      <c r="AP750" t="str" cm="1">
        <f t="array" ref="AP750">_xlfn.IFS(Q750=1,"Low",Q750=2,"Medium",Q750=3,"High",TRUE,"Very High")</f>
        <v>Low</v>
      </c>
    </row>
    <row r="751" spans="1:42" x14ac:dyDescent="0.25">
      <c r="A751">
        <v>52</v>
      </c>
      <c r="B751" t="s">
        <v>35</v>
      </c>
      <c r="C751" t="s">
        <v>90</v>
      </c>
      <c r="D751">
        <v>266</v>
      </c>
      <c r="E751" t="s">
        <v>36</v>
      </c>
      <c r="F751">
        <v>2</v>
      </c>
      <c r="G751">
        <v>1</v>
      </c>
      <c r="H751" t="s">
        <v>57</v>
      </c>
      <c r="I751">
        <v>1</v>
      </c>
      <c r="J751">
        <v>1038</v>
      </c>
      <c r="K751">
        <v>1</v>
      </c>
      <c r="L751" t="s">
        <v>38</v>
      </c>
      <c r="M751">
        <v>57</v>
      </c>
      <c r="N751">
        <v>1</v>
      </c>
      <c r="O751">
        <v>5</v>
      </c>
      <c r="P751" t="s">
        <v>54</v>
      </c>
      <c r="Q751">
        <v>4</v>
      </c>
      <c r="R751" t="s">
        <v>46</v>
      </c>
      <c r="S751">
        <v>19845</v>
      </c>
      <c r="T751">
        <v>25846</v>
      </c>
      <c r="U751">
        <v>1</v>
      </c>
      <c r="V751" t="s">
        <v>41</v>
      </c>
      <c r="W751" t="s">
        <v>42</v>
      </c>
      <c r="X751">
        <v>15</v>
      </c>
      <c r="Y751">
        <v>3</v>
      </c>
      <c r="Z751">
        <v>4</v>
      </c>
      <c r="AA751">
        <v>80</v>
      </c>
      <c r="AB751">
        <v>1</v>
      </c>
      <c r="AC751">
        <v>33</v>
      </c>
      <c r="AD751">
        <v>3</v>
      </c>
      <c r="AE751">
        <v>3</v>
      </c>
      <c r="AF751">
        <v>32</v>
      </c>
      <c r="AG751">
        <v>14</v>
      </c>
      <c r="AH751">
        <v>6</v>
      </c>
      <c r="AI751">
        <v>9</v>
      </c>
      <c r="AJ751">
        <f t="shared" si="11"/>
        <v>1</v>
      </c>
      <c r="AK751" t="str" cm="1">
        <f t="array" ref="AK751">_xlfn.IFS(A751&lt;=30,"18-30",A751&lt;=45,"31-45",A751&lt;=60,"46-60",TRUE, "60+")</f>
        <v>46-60</v>
      </c>
      <c r="AL751" t="str" cm="1">
        <f t="array" ref="AL751">_xlfn.IFS(F751&lt;=10,"0-10",F751&lt;=20,"11-20",TRUE,"20+")</f>
        <v>0-10</v>
      </c>
      <c r="AM751" t="str" cm="1">
        <f t="array" ref="AM751">_xlfn.IFS(S751&lt;=5000,"0-5k",S751&lt;=10000,"5k-10k",S751&lt;=15000,"10k-15k",TRUE,"15k+")</f>
        <v>15k+</v>
      </c>
      <c r="AN751" t="str" cm="1">
        <f t="array" ref="AN751">_xlfn.IFS(AF751&lt;=10,"0-10",AF751&lt;=20,"10-20",AF751&lt;=30,"20-30",TRUE,"30+")</f>
        <v>30+</v>
      </c>
      <c r="AO751" t="str" cm="1">
        <f t="array" ref="AO751">_xlfn.IFS(Y751=1,"Poor",Y751=2,"Average",Y751=3,"Good",TRUE,"Excellent")</f>
        <v>Good</v>
      </c>
      <c r="AP751" t="str" cm="1">
        <f t="array" ref="AP751">_xlfn.IFS(Q751=1,"Low",Q751=2,"Medium",Q751=3,"High",TRUE,"Very High")</f>
        <v>Very High</v>
      </c>
    </row>
    <row r="752" spans="1:42" x14ac:dyDescent="0.25">
      <c r="A752">
        <v>44</v>
      </c>
      <c r="B752" t="s">
        <v>42</v>
      </c>
      <c r="C752" t="s">
        <v>90</v>
      </c>
      <c r="D752">
        <v>1448</v>
      </c>
      <c r="E752" t="s">
        <v>36</v>
      </c>
      <c r="F752">
        <v>28</v>
      </c>
      <c r="G752">
        <v>3</v>
      </c>
      <c r="H752" t="s">
        <v>49</v>
      </c>
      <c r="I752">
        <v>1</v>
      </c>
      <c r="J752">
        <v>1039</v>
      </c>
      <c r="K752">
        <v>4</v>
      </c>
      <c r="L752" t="s">
        <v>38</v>
      </c>
      <c r="M752">
        <v>53</v>
      </c>
      <c r="N752">
        <v>4</v>
      </c>
      <c r="O752">
        <v>4</v>
      </c>
      <c r="P752" t="s">
        <v>39</v>
      </c>
      <c r="Q752">
        <v>4</v>
      </c>
      <c r="R752" t="s">
        <v>46</v>
      </c>
      <c r="S752">
        <v>13320</v>
      </c>
      <c r="T752">
        <v>11737</v>
      </c>
      <c r="U752">
        <v>3</v>
      </c>
      <c r="V752" t="s">
        <v>41</v>
      </c>
      <c r="W752" t="s">
        <v>35</v>
      </c>
      <c r="X752">
        <v>18</v>
      </c>
      <c r="Y752">
        <v>3</v>
      </c>
      <c r="Z752">
        <v>3</v>
      </c>
      <c r="AA752">
        <v>80</v>
      </c>
      <c r="AB752">
        <v>1</v>
      </c>
      <c r="AC752">
        <v>23</v>
      </c>
      <c r="AD752">
        <v>2</v>
      </c>
      <c r="AE752">
        <v>3</v>
      </c>
      <c r="AF752">
        <v>12</v>
      </c>
      <c r="AG752">
        <v>11</v>
      </c>
      <c r="AH752">
        <v>11</v>
      </c>
      <c r="AI752">
        <v>11</v>
      </c>
      <c r="AJ752">
        <f t="shared" si="11"/>
        <v>0</v>
      </c>
      <c r="AK752" t="str" cm="1">
        <f t="array" ref="AK752">_xlfn.IFS(A752&lt;=30,"18-30",A752&lt;=45,"31-45",A752&lt;=60,"46-60",TRUE, "60+")</f>
        <v>31-45</v>
      </c>
      <c r="AL752" t="str" cm="1">
        <f t="array" ref="AL752">_xlfn.IFS(F752&lt;=10,"0-10",F752&lt;=20,"11-20",TRUE,"20+")</f>
        <v>20+</v>
      </c>
      <c r="AM752" t="str" cm="1">
        <f t="array" ref="AM752">_xlfn.IFS(S752&lt;=5000,"0-5k",S752&lt;=10000,"5k-10k",S752&lt;=15000,"10k-15k",TRUE,"15k+")</f>
        <v>10k-15k</v>
      </c>
      <c r="AN752" t="str" cm="1">
        <f t="array" ref="AN752">_xlfn.IFS(AF752&lt;=10,"0-10",AF752&lt;=20,"10-20",AF752&lt;=30,"20-30",TRUE,"30+")</f>
        <v>10-20</v>
      </c>
      <c r="AO752" t="str" cm="1">
        <f t="array" ref="AO752">_xlfn.IFS(Y752=1,"Poor",Y752=2,"Average",Y752=3,"Good",TRUE,"Excellent")</f>
        <v>Good</v>
      </c>
      <c r="AP752" t="str" cm="1">
        <f t="array" ref="AP752">_xlfn.IFS(Q752=1,"Low",Q752=2,"Medium",Q752=3,"High",TRUE,"Very High")</f>
        <v>Very High</v>
      </c>
    </row>
    <row r="753" spans="1:42" x14ac:dyDescent="0.25">
      <c r="A753">
        <v>50</v>
      </c>
      <c r="B753" t="s">
        <v>42</v>
      </c>
      <c r="C753" t="s">
        <v>53</v>
      </c>
      <c r="D753">
        <v>145</v>
      </c>
      <c r="E753" t="s">
        <v>36</v>
      </c>
      <c r="F753">
        <v>1</v>
      </c>
      <c r="G753">
        <v>3</v>
      </c>
      <c r="H753" t="s">
        <v>37</v>
      </c>
      <c r="I753">
        <v>1</v>
      </c>
      <c r="J753">
        <v>1040</v>
      </c>
      <c r="K753">
        <v>4</v>
      </c>
      <c r="L753" t="s">
        <v>38</v>
      </c>
      <c r="M753">
        <v>95</v>
      </c>
      <c r="N753">
        <v>3</v>
      </c>
      <c r="O753">
        <v>2</v>
      </c>
      <c r="P753" t="s">
        <v>39</v>
      </c>
      <c r="Q753">
        <v>3</v>
      </c>
      <c r="R753" t="s">
        <v>46</v>
      </c>
      <c r="S753">
        <v>6347</v>
      </c>
      <c r="T753">
        <v>24920</v>
      </c>
      <c r="U753">
        <v>0</v>
      </c>
      <c r="V753" t="s">
        <v>41</v>
      </c>
      <c r="W753" t="s">
        <v>42</v>
      </c>
      <c r="X753">
        <v>12</v>
      </c>
      <c r="Y753">
        <v>3</v>
      </c>
      <c r="Z753">
        <v>1</v>
      </c>
      <c r="AA753">
        <v>80</v>
      </c>
      <c r="AB753">
        <v>1</v>
      </c>
      <c r="AC753">
        <v>19</v>
      </c>
      <c r="AD753">
        <v>3</v>
      </c>
      <c r="AE753">
        <v>3</v>
      </c>
      <c r="AF753">
        <v>18</v>
      </c>
      <c r="AG753">
        <v>7</v>
      </c>
      <c r="AH753">
        <v>0</v>
      </c>
      <c r="AI753">
        <v>13</v>
      </c>
      <c r="AJ753">
        <f t="shared" si="11"/>
        <v>0</v>
      </c>
      <c r="AK753" t="str" cm="1">
        <f t="array" ref="AK753">_xlfn.IFS(A753&lt;=30,"18-30",A753&lt;=45,"31-45",A753&lt;=60,"46-60",TRUE, "60+")</f>
        <v>46-60</v>
      </c>
      <c r="AL753" t="str" cm="1">
        <f t="array" ref="AL753">_xlfn.IFS(F753&lt;=10,"0-10",F753&lt;=20,"11-20",TRUE,"20+")</f>
        <v>0-10</v>
      </c>
      <c r="AM753" t="str" cm="1">
        <f t="array" ref="AM753">_xlfn.IFS(S753&lt;=5000,"0-5k",S753&lt;=10000,"5k-10k",S753&lt;=15000,"10k-15k",TRUE,"15k+")</f>
        <v>5k-10k</v>
      </c>
      <c r="AN753" t="str" cm="1">
        <f t="array" ref="AN753">_xlfn.IFS(AF753&lt;=10,"0-10",AF753&lt;=20,"10-20",AF753&lt;=30,"20-30",TRUE,"30+")</f>
        <v>10-20</v>
      </c>
      <c r="AO753" t="str" cm="1">
        <f t="array" ref="AO753">_xlfn.IFS(Y753=1,"Poor",Y753=2,"Average",Y753=3,"Good",TRUE,"Excellent")</f>
        <v>Good</v>
      </c>
      <c r="AP753" t="str" cm="1">
        <f t="array" ref="AP753">_xlfn.IFS(Q753=1,"Low",Q753=2,"Medium",Q753=3,"High",TRUE,"Very High")</f>
        <v>High</v>
      </c>
    </row>
    <row r="754" spans="1:42" x14ac:dyDescent="0.25">
      <c r="A754">
        <v>36</v>
      </c>
      <c r="B754" t="s">
        <v>35</v>
      </c>
      <c r="C754" t="s">
        <v>90</v>
      </c>
      <c r="D754">
        <v>885</v>
      </c>
      <c r="E754" t="s">
        <v>43</v>
      </c>
      <c r="F754">
        <v>16</v>
      </c>
      <c r="G754">
        <v>4</v>
      </c>
      <c r="H754" t="s">
        <v>37</v>
      </c>
      <c r="I754">
        <v>1</v>
      </c>
      <c r="J754">
        <v>1042</v>
      </c>
      <c r="K754">
        <v>3</v>
      </c>
      <c r="L754" t="s">
        <v>38</v>
      </c>
      <c r="M754">
        <v>43</v>
      </c>
      <c r="N754">
        <v>4</v>
      </c>
      <c r="O754">
        <v>1</v>
      </c>
      <c r="P754" t="s">
        <v>48</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c r="AJ754">
        <f t="shared" si="11"/>
        <v>1</v>
      </c>
      <c r="AK754" t="str" cm="1">
        <f t="array" ref="AK754">_xlfn.IFS(A754&lt;=30,"18-30",A754&lt;=45,"31-45",A754&lt;=60,"46-60",TRUE, "60+")</f>
        <v>31-45</v>
      </c>
      <c r="AL754" t="str" cm="1">
        <f t="array" ref="AL754">_xlfn.IFS(F754&lt;=10,"0-10",F754&lt;=20,"11-20",TRUE,"20+")</f>
        <v>11-20</v>
      </c>
      <c r="AM754" t="str" cm="1">
        <f t="array" ref="AM754">_xlfn.IFS(S754&lt;=5000,"0-5k",S754&lt;=10000,"5k-10k",S754&lt;=15000,"10k-15k",TRUE,"15k+")</f>
        <v>0-5k</v>
      </c>
      <c r="AN754" t="str" cm="1">
        <f t="array" ref="AN754">_xlfn.IFS(AF754&lt;=10,"0-10",AF754&lt;=20,"10-20",AF754&lt;=30,"20-30",TRUE,"30+")</f>
        <v>10-20</v>
      </c>
      <c r="AO754" t="str" cm="1">
        <f t="array" ref="AO754">_xlfn.IFS(Y754=1,"Poor",Y754=2,"Average",Y754=3,"Good",TRUE,"Excellent")</f>
        <v>Good</v>
      </c>
      <c r="AP754" t="str" cm="1">
        <f t="array" ref="AP754">_xlfn.IFS(Q754=1,"Low",Q754=2,"Medium",Q754=3,"High",TRUE,"Very High")</f>
        <v>Low</v>
      </c>
    </row>
    <row r="755" spans="1:42" x14ac:dyDescent="0.25">
      <c r="A755">
        <v>39</v>
      </c>
      <c r="B755" t="s">
        <v>42</v>
      </c>
      <c r="C755" t="s">
        <v>91</v>
      </c>
      <c r="D755">
        <v>945</v>
      </c>
      <c r="E755" t="s">
        <v>43</v>
      </c>
      <c r="F755">
        <v>22</v>
      </c>
      <c r="G755">
        <v>3</v>
      </c>
      <c r="H755" t="s">
        <v>49</v>
      </c>
      <c r="I755">
        <v>1</v>
      </c>
      <c r="J755">
        <v>1043</v>
      </c>
      <c r="K755">
        <v>4</v>
      </c>
      <c r="L755" t="s">
        <v>38</v>
      </c>
      <c r="M755">
        <v>82</v>
      </c>
      <c r="N755">
        <v>3</v>
      </c>
      <c r="O755">
        <v>3</v>
      </c>
      <c r="P755" t="s">
        <v>51</v>
      </c>
      <c r="Q755">
        <v>1</v>
      </c>
      <c r="R755" t="s">
        <v>40</v>
      </c>
      <c r="S755">
        <v>10880</v>
      </c>
      <c r="T755">
        <v>5083</v>
      </c>
      <c r="U755">
        <v>1</v>
      </c>
      <c r="V755" t="s">
        <v>41</v>
      </c>
      <c r="W755" t="s">
        <v>35</v>
      </c>
      <c r="X755">
        <v>13</v>
      </c>
      <c r="Y755">
        <v>3</v>
      </c>
      <c r="Z755">
        <v>3</v>
      </c>
      <c r="AA755">
        <v>80</v>
      </c>
      <c r="AB755">
        <v>0</v>
      </c>
      <c r="AC755">
        <v>21</v>
      </c>
      <c r="AD755">
        <v>2</v>
      </c>
      <c r="AE755">
        <v>3</v>
      </c>
      <c r="AF755">
        <v>21</v>
      </c>
      <c r="AG755">
        <v>6</v>
      </c>
      <c r="AH755">
        <v>2</v>
      </c>
      <c r="AI755">
        <v>8</v>
      </c>
      <c r="AJ755">
        <f t="shared" si="11"/>
        <v>0</v>
      </c>
      <c r="AK755" t="str" cm="1">
        <f t="array" ref="AK755">_xlfn.IFS(A755&lt;=30,"18-30",A755&lt;=45,"31-45",A755&lt;=60,"46-60",TRUE, "60+")</f>
        <v>31-45</v>
      </c>
      <c r="AL755" t="str" cm="1">
        <f t="array" ref="AL755">_xlfn.IFS(F755&lt;=10,"0-10",F755&lt;=20,"11-20",TRUE,"20+")</f>
        <v>20+</v>
      </c>
      <c r="AM755" t="str" cm="1">
        <f t="array" ref="AM755">_xlfn.IFS(S755&lt;=5000,"0-5k",S755&lt;=10000,"5k-10k",S755&lt;=15000,"10k-15k",TRUE,"15k+")</f>
        <v>10k-15k</v>
      </c>
      <c r="AN755" t="str" cm="1">
        <f t="array" ref="AN755">_xlfn.IFS(AF755&lt;=10,"0-10",AF755&lt;=20,"10-20",AF755&lt;=30,"20-30",TRUE,"30+")</f>
        <v>20-30</v>
      </c>
      <c r="AO755" t="str" cm="1">
        <f t="array" ref="AO755">_xlfn.IFS(Y755=1,"Poor",Y755=2,"Average",Y755=3,"Good",TRUE,"Excellent")</f>
        <v>Good</v>
      </c>
      <c r="AP755" t="str" cm="1">
        <f t="array" ref="AP755">_xlfn.IFS(Q755=1,"Low",Q755=2,"Medium",Q755=3,"High",TRUE,"Very High")</f>
        <v>Low</v>
      </c>
    </row>
    <row r="756" spans="1:42" x14ac:dyDescent="0.25">
      <c r="A756">
        <v>33</v>
      </c>
      <c r="B756" t="s">
        <v>42</v>
      </c>
      <c r="C756" t="s">
        <v>53</v>
      </c>
      <c r="D756">
        <v>1038</v>
      </c>
      <c r="E756" t="s">
        <v>36</v>
      </c>
      <c r="F756">
        <v>8</v>
      </c>
      <c r="G756">
        <v>1</v>
      </c>
      <c r="H756" t="s">
        <v>37</v>
      </c>
      <c r="I756">
        <v>1</v>
      </c>
      <c r="J756">
        <v>1044</v>
      </c>
      <c r="K756">
        <v>2</v>
      </c>
      <c r="L756" t="s">
        <v>38</v>
      </c>
      <c r="M756">
        <v>88</v>
      </c>
      <c r="N756">
        <v>2</v>
      </c>
      <c r="O756">
        <v>1</v>
      </c>
      <c r="P756" t="s">
        <v>55</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c r="AJ756">
        <f t="shared" si="11"/>
        <v>0</v>
      </c>
      <c r="AK756" t="str" cm="1">
        <f t="array" ref="AK756">_xlfn.IFS(A756&lt;=30,"18-30",A756&lt;=45,"31-45",A756&lt;=60,"46-60",TRUE, "60+")</f>
        <v>31-45</v>
      </c>
      <c r="AL756" t="str" cm="1">
        <f t="array" ref="AL756">_xlfn.IFS(F756&lt;=10,"0-10",F756&lt;=20,"11-20",TRUE,"20+")</f>
        <v>0-10</v>
      </c>
      <c r="AM756" t="str" cm="1">
        <f t="array" ref="AM756">_xlfn.IFS(S756&lt;=5000,"0-5k",S756&lt;=10000,"5k-10k",S756&lt;=15000,"10k-15k",TRUE,"15k+")</f>
        <v>0-5k</v>
      </c>
      <c r="AN756" t="str" cm="1">
        <f t="array" ref="AN756">_xlfn.IFS(AF756&lt;=10,"0-10",AF756&lt;=20,"10-20",AF756&lt;=30,"20-30",TRUE,"30+")</f>
        <v>0-10</v>
      </c>
      <c r="AO756" t="str" cm="1">
        <f t="array" ref="AO756">_xlfn.IFS(Y756=1,"Poor",Y756=2,"Average",Y756=3,"Good",TRUE,"Excellent")</f>
        <v>Good</v>
      </c>
      <c r="AP756" t="str" cm="1">
        <f t="array" ref="AP756">_xlfn.IFS(Q756=1,"Low",Q756=2,"Medium",Q756=3,"High",TRUE,"Very High")</f>
        <v>Very High</v>
      </c>
    </row>
    <row r="757" spans="1:42" x14ac:dyDescent="0.25">
      <c r="A757">
        <v>45</v>
      </c>
      <c r="B757" t="s">
        <v>42</v>
      </c>
      <c r="C757" t="s">
        <v>90</v>
      </c>
      <c r="D757">
        <v>1234</v>
      </c>
      <c r="E757" t="s">
        <v>36</v>
      </c>
      <c r="F757">
        <v>11</v>
      </c>
      <c r="G757">
        <v>2</v>
      </c>
      <c r="H757" t="s">
        <v>37</v>
      </c>
      <c r="I757">
        <v>1</v>
      </c>
      <c r="J757">
        <v>1045</v>
      </c>
      <c r="K757">
        <v>4</v>
      </c>
      <c r="L757" t="s">
        <v>38</v>
      </c>
      <c r="M757">
        <v>90</v>
      </c>
      <c r="N757">
        <v>3</v>
      </c>
      <c r="O757">
        <v>4</v>
      </c>
      <c r="P757" t="s">
        <v>54</v>
      </c>
      <c r="Q757">
        <v>4</v>
      </c>
      <c r="R757" t="s">
        <v>46</v>
      </c>
      <c r="S757">
        <v>17650</v>
      </c>
      <c r="T757">
        <v>5404</v>
      </c>
      <c r="U757">
        <v>3</v>
      </c>
      <c r="V757" t="s">
        <v>41</v>
      </c>
      <c r="W757" t="s">
        <v>42</v>
      </c>
      <c r="X757">
        <v>13</v>
      </c>
      <c r="Y757">
        <v>3</v>
      </c>
      <c r="Z757">
        <v>2</v>
      </c>
      <c r="AA757">
        <v>80</v>
      </c>
      <c r="AB757">
        <v>1</v>
      </c>
      <c r="AC757">
        <v>26</v>
      </c>
      <c r="AD757">
        <v>4</v>
      </c>
      <c r="AE757">
        <v>4</v>
      </c>
      <c r="AF757">
        <v>9</v>
      </c>
      <c r="AG757">
        <v>3</v>
      </c>
      <c r="AH757">
        <v>1</v>
      </c>
      <c r="AI757">
        <v>1</v>
      </c>
      <c r="AJ757">
        <f t="shared" si="11"/>
        <v>0</v>
      </c>
      <c r="AK757" t="str" cm="1">
        <f t="array" ref="AK757">_xlfn.IFS(A757&lt;=30,"18-30",A757&lt;=45,"31-45",A757&lt;=60,"46-60",TRUE, "60+")</f>
        <v>31-45</v>
      </c>
      <c r="AL757" t="str" cm="1">
        <f t="array" ref="AL757">_xlfn.IFS(F757&lt;=10,"0-10",F757&lt;=20,"11-20",TRUE,"20+")</f>
        <v>11-20</v>
      </c>
      <c r="AM757" t="str" cm="1">
        <f t="array" ref="AM757">_xlfn.IFS(S757&lt;=5000,"0-5k",S757&lt;=10000,"5k-10k",S757&lt;=15000,"10k-15k",TRUE,"15k+")</f>
        <v>15k+</v>
      </c>
      <c r="AN757" t="str" cm="1">
        <f t="array" ref="AN757">_xlfn.IFS(AF757&lt;=10,"0-10",AF757&lt;=20,"10-20",AF757&lt;=30,"20-30",TRUE,"30+")</f>
        <v>0-10</v>
      </c>
      <c r="AO757" t="str" cm="1">
        <f t="array" ref="AO757">_xlfn.IFS(Y757=1,"Poor",Y757=2,"Average",Y757=3,"Good",TRUE,"Excellent")</f>
        <v>Good</v>
      </c>
      <c r="AP757" t="str" cm="1">
        <f t="array" ref="AP757">_xlfn.IFS(Q757=1,"Low",Q757=2,"Medium",Q757=3,"High",TRUE,"Very High")</f>
        <v>Very High</v>
      </c>
    </row>
    <row r="758" spans="1:42" x14ac:dyDescent="0.25">
      <c r="A758">
        <v>32</v>
      </c>
      <c r="B758" t="s">
        <v>42</v>
      </c>
      <c r="C758" t="s">
        <v>53</v>
      </c>
      <c r="D758">
        <v>1109</v>
      </c>
      <c r="E758" t="s">
        <v>43</v>
      </c>
      <c r="F758">
        <v>29</v>
      </c>
      <c r="G758">
        <v>4</v>
      </c>
      <c r="H758" t="s">
        <v>49</v>
      </c>
      <c r="I758">
        <v>1</v>
      </c>
      <c r="J758">
        <v>1046</v>
      </c>
      <c r="K758">
        <v>4</v>
      </c>
      <c r="L758" t="s">
        <v>38</v>
      </c>
      <c r="M758">
        <v>69</v>
      </c>
      <c r="N758">
        <v>3</v>
      </c>
      <c r="O758">
        <v>1</v>
      </c>
      <c r="P758" t="s">
        <v>48</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c r="AJ758">
        <f t="shared" si="11"/>
        <v>0</v>
      </c>
      <c r="AK758" t="str" cm="1">
        <f t="array" ref="AK758">_xlfn.IFS(A758&lt;=30,"18-30",A758&lt;=45,"31-45",A758&lt;=60,"46-60",TRUE, "60+")</f>
        <v>31-45</v>
      </c>
      <c r="AL758" t="str" cm="1">
        <f t="array" ref="AL758">_xlfn.IFS(F758&lt;=10,"0-10",F758&lt;=20,"11-20",TRUE,"20+")</f>
        <v>20+</v>
      </c>
      <c r="AM758" t="str" cm="1">
        <f t="array" ref="AM758">_xlfn.IFS(S758&lt;=5000,"0-5k",S758&lt;=10000,"5k-10k",S758&lt;=15000,"10k-15k",TRUE,"15k+")</f>
        <v>0-5k</v>
      </c>
      <c r="AN758" t="str" cm="1">
        <f t="array" ref="AN758">_xlfn.IFS(AF758&lt;=10,"0-10",AF758&lt;=20,"10-20",AF758&lt;=30,"20-30",TRUE,"30+")</f>
        <v>0-10</v>
      </c>
      <c r="AO758" t="str" cm="1">
        <f t="array" ref="AO758">_xlfn.IFS(Y758=1,"Poor",Y758=2,"Average",Y758=3,"Good",TRUE,"Excellent")</f>
        <v>Good</v>
      </c>
      <c r="AP758" t="str" cm="1">
        <f t="array" ref="AP758">_xlfn.IFS(Q758=1,"Low",Q758=2,"Medium",Q758=3,"High",TRUE,"Very High")</f>
        <v>High</v>
      </c>
    </row>
    <row r="759" spans="1:42" x14ac:dyDescent="0.25">
      <c r="A759">
        <v>34</v>
      </c>
      <c r="B759" t="s">
        <v>42</v>
      </c>
      <c r="C759" t="s">
        <v>90</v>
      </c>
      <c r="D759">
        <v>216</v>
      </c>
      <c r="E759" t="s">
        <v>36</v>
      </c>
      <c r="F759">
        <v>1</v>
      </c>
      <c r="G759">
        <v>4</v>
      </c>
      <c r="H759" t="s">
        <v>57</v>
      </c>
      <c r="I759">
        <v>1</v>
      </c>
      <c r="J759">
        <v>1047</v>
      </c>
      <c r="K759">
        <v>2</v>
      </c>
      <c r="L759" t="s">
        <v>44</v>
      </c>
      <c r="M759">
        <v>75</v>
      </c>
      <c r="N759">
        <v>4</v>
      </c>
      <c r="O759">
        <v>2</v>
      </c>
      <c r="P759" t="s">
        <v>39</v>
      </c>
      <c r="Q759">
        <v>4</v>
      </c>
      <c r="R759" t="s">
        <v>50</v>
      </c>
      <c r="S759">
        <v>9725</v>
      </c>
      <c r="T759">
        <v>12278</v>
      </c>
      <c r="U759">
        <v>0</v>
      </c>
      <c r="V759" t="s">
        <v>41</v>
      </c>
      <c r="W759" t="s">
        <v>42</v>
      </c>
      <c r="X759">
        <v>11</v>
      </c>
      <c r="Y759">
        <v>3</v>
      </c>
      <c r="Z759">
        <v>4</v>
      </c>
      <c r="AA759">
        <v>80</v>
      </c>
      <c r="AB759">
        <v>1</v>
      </c>
      <c r="AC759">
        <v>16</v>
      </c>
      <c r="AD759">
        <v>2</v>
      </c>
      <c r="AE759">
        <v>2</v>
      </c>
      <c r="AF759">
        <v>15</v>
      </c>
      <c r="AG759">
        <v>1</v>
      </c>
      <c r="AH759">
        <v>0</v>
      </c>
      <c r="AI759">
        <v>9</v>
      </c>
      <c r="AJ759">
        <f t="shared" si="11"/>
        <v>0</v>
      </c>
      <c r="AK759" t="str" cm="1">
        <f t="array" ref="AK759">_xlfn.IFS(A759&lt;=30,"18-30",A759&lt;=45,"31-45",A759&lt;=60,"46-60",TRUE, "60+")</f>
        <v>31-45</v>
      </c>
      <c r="AL759" t="str" cm="1">
        <f t="array" ref="AL759">_xlfn.IFS(F759&lt;=10,"0-10",F759&lt;=20,"11-20",TRUE,"20+")</f>
        <v>0-10</v>
      </c>
      <c r="AM759" t="str" cm="1">
        <f t="array" ref="AM759">_xlfn.IFS(S759&lt;=5000,"0-5k",S759&lt;=10000,"5k-10k",S759&lt;=15000,"10k-15k",TRUE,"15k+")</f>
        <v>5k-10k</v>
      </c>
      <c r="AN759" t="str" cm="1">
        <f t="array" ref="AN759">_xlfn.IFS(AF759&lt;=10,"0-10",AF759&lt;=20,"10-20",AF759&lt;=30,"20-30",TRUE,"30+")</f>
        <v>10-20</v>
      </c>
      <c r="AO759" t="str" cm="1">
        <f t="array" ref="AO759">_xlfn.IFS(Y759=1,"Poor",Y759=2,"Average",Y759=3,"Good",TRUE,"Excellent")</f>
        <v>Good</v>
      </c>
      <c r="AP759" t="str" cm="1">
        <f t="array" ref="AP759">_xlfn.IFS(Q759=1,"Low",Q759=2,"Medium",Q759=3,"High",TRUE,"Very High")</f>
        <v>Very High</v>
      </c>
    </row>
    <row r="760" spans="1:42" x14ac:dyDescent="0.25">
      <c r="A760">
        <v>59</v>
      </c>
      <c r="B760" t="s">
        <v>42</v>
      </c>
      <c r="C760" t="s">
        <v>90</v>
      </c>
      <c r="D760">
        <v>1089</v>
      </c>
      <c r="E760" t="s">
        <v>36</v>
      </c>
      <c r="F760">
        <v>1</v>
      </c>
      <c r="G760">
        <v>2</v>
      </c>
      <c r="H760" t="s">
        <v>58</v>
      </c>
      <c r="I760">
        <v>1</v>
      </c>
      <c r="J760">
        <v>1048</v>
      </c>
      <c r="K760">
        <v>2</v>
      </c>
      <c r="L760" t="s">
        <v>44</v>
      </c>
      <c r="M760">
        <v>66</v>
      </c>
      <c r="N760">
        <v>3</v>
      </c>
      <c r="O760">
        <v>3</v>
      </c>
      <c r="P760" t="s">
        <v>54</v>
      </c>
      <c r="Q760">
        <v>4</v>
      </c>
      <c r="R760" t="s">
        <v>46</v>
      </c>
      <c r="S760">
        <v>11904</v>
      </c>
      <c r="T760">
        <v>11038</v>
      </c>
      <c r="U760">
        <v>3</v>
      </c>
      <c r="V760" t="s">
        <v>41</v>
      </c>
      <c r="W760" t="s">
        <v>35</v>
      </c>
      <c r="X760">
        <v>14</v>
      </c>
      <c r="Y760">
        <v>3</v>
      </c>
      <c r="Z760">
        <v>3</v>
      </c>
      <c r="AA760">
        <v>80</v>
      </c>
      <c r="AB760">
        <v>1</v>
      </c>
      <c r="AC760">
        <v>14</v>
      </c>
      <c r="AD760">
        <v>1</v>
      </c>
      <c r="AE760">
        <v>1</v>
      </c>
      <c r="AF760">
        <v>6</v>
      </c>
      <c r="AG760">
        <v>4</v>
      </c>
      <c r="AH760">
        <v>0</v>
      </c>
      <c r="AI760">
        <v>4</v>
      </c>
      <c r="AJ760">
        <f t="shared" si="11"/>
        <v>0</v>
      </c>
      <c r="AK760" t="str" cm="1">
        <f t="array" ref="AK760">_xlfn.IFS(A760&lt;=30,"18-30",A760&lt;=45,"31-45",A760&lt;=60,"46-60",TRUE, "60+")</f>
        <v>46-60</v>
      </c>
      <c r="AL760" t="str" cm="1">
        <f t="array" ref="AL760">_xlfn.IFS(F760&lt;=10,"0-10",F760&lt;=20,"11-20",TRUE,"20+")</f>
        <v>0-10</v>
      </c>
      <c r="AM760" t="str" cm="1">
        <f t="array" ref="AM760">_xlfn.IFS(S760&lt;=5000,"0-5k",S760&lt;=10000,"5k-10k",S760&lt;=15000,"10k-15k",TRUE,"15k+")</f>
        <v>10k-15k</v>
      </c>
      <c r="AN760" t="str" cm="1">
        <f t="array" ref="AN760">_xlfn.IFS(AF760&lt;=10,"0-10",AF760&lt;=20,"10-20",AF760&lt;=30,"20-30",TRUE,"30+")</f>
        <v>0-10</v>
      </c>
      <c r="AO760" t="str" cm="1">
        <f t="array" ref="AO760">_xlfn.IFS(Y760=1,"Poor",Y760=2,"Average",Y760=3,"Good",TRUE,"Excellent")</f>
        <v>Good</v>
      </c>
      <c r="AP760" t="str" cm="1">
        <f t="array" ref="AP760">_xlfn.IFS(Q760=1,"Low",Q760=2,"Medium",Q760=3,"High",TRUE,"Very High")</f>
        <v>Very High</v>
      </c>
    </row>
    <row r="761" spans="1:42" x14ac:dyDescent="0.25">
      <c r="A761">
        <v>45</v>
      </c>
      <c r="B761" t="s">
        <v>42</v>
      </c>
      <c r="C761" t="s">
        <v>90</v>
      </c>
      <c r="D761">
        <v>788</v>
      </c>
      <c r="E761" t="s">
        <v>59</v>
      </c>
      <c r="F761">
        <v>24</v>
      </c>
      <c r="G761">
        <v>4</v>
      </c>
      <c r="H761" t="s">
        <v>49</v>
      </c>
      <c r="I761">
        <v>1</v>
      </c>
      <c r="J761">
        <v>1049</v>
      </c>
      <c r="K761">
        <v>2</v>
      </c>
      <c r="L761" t="s">
        <v>44</v>
      </c>
      <c r="M761">
        <v>36</v>
      </c>
      <c r="N761">
        <v>3</v>
      </c>
      <c r="O761">
        <v>1</v>
      </c>
      <c r="P761" t="s">
        <v>59</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c r="AJ761">
        <f t="shared" si="11"/>
        <v>0</v>
      </c>
      <c r="AK761" t="str" cm="1">
        <f t="array" ref="AK761">_xlfn.IFS(A761&lt;=30,"18-30",A761&lt;=45,"31-45",A761&lt;=60,"46-60",TRUE, "60+")</f>
        <v>31-45</v>
      </c>
      <c r="AL761" t="str" cm="1">
        <f t="array" ref="AL761">_xlfn.IFS(F761&lt;=10,"0-10",F761&lt;=20,"11-20",TRUE,"20+")</f>
        <v>20+</v>
      </c>
      <c r="AM761" t="str" cm="1">
        <f t="array" ref="AM761">_xlfn.IFS(S761&lt;=5000,"0-5k",S761&lt;=10000,"5k-10k",S761&lt;=15000,"10k-15k",TRUE,"15k+")</f>
        <v>0-5k</v>
      </c>
      <c r="AN761" t="str" cm="1">
        <f t="array" ref="AN761">_xlfn.IFS(AF761&lt;=10,"0-10",AF761&lt;=20,"10-20",AF761&lt;=30,"20-30",TRUE,"30+")</f>
        <v>0-10</v>
      </c>
      <c r="AO761" t="str" cm="1">
        <f t="array" ref="AO761">_xlfn.IFS(Y761=1,"Poor",Y761=2,"Average",Y761=3,"Good",TRUE,"Excellent")</f>
        <v>Good</v>
      </c>
      <c r="AP761" t="str" cm="1">
        <f t="array" ref="AP761">_xlfn.IFS(Q761=1,"Low",Q761=2,"Medium",Q761=3,"High",TRUE,"Very High")</f>
        <v>Medium</v>
      </c>
    </row>
    <row r="762" spans="1:42" x14ac:dyDescent="0.25">
      <c r="A762">
        <v>53</v>
      </c>
      <c r="B762" t="s">
        <v>42</v>
      </c>
      <c r="C762" t="s">
        <v>91</v>
      </c>
      <c r="D762">
        <v>124</v>
      </c>
      <c r="E762" t="s">
        <v>36</v>
      </c>
      <c r="F762">
        <v>2</v>
      </c>
      <c r="G762">
        <v>3</v>
      </c>
      <c r="H762" t="s">
        <v>57</v>
      </c>
      <c r="I762">
        <v>1</v>
      </c>
      <c r="J762">
        <v>1050</v>
      </c>
      <c r="K762">
        <v>3</v>
      </c>
      <c r="L762" t="s">
        <v>38</v>
      </c>
      <c r="M762">
        <v>38</v>
      </c>
      <c r="N762">
        <v>2</v>
      </c>
      <c r="O762">
        <v>3</v>
      </c>
      <c r="P762" t="s">
        <v>39</v>
      </c>
      <c r="Q762">
        <v>2</v>
      </c>
      <c r="R762" t="s">
        <v>46</v>
      </c>
      <c r="S762">
        <v>7525</v>
      </c>
      <c r="T762">
        <v>23537</v>
      </c>
      <c r="U762">
        <v>2</v>
      </c>
      <c r="V762" t="s">
        <v>41</v>
      </c>
      <c r="W762" t="s">
        <v>42</v>
      </c>
      <c r="X762">
        <v>12</v>
      </c>
      <c r="Y762">
        <v>3</v>
      </c>
      <c r="Z762">
        <v>1</v>
      </c>
      <c r="AA762">
        <v>80</v>
      </c>
      <c r="AB762">
        <v>1</v>
      </c>
      <c r="AC762">
        <v>30</v>
      </c>
      <c r="AD762">
        <v>2</v>
      </c>
      <c r="AE762">
        <v>3</v>
      </c>
      <c r="AF762">
        <v>15</v>
      </c>
      <c r="AG762">
        <v>7</v>
      </c>
      <c r="AH762">
        <v>6</v>
      </c>
      <c r="AI762">
        <v>12</v>
      </c>
      <c r="AJ762">
        <f t="shared" si="11"/>
        <v>0</v>
      </c>
      <c r="AK762" t="str" cm="1">
        <f t="array" ref="AK762">_xlfn.IFS(A762&lt;=30,"18-30",A762&lt;=45,"31-45",A762&lt;=60,"46-60",TRUE, "60+")</f>
        <v>46-60</v>
      </c>
      <c r="AL762" t="str" cm="1">
        <f t="array" ref="AL762">_xlfn.IFS(F762&lt;=10,"0-10",F762&lt;=20,"11-20",TRUE,"20+")</f>
        <v>0-10</v>
      </c>
      <c r="AM762" t="str" cm="1">
        <f t="array" ref="AM762">_xlfn.IFS(S762&lt;=5000,"0-5k",S762&lt;=10000,"5k-10k",S762&lt;=15000,"10k-15k",TRUE,"15k+")</f>
        <v>5k-10k</v>
      </c>
      <c r="AN762" t="str" cm="1">
        <f t="array" ref="AN762">_xlfn.IFS(AF762&lt;=10,"0-10",AF762&lt;=20,"10-20",AF762&lt;=30,"20-30",TRUE,"30+")</f>
        <v>10-20</v>
      </c>
      <c r="AO762" t="str" cm="1">
        <f t="array" ref="AO762">_xlfn.IFS(Y762=1,"Poor",Y762=2,"Average",Y762=3,"Good",TRUE,"Excellent")</f>
        <v>Good</v>
      </c>
      <c r="AP762" t="str" cm="1">
        <f t="array" ref="AP762">_xlfn.IFS(Q762=1,"Low",Q762=2,"Medium",Q762=3,"High",TRUE,"Very High")</f>
        <v>Medium</v>
      </c>
    </row>
    <row r="763" spans="1:42" x14ac:dyDescent="0.25">
      <c r="A763">
        <v>36</v>
      </c>
      <c r="B763" t="s">
        <v>35</v>
      </c>
      <c r="C763" t="s">
        <v>90</v>
      </c>
      <c r="D763">
        <v>660</v>
      </c>
      <c r="E763" t="s">
        <v>43</v>
      </c>
      <c r="F763">
        <v>15</v>
      </c>
      <c r="G763">
        <v>3</v>
      </c>
      <c r="H763" t="s">
        <v>47</v>
      </c>
      <c r="I763">
        <v>1</v>
      </c>
      <c r="J763">
        <v>1052</v>
      </c>
      <c r="K763">
        <v>1</v>
      </c>
      <c r="L763" t="s">
        <v>44</v>
      </c>
      <c r="M763">
        <v>81</v>
      </c>
      <c r="N763">
        <v>3</v>
      </c>
      <c r="O763">
        <v>2</v>
      </c>
      <c r="P763" t="s">
        <v>48</v>
      </c>
      <c r="Q763">
        <v>3</v>
      </c>
      <c r="R763" t="s">
        <v>50</v>
      </c>
      <c r="S763">
        <v>4834</v>
      </c>
      <c r="T763">
        <v>7858</v>
      </c>
      <c r="U763">
        <v>7</v>
      </c>
      <c r="V763" t="s">
        <v>41</v>
      </c>
      <c r="W763" t="s">
        <v>42</v>
      </c>
      <c r="X763">
        <v>14</v>
      </c>
      <c r="Y763">
        <v>3</v>
      </c>
      <c r="Z763">
        <v>2</v>
      </c>
      <c r="AA763">
        <v>80</v>
      </c>
      <c r="AB763">
        <v>1</v>
      </c>
      <c r="AC763">
        <v>9</v>
      </c>
      <c r="AD763">
        <v>3</v>
      </c>
      <c r="AE763">
        <v>2</v>
      </c>
      <c r="AF763">
        <v>1</v>
      </c>
      <c r="AG763">
        <v>0</v>
      </c>
      <c r="AH763">
        <v>0</v>
      </c>
      <c r="AI763">
        <v>0</v>
      </c>
      <c r="AJ763">
        <f t="shared" si="11"/>
        <v>1</v>
      </c>
      <c r="AK763" t="str" cm="1">
        <f t="array" ref="AK763">_xlfn.IFS(A763&lt;=30,"18-30",A763&lt;=45,"31-45",A763&lt;=60,"46-60",TRUE, "60+")</f>
        <v>31-45</v>
      </c>
      <c r="AL763" t="str" cm="1">
        <f t="array" ref="AL763">_xlfn.IFS(F763&lt;=10,"0-10",F763&lt;=20,"11-20",TRUE,"20+")</f>
        <v>11-20</v>
      </c>
      <c r="AM763" t="str" cm="1">
        <f t="array" ref="AM763">_xlfn.IFS(S763&lt;=5000,"0-5k",S763&lt;=10000,"5k-10k",S763&lt;=15000,"10k-15k",TRUE,"15k+")</f>
        <v>0-5k</v>
      </c>
      <c r="AN763" t="str" cm="1">
        <f t="array" ref="AN763">_xlfn.IFS(AF763&lt;=10,"0-10",AF763&lt;=20,"10-20",AF763&lt;=30,"20-30",TRUE,"30+")</f>
        <v>0-10</v>
      </c>
      <c r="AO763" t="str" cm="1">
        <f t="array" ref="AO763">_xlfn.IFS(Y763=1,"Poor",Y763=2,"Average",Y763=3,"Good",TRUE,"Excellent")</f>
        <v>Good</v>
      </c>
      <c r="AP763" t="str" cm="1">
        <f t="array" ref="AP763">_xlfn.IFS(Q763=1,"Low",Q763=2,"Medium",Q763=3,"High",TRUE,"Very High")</f>
        <v>High</v>
      </c>
    </row>
    <row r="764" spans="1:42" x14ac:dyDescent="0.25">
      <c r="A764">
        <v>26</v>
      </c>
      <c r="B764" t="s">
        <v>35</v>
      </c>
      <c r="C764" t="s">
        <v>91</v>
      </c>
      <c r="D764">
        <v>342</v>
      </c>
      <c r="E764" t="s">
        <v>43</v>
      </c>
      <c r="F764">
        <v>2</v>
      </c>
      <c r="G764">
        <v>3</v>
      </c>
      <c r="H764" t="s">
        <v>37</v>
      </c>
      <c r="I764">
        <v>1</v>
      </c>
      <c r="J764">
        <v>1053</v>
      </c>
      <c r="K764">
        <v>1</v>
      </c>
      <c r="L764" t="s">
        <v>44</v>
      </c>
      <c r="M764">
        <v>57</v>
      </c>
      <c r="N764">
        <v>3</v>
      </c>
      <c r="O764">
        <v>1</v>
      </c>
      <c r="P764" t="s">
        <v>45</v>
      </c>
      <c r="Q764">
        <v>1</v>
      </c>
      <c r="R764" t="s">
        <v>46</v>
      </c>
      <c r="S764">
        <v>2042</v>
      </c>
      <c r="T764">
        <v>15346</v>
      </c>
      <c r="U764">
        <v>6</v>
      </c>
      <c r="V764" t="s">
        <v>41</v>
      </c>
      <c r="W764" t="s">
        <v>35</v>
      </c>
      <c r="X764">
        <v>14</v>
      </c>
      <c r="Y764">
        <v>3</v>
      </c>
      <c r="Z764">
        <v>2</v>
      </c>
      <c r="AA764">
        <v>80</v>
      </c>
      <c r="AB764">
        <v>1</v>
      </c>
      <c r="AC764">
        <v>6</v>
      </c>
      <c r="AD764">
        <v>2</v>
      </c>
      <c r="AE764">
        <v>3</v>
      </c>
      <c r="AF764">
        <v>3</v>
      </c>
      <c r="AG764">
        <v>2</v>
      </c>
      <c r="AH764">
        <v>1</v>
      </c>
      <c r="AI764">
        <v>2</v>
      </c>
      <c r="AJ764">
        <f t="shared" si="11"/>
        <v>1</v>
      </c>
      <c r="AK764" t="str" cm="1">
        <f t="array" ref="AK764">_xlfn.IFS(A764&lt;=30,"18-30",A764&lt;=45,"31-45",A764&lt;=60,"46-60",TRUE, "60+")</f>
        <v>18-30</v>
      </c>
      <c r="AL764" t="str" cm="1">
        <f t="array" ref="AL764">_xlfn.IFS(F764&lt;=10,"0-10",F764&lt;=20,"11-20",TRUE,"20+")</f>
        <v>0-10</v>
      </c>
      <c r="AM764" t="str" cm="1">
        <f t="array" ref="AM764">_xlfn.IFS(S764&lt;=5000,"0-5k",S764&lt;=10000,"5k-10k",S764&lt;=15000,"10k-15k",TRUE,"15k+")</f>
        <v>0-5k</v>
      </c>
      <c r="AN764" t="str" cm="1">
        <f t="array" ref="AN764">_xlfn.IFS(AF764&lt;=10,"0-10",AF764&lt;=20,"10-20",AF764&lt;=30,"20-30",TRUE,"30+")</f>
        <v>0-10</v>
      </c>
      <c r="AO764" t="str" cm="1">
        <f t="array" ref="AO764">_xlfn.IFS(Y764=1,"Poor",Y764=2,"Average",Y764=3,"Good",TRUE,"Excellent")</f>
        <v>Good</v>
      </c>
      <c r="AP764" t="str" cm="1">
        <f t="array" ref="AP764">_xlfn.IFS(Q764=1,"Low",Q764=2,"Medium",Q764=3,"High",TRUE,"Very High")</f>
        <v>Low</v>
      </c>
    </row>
    <row r="765" spans="1:42" x14ac:dyDescent="0.25">
      <c r="A765">
        <v>34</v>
      </c>
      <c r="B765" t="s">
        <v>42</v>
      </c>
      <c r="C765" t="s">
        <v>90</v>
      </c>
      <c r="D765">
        <v>1333</v>
      </c>
      <c r="E765" t="s">
        <v>36</v>
      </c>
      <c r="F765">
        <v>10</v>
      </c>
      <c r="G765">
        <v>4</v>
      </c>
      <c r="H765" t="s">
        <v>37</v>
      </c>
      <c r="I765">
        <v>1</v>
      </c>
      <c r="J765">
        <v>1055</v>
      </c>
      <c r="K765">
        <v>3</v>
      </c>
      <c r="L765" t="s">
        <v>38</v>
      </c>
      <c r="M765">
        <v>87</v>
      </c>
      <c r="N765">
        <v>3</v>
      </c>
      <c r="O765">
        <v>1</v>
      </c>
      <c r="P765" t="s">
        <v>55</v>
      </c>
      <c r="Q765">
        <v>3</v>
      </c>
      <c r="R765" t="s">
        <v>46</v>
      </c>
      <c r="S765">
        <v>2220</v>
      </c>
      <c r="T765">
        <v>18410</v>
      </c>
      <c r="U765">
        <v>1</v>
      </c>
      <c r="V765" t="s">
        <v>41</v>
      </c>
      <c r="W765" t="s">
        <v>35</v>
      </c>
      <c r="X765">
        <v>19</v>
      </c>
      <c r="Y765">
        <v>3</v>
      </c>
      <c r="Z765">
        <v>4</v>
      </c>
      <c r="AA765">
        <v>80</v>
      </c>
      <c r="AB765">
        <v>1</v>
      </c>
      <c r="AC765">
        <v>1</v>
      </c>
      <c r="AD765">
        <v>2</v>
      </c>
      <c r="AE765">
        <v>3</v>
      </c>
      <c r="AF765">
        <v>1</v>
      </c>
      <c r="AG765">
        <v>1</v>
      </c>
      <c r="AH765">
        <v>0</v>
      </c>
      <c r="AI765">
        <v>0</v>
      </c>
      <c r="AJ765">
        <f t="shared" si="11"/>
        <v>0</v>
      </c>
      <c r="AK765" t="str" cm="1">
        <f t="array" ref="AK765">_xlfn.IFS(A765&lt;=30,"18-30",A765&lt;=45,"31-45",A765&lt;=60,"46-60",TRUE, "60+")</f>
        <v>31-45</v>
      </c>
      <c r="AL765" t="str" cm="1">
        <f t="array" ref="AL765">_xlfn.IFS(F765&lt;=10,"0-10",F765&lt;=20,"11-20",TRUE,"20+")</f>
        <v>0-10</v>
      </c>
      <c r="AM765" t="str" cm="1">
        <f t="array" ref="AM765">_xlfn.IFS(S765&lt;=5000,"0-5k",S765&lt;=10000,"5k-10k",S765&lt;=15000,"10k-15k",TRUE,"15k+")</f>
        <v>0-5k</v>
      </c>
      <c r="AN765" t="str" cm="1">
        <f t="array" ref="AN765">_xlfn.IFS(AF765&lt;=10,"0-10",AF765&lt;=20,"10-20",AF765&lt;=30,"20-30",TRUE,"30+")</f>
        <v>0-10</v>
      </c>
      <c r="AO765" t="str" cm="1">
        <f t="array" ref="AO765">_xlfn.IFS(Y765=1,"Poor",Y765=2,"Average",Y765=3,"Good",TRUE,"Excellent")</f>
        <v>Good</v>
      </c>
      <c r="AP765" t="str" cm="1">
        <f t="array" ref="AP765">_xlfn.IFS(Q765=1,"Low",Q765=2,"Medium",Q765=3,"High",TRUE,"Very High")</f>
        <v>High</v>
      </c>
    </row>
    <row r="766" spans="1:42" x14ac:dyDescent="0.25">
      <c r="A766">
        <v>28</v>
      </c>
      <c r="B766" t="s">
        <v>42</v>
      </c>
      <c r="C766" t="s">
        <v>90</v>
      </c>
      <c r="D766">
        <v>1144</v>
      </c>
      <c r="E766" t="s">
        <v>36</v>
      </c>
      <c r="F766">
        <v>10</v>
      </c>
      <c r="G766">
        <v>1</v>
      </c>
      <c r="H766" t="s">
        <v>49</v>
      </c>
      <c r="I766">
        <v>1</v>
      </c>
      <c r="J766">
        <v>1056</v>
      </c>
      <c r="K766">
        <v>4</v>
      </c>
      <c r="L766" t="s">
        <v>44</v>
      </c>
      <c r="M766">
        <v>74</v>
      </c>
      <c r="N766">
        <v>3</v>
      </c>
      <c r="O766">
        <v>1</v>
      </c>
      <c r="P766" t="s">
        <v>55</v>
      </c>
      <c r="Q766">
        <v>2</v>
      </c>
      <c r="R766" t="s">
        <v>46</v>
      </c>
      <c r="S766">
        <v>1052</v>
      </c>
      <c r="T766">
        <v>23384</v>
      </c>
      <c r="U766">
        <v>1</v>
      </c>
      <c r="V766" t="s">
        <v>41</v>
      </c>
      <c r="W766" t="s">
        <v>42</v>
      </c>
      <c r="X766">
        <v>22</v>
      </c>
      <c r="Y766">
        <v>4</v>
      </c>
      <c r="Z766">
        <v>2</v>
      </c>
      <c r="AA766">
        <v>80</v>
      </c>
      <c r="AB766">
        <v>0</v>
      </c>
      <c r="AC766">
        <v>1</v>
      </c>
      <c r="AD766">
        <v>5</v>
      </c>
      <c r="AE766">
        <v>3</v>
      </c>
      <c r="AF766">
        <v>1</v>
      </c>
      <c r="AG766">
        <v>0</v>
      </c>
      <c r="AH766">
        <v>0</v>
      </c>
      <c r="AI766">
        <v>0</v>
      </c>
      <c r="AJ766">
        <f t="shared" si="11"/>
        <v>0</v>
      </c>
      <c r="AK766" t="str" cm="1">
        <f t="array" ref="AK766">_xlfn.IFS(A766&lt;=30,"18-30",A766&lt;=45,"31-45",A766&lt;=60,"46-60",TRUE, "60+")</f>
        <v>18-30</v>
      </c>
      <c r="AL766" t="str" cm="1">
        <f t="array" ref="AL766">_xlfn.IFS(F766&lt;=10,"0-10",F766&lt;=20,"11-20",TRUE,"20+")</f>
        <v>0-10</v>
      </c>
      <c r="AM766" t="str" cm="1">
        <f t="array" ref="AM766">_xlfn.IFS(S766&lt;=5000,"0-5k",S766&lt;=10000,"5k-10k",S766&lt;=15000,"10k-15k",TRUE,"15k+")</f>
        <v>0-5k</v>
      </c>
      <c r="AN766" t="str" cm="1">
        <f t="array" ref="AN766">_xlfn.IFS(AF766&lt;=10,"0-10",AF766&lt;=20,"10-20",AF766&lt;=30,"20-30",TRUE,"30+")</f>
        <v>0-10</v>
      </c>
      <c r="AO766" t="str" cm="1">
        <f t="array" ref="AO766">_xlfn.IFS(Y766=1,"Poor",Y766=2,"Average",Y766=3,"Good",TRUE,"Excellent")</f>
        <v>Excellent</v>
      </c>
      <c r="AP766" t="str" cm="1">
        <f t="array" ref="AP766">_xlfn.IFS(Q766=1,"Low",Q766=2,"Medium",Q766=3,"High",TRUE,"Very High")</f>
        <v>Medium</v>
      </c>
    </row>
    <row r="767" spans="1:42" x14ac:dyDescent="0.25">
      <c r="A767">
        <v>38</v>
      </c>
      <c r="B767" t="s">
        <v>42</v>
      </c>
      <c r="C767" t="s">
        <v>91</v>
      </c>
      <c r="D767">
        <v>1186</v>
      </c>
      <c r="E767" t="s">
        <v>43</v>
      </c>
      <c r="F767">
        <v>3</v>
      </c>
      <c r="G767">
        <v>4</v>
      </c>
      <c r="H767" t="s">
        <v>47</v>
      </c>
      <c r="I767">
        <v>1</v>
      </c>
      <c r="J767">
        <v>1060</v>
      </c>
      <c r="K767">
        <v>3</v>
      </c>
      <c r="L767" t="s">
        <v>44</v>
      </c>
      <c r="M767">
        <v>44</v>
      </c>
      <c r="N767">
        <v>3</v>
      </c>
      <c r="O767">
        <v>1</v>
      </c>
      <c r="P767" t="s">
        <v>45</v>
      </c>
      <c r="Q767">
        <v>3</v>
      </c>
      <c r="R767" t="s">
        <v>46</v>
      </c>
      <c r="S767">
        <v>2821</v>
      </c>
      <c r="T767">
        <v>2997</v>
      </c>
      <c r="U767">
        <v>3</v>
      </c>
      <c r="V767" t="s">
        <v>41</v>
      </c>
      <c r="W767" t="s">
        <v>42</v>
      </c>
      <c r="X767">
        <v>16</v>
      </c>
      <c r="Y767">
        <v>3</v>
      </c>
      <c r="Z767">
        <v>1</v>
      </c>
      <c r="AA767">
        <v>80</v>
      </c>
      <c r="AB767">
        <v>1</v>
      </c>
      <c r="AC767">
        <v>8</v>
      </c>
      <c r="AD767">
        <v>2</v>
      </c>
      <c r="AE767">
        <v>3</v>
      </c>
      <c r="AF767">
        <v>2</v>
      </c>
      <c r="AG767">
        <v>2</v>
      </c>
      <c r="AH767">
        <v>2</v>
      </c>
      <c r="AI767">
        <v>2</v>
      </c>
      <c r="AJ767">
        <f t="shared" si="11"/>
        <v>0</v>
      </c>
      <c r="AK767" t="str" cm="1">
        <f t="array" ref="AK767">_xlfn.IFS(A767&lt;=30,"18-30",A767&lt;=45,"31-45",A767&lt;=60,"46-60",TRUE, "60+")</f>
        <v>31-45</v>
      </c>
      <c r="AL767" t="str" cm="1">
        <f t="array" ref="AL767">_xlfn.IFS(F767&lt;=10,"0-10",F767&lt;=20,"11-20",TRUE,"20+")</f>
        <v>0-10</v>
      </c>
      <c r="AM767" t="str" cm="1">
        <f t="array" ref="AM767">_xlfn.IFS(S767&lt;=5000,"0-5k",S767&lt;=10000,"5k-10k",S767&lt;=15000,"10k-15k",TRUE,"15k+")</f>
        <v>0-5k</v>
      </c>
      <c r="AN767" t="str" cm="1">
        <f t="array" ref="AN767">_xlfn.IFS(AF767&lt;=10,"0-10",AF767&lt;=20,"10-20",AF767&lt;=30,"20-30",TRUE,"30+")</f>
        <v>0-10</v>
      </c>
      <c r="AO767" t="str" cm="1">
        <f t="array" ref="AO767">_xlfn.IFS(Y767=1,"Poor",Y767=2,"Average",Y767=3,"Good",TRUE,"Excellent")</f>
        <v>Good</v>
      </c>
      <c r="AP767" t="str" cm="1">
        <f t="array" ref="AP767">_xlfn.IFS(Q767=1,"Low",Q767=2,"Medium",Q767=3,"High",TRUE,"Very High")</f>
        <v>High</v>
      </c>
    </row>
    <row r="768" spans="1:42" x14ac:dyDescent="0.25">
      <c r="A768">
        <v>50</v>
      </c>
      <c r="B768" t="s">
        <v>42</v>
      </c>
      <c r="C768" t="s">
        <v>90</v>
      </c>
      <c r="D768">
        <v>1464</v>
      </c>
      <c r="E768" t="s">
        <v>43</v>
      </c>
      <c r="F768">
        <v>2</v>
      </c>
      <c r="G768">
        <v>4</v>
      </c>
      <c r="H768" t="s">
        <v>49</v>
      </c>
      <c r="I768">
        <v>1</v>
      </c>
      <c r="J768">
        <v>1061</v>
      </c>
      <c r="K768">
        <v>2</v>
      </c>
      <c r="L768" t="s">
        <v>44</v>
      </c>
      <c r="M768">
        <v>62</v>
      </c>
      <c r="N768">
        <v>3</v>
      </c>
      <c r="O768">
        <v>5</v>
      </c>
      <c r="P768" t="s">
        <v>56</v>
      </c>
      <c r="Q768">
        <v>3</v>
      </c>
      <c r="R768" t="s">
        <v>46</v>
      </c>
      <c r="S768">
        <v>19237</v>
      </c>
      <c r="T768">
        <v>12853</v>
      </c>
      <c r="U768">
        <v>2</v>
      </c>
      <c r="V768" t="s">
        <v>41</v>
      </c>
      <c r="W768" t="s">
        <v>35</v>
      </c>
      <c r="X768">
        <v>11</v>
      </c>
      <c r="Y768">
        <v>3</v>
      </c>
      <c r="Z768">
        <v>4</v>
      </c>
      <c r="AA768">
        <v>80</v>
      </c>
      <c r="AB768">
        <v>1</v>
      </c>
      <c r="AC768">
        <v>29</v>
      </c>
      <c r="AD768">
        <v>2</v>
      </c>
      <c r="AE768">
        <v>2</v>
      </c>
      <c r="AF768">
        <v>8</v>
      </c>
      <c r="AG768">
        <v>1</v>
      </c>
      <c r="AH768">
        <v>7</v>
      </c>
      <c r="AI768">
        <v>7</v>
      </c>
      <c r="AJ768">
        <f t="shared" si="11"/>
        <v>0</v>
      </c>
      <c r="AK768" t="str" cm="1">
        <f t="array" ref="AK768">_xlfn.IFS(A768&lt;=30,"18-30",A768&lt;=45,"31-45",A768&lt;=60,"46-60",TRUE, "60+")</f>
        <v>46-60</v>
      </c>
      <c r="AL768" t="str" cm="1">
        <f t="array" ref="AL768">_xlfn.IFS(F768&lt;=10,"0-10",F768&lt;=20,"11-20",TRUE,"20+")</f>
        <v>0-10</v>
      </c>
      <c r="AM768" t="str" cm="1">
        <f t="array" ref="AM768">_xlfn.IFS(S768&lt;=5000,"0-5k",S768&lt;=10000,"5k-10k",S768&lt;=15000,"10k-15k",TRUE,"15k+")</f>
        <v>15k+</v>
      </c>
      <c r="AN768" t="str" cm="1">
        <f t="array" ref="AN768">_xlfn.IFS(AF768&lt;=10,"0-10",AF768&lt;=20,"10-20",AF768&lt;=30,"20-30",TRUE,"30+")</f>
        <v>0-10</v>
      </c>
      <c r="AO768" t="str" cm="1">
        <f t="array" ref="AO768">_xlfn.IFS(Y768=1,"Poor",Y768=2,"Average",Y768=3,"Good",TRUE,"Excellent")</f>
        <v>Good</v>
      </c>
      <c r="AP768" t="str" cm="1">
        <f t="array" ref="AP768">_xlfn.IFS(Q768=1,"Low",Q768=2,"Medium",Q768=3,"High",TRUE,"Very High")</f>
        <v>High</v>
      </c>
    </row>
    <row r="769" spans="1:42" x14ac:dyDescent="0.25">
      <c r="A769">
        <v>37</v>
      </c>
      <c r="B769" t="s">
        <v>42</v>
      </c>
      <c r="C769" t="s">
        <v>90</v>
      </c>
      <c r="D769">
        <v>124</v>
      </c>
      <c r="E769" t="s">
        <v>43</v>
      </c>
      <c r="F769">
        <v>3</v>
      </c>
      <c r="G769">
        <v>3</v>
      </c>
      <c r="H769" t="s">
        <v>47</v>
      </c>
      <c r="I769">
        <v>1</v>
      </c>
      <c r="J769">
        <v>1062</v>
      </c>
      <c r="K769">
        <v>4</v>
      </c>
      <c r="L769" t="s">
        <v>38</v>
      </c>
      <c r="M769">
        <v>35</v>
      </c>
      <c r="N769">
        <v>3</v>
      </c>
      <c r="O769">
        <v>2</v>
      </c>
      <c r="P769" t="s">
        <v>52</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c r="AJ769">
        <f t="shared" si="11"/>
        <v>0</v>
      </c>
      <c r="AK769" t="str" cm="1">
        <f t="array" ref="AK769">_xlfn.IFS(A769&lt;=30,"18-30",A769&lt;=45,"31-45",A769&lt;=60,"46-60",TRUE, "60+")</f>
        <v>31-45</v>
      </c>
      <c r="AL769" t="str" cm="1">
        <f t="array" ref="AL769">_xlfn.IFS(F769&lt;=10,"0-10",F769&lt;=20,"11-20",TRUE,"20+")</f>
        <v>0-10</v>
      </c>
      <c r="AM769" t="str" cm="1">
        <f t="array" ref="AM769">_xlfn.IFS(S769&lt;=5000,"0-5k",S769&lt;=10000,"5k-10k",S769&lt;=15000,"10k-15k",TRUE,"15k+")</f>
        <v>0-5k</v>
      </c>
      <c r="AN769" t="str" cm="1">
        <f t="array" ref="AN769">_xlfn.IFS(AF769&lt;=10,"0-10",AF769&lt;=20,"10-20",AF769&lt;=30,"20-30",TRUE,"30+")</f>
        <v>0-10</v>
      </c>
      <c r="AO769" t="str" cm="1">
        <f t="array" ref="AO769">_xlfn.IFS(Y769=1,"Poor",Y769=2,"Average",Y769=3,"Good",TRUE,"Excellent")</f>
        <v>Good</v>
      </c>
      <c r="AP769" t="str" cm="1">
        <f t="array" ref="AP769">_xlfn.IFS(Q769=1,"Low",Q769=2,"Medium",Q769=3,"High",TRUE,"Very High")</f>
        <v>Medium</v>
      </c>
    </row>
    <row r="770" spans="1:42" x14ac:dyDescent="0.25">
      <c r="A770">
        <v>40</v>
      </c>
      <c r="B770" t="s">
        <v>42</v>
      </c>
      <c r="C770" t="s">
        <v>90</v>
      </c>
      <c r="D770">
        <v>300</v>
      </c>
      <c r="E770" t="s">
        <v>36</v>
      </c>
      <c r="F770">
        <v>26</v>
      </c>
      <c r="G770">
        <v>3</v>
      </c>
      <c r="H770" t="s">
        <v>57</v>
      </c>
      <c r="I770">
        <v>1</v>
      </c>
      <c r="J770">
        <v>1066</v>
      </c>
      <c r="K770">
        <v>3</v>
      </c>
      <c r="L770" t="s">
        <v>44</v>
      </c>
      <c r="M770">
        <v>74</v>
      </c>
      <c r="N770">
        <v>3</v>
      </c>
      <c r="O770">
        <v>2</v>
      </c>
      <c r="P770" t="s">
        <v>39</v>
      </c>
      <c r="Q770">
        <v>1</v>
      </c>
      <c r="R770" t="s">
        <v>46</v>
      </c>
      <c r="S770">
        <v>8396</v>
      </c>
      <c r="T770">
        <v>22217</v>
      </c>
      <c r="U770">
        <v>1</v>
      </c>
      <c r="V770" t="s">
        <v>41</v>
      </c>
      <c r="W770" t="s">
        <v>42</v>
      </c>
      <c r="X770">
        <v>14</v>
      </c>
      <c r="Y770">
        <v>3</v>
      </c>
      <c r="Z770">
        <v>2</v>
      </c>
      <c r="AA770">
        <v>80</v>
      </c>
      <c r="AB770">
        <v>1</v>
      </c>
      <c r="AC770">
        <v>8</v>
      </c>
      <c r="AD770">
        <v>3</v>
      </c>
      <c r="AE770">
        <v>2</v>
      </c>
      <c r="AF770">
        <v>7</v>
      </c>
      <c r="AG770">
        <v>7</v>
      </c>
      <c r="AH770">
        <v>7</v>
      </c>
      <c r="AI770">
        <v>5</v>
      </c>
      <c r="AJ770">
        <f t="shared" ref="AJ770:AJ833" si="12">IF(B770="yes",1,0)</f>
        <v>0</v>
      </c>
      <c r="AK770" t="str" cm="1">
        <f t="array" ref="AK770">_xlfn.IFS(A770&lt;=30,"18-30",A770&lt;=45,"31-45",A770&lt;=60,"46-60",TRUE, "60+")</f>
        <v>31-45</v>
      </c>
      <c r="AL770" t="str" cm="1">
        <f t="array" ref="AL770">_xlfn.IFS(F770&lt;=10,"0-10",F770&lt;=20,"11-20",TRUE,"20+")</f>
        <v>20+</v>
      </c>
      <c r="AM770" t="str" cm="1">
        <f t="array" ref="AM770">_xlfn.IFS(S770&lt;=5000,"0-5k",S770&lt;=10000,"5k-10k",S770&lt;=15000,"10k-15k",TRUE,"15k+")</f>
        <v>5k-10k</v>
      </c>
      <c r="AN770" t="str" cm="1">
        <f t="array" ref="AN770">_xlfn.IFS(AF770&lt;=10,"0-10",AF770&lt;=20,"10-20",AF770&lt;=30,"20-30",TRUE,"30+")</f>
        <v>0-10</v>
      </c>
      <c r="AO770" t="str" cm="1">
        <f t="array" ref="AO770">_xlfn.IFS(Y770=1,"Poor",Y770=2,"Average",Y770=3,"Good",TRUE,"Excellent")</f>
        <v>Good</v>
      </c>
      <c r="AP770" t="str" cm="1">
        <f t="array" ref="AP770">_xlfn.IFS(Q770=1,"Low",Q770=2,"Medium",Q770=3,"High",TRUE,"Very High")</f>
        <v>Low</v>
      </c>
    </row>
    <row r="771" spans="1:42" x14ac:dyDescent="0.25">
      <c r="A771">
        <v>26</v>
      </c>
      <c r="B771" t="s">
        <v>42</v>
      </c>
      <c r="C771" t="s">
        <v>91</v>
      </c>
      <c r="D771">
        <v>921</v>
      </c>
      <c r="E771" t="s">
        <v>43</v>
      </c>
      <c r="F771">
        <v>1</v>
      </c>
      <c r="G771">
        <v>1</v>
      </c>
      <c r="H771" t="s">
        <v>49</v>
      </c>
      <c r="I771">
        <v>1</v>
      </c>
      <c r="J771">
        <v>1068</v>
      </c>
      <c r="K771">
        <v>1</v>
      </c>
      <c r="L771" t="s">
        <v>38</v>
      </c>
      <c r="M771">
        <v>66</v>
      </c>
      <c r="N771">
        <v>2</v>
      </c>
      <c r="O771">
        <v>1</v>
      </c>
      <c r="P771" t="s">
        <v>45</v>
      </c>
      <c r="Q771">
        <v>3</v>
      </c>
      <c r="R771" t="s">
        <v>50</v>
      </c>
      <c r="S771">
        <v>2007</v>
      </c>
      <c r="T771">
        <v>25265</v>
      </c>
      <c r="U771">
        <v>1</v>
      </c>
      <c r="V771" t="s">
        <v>41</v>
      </c>
      <c r="W771" t="s">
        <v>42</v>
      </c>
      <c r="X771">
        <v>13</v>
      </c>
      <c r="Y771">
        <v>3</v>
      </c>
      <c r="Z771">
        <v>3</v>
      </c>
      <c r="AA771">
        <v>80</v>
      </c>
      <c r="AB771">
        <v>2</v>
      </c>
      <c r="AC771">
        <v>5</v>
      </c>
      <c r="AD771">
        <v>5</v>
      </c>
      <c r="AE771">
        <v>3</v>
      </c>
      <c r="AF771">
        <v>5</v>
      </c>
      <c r="AG771">
        <v>3</v>
      </c>
      <c r="AH771">
        <v>1</v>
      </c>
      <c r="AI771">
        <v>3</v>
      </c>
      <c r="AJ771">
        <f t="shared" si="12"/>
        <v>0</v>
      </c>
      <c r="AK771" t="str" cm="1">
        <f t="array" ref="AK771">_xlfn.IFS(A771&lt;=30,"18-30",A771&lt;=45,"31-45",A771&lt;=60,"46-60",TRUE, "60+")</f>
        <v>18-30</v>
      </c>
      <c r="AL771" t="str" cm="1">
        <f t="array" ref="AL771">_xlfn.IFS(F771&lt;=10,"0-10",F771&lt;=20,"11-20",TRUE,"20+")</f>
        <v>0-10</v>
      </c>
      <c r="AM771" t="str" cm="1">
        <f t="array" ref="AM771">_xlfn.IFS(S771&lt;=5000,"0-5k",S771&lt;=10000,"5k-10k",S771&lt;=15000,"10k-15k",TRUE,"15k+")</f>
        <v>0-5k</v>
      </c>
      <c r="AN771" t="str" cm="1">
        <f t="array" ref="AN771">_xlfn.IFS(AF771&lt;=10,"0-10",AF771&lt;=20,"10-20",AF771&lt;=30,"20-30",TRUE,"30+")</f>
        <v>0-10</v>
      </c>
      <c r="AO771" t="str" cm="1">
        <f t="array" ref="AO771">_xlfn.IFS(Y771=1,"Poor",Y771=2,"Average",Y771=3,"Good",TRUE,"Excellent")</f>
        <v>Good</v>
      </c>
      <c r="AP771" t="str" cm="1">
        <f t="array" ref="AP771">_xlfn.IFS(Q771=1,"Low",Q771=2,"Medium",Q771=3,"High",TRUE,"Very High")</f>
        <v>High</v>
      </c>
    </row>
    <row r="772" spans="1:42" x14ac:dyDescent="0.25">
      <c r="A772">
        <v>46</v>
      </c>
      <c r="B772" t="s">
        <v>42</v>
      </c>
      <c r="C772" t="s">
        <v>90</v>
      </c>
      <c r="D772">
        <v>430</v>
      </c>
      <c r="E772" t="s">
        <v>43</v>
      </c>
      <c r="F772">
        <v>1</v>
      </c>
      <c r="G772">
        <v>4</v>
      </c>
      <c r="H772" t="s">
        <v>49</v>
      </c>
      <c r="I772">
        <v>1</v>
      </c>
      <c r="J772">
        <v>1069</v>
      </c>
      <c r="K772">
        <v>4</v>
      </c>
      <c r="L772" t="s">
        <v>44</v>
      </c>
      <c r="M772">
        <v>40</v>
      </c>
      <c r="N772">
        <v>3</v>
      </c>
      <c r="O772">
        <v>5</v>
      </c>
      <c r="P772" t="s">
        <v>56</v>
      </c>
      <c r="Q772">
        <v>4</v>
      </c>
      <c r="R772" t="s">
        <v>50</v>
      </c>
      <c r="S772">
        <v>19627</v>
      </c>
      <c r="T772">
        <v>21445</v>
      </c>
      <c r="U772">
        <v>9</v>
      </c>
      <c r="V772" t="s">
        <v>41</v>
      </c>
      <c r="W772" t="s">
        <v>42</v>
      </c>
      <c r="X772">
        <v>17</v>
      </c>
      <c r="Y772">
        <v>3</v>
      </c>
      <c r="Z772">
        <v>4</v>
      </c>
      <c r="AA772">
        <v>80</v>
      </c>
      <c r="AB772">
        <v>2</v>
      </c>
      <c r="AC772">
        <v>23</v>
      </c>
      <c r="AD772">
        <v>0</v>
      </c>
      <c r="AE772">
        <v>3</v>
      </c>
      <c r="AF772">
        <v>2</v>
      </c>
      <c r="AG772">
        <v>2</v>
      </c>
      <c r="AH772">
        <v>2</v>
      </c>
      <c r="AI772">
        <v>2</v>
      </c>
      <c r="AJ772">
        <f t="shared" si="12"/>
        <v>0</v>
      </c>
      <c r="AK772" t="str" cm="1">
        <f t="array" ref="AK772">_xlfn.IFS(A772&lt;=30,"18-30",A772&lt;=45,"31-45",A772&lt;=60,"46-60",TRUE, "60+")</f>
        <v>46-60</v>
      </c>
      <c r="AL772" t="str" cm="1">
        <f t="array" ref="AL772">_xlfn.IFS(F772&lt;=10,"0-10",F772&lt;=20,"11-20",TRUE,"20+")</f>
        <v>0-10</v>
      </c>
      <c r="AM772" t="str" cm="1">
        <f t="array" ref="AM772">_xlfn.IFS(S772&lt;=5000,"0-5k",S772&lt;=10000,"5k-10k",S772&lt;=15000,"10k-15k",TRUE,"15k+")</f>
        <v>15k+</v>
      </c>
      <c r="AN772" t="str" cm="1">
        <f t="array" ref="AN772">_xlfn.IFS(AF772&lt;=10,"0-10",AF772&lt;=20,"10-20",AF772&lt;=30,"20-30",TRUE,"30+")</f>
        <v>0-10</v>
      </c>
      <c r="AO772" t="str" cm="1">
        <f t="array" ref="AO772">_xlfn.IFS(Y772=1,"Poor",Y772=2,"Average",Y772=3,"Good",TRUE,"Excellent")</f>
        <v>Good</v>
      </c>
      <c r="AP772" t="str" cm="1">
        <f t="array" ref="AP772">_xlfn.IFS(Q772=1,"Low",Q772=2,"Medium",Q772=3,"High",TRUE,"Very High")</f>
        <v>Very High</v>
      </c>
    </row>
    <row r="773" spans="1:42" x14ac:dyDescent="0.25">
      <c r="A773">
        <v>54</v>
      </c>
      <c r="B773" t="s">
        <v>42</v>
      </c>
      <c r="C773" t="s">
        <v>90</v>
      </c>
      <c r="D773">
        <v>1082</v>
      </c>
      <c r="E773" t="s">
        <v>36</v>
      </c>
      <c r="F773">
        <v>2</v>
      </c>
      <c r="G773">
        <v>4</v>
      </c>
      <c r="H773" t="s">
        <v>37</v>
      </c>
      <c r="I773">
        <v>1</v>
      </c>
      <c r="J773">
        <v>1070</v>
      </c>
      <c r="K773">
        <v>3</v>
      </c>
      <c r="L773" t="s">
        <v>38</v>
      </c>
      <c r="M773">
        <v>41</v>
      </c>
      <c r="N773">
        <v>2</v>
      </c>
      <c r="O773">
        <v>3</v>
      </c>
      <c r="P773" t="s">
        <v>39</v>
      </c>
      <c r="Q773">
        <v>3</v>
      </c>
      <c r="R773" t="s">
        <v>46</v>
      </c>
      <c r="S773">
        <v>10686</v>
      </c>
      <c r="T773">
        <v>8392</v>
      </c>
      <c r="U773">
        <v>6</v>
      </c>
      <c r="V773" t="s">
        <v>41</v>
      </c>
      <c r="W773" t="s">
        <v>42</v>
      </c>
      <c r="X773">
        <v>11</v>
      </c>
      <c r="Y773">
        <v>3</v>
      </c>
      <c r="Z773">
        <v>2</v>
      </c>
      <c r="AA773">
        <v>80</v>
      </c>
      <c r="AB773">
        <v>1</v>
      </c>
      <c r="AC773">
        <v>13</v>
      </c>
      <c r="AD773">
        <v>4</v>
      </c>
      <c r="AE773">
        <v>3</v>
      </c>
      <c r="AF773">
        <v>9</v>
      </c>
      <c r="AG773">
        <v>4</v>
      </c>
      <c r="AH773">
        <v>7</v>
      </c>
      <c r="AI773">
        <v>0</v>
      </c>
      <c r="AJ773">
        <f t="shared" si="12"/>
        <v>0</v>
      </c>
      <c r="AK773" t="str" cm="1">
        <f t="array" ref="AK773">_xlfn.IFS(A773&lt;=30,"18-30",A773&lt;=45,"31-45",A773&lt;=60,"46-60",TRUE, "60+")</f>
        <v>46-60</v>
      </c>
      <c r="AL773" t="str" cm="1">
        <f t="array" ref="AL773">_xlfn.IFS(F773&lt;=10,"0-10",F773&lt;=20,"11-20",TRUE,"20+")</f>
        <v>0-10</v>
      </c>
      <c r="AM773" t="str" cm="1">
        <f t="array" ref="AM773">_xlfn.IFS(S773&lt;=5000,"0-5k",S773&lt;=10000,"5k-10k",S773&lt;=15000,"10k-15k",TRUE,"15k+")</f>
        <v>10k-15k</v>
      </c>
      <c r="AN773" t="str" cm="1">
        <f t="array" ref="AN773">_xlfn.IFS(AF773&lt;=10,"0-10",AF773&lt;=20,"10-20",AF773&lt;=30,"20-30",TRUE,"30+")</f>
        <v>0-10</v>
      </c>
      <c r="AO773" t="str" cm="1">
        <f t="array" ref="AO773">_xlfn.IFS(Y773=1,"Poor",Y773=2,"Average",Y773=3,"Good",TRUE,"Excellent")</f>
        <v>Good</v>
      </c>
      <c r="AP773" t="str" cm="1">
        <f t="array" ref="AP773">_xlfn.IFS(Q773=1,"Low",Q773=2,"Medium",Q773=3,"High",TRUE,"Very High")</f>
        <v>High</v>
      </c>
    </row>
    <row r="774" spans="1:42" x14ac:dyDescent="0.25">
      <c r="A774">
        <v>56</v>
      </c>
      <c r="B774" t="s">
        <v>42</v>
      </c>
      <c r="C774" t="s">
        <v>91</v>
      </c>
      <c r="D774">
        <v>1240</v>
      </c>
      <c r="E774" t="s">
        <v>43</v>
      </c>
      <c r="F774">
        <v>9</v>
      </c>
      <c r="G774">
        <v>3</v>
      </c>
      <c r="H774" t="s">
        <v>49</v>
      </c>
      <c r="I774">
        <v>1</v>
      </c>
      <c r="J774">
        <v>1071</v>
      </c>
      <c r="K774">
        <v>1</v>
      </c>
      <c r="L774" t="s">
        <v>38</v>
      </c>
      <c r="M774">
        <v>63</v>
      </c>
      <c r="N774">
        <v>3</v>
      </c>
      <c r="O774">
        <v>1</v>
      </c>
      <c r="P774" t="s">
        <v>45</v>
      </c>
      <c r="Q774">
        <v>3</v>
      </c>
      <c r="R774" t="s">
        <v>46</v>
      </c>
      <c r="S774">
        <v>2942</v>
      </c>
      <c r="T774">
        <v>12154</v>
      </c>
      <c r="U774">
        <v>2</v>
      </c>
      <c r="V774" t="s">
        <v>41</v>
      </c>
      <c r="W774" t="s">
        <v>42</v>
      </c>
      <c r="X774">
        <v>19</v>
      </c>
      <c r="Y774">
        <v>3</v>
      </c>
      <c r="Z774">
        <v>2</v>
      </c>
      <c r="AA774">
        <v>80</v>
      </c>
      <c r="AB774">
        <v>1</v>
      </c>
      <c r="AC774">
        <v>18</v>
      </c>
      <c r="AD774">
        <v>4</v>
      </c>
      <c r="AE774">
        <v>3</v>
      </c>
      <c r="AF774">
        <v>5</v>
      </c>
      <c r="AG774">
        <v>4</v>
      </c>
      <c r="AH774">
        <v>0</v>
      </c>
      <c r="AI774">
        <v>3</v>
      </c>
      <c r="AJ774">
        <f t="shared" si="12"/>
        <v>0</v>
      </c>
      <c r="AK774" t="str" cm="1">
        <f t="array" ref="AK774">_xlfn.IFS(A774&lt;=30,"18-30",A774&lt;=45,"31-45",A774&lt;=60,"46-60",TRUE, "60+")</f>
        <v>46-60</v>
      </c>
      <c r="AL774" t="str" cm="1">
        <f t="array" ref="AL774">_xlfn.IFS(F774&lt;=10,"0-10",F774&lt;=20,"11-20",TRUE,"20+")</f>
        <v>0-10</v>
      </c>
      <c r="AM774" t="str" cm="1">
        <f t="array" ref="AM774">_xlfn.IFS(S774&lt;=5000,"0-5k",S774&lt;=10000,"5k-10k",S774&lt;=15000,"10k-15k",TRUE,"15k+")</f>
        <v>0-5k</v>
      </c>
      <c r="AN774" t="str" cm="1">
        <f t="array" ref="AN774">_xlfn.IFS(AF774&lt;=10,"0-10",AF774&lt;=20,"10-20",AF774&lt;=30,"20-30",TRUE,"30+")</f>
        <v>0-10</v>
      </c>
      <c r="AO774" t="str" cm="1">
        <f t="array" ref="AO774">_xlfn.IFS(Y774=1,"Poor",Y774=2,"Average",Y774=3,"Good",TRUE,"Excellent")</f>
        <v>Good</v>
      </c>
      <c r="AP774" t="str" cm="1">
        <f t="array" ref="AP774">_xlfn.IFS(Q774=1,"Low",Q774=2,"Medium",Q774=3,"High",TRUE,"Very High")</f>
        <v>High</v>
      </c>
    </row>
    <row r="775" spans="1:42" x14ac:dyDescent="0.25">
      <c r="A775">
        <v>36</v>
      </c>
      <c r="B775" t="s">
        <v>42</v>
      </c>
      <c r="C775" t="s">
        <v>90</v>
      </c>
      <c r="D775">
        <v>796</v>
      </c>
      <c r="E775" t="s">
        <v>43</v>
      </c>
      <c r="F775">
        <v>12</v>
      </c>
      <c r="G775">
        <v>5</v>
      </c>
      <c r="H775" t="s">
        <v>49</v>
      </c>
      <c r="I775">
        <v>1</v>
      </c>
      <c r="J775">
        <v>1073</v>
      </c>
      <c r="K775">
        <v>4</v>
      </c>
      <c r="L775" t="s">
        <v>38</v>
      </c>
      <c r="M775">
        <v>51</v>
      </c>
      <c r="N775">
        <v>2</v>
      </c>
      <c r="O775">
        <v>3</v>
      </c>
      <c r="P775" t="s">
        <v>51</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c r="AJ775">
        <f t="shared" si="12"/>
        <v>0</v>
      </c>
      <c r="AK775" t="str" cm="1">
        <f t="array" ref="AK775">_xlfn.IFS(A775&lt;=30,"18-30",A775&lt;=45,"31-45",A775&lt;=60,"46-60",TRUE, "60+")</f>
        <v>31-45</v>
      </c>
      <c r="AL775" t="str" cm="1">
        <f t="array" ref="AL775">_xlfn.IFS(F775&lt;=10,"0-10",F775&lt;=20,"11-20",TRUE,"20+")</f>
        <v>11-20</v>
      </c>
      <c r="AM775" t="str" cm="1">
        <f t="array" ref="AM775">_xlfn.IFS(S775&lt;=5000,"0-5k",S775&lt;=10000,"5k-10k",S775&lt;=15000,"10k-15k",TRUE,"15k+")</f>
        <v>5k-10k</v>
      </c>
      <c r="AN775" t="str" cm="1">
        <f t="array" ref="AN775">_xlfn.IFS(AF775&lt;=10,"0-10",AF775&lt;=20,"10-20",AF775&lt;=30,"20-30",TRUE,"30+")</f>
        <v>10-20</v>
      </c>
      <c r="AO775" t="str" cm="1">
        <f t="array" ref="AO775">_xlfn.IFS(Y775=1,"Poor",Y775=2,"Average",Y775=3,"Good",TRUE,"Excellent")</f>
        <v>Good</v>
      </c>
      <c r="AP775" t="str" cm="1">
        <f t="array" ref="AP775">_xlfn.IFS(Q775=1,"Low",Q775=2,"Medium",Q775=3,"High",TRUE,"Very High")</f>
        <v>Very High</v>
      </c>
    </row>
    <row r="776" spans="1:42" x14ac:dyDescent="0.25">
      <c r="A776">
        <v>55</v>
      </c>
      <c r="B776" t="s">
        <v>42</v>
      </c>
      <c r="C776" t="s">
        <v>53</v>
      </c>
      <c r="D776">
        <v>444</v>
      </c>
      <c r="E776" t="s">
        <v>43</v>
      </c>
      <c r="F776">
        <v>2</v>
      </c>
      <c r="G776">
        <v>1</v>
      </c>
      <c r="H776" t="s">
        <v>49</v>
      </c>
      <c r="I776">
        <v>1</v>
      </c>
      <c r="J776">
        <v>1074</v>
      </c>
      <c r="K776">
        <v>3</v>
      </c>
      <c r="L776" t="s">
        <v>44</v>
      </c>
      <c r="M776">
        <v>40</v>
      </c>
      <c r="N776">
        <v>2</v>
      </c>
      <c r="O776">
        <v>4</v>
      </c>
      <c r="P776" t="s">
        <v>54</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c r="AJ776">
        <f t="shared" si="12"/>
        <v>0</v>
      </c>
      <c r="AK776" t="str" cm="1">
        <f t="array" ref="AK776">_xlfn.IFS(A776&lt;=30,"18-30",A776&lt;=45,"31-45",A776&lt;=60,"46-60",TRUE, "60+")</f>
        <v>46-60</v>
      </c>
      <c r="AL776" t="str" cm="1">
        <f t="array" ref="AL776">_xlfn.IFS(F776&lt;=10,"0-10",F776&lt;=20,"11-20",TRUE,"20+")</f>
        <v>0-10</v>
      </c>
      <c r="AM776" t="str" cm="1">
        <f t="array" ref="AM776">_xlfn.IFS(S776&lt;=5000,"0-5k",S776&lt;=10000,"5k-10k",S776&lt;=15000,"10k-15k",TRUE,"15k+")</f>
        <v>15k+</v>
      </c>
      <c r="AN776" t="str" cm="1">
        <f t="array" ref="AN776">_xlfn.IFS(AF776&lt;=10,"0-10",AF776&lt;=20,"10-20",AF776&lt;=30,"20-30",TRUE,"30+")</f>
        <v>0-10</v>
      </c>
      <c r="AO776" t="str" cm="1">
        <f t="array" ref="AO776">_xlfn.IFS(Y776=1,"Poor",Y776=2,"Average",Y776=3,"Good",TRUE,"Excellent")</f>
        <v>Good</v>
      </c>
      <c r="AP776" t="str" cm="1">
        <f t="array" ref="AP776">_xlfn.IFS(Q776=1,"Low",Q776=2,"Medium",Q776=3,"High",TRUE,"Very High")</f>
        <v>Low</v>
      </c>
    </row>
    <row r="777" spans="1:42" x14ac:dyDescent="0.25">
      <c r="A777">
        <v>43</v>
      </c>
      <c r="B777" t="s">
        <v>42</v>
      </c>
      <c r="C777" t="s">
        <v>90</v>
      </c>
      <c r="D777">
        <v>415</v>
      </c>
      <c r="E777" t="s">
        <v>36</v>
      </c>
      <c r="F777">
        <v>25</v>
      </c>
      <c r="G777">
        <v>3</v>
      </c>
      <c r="H777" t="s">
        <v>49</v>
      </c>
      <c r="I777">
        <v>1</v>
      </c>
      <c r="J777">
        <v>1076</v>
      </c>
      <c r="K777">
        <v>3</v>
      </c>
      <c r="L777" t="s">
        <v>44</v>
      </c>
      <c r="M777">
        <v>79</v>
      </c>
      <c r="N777">
        <v>2</v>
      </c>
      <c r="O777">
        <v>3</v>
      </c>
      <c r="P777" t="s">
        <v>39</v>
      </c>
      <c r="Q777">
        <v>4</v>
      </c>
      <c r="R777" t="s">
        <v>50</v>
      </c>
      <c r="S777">
        <v>10798</v>
      </c>
      <c r="T777">
        <v>5268</v>
      </c>
      <c r="U777">
        <v>5</v>
      </c>
      <c r="V777" t="s">
        <v>41</v>
      </c>
      <c r="W777" t="s">
        <v>42</v>
      </c>
      <c r="X777">
        <v>13</v>
      </c>
      <c r="Y777">
        <v>3</v>
      </c>
      <c r="Z777">
        <v>3</v>
      </c>
      <c r="AA777">
        <v>80</v>
      </c>
      <c r="AB777">
        <v>1</v>
      </c>
      <c r="AC777">
        <v>18</v>
      </c>
      <c r="AD777">
        <v>5</v>
      </c>
      <c r="AE777">
        <v>3</v>
      </c>
      <c r="AF777">
        <v>1</v>
      </c>
      <c r="AG777">
        <v>0</v>
      </c>
      <c r="AH777">
        <v>0</v>
      </c>
      <c r="AI777">
        <v>0</v>
      </c>
      <c r="AJ777">
        <f t="shared" si="12"/>
        <v>0</v>
      </c>
      <c r="AK777" t="str" cm="1">
        <f t="array" ref="AK777">_xlfn.IFS(A777&lt;=30,"18-30",A777&lt;=45,"31-45",A777&lt;=60,"46-60",TRUE, "60+")</f>
        <v>31-45</v>
      </c>
      <c r="AL777" t="str" cm="1">
        <f t="array" ref="AL777">_xlfn.IFS(F777&lt;=10,"0-10",F777&lt;=20,"11-20",TRUE,"20+")</f>
        <v>20+</v>
      </c>
      <c r="AM777" t="str" cm="1">
        <f t="array" ref="AM777">_xlfn.IFS(S777&lt;=5000,"0-5k",S777&lt;=10000,"5k-10k",S777&lt;=15000,"10k-15k",TRUE,"15k+")</f>
        <v>10k-15k</v>
      </c>
      <c r="AN777" t="str" cm="1">
        <f t="array" ref="AN777">_xlfn.IFS(AF777&lt;=10,"0-10",AF777&lt;=20,"10-20",AF777&lt;=30,"20-30",TRUE,"30+")</f>
        <v>0-10</v>
      </c>
      <c r="AO777" t="str" cm="1">
        <f t="array" ref="AO777">_xlfn.IFS(Y777=1,"Poor",Y777=2,"Average",Y777=3,"Good",TRUE,"Excellent")</f>
        <v>Good</v>
      </c>
      <c r="AP777" t="str" cm="1">
        <f t="array" ref="AP777">_xlfn.IFS(Q777=1,"Low",Q777=2,"Medium",Q777=3,"High",TRUE,"Very High")</f>
        <v>Very High</v>
      </c>
    </row>
    <row r="778" spans="1:42" x14ac:dyDescent="0.25">
      <c r="A778">
        <v>20</v>
      </c>
      <c r="B778" t="s">
        <v>35</v>
      </c>
      <c r="C778" t="s">
        <v>91</v>
      </c>
      <c r="D778">
        <v>769</v>
      </c>
      <c r="E778" t="s">
        <v>36</v>
      </c>
      <c r="F778">
        <v>9</v>
      </c>
      <c r="G778">
        <v>3</v>
      </c>
      <c r="H778" t="s">
        <v>57</v>
      </c>
      <c r="I778">
        <v>1</v>
      </c>
      <c r="J778">
        <v>1077</v>
      </c>
      <c r="K778">
        <v>4</v>
      </c>
      <c r="L778" t="s">
        <v>38</v>
      </c>
      <c r="M778">
        <v>54</v>
      </c>
      <c r="N778">
        <v>3</v>
      </c>
      <c r="O778">
        <v>1</v>
      </c>
      <c r="P778" t="s">
        <v>55</v>
      </c>
      <c r="Q778">
        <v>4</v>
      </c>
      <c r="R778" t="s">
        <v>40</v>
      </c>
      <c r="S778">
        <v>2323</v>
      </c>
      <c r="T778">
        <v>17205</v>
      </c>
      <c r="U778">
        <v>1</v>
      </c>
      <c r="V778" t="s">
        <v>41</v>
      </c>
      <c r="W778" t="s">
        <v>35</v>
      </c>
      <c r="X778">
        <v>14</v>
      </c>
      <c r="Y778">
        <v>3</v>
      </c>
      <c r="Z778">
        <v>2</v>
      </c>
      <c r="AA778">
        <v>80</v>
      </c>
      <c r="AB778">
        <v>0</v>
      </c>
      <c r="AC778">
        <v>2</v>
      </c>
      <c r="AD778">
        <v>3</v>
      </c>
      <c r="AE778">
        <v>3</v>
      </c>
      <c r="AF778">
        <v>2</v>
      </c>
      <c r="AG778">
        <v>2</v>
      </c>
      <c r="AH778">
        <v>0</v>
      </c>
      <c r="AI778">
        <v>2</v>
      </c>
      <c r="AJ778">
        <f t="shared" si="12"/>
        <v>1</v>
      </c>
      <c r="AK778" t="str" cm="1">
        <f t="array" ref="AK778">_xlfn.IFS(A778&lt;=30,"18-30",A778&lt;=45,"31-45",A778&lt;=60,"46-60",TRUE, "60+")</f>
        <v>18-30</v>
      </c>
      <c r="AL778" t="str" cm="1">
        <f t="array" ref="AL778">_xlfn.IFS(F778&lt;=10,"0-10",F778&lt;=20,"11-20",TRUE,"20+")</f>
        <v>0-10</v>
      </c>
      <c r="AM778" t="str" cm="1">
        <f t="array" ref="AM778">_xlfn.IFS(S778&lt;=5000,"0-5k",S778&lt;=10000,"5k-10k",S778&lt;=15000,"10k-15k",TRUE,"15k+")</f>
        <v>0-5k</v>
      </c>
      <c r="AN778" t="str" cm="1">
        <f t="array" ref="AN778">_xlfn.IFS(AF778&lt;=10,"0-10",AF778&lt;=20,"10-20",AF778&lt;=30,"20-30",TRUE,"30+")</f>
        <v>0-10</v>
      </c>
      <c r="AO778" t="str" cm="1">
        <f t="array" ref="AO778">_xlfn.IFS(Y778=1,"Poor",Y778=2,"Average",Y778=3,"Good",TRUE,"Excellent")</f>
        <v>Good</v>
      </c>
      <c r="AP778" t="str" cm="1">
        <f t="array" ref="AP778">_xlfn.IFS(Q778=1,"Low",Q778=2,"Medium",Q778=3,"High",TRUE,"Very High")</f>
        <v>Very High</v>
      </c>
    </row>
    <row r="779" spans="1:42" x14ac:dyDescent="0.25">
      <c r="A779">
        <v>21</v>
      </c>
      <c r="B779" t="s">
        <v>35</v>
      </c>
      <c r="C779" t="s">
        <v>90</v>
      </c>
      <c r="D779">
        <v>1334</v>
      </c>
      <c r="E779" t="s">
        <v>43</v>
      </c>
      <c r="F779">
        <v>10</v>
      </c>
      <c r="G779">
        <v>3</v>
      </c>
      <c r="H779" t="s">
        <v>37</v>
      </c>
      <c r="I779">
        <v>1</v>
      </c>
      <c r="J779">
        <v>1079</v>
      </c>
      <c r="K779">
        <v>3</v>
      </c>
      <c r="L779" t="s">
        <v>38</v>
      </c>
      <c r="M779">
        <v>36</v>
      </c>
      <c r="N779">
        <v>2</v>
      </c>
      <c r="O779">
        <v>1</v>
      </c>
      <c r="P779" t="s">
        <v>48</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c r="AJ779">
        <f t="shared" si="12"/>
        <v>1</v>
      </c>
      <c r="AK779" t="str" cm="1">
        <f t="array" ref="AK779">_xlfn.IFS(A779&lt;=30,"18-30",A779&lt;=45,"31-45",A779&lt;=60,"46-60",TRUE, "60+")</f>
        <v>18-30</v>
      </c>
      <c r="AL779" t="str" cm="1">
        <f t="array" ref="AL779">_xlfn.IFS(F779&lt;=10,"0-10",F779&lt;=20,"11-20",TRUE,"20+")</f>
        <v>0-10</v>
      </c>
      <c r="AM779" t="str" cm="1">
        <f t="array" ref="AM779">_xlfn.IFS(S779&lt;=5000,"0-5k",S779&lt;=10000,"5k-10k",S779&lt;=15000,"10k-15k",TRUE,"15k+")</f>
        <v>0-5k</v>
      </c>
      <c r="AN779" t="str" cm="1">
        <f t="array" ref="AN779">_xlfn.IFS(AF779&lt;=10,"0-10",AF779&lt;=20,"10-20",AF779&lt;=30,"20-30",TRUE,"30+")</f>
        <v>0-10</v>
      </c>
      <c r="AO779" t="str" cm="1">
        <f t="array" ref="AO779">_xlfn.IFS(Y779=1,"Poor",Y779=2,"Average",Y779=3,"Good",TRUE,"Excellent")</f>
        <v>Good</v>
      </c>
      <c r="AP779" t="str" cm="1">
        <f t="array" ref="AP779">_xlfn.IFS(Q779=1,"Low",Q779=2,"Medium",Q779=3,"High",TRUE,"Very High")</f>
        <v>Low</v>
      </c>
    </row>
    <row r="780" spans="1:42" x14ac:dyDescent="0.25">
      <c r="A780">
        <v>46</v>
      </c>
      <c r="B780" t="s">
        <v>42</v>
      </c>
      <c r="C780" t="s">
        <v>90</v>
      </c>
      <c r="D780">
        <v>1003</v>
      </c>
      <c r="E780" t="s">
        <v>43</v>
      </c>
      <c r="F780">
        <v>8</v>
      </c>
      <c r="G780">
        <v>4</v>
      </c>
      <c r="H780" t="s">
        <v>37</v>
      </c>
      <c r="I780">
        <v>1</v>
      </c>
      <c r="J780">
        <v>1080</v>
      </c>
      <c r="K780">
        <v>4</v>
      </c>
      <c r="L780" t="s">
        <v>38</v>
      </c>
      <c r="M780">
        <v>74</v>
      </c>
      <c r="N780">
        <v>2</v>
      </c>
      <c r="O780">
        <v>2</v>
      </c>
      <c r="P780" t="s">
        <v>45</v>
      </c>
      <c r="Q780">
        <v>1</v>
      </c>
      <c r="R780" t="s">
        <v>50</v>
      </c>
      <c r="S780">
        <v>4615</v>
      </c>
      <c r="T780">
        <v>21029</v>
      </c>
      <c r="U780">
        <v>8</v>
      </c>
      <c r="V780" t="s">
        <v>41</v>
      </c>
      <c r="W780" t="s">
        <v>35</v>
      </c>
      <c r="X780">
        <v>23</v>
      </c>
      <c r="Y780">
        <v>4</v>
      </c>
      <c r="Z780">
        <v>1</v>
      </c>
      <c r="AA780">
        <v>80</v>
      </c>
      <c r="AB780">
        <v>3</v>
      </c>
      <c r="AC780">
        <v>19</v>
      </c>
      <c r="AD780">
        <v>2</v>
      </c>
      <c r="AE780">
        <v>3</v>
      </c>
      <c r="AF780">
        <v>16</v>
      </c>
      <c r="AG780">
        <v>13</v>
      </c>
      <c r="AH780">
        <v>1</v>
      </c>
      <c r="AI780">
        <v>7</v>
      </c>
      <c r="AJ780">
        <f t="shared" si="12"/>
        <v>0</v>
      </c>
      <c r="AK780" t="str" cm="1">
        <f t="array" ref="AK780">_xlfn.IFS(A780&lt;=30,"18-30",A780&lt;=45,"31-45",A780&lt;=60,"46-60",TRUE, "60+")</f>
        <v>46-60</v>
      </c>
      <c r="AL780" t="str" cm="1">
        <f t="array" ref="AL780">_xlfn.IFS(F780&lt;=10,"0-10",F780&lt;=20,"11-20",TRUE,"20+")</f>
        <v>0-10</v>
      </c>
      <c r="AM780" t="str" cm="1">
        <f t="array" ref="AM780">_xlfn.IFS(S780&lt;=5000,"0-5k",S780&lt;=10000,"5k-10k",S780&lt;=15000,"10k-15k",TRUE,"15k+")</f>
        <v>0-5k</v>
      </c>
      <c r="AN780" t="str" cm="1">
        <f t="array" ref="AN780">_xlfn.IFS(AF780&lt;=10,"0-10",AF780&lt;=20,"10-20",AF780&lt;=30,"20-30",TRUE,"30+")</f>
        <v>10-20</v>
      </c>
      <c r="AO780" t="str" cm="1">
        <f t="array" ref="AO780">_xlfn.IFS(Y780=1,"Poor",Y780=2,"Average",Y780=3,"Good",TRUE,"Excellent")</f>
        <v>Excellent</v>
      </c>
      <c r="AP780" t="str" cm="1">
        <f t="array" ref="AP780">_xlfn.IFS(Q780=1,"Low",Q780=2,"Medium",Q780=3,"High",TRUE,"Very High")</f>
        <v>Low</v>
      </c>
    </row>
    <row r="781" spans="1:42" x14ac:dyDescent="0.25">
      <c r="A781">
        <v>51</v>
      </c>
      <c r="B781" t="s">
        <v>35</v>
      </c>
      <c r="C781" t="s">
        <v>90</v>
      </c>
      <c r="D781">
        <v>1323</v>
      </c>
      <c r="E781" t="s">
        <v>43</v>
      </c>
      <c r="F781">
        <v>4</v>
      </c>
      <c r="G781">
        <v>4</v>
      </c>
      <c r="H781" t="s">
        <v>37</v>
      </c>
      <c r="I781">
        <v>1</v>
      </c>
      <c r="J781">
        <v>1081</v>
      </c>
      <c r="K781">
        <v>1</v>
      </c>
      <c r="L781" t="s">
        <v>44</v>
      </c>
      <c r="M781">
        <v>34</v>
      </c>
      <c r="N781">
        <v>3</v>
      </c>
      <c r="O781">
        <v>1</v>
      </c>
      <c r="P781" t="s">
        <v>45</v>
      </c>
      <c r="Q781">
        <v>3</v>
      </c>
      <c r="R781" t="s">
        <v>46</v>
      </c>
      <c r="S781">
        <v>2461</v>
      </c>
      <c r="T781">
        <v>10332</v>
      </c>
      <c r="U781">
        <v>9</v>
      </c>
      <c r="V781" t="s">
        <v>41</v>
      </c>
      <c r="W781" t="s">
        <v>35</v>
      </c>
      <c r="X781">
        <v>12</v>
      </c>
      <c r="Y781">
        <v>3</v>
      </c>
      <c r="Z781">
        <v>3</v>
      </c>
      <c r="AA781">
        <v>80</v>
      </c>
      <c r="AB781">
        <v>3</v>
      </c>
      <c r="AC781">
        <v>18</v>
      </c>
      <c r="AD781">
        <v>2</v>
      </c>
      <c r="AE781">
        <v>4</v>
      </c>
      <c r="AF781">
        <v>10</v>
      </c>
      <c r="AG781">
        <v>0</v>
      </c>
      <c r="AH781">
        <v>2</v>
      </c>
      <c r="AI781">
        <v>7</v>
      </c>
      <c r="AJ781">
        <f t="shared" si="12"/>
        <v>1</v>
      </c>
      <c r="AK781" t="str" cm="1">
        <f t="array" ref="AK781">_xlfn.IFS(A781&lt;=30,"18-30",A781&lt;=45,"31-45",A781&lt;=60,"46-60",TRUE, "60+")</f>
        <v>46-60</v>
      </c>
      <c r="AL781" t="str" cm="1">
        <f t="array" ref="AL781">_xlfn.IFS(F781&lt;=10,"0-10",F781&lt;=20,"11-20",TRUE,"20+")</f>
        <v>0-10</v>
      </c>
      <c r="AM781" t="str" cm="1">
        <f t="array" ref="AM781">_xlfn.IFS(S781&lt;=5000,"0-5k",S781&lt;=10000,"5k-10k",S781&lt;=15000,"10k-15k",TRUE,"15k+")</f>
        <v>0-5k</v>
      </c>
      <c r="AN781" t="str" cm="1">
        <f t="array" ref="AN781">_xlfn.IFS(AF781&lt;=10,"0-10",AF781&lt;=20,"10-20",AF781&lt;=30,"20-30",TRUE,"30+")</f>
        <v>0-10</v>
      </c>
      <c r="AO781" t="str" cm="1">
        <f t="array" ref="AO781">_xlfn.IFS(Y781=1,"Poor",Y781=2,"Average",Y781=3,"Good",TRUE,"Excellent")</f>
        <v>Good</v>
      </c>
      <c r="AP781" t="str" cm="1">
        <f t="array" ref="AP781">_xlfn.IFS(Q781=1,"Low",Q781=2,"Medium",Q781=3,"High",TRUE,"Very High")</f>
        <v>High</v>
      </c>
    </row>
    <row r="782" spans="1:42" x14ac:dyDescent="0.25">
      <c r="A782">
        <v>28</v>
      </c>
      <c r="B782" t="s">
        <v>35</v>
      </c>
      <c r="C782" t="s">
        <v>53</v>
      </c>
      <c r="D782">
        <v>1366</v>
      </c>
      <c r="E782" t="s">
        <v>43</v>
      </c>
      <c r="F782">
        <v>24</v>
      </c>
      <c r="G782">
        <v>2</v>
      </c>
      <c r="H782" t="s">
        <v>58</v>
      </c>
      <c r="I782">
        <v>1</v>
      </c>
      <c r="J782">
        <v>1082</v>
      </c>
      <c r="K782">
        <v>2</v>
      </c>
      <c r="L782" t="s">
        <v>44</v>
      </c>
      <c r="M782">
        <v>72</v>
      </c>
      <c r="N782">
        <v>2</v>
      </c>
      <c r="O782">
        <v>3</v>
      </c>
      <c r="P782" t="s">
        <v>52</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c r="AJ782">
        <f t="shared" si="12"/>
        <v>1</v>
      </c>
      <c r="AK782" t="str" cm="1">
        <f t="array" ref="AK782">_xlfn.IFS(A782&lt;=30,"18-30",A782&lt;=45,"31-45",A782&lt;=60,"46-60",TRUE, "60+")</f>
        <v>18-30</v>
      </c>
      <c r="AL782" t="str" cm="1">
        <f t="array" ref="AL782">_xlfn.IFS(F782&lt;=10,"0-10",F782&lt;=20,"11-20",TRUE,"20+")</f>
        <v>20+</v>
      </c>
      <c r="AM782" t="str" cm="1">
        <f t="array" ref="AM782">_xlfn.IFS(S782&lt;=5000,"0-5k",S782&lt;=10000,"5k-10k",S782&lt;=15000,"10k-15k",TRUE,"15k+")</f>
        <v>5k-10k</v>
      </c>
      <c r="AN782" t="str" cm="1">
        <f t="array" ref="AN782">_xlfn.IFS(AF782&lt;=10,"0-10",AF782&lt;=20,"10-20",AF782&lt;=30,"20-30",TRUE,"30+")</f>
        <v>0-10</v>
      </c>
      <c r="AO782" t="str" cm="1">
        <f t="array" ref="AO782">_xlfn.IFS(Y782=1,"Poor",Y782=2,"Average",Y782=3,"Good",TRUE,"Excellent")</f>
        <v>Good</v>
      </c>
      <c r="AP782" t="str" cm="1">
        <f t="array" ref="AP782">_xlfn.IFS(Q782=1,"Low",Q782=2,"Medium",Q782=3,"High",TRUE,"Very High")</f>
        <v>Low</v>
      </c>
    </row>
    <row r="783" spans="1:42" x14ac:dyDescent="0.25">
      <c r="A783">
        <v>26</v>
      </c>
      <c r="B783" t="s">
        <v>42</v>
      </c>
      <c r="C783" t="s">
        <v>90</v>
      </c>
      <c r="D783">
        <v>192</v>
      </c>
      <c r="E783" t="s">
        <v>43</v>
      </c>
      <c r="F783">
        <v>1</v>
      </c>
      <c r="G783">
        <v>2</v>
      </c>
      <c r="H783" t="s">
        <v>49</v>
      </c>
      <c r="I783">
        <v>1</v>
      </c>
      <c r="J783">
        <v>1083</v>
      </c>
      <c r="K783">
        <v>1</v>
      </c>
      <c r="L783" t="s">
        <v>44</v>
      </c>
      <c r="M783">
        <v>59</v>
      </c>
      <c r="N783">
        <v>2</v>
      </c>
      <c r="O783">
        <v>1</v>
      </c>
      <c r="P783" t="s">
        <v>48</v>
      </c>
      <c r="Q783">
        <v>1</v>
      </c>
      <c r="R783" t="s">
        <v>46</v>
      </c>
      <c r="S783">
        <v>3955</v>
      </c>
      <c r="T783">
        <v>11141</v>
      </c>
      <c r="U783">
        <v>1</v>
      </c>
      <c r="V783" t="s">
        <v>41</v>
      </c>
      <c r="W783" t="s">
        <v>42</v>
      </c>
      <c r="X783">
        <v>16</v>
      </c>
      <c r="Y783">
        <v>3</v>
      </c>
      <c r="Z783">
        <v>1</v>
      </c>
      <c r="AA783">
        <v>80</v>
      </c>
      <c r="AB783">
        <v>2</v>
      </c>
      <c r="AC783">
        <v>6</v>
      </c>
      <c r="AD783">
        <v>2</v>
      </c>
      <c r="AE783">
        <v>3</v>
      </c>
      <c r="AF783">
        <v>5</v>
      </c>
      <c r="AG783">
        <v>3</v>
      </c>
      <c r="AH783">
        <v>1</v>
      </c>
      <c r="AI783">
        <v>3</v>
      </c>
      <c r="AJ783">
        <f t="shared" si="12"/>
        <v>0</v>
      </c>
      <c r="AK783" t="str" cm="1">
        <f t="array" ref="AK783">_xlfn.IFS(A783&lt;=30,"18-30",A783&lt;=45,"31-45",A783&lt;=60,"46-60",TRUE, "60+")</f>
        <v>18-30</v>
      </c>
      <c r="AL783" t="str" cm="1">
        <f t="array" ref="AL783">_xlfn.IFS(F783&lt;=10,"0-10",F783&lt;=20,"11-20",TRUE,"20+")</f>
        <v>0-10</v>
      </c>
      <c r="AM783" t="str" cm="1">
        <f t="array" ref="AM783">_xlfn.IFS(S783&lt;=5000,"0-5k",S783&lt;=10000,"5k-10k",S783&lt;=15000,"10k-15k",TRUE,"15k+")</f>
        <v>0-5k</v>
      </c>
      <c r="AN783" t="str" cm="1">
        <f t="array" ref="AN783">_xlfn.IFS(AF783&lt;=10,"0-10",AF783&lt;=20,"10-20",AF783&lt;=30,"20-30",TRUE,"30+")</f>
        <v>0-10</v>
      </c>
      <c r="AO783" t="str" cm="1">
        <f t="array" ref="AO783">_xlfn.IFS(Y783=1,"Poor",Y783=2,"Average",Y783=3,"Good",TRUE,"Excellent")</f>
        <v>Good</v>
      </c>
      <c r="AP783" t="str" cm="1">
        <f t="array" ref="AP783">_xlfn.IFS(Q783=1,"Low",Q783=2,"Medium",Q783=3,"High",TRUE,"Very High")</f>
        <v>Low</v>
      </c>
    </row>
    <row r="784" spans="1:42" x14ac:dyDescent="0.25">
      <c r="A784">
        <v>30</v>
      </c>
      <c r="B784" t="s">
        <v>42</v>
      </c>
      <c r="C784" t="s">
        <v>90</v>
      </c>
      <c r="D784">
        <v>1176</v>
      </c>
      <c r="E784" t="s">
        <v>43</v>
      </c>
      <c r="F784">
        <v>20</v>
      </c>
      <c r="G784">
        <v>3</v>
      </c>
      <c r="H784" t="s">
        <v>47</v>
      </c>
      <c r="I784">
        <v>1</v>
      </c>
      <c r="J784">
        <v>1084</v>
      </c>
      <c r="K784">
        <v>3</v>
      </c>
      <c r="L784" t="s">
        <v>44</v>
      </c>
      <c r="M784">
        <v>85</v>
      </c>
      <c r="N784">
        <v>3</v>
      </c>
      <c r="O784">
        <v>2</v>
      </c>
      <c r="P784" t="s">
        <v>51</v>
      </c>
      <c r="Q784">
        <v>1</v>
      </c>
      <c r="R784" t="s">
        <v>46</v>
      </c>
      <c r="S784">
        <v>9957</v>
      </c>
      <c r="T784">
        <v>9096</v>
      </c>
      <c r="U784">
        <v>0</v>
      </c>
      <c r="V784" t="s">
        <v>41</v>
      </c>
      <c r="W784" t="s">
        <v>42</v>
      </c>
      <c r="X784">
        <v>15</v>
      </c>
      <c r="Y784">
        <v>3</v>
      </c>
      <c r="Z784">
        <v>3</v>
      </c>
      <c r="AA784">
        <v>80</v>
      </c>
      <c r="AB784">
        <v>1</v>
      </c>
      <c r="AC784">
        <v>7</v>
      </c>
      <c r="AD784">
        <v>1</v>
      </c>
      <c r="AE784">
        <v>2</v>
      </c>
      <c r="AF784">
        <v>6</v>
      </c>
      <c r="AG784">
        <v>2</v>
      </c>
      <c r="AH784">
        <v>0</v>
      </c>
      <c r="AI784">
        <v>2</v>
      </c>
      <c r="AJ784">
        <f t="shared" si="12"/>
        <v>0</v>
      </c>
      <c r="AK784" t="str" cm="1">
        <f t="array" ref="AK784">_xlfn.IFS(A784&lt;=30,"18-30",A784&lt;=45,"31-45",A784&lt;=60,"46-60",TRUE, "60+")</f>
        <v>18-30</v>
      </c>
      <c r="AL784" t="str" cm="1">
        <f t="array" ref="AL784">_xlfn.IFS(F784&lt;=10,"0-10",F784&lt;=20,"11-20",TRUE,"20+")</f>
        <v>11-20</v>
      </c>
      <c r="AM784" t="str" cm="1">
        <f t="array" ref="AM784">_xlfn.IFS(S784&lt;=5000,"0-5k",S784&lt;=10000,"5k-10k",S784&lt;=15000,"10k-15k",TRUE,"15k+")</f>
        <v>5k-10k</v>
      </c>
      <c r="AN784" t="str" cm="1">
        <f t="array" ref="AN784">_xlfn.IFS(AF784&lt;=10,"0-10",AF784&lt;=20,"10-20",AF784&lt;=30,"20-30",TRUE,"30+")</f>
        <v>0-10</v>
      </c>
      <c r="AO784" t="str" cm="1">
        <f t="array" ref="AO784">_xlfn.IFS(Y784=1,"Poor",Y784=2,"Average",Y784=3,"Good",TRUE,"Excellent")</f>
        <v>Good</v>
      </c>
      <c r="AP784" t="str" cm="1">
        <f t="array" ref="AP784">_xlfn.IFS(Q784=1,"Low",Q784=2,"Medium",Q784=3,"High",TRUE,"Very High")</f>
        <v>Low</v>
      </c>
    </row>
    <row r="785" spans="1:42" x14ac:dyDescent="0.25">
      <c r="A785">
        <v>41</v>
      </c>
      <c r="B785" t="s">
        <v>42</v>
      </c>
      <c r="C785" t="s">
        <v>90</v>
      </c>
      <c r="D785">
        <v>509</v>
      </c>
      <c r="E785" t="s">
        <v>43</v>
      </c>
      <c r="F785">
        <v>7</v>
      </c>
      <c r="G785">
        <v>2</v>
      </c>
      <c r="H785" t="s">
        <v>58</v>
      </c>
      <c r="I785">
        <v>1</v>
      </c>
      <c r="J785">
        <v>1085</v>
      </c>
      <c r="K785">
        <v>2</v>
      </c>
      <c r="L785" t="s">
        <v>38</v>
      </c>
      <c r="M785">
        <v>43</v>
      </c>
      <c r="N785">
        <v>4</v>
      </c>
      <c r="O785">
        <v>1</v>
      </c>
      <c r="P785" t="s">
        <v>45</v>
      </c>
      <c r="Q785">
        <v>3</v>
      </c>
      <c r="R785" t="s">
        <v>46</v>
      </c>
      <c r="S785">
        <v>3376</v>
      </c>
      <c r="T785">
        <v>18863</v>
      </c>
      <c r="U785">
        <v>1</v>
      </c>
      <c r="V785" t="s">
        <v>41</v>
      </c>
      <c r="W785" t="s">
        <v>42</v>
      </c>
      <c r="X785">
        <v>13</v>
      </c>
      <c r="Y785">
        <v>3</v>
      </c>
      <c r="Z785">
        <v>3</v>
      </c>
      <c r="AA785">
        <v>80</v>
      </c>
      <c r="AB785">
        <v>0</v>
      </c>
      <c r="AC785">
        <v>10</v>
      </c>
      <c r="AD785">
        <v>3</v>
      </c>
      <c r="AE785">
        <v>3</v>
      </c>
      <c r="AF785">
        <v>10</v>
      </c>
      <c r="AG785">
        <v>6</v>
      </c>
      <c r="AH785">
        <v>0</v>
      </c>
      <c r="AI785">
        <v>8</v>
      </c>
      <c r="AJ785">
        <f t="shared" si="12"/>
        <v>0</v>
      </c>
      <c r="AK785" t="str" cm="1">
        <f t="array" ref="AK785">_xlfn.IFS(A785&lt;=30,"18-30",A785&lt;=45,"31-45",A785&lt;=60,"46-60",TRUE, "60+")</f>
        <v>31-45</v>
      </c>
      <c r="AL785" t="str" cm="1">
        <f t="array" ref="AL785">_xlfn.IFS(F785&lt;=10,"0-10",F785&lt;=20,"11-20",TRUE,"20+")</f>
        <v>0-10</v>
      </c>
      <c r="AM785" t="str" cm="1">
        <f t="array" ref="AM785">_xlfn.IFS(S785&lt;=5000,"0-5k",S785&lt;=10000,"5k-10k",S785&lt;=15000,"10k-15k",TRUE,"15k+")</f>
        <v>0-5k</v>
      </c>
      <c r="AN785" t="str" cm="1">
        <f t="array" ref="AN785">_xlfn.IFS(AF785&lt;=10,"0-10",AF785&lt;=20,"10-20",AF785&lt;=30,"20-30",TRUE,"30+")</f>
        <v>0-10</v>
      </c>
      <c r="AO785" t="str" cm="1">
        <f t="array" ref="AO785">_xlfn.IFS(Y785=1,"Poor",Y785=2,"Average",Y785=3,"Good",TRUE,"Excellent")</f>
        <v>Good</v>
      </c>
      <c r="AP785" t="str" cm="1">
        <f t="array" ref="AP785">_xlfn.IFS(Q785=1,"Low",Q785=2,"Medium",Q785=3,"High",TRUE,"Very High")</f>
        <v>High</v>
      </c>
    </row>
    <row r="786" spans="1:42" x14ac:dyDescent="0.25">
      <c r="A786">
        <v>38</v>
      </c>
      <c r="B786" t="s">
        <v>42</v>
      </c>
      <c r="C786" t="s">
        <v>90</v>
      </c>
      <c r="D786">
        <v>330</v>
      </c>
      <c r="E786" t="s">
        <v>43</v>
      </c>
      <c r="F786">
        <v>17</v>
      </c>
      <c r="G786">
        <v>1</v>
      </c>
      <c r="H786" t="s">
        <v>37</v>
      </c>
      <c r="I786">
        <v>1</v>
      </c>
      <c r="J786">
        <v>1088</v>
      </c>
      <c r="K786">
        <v>3</v>
      </c>
      <c r="L786" t="s">
        <v>38</v>
      </c>
      <c r="M786">
        <v>65</v>
      </c>
      <c r="N786">
        <v>2</v>
      </c>
      <c r="O786">
        <v>3</v>
      </c>
      <c r="P786" t="s">
        <v>52</v>
      </c>
      <c r="Q786">
        <v>3</v>
      </c>
      <c r="R786" t="s">
        <v>46</v>
      </c>
      <c r="S786">
        <v>8823</v>
      </c>
      <c r="T786">
        <v>24608</v>
      </c>
      <c r="U786">
        <v>0</v>
      </c>
      <c r="V786" t="s">
        <v>41</v>
      </c>
      <c r="W786" t="s">
        <v>42</v>
      </c>
      <c r="X786">
        <v>18</v>
      </c>
      <c r="Y786">
        <v>3</v>
      </c>
      <c r="Z786">
        <v>1</v>
      </c>
      <c r="AA786">
        <v>80</v>
      </c>
      <c r="AB786">
        <v>1</v>
      </c>
      <c r="AC786">
        <v>20</v>
      </c>
      <c r="AD786">
        <v>4</v>
      </c>
      <c r="AE786">
        <v>2</v>
      </c>
      <c r="AF786">
        <v>19</v>
      </c>
      <c r="AG786">
        <v>9</v>
      </c>
      <c r="AH786">
        <v>1</v>
      </c>
      <c r="AI786">
        <v>9</v>
      </c>
      <c r="AJ786">
        <f t="shared" si="12"/>
        <v>0</v>
      </c>
      <c r="AK786" t="str" cm="1">
        <f t="array" ref="AK786">_xlfn.IFS(A786&lt;=30,"18-30",A786&lt;=45,"31-45",A786&lt;=60,"46-60",TRUE, "60+")</f>
        <v>31-45</v>
      </c>
      <c r="AL786" t="str" cm="1">
        <f t="array" ref="AL786">_xlfn.IFS(F786&lt;=10,"0-10",F786&lt;=20,"11-20",TRUE,"20+")</f>
        <v>11-20</v>
      </c>
      <c r="AM786" t="str" cm="1">
        <f t="array" ref="AM786">_xlfn.IFS(S786&lt;=5000,"0-5k",S786&lt;=10000,"5k-10k",S786&lt;=15000,"10k-15k",TRUE,"15k+")</f>
        <v>5k-10k</v>
      </c>
      <c r="AN786" t="str" cm="1">
        <f t="array" ref="AN786">_xlfn.IFS(AF786&lt;=10,"0-10",AF786&lt;=20,"10-20",AF786&lt;=30,"20-30",TRUE,"30+")</f>
        <v>10-20</v>
      </c>
      <c r="AO786" t="str" cm="1">
        <f t="array" ref="AO786">_xlfn.IFS(Y786=1,"Poor",Y786=2,"Average",Y786=3,"Good",TRUE,"Excellent")</f>
        <v>Good</v>
      </c>
      <c r="AP786" t="str" cm="1">
        <f t="array" ref="AP786">_xlfn.IFS(Q786=1,"Low",Q786=2,"Medium",Q786=3,"High",TRUE,"Very High")</f>
        <v>High</v>
      </c>
    </row>
    <row r="787" spans="1:42" x14ac:dyDescent="0.25">
      <c r="A787">
        <v>40</v>
      </c>
      <c r="B787" t="s">
        <v>42</v>
      </c>
      <c r="C787" t="s">
        <v>90</v>
      </c>
      <c r="D787">
        <v>1492</v>
      </c>
      <c r="E787" t="s">
        <v>43</v>
      </c>
      <c r="F787">
        <v>20</v>
      </c>
      <c r="G787">
        <v>4</v>
      </c>
      <c r="H787" t="s">
        <v>58</v>
      </c>
      <c r="I787">
        <v>1</v>
      </c>
      <c r="J787">
        <v>1092</v>
      </c>
      <c r="K787">
        <v>1</v>
      </c>
      <c r="L787" t="s">
        <v>44</v>
      </c>
      <c r="M787">
        <v>61</v>
      </c>
      <c r="N787">
        <v>3</v>
      </c>
      <c r="O787">
        <v>3</v>
      </c>
      <c r="P787" t="s">
        <v>52</v>
      </c>
      <c r="Q787">
        <v>4</v>
      </c>
      <c r="R787" t="s">
        <v>46</v>
      </c>
      <c r="S787">
        <v>10322</v>
      </c>
      <c r="T787">
        <v>26542</v>
      </c>
      <c r="U787">
        <v>4</v>
      </c>
      <c r="V787" t="s">
        <v>41</v>
      </c>
      <c r="W787" t="s">
        <v>42</v>
      </c>
      <c r="X787">
        <v>20</v>
      </c>
      <c r="Y787">
        <v>4</v>
      </c>
      <c r="Z787">
        <v>4</v>
      </c>
      <c r="AA787">
        <v>80</v>
      </c>
      <c r="AB787">
        <v>1</v>
      </c>
      <c r="AC787">
        <v>14</v>
      </c>
      <c r="AD787">
        <v>6</v>
      </c>
      <c r="AE787">
        <v>3</v>
      </c>
      <c r="AF787">
        <v>11</v>
      </c>
      <c r="AG787">
        <v>10</v>
      </c>
      <c r="AH787">
        <v>11</v>
      </c>
      <c r="AI787">
        <v>1</v>
      </c>
      <c r="AJ787">
        <f t="shared" si="12"/>
        <v>0</v>
      </c>
      <c r="AK787" t="str" cm="1">
        <f t="array" ref="AK787">_xlfn.IFS(A787&lt;=30,"18-30",A787&lt;=45,"31-45",A787&lt;=60,"46-60",TRUE, "60+")</f>
        <v>31-45</v>
      </c>
      <c r="AL787" t="str" cm="1">
        <f t="array" ref="AL787">_xlfn.IFS(F787&lt;=10,"0-10",F787&lt;=20,"11-20",TRUE,"20+")</f>
        <v>11-20</v>
      </c>
      <c r="AM787" t="str" cm="1">
        <f t="array" ref="AM787">_xlfn.IFS(S787&lt;=5000,"0-5k",S787&lt;=10000,"5k-10k",S787&lt;=15000,"10k-15k",TRUE,"15k+")</f>
        <v>10k-15k</v>
      </c>
      <c r="AN787" t="str" cm="1">
        <f t="array" ref="AN787">_xlfn.IFS(AF787&lt;=10,"0-10",AF787&lt;=20,"10-20",AF787&lt;=30,"20-30",TRUE,"30+")</f>
        <v>10-20</v>
      </c>
      <c r="AO787" t="str" cm="1">
        <f t="array" ref="AO787">_xlfn.IFS(Y787=1,"Poor",Y787=2,"Average",Y787=3,"Good",TRUE,"Excellent")</f>
        <v>Excellent</v>
      </c>
      <c r="AP787" t="str" cm="1">
        <f t="array" ref="AP787">_xlfn.IFS(Q787=1,"Low",Q787=2,"Medium",Q787=3,"High",TRUE,"Very High")</f>
        <v>Very High</v>
      </c>
    </row>
    <row r="788" spans="1:42" x14ac:dyDescent="0.25">
      <c r="A788">
        <v>27</v>
      </c>
      <c r="B788" t="s">
        <v>42</v>
      </c>
      <c r="C788" t="s">
        <v>53</v>
      </c>
      <c r="D788">
        <v>1277</v>
      </c>
      <c r="E788" t="s">
        <v>43</v>
      </c>
      <c r="F788">
        <v>8</v>
      </c>
      <c r="G788">
        <v>5</v>
      </c>
      <c r="H788" t="s">
        <v>37</v>
      </c>
      <c r="I788">
        <v>1</v>
      </c>
      <c r="J788">
        <v>1094</v>
      </c>
      <c r="K788">
        <v>1</v>
      </c>
      <c r="L788" t="s">
        <v>44</v>
      </c>
      <c r="M788">
        <v>87</v>
      </c>
      <c r="N788">
        <v>1</v>
      </c>
      <c r="O788">
        <v>1</v>
      </c>
      <c r="P788" t="s">
        <v>48</v>
      </c>
      <c r="Q788">
        <v>3</v>
      </c>
      <c r="R788" t="s">
        <v>46</v>
      </c>
      <c r="S788">
        <v>4621</v>
      </c>
      <c r="T788">
        <v>5869</v>
      </c>
      <c r="U788">
        <v>1</v>
      </c>
      <c r="V788" t="s">
        <v>41</v>
      </c>
      <c r="W788" t="s">
        <v>42</v>
      </c>
      <c r="X788">
        <v>19</v>
      </c>
      <c r="Y788">
        <v>3</v>
      </c>
      <c r="Z788">
        <v>4</v>
      </c>
      <c r="AA788">
        <v>80</v>
      </c>
      <c r="AB788">
        <v>3</v>
      </c>
      <c r="AC788">
        <v>3</v>
      </c>
      <c r="AD788">
        <v>4</v>
      </c>
      <c r="AE788">
        <v>3</v>
      </c>
      <c r="AF788">
        <v>3</v>
      </c>
      <c r="AG788">
        <v>2</v>
      </c>
      <c r="AH788">
        <v>1</v>
      </c>
      <c r="AI788">
        <v>2</v>
      </c>
      <c r="AJ788">
        <f t="shared" si="12"/>
        <v>0</v>
      </c>
      <c r="AK788" t="str" cm="1">
        <f t="array" ref="AK788">_xlfn.IFS(A788&lt;=30,"18-30",A788&lt;=45,"31-45",A788&lt;=60,"46-60",TRUE, "60+")</f>
        <v>18-30</v>
      </c>
      <c r="AL788" t="str" cm="1">
        <f t="array" ref="AL788">_xlfn.IFS(F788&lt;=10,"0-10",F788&lt;=20,"11-20",TRUE,"20+")</f>
        <v>0-10</v>
      </c>
      <c r="AM788" t="str" cm="1">
        <f t="array" ref="AM788">_xlfn.IFS(S788&lt;=5000,"0-5k",S788&lt;=10000,"5k-10k",S788&lt;=15000,"10k-15k",TRUE,"15k+")</f>
        <v>0-5k</v>
      </c>
      <c r="AN788" t="str" cm="1">
        <f t="array" ref="AN788">_xlfn.IFS(AF788&lt;=10,"0-10",AF788&lt;=20,"10-20",AF788&lt;=30,"20-30",TRUE,"30+")</f>
        <v>0-10</v>
      </c>
      <c r="AO788" t="str" cm="1">
        <f t="array" ref="AO788">_xlfn.IFS(Y788=1,"Poor",Y788=2,"Average",Y788=3,"Good",TRUE,"Excellent")</f>
        <v>Good</v>
      </c>
      <c r="AP788" t="str" cm="1">
        <f t="array" ref="AP788">_xlfn.IFS(Q788=1,"Low",Q788=2,"Medium",Q788=3,"High",TRUE,"Very High")</f>
        <v>High</v>
      </c>
    </row>
    <row r="789" spans="1:42" x14ac:dyDescent="0.25">
      <c r="A789">
        <v>55</v>
      </c>
      <c r="B789" t="s">
        <v>42</v>
      </c>
      <c r="C789" t="s">
        <v>91</v>
      </c>
      <c r="D789">
        <v>1091</v>
      </c>
      <c r="E789" t="s">
        <v>43</v>
      </c>
      <c r="F789">
        <v>2</v>
      </c>
      <c r="G789">
        <v>1</v>
      </c>
      <c r="H789" t="s">
        <v>37</v>
      </c>
      <c r="I789">
        <v>1</v>
      </c>
      <c r="J789">
        <v>1096</v>
      </c>
      <c r="K789">
        <v>4</v>
      </c>
      <c r="L789" t="s">
        <v>44</v>
      </c>
      <c r="M789">
        <v>65</v>
      </c>
      <c r="N789">
        <v>3</v>
      </c>
      <c r="O789">
        <v>3</v>
      </c>
      <c r="P789" t="s">
        <v>51</v>
      </c>
      <c r="Q789">
        <v>2</v>
      </c>
      <c r="R789" t="s">
        <v>46</v>
      </c>
      <c r="S789">
        <v>10976</v>
      </c>
      <c r="T789">
        <v>15813</v>
      </c>
      <c r="U789">
        <v>3</v>
      </c>
      <c r="V789" t="s">
        <v>41</v>
      </c>
      <c r="W789" t="s">
        <v>42</v>
      </c>
      <c r="X789">
        <v>18</v>
      </c>
      <c r="Y789">
        <v>3</v>
      </c>
      <c r="Z789">
        <v>2</v>
      </c>
      <c r="AA789">
        <v>80</v>
      </c>
      <c r="AB789">
        <v>1</v>
      </c>
      <c r="AC789">
        <v>23</v>
      </c>
      <c r="AD789">
        <v>4</v>
      </c>
      <c r="AE789">
        <v>3</v>
      </c>
      <c r="AF789">
        <v>3</v>
      </c>
      <c r="AG789">
        <v>2</v>
      </c>
      <c r="AH789">
        <v>1</v>
      </c>
      <c r="AI789">
        <v>2</v>
      </c>
      <c r="AJ789">
        <f t="shared" si="12"/>
        <v>0</v>
      </c>
      <c r="AK789" t="str" cm="1">
        <f t="array" ref="AK789">_xlfn.IFS(A789&lt;=30,"18-30",A789&lt;=45,"31-45",A789&lt;=60,"46-60",TRUE, "60+")</f>
        <v>46-60</v>
      </c>
      <c r="AL789" t="str" cm="1">
        <f t="array" ref="AL789">_xlfn.IFS(F789&lt;=10,"0-10",F789&lt;=20,"11-20",TRUE,"20+")</f>
        <v>0-10</v>
      </c>
      <c r="AM789" t="str" cm="1">
        <f t="array" ref="AM789">_xlfn.IFS(S789&lt;=5000,"0-5k",S789&lt;=10000,"5k-10k",S789&lt;=15000,"10k-15k",TRUE,"15k+")</f>
        <v>10k-15k</v>
      </c>
      <c r="AN789" t="str" cm="1">
        <f t="array" ref="AN789">_xlfn.IFS(AF789&lt;=10,"0-10",AF789&lt;=20,"10-20",AF789&lt;=30,"20-30",TRUE,"30+")</f>
        <v>0-10</v>
      </c>
      <c r="AO789" t="str" cm="1">
        <f t="array" ref="AO789">_xlfn.IFS(Y789=1,"Poor",Y789=2,"Average",Y789=3,"Good",TRUE,"Excellent")</f>
        <v>Good</v>
      </c>
      <c r="AP789" t="str" cm="1">
        <f t="array" ref="AP789">_xlfn.IFS(Q789=1,"Low",Q789=2,"Medium",Q789=3,"High",TRUE,"Very High")</f>
        <v>Medium</v>
      </c>
    </row>
    <row r="790" spans="1:42" x14ac:dyDescent="0.25">
      <c r="A790">
        <v>28</v>
      </c>
      <c r="B790" t="s">
        <v>42</v>
      </c>
      <c r="C790" t="s">
        <v>90</v>
      </c>
      <c r="D790">
        <v>857</v>
      </c>
      <c r="E790" t="s">
        <v>43</v>
      </c>
      <c r="F790">
        <v>10</v>
      </c>
      <c r="G790">
        <v>3</v>
      </c>
      <c r="H790" t="s">
        <v>47</v>
      </c>
      <c r="I790">
        <v>1</v>
      </c>
      <c r="J790">
        <v>1097</v>
      </c>
      <c r="K790">
        <v>3</v>
      </c>
      <c r="L790" t="s">
        <v>38</v>
      </c>
      <c r="M790">
        <v>59</v>
      </c>
      <c r="N790">
        <v>3</v>
      </c>
      <c r="O790">
        <v>2</v>
      </c>
      <c r="P790" t="s">
        <v>45</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c r="AJ790">
        <f t="shared" si="12"/>
        <v>0</v>
      </c>
      <c r="AK790" t="str" cm="1">
        <f t="array" ref="AK790">_xlfn.IFS(A790&lt;=30,"18-30",A790&lt;=45,"31-45",A790&lt;=60,"46-60",TRUE, "60+")</f>
        <v>18-30</v>
      </c>
      <c r="AL790" t="str" cm="1">
        <f t="array" ref="AL790">_xlfn.IFS(F790&lt;=10,"0-10",F790&lt;=20,"11-20",TRUE,"20+")</f>
        <v>0-10</v>
      </c>
      <c r="AM790" t="str" cm="1">
        <f t="array" ref="AM790">_xlfn.IFS(S790&lt;=5000,"0-5k",S790&lt;=10000,"5k-10k",S790&lt;=15000,"10k-15k",TRUE,"15k+")</f>
        <v>0-5k</v>
      </c>
      <c r="AN790" t="str" cm="1">
        <f t="array" ref="AN790">_xlfn.IFS(AF790&lt;=10,"0-10",AF790&lt;=20,"10-20",AF790&lt;=30,"20-30",TRUE,"30+")</f>
        <v>0-10</v>
      </c>
      <c r="AO790" t="str" cm="1">
        <f t="array" ref="AO790">_xlfn.IFS(Y790=1,"Poor",Y790=2,"Average",Y790=3,"Good",TRUE,"Excellent")</f>
        <v>Good</v>
      </c>
      <c r="AP790" t="str" cm="1">
        <f t="array" ref="AP790">_xlfn.IFS(Q790=1,"Low",Q790=2,"Medium",Q790=3,"High",TRUE,"Very High")</f>
        <v>High</v>
      </c>
    </row>
    <row r="791" spans="1:42" x14ac:dyDescent="0.25">
      <c r="A791">
        <v>44</v>
      </c>
      <c r="B791" t="s">
        <v>35</v>
      </c>
      <c r="C791" t="s">
        <v>90</v>
      </c>
      <c r="D791">
        <v>1376</v>
      </c>
      <c r="E791" t="s">
        <v>59</v>
      </c>
      <c r="F791">
        <v>1</v>
      </c>
      <c r="G791">
        <v>2</v>
      </c>
      <c r="H791" t="s">
        <v>49</v>
      </c>
      <c r="I791">
        <v>1</v>
      </c>
      <c r="J791">
        <v>1098</v>
      </c>
      <c r="K791">
        <v>2</v>
      </c>
      <c r="L791" t="s">
        <v>44</v>
      </c>
      <c r="M791">
        <v>91</v>
      </c>
      <c r="N791">
        <v>2</v>
      </c>
      <c r="O791">
        <v>3</v>
      </c>
      <c r="P791" t="s">
        <v>59</v>
      </c>
      <c r="Q791">
        <v>1</v>
      </c>
      <c r="R791" t="s">
        <v>46</v>
      </c>
      <c r="S791">
        <v>10482</v>
      </c>
      <c r="T791">
        <v>2326</v>
      </c>
      <c r="U791">
        <v>9</v>
      </c>
      <c r="V791" t="s">
        <v>41</v>
      </c>
      <c r="W791" t="s">
        <v>42</v>
      </c>
      <c r="X791">
        <v>14</v>
      </c>
      <c r="Y791">
        <v>3</v>
      </c>
      <c r="Z791">
        <v>4</v>
      </c>
      <c r="AA791">
        <v>80</v>
      </c>
      <c r="AB791">
        <v>1</v>
      </c>
      <c r="AC791">
        <v>24</v>
      </c>
      <c r="AD791">
        <v>1</v>
      </c>
      <c r="AE791">
        <v>3</v>
      </c>
      <c r="AF791">
        <v>20</v>
      </c>
      <c r="AG791">
        <v>6</v>
      </c>
      <c r="AH791">
        <v>3</v>
      </c>
      <c r="AI791">
        <v>6</v>
      </c>
      <c r="AJ791">
        <f t="shared" si="12"/>
        <v>1</v>
      </c>
      <c r="AK791" t="str" cm="1">
        <f t="array" ref="AK791">_xlfn.IFS(A791&lt;=30,"18-30",A791&lt;=45,"31-45",A791&lt;=60,"46-60",TRUE, "60+")</f>
        <v>31-45</v>
      </c>
      <c r="AL791" t="str" cm="1">
        <f t="array" ref="AL791">_xlfn.IFS(F791&lt;=10,"0-10",F791&lt;=20,"11-20",TRUE,"20+")</f>
        <v>0-10</v>
      </c>
      <c r="AM791" t="str" cm="1">
        <f t="array" ref="AM791">_xlfn.IFS(S791&lt;=5000,"0-5k",S791&lt;=10000,"5k-10k",S791&lt;=15000,"10k-15k",TRUE,"15k+")</f>
        <v>10k-15k</v>
      </c>
      <c r="AN791" t="str" cm="1">
        <f t="array" ref="AN791">_xlfn.IFS(AF791&lt;=10,"0-10",AF791&lt;=20,"10-20",AF791&lt;=30,"20-30",TRUE,"30+")</f>
        <v>10-20</v>
      </c>
      <c r="AO791" t="str" cm="1">
        <f t="array" ref="AO791">_xlfn.IFS(Y791=1,"Poor",Y791=2,"Average",Y791=3,"Good",TRUE,"Excellent")</f>
        <v>Good</v>
      </c>
      <c r="AP791" t="str" cm="1">
        <f t="array" ref="AP791">_xlfn.IFS(Q791=1,"Low",Q791=2,"Medium",Q791=3,"High",TRUE,"Very High")</f>
        <v>Low</v>
      </c>
    </row>
    <row r="792" spans="1:42" x14ac:dyDescent="0.25">
      <c r="A792">
        <v>33</v>
      </c>
      <c r="B792" t="s">
        <v>42</v>
      </c>
      <c r="C792" t="s">
        <v>90</v>
      </c>
      <c r="D792">
        <v>654</v>
      </c>
      <c r="E792" t="s">
        <v>43</v>
      </c>
      <c r="F792">
        <v>5</v>
      </c>
      <c r="G792">
        <v>3</v>
      </c>
      <c r="H792" t="s">
        <v>37</v>
      </c>
      <c r="I792">
        <v>1</v>
      </c>
      <c r="J792">
        <v>1099</v>
      </c>
      <c r="K792">
        <v>4</v>
      </c>
      <c r="L792" t="s">
        <v>44</v>
      </c>
      <c r="M792">
        <v>34</v>
      </c>
      <c r="N792">
        <v>2</v>
      </c>
      <c r="O792">
        <v>3</v>
      </c>
      <c r="P792" t="s">
        <v>52</v>
      </c>
      <c r="Q792">
        <v>4</v>
      </c>
      <c r="R792" t="s">
        <v>50</v>
      </c>
      <c r="S792">
        <v>7119</v>
      </c>
      <c r="T792">
        <v>21214</v>
      </c>
      <c r="U792">
        <v>4</v>
      </c>
      <c r="V792" t="s">
        <v>41</v>
      </c>
      <c r="W792" t="s">
        <v>42</v>
      </c>
      <c r="X792">
        <v>15</v>
      </c>
      <c r="Y792">
        <v>3</v>
      </c>
      <c r="Z792">
        <v>3</v>
      </c>
      <c r="AA792">
        <v>80</v>
      </c>
      <c r="AB792">
        <v>1</v>
      </c>
      <c r="AC792">
        <v>9</v>
      </c>
      <c r="AD792">
        <v>2</v>
      </c>
      <c r="AE792">
        <v>3</v>
      </c>
      <c r="AF792">
        <v>3</v>
      </c>
      <c r="AG792">
        <v>2</v>
      </c>
      <c r="AH792">
        <v>1</v>
      </c>
      <c r="AI792">
        <v>2</v>
      </c>
      <c r="AJ792">
        <f t="shared" si="12"/>
        <v>0</v>
      </c>
      <c r="AK792" t="str" cm="1">
        <f t="array" ref="AK792">_xlfn.IFS(A792&lt;=30,"18-30",A792&lt;=45,"31-45",A792&lt;=60,"46-60",TRUE, "60+")</f>
        <v>31-45</v>
      </c>
      <c r="AL792" t="str" cm="1">
        <f t="array" ref="AL792">_xlfn.IFS(F792&lt;=10,"0-10",F792&lt;=20,"11-20",TRUE,"20+")</f>
        <v>0-10</v>
      </c>
      <c r="AM792" t="str" cm="1">
        <f t="array" ref="AM792">_xlfn.IFS(S792&lt;=5000,"0-5k",S792&lt;=10000,"5k-10k",S792&lt;=15000,"10k-15k",TRUE,"15k+")</f>
        <v>5k-10k</v>
      </c>
      <c r="AN792" t="str" cm="1">
        <f t="array" ref="AN792">_xlfn.IFS(AF792&lt;=10,"0-10",AF792&lt;=20,"10-20",AF792&lt;=30,"20-30",TRUE,"30+")</f>
        <v>0-10</v>
      </c>
      <c r="AO792" t="str" cm="1">
        <f t="array" ref="AO792">_xlfn.IFS(Y792=1,"Poor",Y792=2,"Average",Y792=3,"Good",TRUE,"Excellent")</f>
        <v>Good</v>
      </c>
      <c r="AP792" t="str" cm="1">
        <f t="array" ref="AP792">_xlfn.IFS(Q792=1,"Low",Q792=2,"Medium",Q792=3,"High",TRUE,"Very High")</f>
        <v>Very High</v>
      </c>
    </row>
    <row r="793" spans="1:42" x14ac:dyDescent="0.25">
      <c r="A793">
        <v>35</v>
      </c>
      <c r="B793" t="s">
        <v>35</v>
      </c>
      <c r="C793" t="s">
        <v>90</v>
      </c>
      <c r="D793">
        <v>1204</v>
      </c>
      <c r="E793" t="s">
        <v>36</v>
      </c>
      <c r="F793">
        <v>4</v>
      </c>
      <c r="G793">
        <v>3</v>
      </c>
      <c r="H793" t="s">
        <v>58</v>
      </c>
      <c r="I793">
        <v>1</v>
      </c>
      <c r="J793">
        <v>1100</v>
      </c>
      <c r="K793">
        <v>4</v>
      </c>
      <c r="L793" t="s">
        <v>44</v>
      </c>
      <c r="M793">
        <v>86</v>
      </c>
      <c r="N793">
        <v>3</v>
      </c>
      <c r="O793">
        <v>3</v>
      </c>
      <c r="P793" t="s">
        <v>39</v>
      </c>
      <c r="Q793">
        <v>1</v>
      </c>
      <c r="R793" t="s">
        <v>40</v>
      </c>
      <c r="S793">
        <v>9582</v>
      </c>
      <c r="T793">
        <v>10333</v>
      </c>
      <c r="U793">
        <v>0</v>
      </c>
      <c r="V793" t="s">
        <v>41</v>
      </c>
      <c r="W793" t="s">
        <v>35</v>
      </c>
      <c r="X793">
        <v>22</v>
      </c>
      <c r="Y793">
        <v>4</v>
      </c>
      <c r="Z793">
        <v>1</v>
      </c>
      <c r="AA793">
        <v>80</v>
      </c>
      <c r="AB793">
        <v>0</v>
      </c>
      <c r="AC793">
        <v>9</v>
      </c>
      <c r="AD793">
        <v>2</v>
      </c>
      <c r="AE793">
        <v>3</v>
      </c>
      <c r="AF793">
        <v>8</v>
      </c>
      <c r="AG793">
        <v>7</v>
      </c>
      <c r="AH793">
        <v>4</v>
      </c>
      <c r="AI793">
        <v>7</v>
      </c>
      <c r="AJ793">
        <f t="shared" si="12"/>
        <v>1</v>
      </c>
      <c r="AK793" t="str" cm="1">
        <f t="array" ref="AK793">_xlfn.IFS(A793&lt;=30,"18-30",A793&lt;=45,"31-45",A793&lt;=60,"46-60",TRUE, "60+")</f>
        <v>31-45</v>
      </c>
      <c r="AL793" t="str" cm="1">
        <f t="array" ref="AL793">_xlfn.IFS(F793&lt;=10,"0-10",F793&lt;=20,"11-20",TRUE,"20+")</f>
        <v>0-10</v>
      </c>
      <c r="AM793" t="str" cm="1">
        <f t="array" ref="AM793">_xlfn.IFS(S793&lt;=5000,"0-5k",S793&lt;=10000,"5k-10k",S793&lt;=15000,"10k-15k",TRUE,"15k+")</f>
        <v>5k-10k</v>
      </c>
      <c r="AN793" t="str" cm="1">
        <f t="array" ref="AN793">_xlfn.IFS(AF793&lt;=10,"0-10",AF793&lt;=20,"10-20",AF793&lt;=30,"20-30",TRUE,"30+")</f>
        <v>0-10</v>
      </c>
      <c r="AO793" t="str" cm="1">
        <f t="array" ref="AO793">_xlfn.IFS(Y793=1,"Poor",Y793=2,"Average",Y793=3,"Good",TRUE,"Excellent")</f>
        <v>Excellent</v>
      </c>
      <c r="AP793" t="str" cm="1">
        <f t="array" ref="AP793">_xlfn.IFS(Q793=1,"Low",Q793=2,"Medium",Q793=3,"High",TRUE,"Very High")</f>
        <v>Low</v>
      </c>
    </row>
    <row r="794" spans="1:42" x14ac:dyDescent="0.25">
      <c r="A794">
        <v>33</v>
      </c>
      <c r="B794" t="s">
        <v>35</v>
      </c>
      <c r="C794" t="s">
        <v>91</v>
      </c>
      <c r="D794">
        <v>827</v>
      </c>
      <c r="E794" t="s">
        <v>43</v>
      </c>
      <c r="F794">
        <v>29</v>
      </c>
      <c r="G794">
        <v>4</v>
      </c>
      <c r="H794" t="s">
        <v>49</v>
      </c>
      <c r="I794">
        <v>1</v>
      </c>
      <c r="J794">
        <v>1101</v>
      </c>
      <c r="K794">
        <v>1</v>
      </c>
      <c r="L794" t="s">
        <v>38</v>
      </c>
      <c r="M794">
        <v>54</v>
      </c>
      <c r="N794">
        <v>2</v>
      </c>
      <c r="O794">
        <v>2</v>
      </c>
      <c r="P794" t="s">
        <v>45</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c r="AJ794">
        <f t="shared" si="12"/>
        <v>1</v>
      </c>
      <c r="AK794" t="str" cm="1">
        <f t="array" ref="AK794">_xlfn.IFS(A794&lt;=30,"18-30",A794&lt;=45,"31-45",A794&lt;=60,"46-60",TRUE, "60+")</f>
        <v>31-45</v>
      </c>
      <c r="AL794" t="str" cm="1">
        <f t="array" ref="AL794">_xlfn.IFS(F794&lt;=10,"0-10",F794&lt;=20,"11-20",TRUE,"20+")</f>
        <v>20+</v>
      </c>
      <c r="AM794" t="str" cm="1">
        <f t="array" ref="AM794">_xlfn.IFS(S794&lt;=5000,"0-5k",S794&lt;=10000,"5k-10k",S794&lt;=15000,"10k-15k",TRUE,"15k+")</f>
        <v>0-5k</v>
      </c>
      <c r="AN794" t="str" cm="1">
        <f t="array" ref="AN794">_xlfn.IFS(AF794&lt;=10,"0-10",AF794&lt;=20,"10-20",AF794&lt;=30,"20-30",TRUE,"30+")</f>
        <v>10-20</v>
      </c>
      <c r="AO794" t="str" cm="1">
        <f t="array" ref="AO794">_xlfn.IFS(Y794=1,"Poor",Y794=2,"Average",Y794=3,"Good",TRUE,"Excellent")</f>
        <v>Excellent</v>
      </c>
      <c r="AP794" t="str" cm="1">
        <f t="array" ref="AP794">_xlfn.IFS(Q794=1,"Low",Q794=2,"Medium",Q794=3,"High",TRUE,"Very High")</f>
        <v>High</v>
      </c>
    </row>
    <row r="795" spans="1:42" x14ac:dyDescent="0.25">
      <c r="A795">
        <v>28</v>
      </c>
      <c r="B795" t="s">
        <v>42</v>
      </c>
      <c r="C795" t="s">
        <v>90</v>
      </c>
      <c r="D795">
        <v>895</v>
      </c>
      <c r="E795" t="s">
        <v>43</v>
      </c>
      <c r="F795">
        <v>15</v>
      </c>
      <c r="G795">
        <v>2</v>
      </c>
      <c r="H795" t="s">
        <v>37</v>
      </c>
      <c r="I795">
        <v>1</v>
      </c>
      <c r="J795">
        <v>1102</v>
      </c>
      <c r="K795">
        <v>1</v>
      </c>
      <c r="L795" t="s">
        <v>44</v>
      </c>
      <c r="M795">
        <v>50</v>
      </c>
      <c r="N795">
        <v>3</v>
      </c>
      <c r="O795">
        <v>1</v>
      </c>
      <c r="P795" t="s">
        <v>48</v>
      </c>
      <c r="Q795">
        <v>3</v>
      </c>
      <c r="R795" t="s">
        <v>50</v>
      </c>
      <c r="S795">
        <v>2207</v>
      </c>
      <c r="T795">
        <v>22482</v>
      </c>
      <c r="U795">
        <v>1</v>
      </c>
      <c r="V795" t="s">
        <v>41</v>
      </c>
      <c r="W795" t="s">
        <v>42</v>
      </c>
      <c r="X795">
        <v>16</v>
      </c>
      <c r="Y795">
        <v>3</v>
      </c>
      <c r="Z795">
        <v>4</v>
      </c>
      <c r="AA795">
        <v>80</v>
      </c>
      <c r="AB795">
        <v>1</v>
      </c>
      <c r="AC795">
        <v>4</v>
      </c>
      <c r="AD795">
        <v>5</v>
      </c>
      <c r="AE795">
        <v>2</v>
      </c>
      <c r="AF795">
        <v>4</v>
      </c>
      <c r="AG795">
        <v>2</v>
      </c>
      <c r="AH795">
        <v>2</v>
      </c>
      <c r="AI795">
        <v>2</v>
      </c>
      <c r="AJ795">
        <f t="shared" si="12"/>
        <v>0</v>
      </c>
      <c r="AK795" t="str" cm="1">
        <f t="array" ref="AK795">_xlfn.IFS(A795&lt;=30,"18-30",A795&lt;=45,"31-45",A795&lt;=60,"46-60",TRUE, "60+")</f>
        <v>18-30</v>
      </c>
      <c r="AL795" t="str" cm="1">
        <f t="array" ref="AL795">_xlfn.IFS(F795&lt;=10,"0-10",F795&lt;=20,"11-20",TRUE,"20+")</f>
        <v>11-20</v>
      </c>
      <c r="AM795" t="str" cm="1">
        <f t="array" ref="AM795">_xlfn.IFS(S795&lt;=5000,"0-5k",S795&lt;=10000,"5k-10k",S795&lt;=15000,"10k-15k",TRUE,"15k+")</f>
        <v>0-5k</v>
      </c>
      <c r="AN795" t="str" cm="1">
        <f t="array" ref="AN795">_xlfn.IFS(AF795&lt;=10,"0-10",AF795&lt;=20,"10-20",AF795&lt;=30,"20-30",TRUE,"30+")</f>
        <v>0-10</v>
      </c>
      <c r="AO795" t="str" cm="1">
        <f t="array" ref="AO795">_xlfn.IFS(Y795=1,"Poor",Y795=2,"Average",Y795=3,"Good",TRUE,"Excellent")</f>
        <v>Good</v>
      </c>
      <c r="AP795" t="str" cm="1">
        <f t="array" ref="AP795">_xlfn.IFS(Q795=1,"Low",Q795=2,"Medium",Q795=3,"High",TRUE,"Very High")</f>
        <v>High</v>
      </c>
    </row>
    <row r="796" spans="1:42" x14ac:dyDescent="0.25">
      <c r="A796">
        <v>34</v>
      </c>
      <c r="B796" t="s">
        <v>42</v>
      </c>
      <c r="C796" t="s">
        <v>91</v>
      </c>
      <c r="D796">
        <v>618</v>
      </c>
      <c r="E796" t="s">
        <v>43</v>
      </c>
      <c r="F796">
        <v>3</v>
      </c>
      <c r="G796">
        <v>1</v>
      </c>
      <c r="H796" t="s">
        <v>37</v>
      </c>
      <c r="I796">
        <v>1</v>
      </c>
      <c r="J796">
        <v>1103</v>
      </c>
      <c r="K796">
        <v>1</v>
      </c>
      <c r="L796" t="s">
        <v>44</v>
      </c>
      <c r="M796">
        <v>45</v>
      </c>
      <c r="N796">
        <v>3</v>
      </c>
      <c r="O796">
        <v>2</v>
      </c>
      <c r="P796" t="s">
        <v>52</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c r="AJ796">
        <f t="shared" si="12"/>
        <v>0</v>
      </c>
      <c r="AK796" t="str" cm="1">
        <f t="array" ref="AK796">_xlfn.IFS(A796&lt;=30,"18-30",A796&lt;=45,"31-45",A796&lt;=60,"46-60",TRUE, "60+")</f>
        <v>31-45</v>
      </c>
      <c r="AL796" t="str" cm="1">
        <f t="array" ref="AL796">_xlfn.IFS(F796&lt;=10,"0-10",F796&lt;=20,"11-20",TRUE,"20+")</f>
        <v>0-10</v>
      </c>
      <c r="AM796" t="str" cm="1">
        <f t="array" ref="AM796">_xlfn.IFS(S796&lt;=5000,"0-5k",S796&lt;=10000,"5k-10k",S796&lt;=15000,"10k-15k",TRUE,"15k+")</f>
        <v>5k-10k</v>
      </c>
      <c r="AN796" t="str" cm="1">
        <f t="array" ref="AN796">_xlfn.IFS(AF796&lt;=10,"0-10",AF796&lt;=20,"10-20",AF796&lt;=30,"20-30",TRUE,"30+")</f>
        <v>0-10</v>
      </c>
      <c r="AO796" t="str" cm="1">
        <f t="array" ref="AO796">_xlfn.IFS(Y796=1,"Poor",Y796=2,"Average",Y796=3,"Good",TRUE,"Excellent")</f>
        <v>Good</v>
      </c>
      <c r="AP796" t="str" cm="1">
        <f t="array" ref="AP796">_xlfn.IFS(Q796=1,"Low",Q796=2,"Medium",Q796=3,"High",TRUE,"Very High")</f>
        <v>Very High</v>
      </c>
    </row>
    <row r="797" spans="1:42" x14ac:dyDescent="0.25">
      <c r="A797">
        <v>37</v>
      </c>
      <c r="B797" t="s">
        <v>42</v>
      </c>
      <c r="C797" t="s">
        <v>90</v>
      </c>
      <c r="D797">
        <v>309</v>
      </c>
      <c r="E797" t="s">
        <v>36</v>
      </c>
      <c r="F797">
        <v>10</v>
      </c>
      <c r="G797">
        <v>4</v>
      </c>
      <c r="H797" t="s">
        <v>37</v>
      </c>
      <c r="I797">
        <v>1</v>
      </c>
      <c r="J797">
        <v>1105</v>
      </c>
      <c r="K797">
        <v>4</v>
      </c>
      <c r="L797" t="s">
        <v>38</v>
      </c>
      <c r="M797">
        <v>88</v>
      </c>
      <c r="N797">
        <v>2</v>
      </c>
      <c r="O797">
        <v>2</v>
      </c>
      <c r="P797" t="s">
        <v>39</v>
      </c>
      <c r="Q797">
        <v>4</v>
      </c>
      <c r="R797" t="s">
        <v>50</v>
      </c>
      <c r="S797">
        <v>6694</v>
      </c>
      <c r="T797">
        <v>24223</v>
      </c>
      <c r="U797">
        <v>2</v>
      </c>
      <c r="V797" t="s">
        <v>41</v>
      </c>
      <c r="W797" t="s">
        <v>35</v>
      </c>
      <c r="X797">
        <v>14</v>
      </c>
      <c r="Y797">
        <v>3</v>
      </c>
      <c r="Z797">
        <v>3</v>
      </c>
      <c r="AA797">
        <v>80</v>
      </c>
      <c r="AB797">
        <v>3</v>
      </c>
      <c r="AC797">
        <v>8</v>
      </c>
      <c r="AD797">
        <v>5</v>
      </c>
      <c r="AE797">
        <v>3</v>
      </c>
      <c r="AF797">
        <v>1</v>
      </c>
      <c r="AG797">
        <v>0</v>
      </c>
      <c r="AH797">
        <v>0</v>
      </c>
      <c r="AI797">
        <v>0</v>
      </c>
      <c r="AJ797">
        <f t="shared" si="12"/>
        <v>0</v>
      </c>
      <c r="AK797" t="str" cm="1">
        <f t="array" ref="AK797">_xlfn.IFS(A797&lt;=30,"18-30",A797&lt;=45,"31-45",A797&lt;=60,"46-60",TRUE, "60+")</f>
        <v>31-45</v>
      </c>
      <c r="AL797" t="str" cm="1">
        <f t="array" ref="AL797">_xlfn.IFS(F797&lt;=10,"0-10",F797&lt;=20,"11-20",TRUE,"20+")</f>
        <v>0-10</v>
      </c>
      <c r="AM797" t="str" cm="1">
        <f t="array" ref="AM797">_xlfn.IFS(S797&lt;=5000,"0-5k",S797&lt;=10000,"5k-10k",S797&lt;=15000,"10k-15k",TRUE,"15k+")</f>
        <v>5k-10k</v>
      </c>
      <c r="AN797" t="str" cm="1">
        <f t="array" ref="AN797">_xlfn.IFS(AF797&lt;=10,"0-10",AF797&lt;=20,"10-20",AF797&lt;=30,"20-30",TRUE,"30+")</f>
        <v>0-10</v>
      </c>
      <c r="AO797" t="str" cm="1">
        <f t="array" ref="AO797">_xlfn.IFS(Y797=1,"Poor",Y797=2,"Average",Y797=3,"Good",TRUE,"Excellent")</f>
        <v>Good</v>
      </c>
      <c r="AP797" t="str" cm="1">
        <f t="array" ref="AP797">_xlfn.IFS(Q797=1,"Low",Q797=2,"Medium",Q797=3,"High",TRUE,"Very High")</f>
        <v>Very High</v>
      </c>
    </row>
    <row r="798" spans="1:42" x14ac:dyDescent="0.25">
      <c r="A798">
        <v>25</v>
      </c>
      <c r="B798" t="s">
        <v>35</v>
      </c>
      <c r="C798" t="s">
        <v>90</v>
      </c>
      <c r="D798">
        <v>1219</v>
      </c>
      <c r="E798" t="s">
        <v>43</v>
      </c>
      <c r="F798">
        <v>4</v>
      </c>
      <c r="G798">
        <v>1</v>
      </c>
      <c r="H798" t="s">
        <v>58</v>
      </c>
      <c r="I798">
        <v>1</v>
      </c>
      <c r="J798">
        <v>1106</v>
      </c>
      <c r="K798">
        <v>4</v>
      </c>
      <c r="L798" t="s">
        <v>44</v>
      </c>
      <c r="M798">
        <v>32</v>
      </c>
      <c r="N798">
        <v>3</v>
      </c>
      <c r="O798">
        <v>1</v>
      </c>
      <c r="P798" t="s">
        <v>48</v>
      </c>
      <c r="Q798">
        <v>4</v>
      </c>
      <c r="R798" t="s">
        <v>46</v>
      </c>
      <c r="S798">
        <v>3691</v>
      </c>
      <c r="T798">
        <v>4605</v>
      </c>
      <c r="U798">
        <v>1</v>
      </c>
      <c r="V798" t="s">
        <v>41</v>
      </c>
      <c r="W798" t="s">
        <v>35</v>
      </c>
      <c r="X798">
        <v>15</v>
      </c>
      <c r="Y798">
        <v>3</v>
      </c>
      <c r="Z798">
        <v>2</v>
      </c>
      <c r="AA798">
        <v>80</v>
      </c>
      <c r="AB798">
        <v>1</v>
      </c>
      <c r="AC798">
        <v>7</v>
      </c>
      <c r="AD798">
        <v>3</v>
      </c>
      <c r="AE798">
        <v>4</v>
      </c>
      <c r="AF798">
        <v>7</v>
      </c>
      <c r="AG798">
        <v>7</v>
      </c>
      <c r="AH798">
        <v>5</v>
      </c>
      <c r="AI798">
        <v>6</v>
      </c>
      <c r="AJ798">
        <f t="shared" si="12"/>
        <v>1</v>
      </c>
      <c r="AK798" t="str" cm="1">
        <f t="array" ref="AK798">_xlfn.IFS(A798&lt;=30,"18-30",A798&lt;=45,"31-45",A798&lt;=60,"46-60",TRUE, "60+")</f>
        <v>18-30</v>
      </c>
      <c r="AL798" t="str" cm="1">
        <f t="array" ref="AL798">_xlfn.IFS(F798&lt;=10,"0-10",F798&lt;=20,"11-20",TRUE,"20+")</f>
        <v>0-10</v>
      </c>
      <c r="AM798" t="str" cm="1">
        <f t="array" ref="AM798">_xlfn.IFS(S798&lt;=5000,"0-5k",S798&lt;=10000,"5k-10k",S798&lt;=15000,"10k-15k",TRUE,"15k+")</f>
        <v>0-5k</v>
      </c>
      <c r="AN798" t="str" cm="1">
        <f t="array" ref="AN798">_xlfn.IFS(AF798&lt;=10,"0-10",AF798&lt;=20,"10-20",AF798&lt;=30,"20-30",TRUE,"30+")</f>
        <v>0-10</v>
      </c>
      <c r="AO798" t="str" cm="1">
        <f t="array" ref="AO798">_xlfn.IFS(Y798=1,"Poor",Y798=2,"Average",Y798=3,"Good",TRUE,"Excellent")</f>
        <v>Good</v>
      </c>
      <c r="AP798" t="str" cm="1">
        <f t="array" ref="AP798">_xlfn.IFS(Q798=1,"Low",Q798=2,"Medium",Q798=3,"High",TRUE,"Very High")</f>
        <v>Very High</v>
      </c>
    </row>
    <row r="799" spans="1:42" x14ac:dyDescent="0.25">
      <c r="A799">
        <v>26</v>
      </c>
      <c r="B799" t="s">
        <v>35</v>
      </c>
      <c r="C799" t="s">
        <v>90</v>
      </c>
      <c r="D799">
        <v>1330</v>
      </c>
      <c r="E799" t="s">
        <v>43</v>
      </c>
      <c r="F799">
        <v>21</v>
      </c>
      <c r="G799">
        <v>3</v>
      </c>
      <c r="H799" t="s">
        <v>49</v>
      </c>
      <c r="I799">
        <v>1</v>
      </c>
      <c r="J799">
        <v>1107</v>
      </c>
      <c r="K799">
        <v>1</v>
      </c>
      <c r="L799" t="s">
        <v>44</v>
      </c>
      <c r="M799">
        <v>37</v>
      </c>
      <c r="N799">
        <v>3</v>
      </c>
      <c r="O799">
        <v>1</v>
      </c>
      <c r="P799" t="s">
        <v>48</v>
      </c>
      <c r="Q799">
        <v>3</v>
      </c>
      <c r="R799" t="s">
        <v>50</v>
      </c>
      <c r="S799">
        <v>2377</v>
      </c>
      <c r="T799">
        <v>19373</v>
      </c>
      <c r="U799">
        <v>1</v>
      </c>
      <c r="V799" t="s">
        <v>41</v>
      </c>
      <c r="W799" t="s">
        <v>42</v>
      </c>
      <c r="X799">
        <v>20</v>
      </c>
      <c r="Y799">
        <v>4</v>
      </c>
      <c r="Z799">
        <v>3</v>
      </c>
      <c r="AA799">
        <v>80</v>
      </c>
      <c r="AB799">
        <v>1</v>
      </c>
      <c r="AC799">
        <v>1</v>
      </c>
      <c r="AD799">
        <v>0</v>
      </c>
      <c r="AE799">
        <v>2</v>
      </c>
      <c r="AF799">
        <v>1</v>
      </c>
      <c r="AG799">
        <v>1</v>
      </c>
      <c r="AH799">
        <v>0</v>
      </c>
      <c r="AI799">
        <v>0</v>
      </c>
      <c r="AJ799">
        <f t="shared" si="12"/>
        <v>1</v>
      </c>
      <c r="AK799" t="str" cm="1">
        <f t="array" ref="AK799">_xlfn.IFS(A799&lt;=30,"18-30",A799&lt;=45,"31-45",A799&lt;=60,"46-60",TRUE, "60+")</f>
        <v>18-30</v>
      </c>
      <c r="AL799" t="str" cm="1">
        <f t="array" ref="AL799">_xlfn.IFS(F799&lt;=10,"0-10",F799&lt;=20,"11-20",TRUE,"20+")</f>
        <v>20+</v>
      </c>
      <c r="AM799" t="str" cm="1">
        <f t="array" ref="AM799">_xlfn.IFS(S799&lt;=5000,"0-5k",S799&lt;=10000,"5k-10k",S799&lt;=15000,"10k-15k",TRUE,"15k+")</f>
        <v>0-5k</v>
      </c>
      <c r="AN799" t="str" cm="1">
        <f t="array" ref="AN799">_xlfn.IFS(AF799&lt;=10,"0-10",AF799&lt;=20,"10-20",AF799&lt;=30,"20-30",TRUE,"30+")</f>
        <v>0-10</v>
      </c>
      <c r="AO799" t="str" cm="1">
        <f t="array" ref="AO799">_xlfn.IFS(Y799=1,"Poor",Y799=2,"Average",Y799=3,"Good",TRUE,"Excellent")</f>
        <v>Excellent</v>
      </c>
      <c r="AP799" t="str" cm="1">
        <f t="array" ref="AP799">_xlfn.IFS(Q799=1,"Low",Q799=2,"Medium",Q799=3,"High",TRUE,"Very High")</f>
        <v>High</v>
      </c>
    </row>
    <row r="800" spans="1:42" x14ac:dyDescent="0.25">
      <c r="A800">
        <v>33</v>
      </c>
      <c r="B800" t="s">
        <v>35</v>
      </c>
      <c r="C800" t="s">
        <v>90</v>
      </c>
      <c r="D800">
        <v>1017</v>
      </c>
      <c r="E800" t="s">
        <v>43</v>
      </c>
      <c r="F800">
        <v>25</v>
      </c>
      <c r="G800">
        <v>3</v>
      </c>
      <c r="H800" t="s">
        <v>49</v>
      </c>
      <c r="I800">
        <v>1</v>
      </c>
      <c r="J800">
        <v>1108</v>
      </c>
      <c r="K800">
        <v>1</v>
      </c>
      <c r="L800" t="s">
        <v>44</v>
      </c>
      <c r="M800">
        <v>55</v>
      </c>
      <c r="N800">
        <v>2</v>
      </c>
      <c r="O800">
        <v>1</v>
      </c>
      <c r="P800" t="s">
        <v>45</v>
      </c>
      <c r="Q800">
        <v>2</v>
      </c>
      <c r="R800" t="s">
        <v>40</v>
      </c>
      <c r="S800">
        <v>2313</v>
      </c>
      <c r="T800">
        <v>2993</v>
      </c>
      <c r="U800">
        <v>4</v>
      </c>
      <c r="V800" t="s">
        <v>41</v>
      </c>
      <c r="W800" t="s">
        <v>35</v>
      </c>
      <c r="X800">
        <v>20</v>
      </c>
      <c r="Y800">
        <v>4</v>
      </c>
      <c r="Z800">
        <v>2</v>
      </c>
      <c r="AA800">
        <v>80</v>
      </c>
      <c r="AB800">
        <v>0</v>
      </c>
      <c r="AC800">
        <v>5</v>
      </c>
      <c r="AD800">
        <v>0</v>
      </c>
      <c r="AE800">
        <v>3</v>
      </c>
      <c r="AF800">
        <v>2</v>
      </c>
      <c r="AG800">
        <v>2</v>
      </c>
      <c r="AH800">
        <v>2</v>
      </c>
      <c r="AI800">
        <v>2</v>
      </c>
      <c r="AJ800">
        <f t="shared" si="12"/>
        <v>1</v>
      </c>
      <c r="AK800" t="str" cm="1">
        <f t="array" ref="AK800">_xlfn.IFS(A800&lt;=30,"18-30",A800&lt;=45,"31-45",A800&lt;=60,"46-60",TRUE, "60+")</f>
        <v>31-45</v>
      </c>
      <c r="AL800" t="str" cm="1">
        <f t="array" ref="AL800">_xlfn.IFS(F800&lt;=10,"0-10",F800&lt;=20,"11-20",TRUE,"20+")</f>
        <v>20+</v>
      </c>
      <c r="AM800" t="str" cm="1">
        <f t="array" ref="AM800">_xlfn.IFS(S800&lt;=5000,"0-5k",S800&lt;=10000,"5k-10k",S800&lt;=15000,"10k-15k",TRUE,"15k+")</f>
        <v>0-5k</v>
      </c>
      <c r="AN800" t="str" cm="1">
        <f t="array" ref="AN800">_xlfn.IFS(AF800&lt;=10,"0-10",AF800&lt;=20,"10-20",AF800&lt;=30,"20-30",TRUE,"30+")</f>
        <v>0-10</v>
      </c>
      <c r="AO800" t="str" cm="1">
        <f t="array" ref="AO800">_xlfn.IFS(Y800=1,"Poor",Y800=2,"Average",Y800=3,"Good",TRUE,"Excellent")</f>
        <v>Excellent</v>
      </c>
      <c r="AP800" t="str" cm="1">
        <f t="array" ref="AP800">_xlfn.IFS(Q800=1,"Low",Q800=2,"Medium",Q800=3,"High",TRUE,"Very High")</f>
        <v>Medium</v>
      </c>
    </row>
    <row r="801" spans="1:42" x14ac:dyDescent="0.25">
      <c r="A801">
        <v>42</v>
      </c>
      <c r="B801" t="s">
        <v>42</v>
      </c>
      <c r="C801" t="s">
        <v>90</v>
      </c>
      <c r="D801">
        <v>469</v>
      </c>
      <c r="E801" t="s">
        <v>43</v>
      </c>
      <c r="F801">
        <v>2</v>
      </c>
      <c r="G801">
        <v>2</v>
      </c>
      <c r="H801" t="s">
        <v>49</v>
      </c>
      <c r="I801">
        <v>1</v>
      </c>
      <c r="J801">
        <v>1109</v>
      </c>
      <c r="K801">
        <v>4</v>
      </c>
      <c r="L801" t="s">
        <v>44</v>
      </c>
      <c r="M801">
        <v>35</v>
      </c>
      <c r="N801">
        <v>3</v>
      </c>
      <c r="O801">
        <v>4</v>
      </c>
      <c r="P801" t="s">
        <v>54</v>
      </c>
      <c r="Q801">
        <v>1</v>
      </c>
      <c r="R801" t="s">
        <v>46</v>
      </c>
      <c r="S801">
        <v>17665</v>
      </c>
      <c r="T801">
        <v>14399</v>
      </c>
      <c r="U801">
        <v>0</v>
      </c>
      <c r="V801" t="s">
        <v>41</v>
      </c>
      <c r="W801" t="s">
        <v>42</v>
      </c>
      <c r="X801">
        <v>17</v>
      </c>
      <c r="Y801">
        <v>3</v>
      </c>
      <c r="Z801">
        <v>4</v>
      </c>
      <c r="AA801">
        <v>80</v>
      </c>
      <c r="AB801">
        <v>1</v>
      </c>
      <c r="AC801">
        <v>23</v>
      </c>
      <c r="AD801">
        <v>3</v>
      </c>
      <c r="AE801">
        <v>3</v>
      </c>
      <c r="AF801">
        <v>22</v>
      </c>
      <c r="AG801">
        <v>6</v>
      </c>
      <c r="AH801">
        <v>13</v>
      </c>
      <c r="AI801">
        <v>7</v>
      </c>
      <c r="AJ801">
        <f t="shared" si="12"/>
        <v>0</v>
      </c>
      <c r="AK801" t="str" cm="1">
        <f t="array" ref="AK801">_xlfn.IFS(A801&lt;=30,"18-30",A801&lt;=45,"31-45",A801&lt;=60,"46-60",TRUE, "60+")</f>
        <v>31-45</v>
      </c>
      <c r="AL801" t="str" cm="1">
        <f t="array" ref="AL801">_xlfn.IFS(F801&lt;=10,"0-10",F801&lt;=20,"11-20",TRUE,"20+")</f>
        <v>0-10</v>
      </c>
      <c r="AM801" t="str" cm="1">
        <f t="array" ref="AM801">_xlfn.IFS(S801&lt;=5000,"0-5k",S801&lt;=10000,"5k-10k",S801&lt;=15000,"10k-15k",TRUE,"15k+")</f>
        <v>15k+</v>
      </c>
      <c r="AN801" t="str" cm="1">
        <f t="array" ref="AN801">_xlfn.IFS(AF801&lt;=10,"0-10",AF801&lt;=20,"10-20",AF801&lt;=30,"20-30",TRUE,"30+")</f>
        <v>20-30</v>
      </c>
      <c r="AO801" t="str" cm="1">
        <f t="array" ref="AO801">_xlfn.IFS(Y801=1,"Poor",Y801=2,"Average",Y801=3,"Good",TRUE,"Excellent")</f>
        <v>Good</v>
      </c>
      <c r="AP801" t="str" cm="1">
        <f t="array" ref="AP801">_xlfn.IFS(Q801=1,"Low",Q801=2,"Medium",Q801=3,"High",TRUE,"Very High")</f>
        <v>Low</v>
      </c>
    </row>
    <row r="802" spans="1:42" x14ac:dyDescent="0.25">
      <c r="A802">
        <v>28</v>
      </c>
      <c r="B802" t="s">
        <v>35</v>
      </c>
      <c r="C802" t="s">
        <v>91</v>
      </c>
      <c r="D802">
        <v>1009</v>
      </c>
      <c r="E802" t="s">
        <v>43</v>
      </c>
      <c r="F802">
        <v>1</v>
      </c>
      <c r="G802">
        <v>3</v>
      </c>
      <c r="H802" t="s">
        <v>49</v>
      </c>
      <c r="I802">
        <v>1</v>
      </c>
      <c r="J802">
        <v>1111</v>
      </c>
      <c r="K802">
        <v>1</v>
      </c>
      <c r="L802" t="s">
        <v>44</v>
      </c>
      <c r="M802">
        <v>45</v>
      </c>
      <c r="N802">
        <v>2</v>
      </c>
      <c r="O802">
        <v>1</v>
      </c>
      <c r="P802" t="s">
        <v>48</v>
      </c>
      <c r="Q802">
        <v>2</v>
      </c>
      <c r="R802" t="s">
        <v>50</v>
      </c>
      <c r="S802">
        <v>2596</v>
      </c>
      <c r="T802">
        <v>7160</v>
      </c>
      <c r="U802">
        <v>1</v>
      </c>
      <c r="V802" t="s">
        <v>41</v>
      </c>
      <c r="W802" t="s">
        <v>42</v>
      </c>
      <c r="X802">
        <v>15</v>
      </c>
      <c r="Y802">
        <v>3</v>
      </c>
      <c r="Z802">
        <v>1</v>
      </c>
      <c r="AA802">
        <v>80</v>
      </c>
      <c r="AB802">
        <v>2</v>
      </c>
      <c r="AC802">
        <v>1</v>
      </c>
      <c r="AD802">
        <v>2</v>
      </c>
      <c r="AE802">
        <v>3</v>
      </c>
      <c r="AF802">
        <v>1</v>
      </c>
      <c r="AG802">
        <v>0</v>
      </c>
      <c r="AH802">
        <v>0</v>
      </c>
      <c r="AI802">
        <v>0</v>
      </c>
      <c r="AJ802">
        <f t="shared" si="12"/>
        <v>1</v>
      </c>
      <c r="AK802" t="str" cm="1">
        <f t="array" ref="AK802">_xlfn.IFS(A802&lt;=30,"18-30",A802&lt;=45,"31-45",A802&lt;=60,"46-60",TRUE, "60+")</f>
        <v>18-30</v>
      </c>
      <c r="AL802" t="str" cm="1">
        <f t="array" ref="AL802">_xlfn.IFS(F802&lt;=10,"0-10",F802&lt;=20,"11-20",TRUE,"20+")</f>
        <v>0-10</v>
      </c>
      <c r="AM802" t="str" cm="1">
        <f t="array" ref="AM802">_xlfn.IFS(S802&lt;=5000,"0-5k",S802&lt;=10000,"5k-10k",S802&lt;=15000,"10k-15k",TRUE,"15k+")</f>
        <v>0-5k</v>
      </c>
      <c r="AN802" t="str" cm="1">
        <f t="array" ref="AN802">_xlfn.IFS(AF802&lt;=10,"0-10",AF802&lt;=20,"10-20",AF802&lt;=30,"20-30",TRUE,"30+")</f>
        <v>0-10</v>
      </c>
      <c r="AO802" t="str" cm="1">
        <f t="array" ref="AO802">_xlfn.IFS(Y802=1,"Poor",Y802=2,"Average",Y802=3,"Good",TRUE,"Excellent")</f>
        <v>Good</v>
      </c>
      <c r="AP802" t="str" cm="1">
        <f t="array" ref="AP802">_xlfn.IFS(Q802=1,"Low",Q802=2,"Medium",Q802=3,"High",TRUE,"Very High")</f>
        <v>Medium</v>
      </c>
    </row>
    <row r="803" spans="1:42" x14ac:dyDescent="0.25">
      <c r="A803">
        <v>50</v>
      </c>
      <c r="B803" t="s">
        <v>35</v>
      </c>
      <c r="C803" t="s">
        <v>91</v>
      </c>
      <c r="D803">
        <v>959</v>
      </c>
      <c r="E803" t="s">
        <v>36</v>
      </c>
      <c r="F803">
        <v>1</v>
      </c>
      <c r="G803">
        <v>4</v>
      </c>
      <c r="H803" t="s">
        <v>47</v>
      </c>
      <c r="I803">
        <v>1</v>
      </c>
      <c r="J803">
        <v>1113</v>
      </c>
      <c r="K803">
        <v>4</v>
      </c>
      <c r="L803" t="s">
        <v>44</v>
      </c>
      <c r="M803">
        <v>81</v>
      </c>
      <c r="N803">
        <v>3</v>
      </c>
      <c r="O803">
        <v>2</v>
      </c>
      <c r="P803" t="s">
        <v>39</v>
      </c>
      <c r="Q803">
        <v>3</v>
      </c>
      <c r="R803" t="s">
        <v>40</v>
      </c>
      <c r="S803">
        <v>4728</v>
      </c>
      <c r="T803">
        <v>17251</v>
      </c>
      <c r="U803">
        <v>3</v>
      </c>
      <c r="V803" t="s">
        <v>41</v>
      </c>
      <c r="W803" t="s">
        <v>35</v>
      </c>
      <c r="X803">
        <v>14</v>
      </c>
      <c r="Y803">
        <v>3</v>
      </c>
      <c r="Z803">
        <v>4</v>
      </c>
      <c r="AA803">
        <v>80</v>
      </c>
      <c r="AB803">
        <v>0</v>
      </c>
      <c r="AC803">
        <v>5</v>
      </c>
      <c r="AD803">
        <v>4</v>
      </c>
      <c r="AE803">
        <v>3</v>
      </c>
      <c r="AF803">
        <v>0</v>
      </c>
      <c r="AG803">
        <v>0</v>
      </c>
      <c r="AH803">
        <v>0</v>
      </c>
      <c r="AI803">
        <v>0</v>
      </c>
      <c r="AJ803">
        <f t="shared" si="12"/>
        <v>1</v>
      </c>
      <c r="AK803" t="str" cm="1">
        <f t="array" ref="AK803">_xlfn.IFS(A803&lt;=30,"18-30",A803&lt;=45,"31-45",A803&lt;=60,"46-60",TRUE, "60+")</f>
        <v>46-60</v>
      </c>
      <c r="AL803" t="str" cm="1">
        <f t="array" ref="AL803">_xlfn.IFS(F803&lt;=10,"0-10",F803&lt;=20,"11-20",TRUE,"20+")</f>
        <v>0-10</v>
      </c>
      <c r="AM803" t="str" cm="1">
        <f t="array" ref="AM803">_xlfn.IFS(S803&lt;=5000,"0-5k",S803&lt;=10000,"5k-10k",S803&lt;=15000,"10k-15k",TRUE,"15k+")</f>
        <v>0-5k</v>
      </c>
      <c r="AN803" t="str" cm="1">
        <f t="array" ref="AN803">_xlfn.IFS(AF803&lt;=10,"0-10",AF803&lt;=20,"10-20",AF803&lt;=30,"20-30",TRUE,"30+")</f>
        <v>0-10</v>
      </c>
      <c r="AO803" t="str" cm="1">
        <f t="array" ref="AO803">_xlfn.IFS(Y803=1,"Poor",Y803=2,"Average",Y803=3,"Good",TRUE,"Excellent")</f>
        <v>Good</v>
      </c>
      <c r="AP803" t="str" cm="1">
        <f t="array" ref="AP803">_xlfn.IFS(Q803=1,"Low",Q803=2,"Medium",Q803=3,"High",TRUE,"Very High")</f>
        <v>High</v>
      </c>
    </row>
    <row r="804" spans="1:42" x14ac:dyDescent="0.25">
      <c r="A804">
        <v>33</v>
      </c>
      <c r="B804" t="s">
        <v>42</v>
      </c>
      <c r="C804" t="s">
        <v>91</v>
      </c>
      <c r="D804">
        <v>970</v>
      </c>
      <c r="E804" t="s">
        <v>36</v>
      </c>
      <c r="F804">
        <v>7</v>
      </c>
      <c r="G804">
        <v>3</v>
      </c>
      <c r="H804" t="s">
        <v>37</v>
      </c>
      <c r="I804">
        <v>1</v>
      </c>
      <c r="J804">
        <v>1114</v>
      </c>
      <c r="K804">
        <v>4</v>
      </c>
      <c r="L804" t="s">
        <v>38</v>
      </c>
      <c r="M804">
        <v>30</v>
      </c>
      <c r="N804">
        <v>3</v>
      </c>
      <c r="O804">
        <v>2</v>
      </c>
      <c r="P804" t="s">
        <v>39</v>
      </c>
      <c r="Q804">
        <v>2</v>
      </c>
      <c r="R804" t="s">
        <v>46</v>
      </c>
      <c r="S804">
        <v>4302</v>
      </c>
      <c r="T804">
        <v>13401</v>
      </c>
      <c r="U804">
        <v>0</v>
      </c>
      <c r="V804" t="s">
        <v>41</v>
      </c>
      <c r="W804" t="s">
        <v>42</v>
      </c>
      <c r="X804">
        <v>17</v>
      </c>
      <c r="Y804">
        <v>3</v>
      </c>
      <c r="Z804">
        <v>3</v>
      </c>
      <c r="AA804">
        <v>80</v>
      </c>
      <c r="AB804">
        <v>1</v>
      </c>
      <c r="AC804">
        <v>4</v>
      </c>
      <c r="AD804">
        <v>3</v>
      </c>
      <c r="AE804">
        <v>3</v>
      </c>
      <c r="AF804">
        <v>3</v>
      </c>
      <c r="AG804">
        <v>2</v>
      </c>
      <c r="AH804">
        <v>0</v>
      </c>
      <c r="AI804">
        <v>2</v>
      </c>
      <c r="AJ804">
        <f t="shared" si="12"/>
        <v>0</v>
      </c>
      <c r="AK804" t="str" cm="1">
        <f t="array" ref="AK804">_xlfn.IFS(A804&lt;=30,"18-30",A804&lt;=45,"31-45",A804&lt;=60,"46-60",TRUE, "60+")</f>
        <v>31-45</v>
      </c>
      <c r="AL804" t="str" cm="1">
        <f t="array" ref="AL804">_xlfn.IFS(F804&lt;=10,"0-10",F804&lt;=20,"11-20",TRUE,"20+")</f>
        <v>0-10</v>
      </c>
      <c r="AM804" t="str" cm="1">
        <f t="array" ref="AM804">_xlfn.IFS(S804&lt;=5000,"0-5k",S804&lt;=10000,"5k-10k",S804&lt;=15000,"10k-15k",TRUE,"15k+")</f>
        <v>0-5k</v>
      </c>
      <c r="AN804" t="str" cm="1">
        <f t="array" ref="AN804">_xlfn.IFS(AF804&lt;=10,"0-10",AF804&lt;=20,"10-20",AF804&lt;=30,"20-30",TRUE,"30+")</f>
        <v>0-10</v>
      </c>
      <c r="AO804" t="str" cm="1">
        <f t="array" ref="AO804">_xlfn.IFS(Y804=1,"Poor",Y804=2,"Average",Y804=3,"Good",TRUE,"Excellent")</f>
        <v>Good</v>
      </c>
      <c r="AP804" t="str" cm="1">
        <f t="array" ref="AP804">_xlfn.IFS(Q804=1,"Low",Q804=2,"Medium",Q804=3,"High",TRUE,"Very High")</f>
        <v>Medium</v>
      </c>
    </row>
    <row r="805" spans="1:42" x14ac:dyDescent="0.25">
      <c r="A805">
        <v>34</v>
      </c>
      <c r="B805" t="s">
        <v>42</v>
      </c>
      <c r="C805" t="s">
        <v>53</v>
      </c>
      <c r="D805">
        <v>697</v>
      </c>
      <c r="E805" t="s">
        <v>43</v>
      </c>
      <c r="F805">
        <v>3</v>
      </c>
      <c r="G805">
        <v>4</v>
      </c>
      <c r="H805" t="s">
        <v>37</v>
      </c>
      <c r="I805">
        <v>1</v>
      </c>
      <c r="J805">
        <v>1115</v>
      </c>
      <c r="K805">
        <v>3</v>
      </c>
      <c r="L805" t="s">
        <v>44</v>
      </c>
      <c r="M805">
        <v>40</v>
      </c>
      <c r="N805">
        <v>2</v>
      </c>
      <c r="O805">
        <v>1</v>
      </c>
      <c r="P805" t="s">
        <v>45</v>
      </c>
      <c r="Q805">
        <v>4</v>
      </c>
      <c r="R805" t="s">
        <v>46</v>
      </c>
      <c r="S805">
        <v>2979</v>
      </c>
      <c r="T805">
        <v>22478</v>
      </c>
      <c r="U805">
        <v>3</v>
      </c>
      <c r="V805" t="s">
        <v>41</v>
      </c>
      <c r="W805" t="s">
        <v>42</v>
      </c>
      <c r="X805">
        <v>17</v>
      </c>
      <c r="Y805">
        <v>3</v>
      </c>
      <c r="Z805">
        <v>4</v>
      </c>
      <c r="AA805">
        <v>80</v>
      </c>
      <c r="AB805">
        <v>3</v>
      </c>
      <c r="AC805">
        <v>6</v>
      </c>
      <c r="AD805">
        <v>2</v>
      </c>
      <c r="AE805">
        <v>3</v>
      </c>
      <c r="AF805">
        <v>0</v>
      </c>
      <c r="AG805">
        <v>0</v>
      </c>
      <c r="AH805">
        <v>0</v>
      </c>
      <c r="AI805">
        <v>0</v>
      </c>
      <c r="AJ805">
        <f t="shared" si="12"/>
        <v>0</v>
      </c>
      <c r="AK805" t="str" cm="1">
        <f t="array" ref="AK805">_xlfn.IFS(A805&lt;=30,"18-30",A805&lt;=45,"31-45",A805&lt;=60,"46-60",TRUE, "60+")</f>
        <v>31-45</v>
      </c>
      <c r="AL805" t="str" cm="1">
        <f t="array" ref="AL805">_xlfn.IFS(F805&lt;=10,"0-10",F805&lt;=20,"11-20",TRUE,"20+")</f>
        <v>0-10</v>
      </c>
      <c r="AM805" t="str" cm="1">
        <f t="array" ref="AM805">_xlfn.IFS(S805&lt;=5000,"0-5k",S805&lt;=10000,"5k-10k",S805&lt;=15000,"10k-15k",TRUE,"15k+")</f>
        <v>0-5k</v>
      </c>
      <c r="AN805" t="str" cm="1">
        <f t="array" ref="AN805">_xlfn.IFS(AF805&lt;=10,"0-10",AF805&lt;=20,"10-20",AF805&lt;=30,"20-30",TRUE,"30+")</f>
        <v>0-10</v>
      </c>
      <c r="AO805" t="str" cm="1">
        <f t="array" ref="AO805">_xlfn.IFS(Y805=1,"Poor",Y805=2,"Average",Y805=3,"Good",TRUE,"Excellent")</f>
        <v>Good</v>
      </c>
      <c r="AP805" t="str" cm="1">
        <f t="array" ref="AP805">_xlfn.IFS(Q805=1,"Low",Q805=2,"Medium",Q805=3,"High",TRUE,"Very High")</f>
        <v>Very High</v>
      </c>
    </row>
    <row r="806" spans="1:42" x14ac:dyDescent="0.25">
      <c r="A806">
        <v>48</v>
      </c>
      <c r="B806" t="s">
        <v>42</v>
      </c>
      <c r="C806" t="s">
        <v>53</v>
      </c>
      <c r="D806">
        <v>1262</v>
      </c>
      <c r="E806" t="s">
        <v>43</v>
      </c>
      <c r="F806">
        <v>1</v>
      </c>
      <c r="G806">
        <v>4</v>
      </c>
      <c r="H806" t="s">
        <v>49</v>
      </c>
      <c r="I806">
        <v>1</v>
      </c>
      <c r="J806">
        <v>1116</v>
      </c>
      <c r="K806">
        <v>1</v>
      </c>
      <c r="L806" t="s">
        <v>44</v>
      </c>
      <c r="M806">
        <v>35</v>
      </c>
      <c r="N806">
        <v>4</v>
      </c>
      <c r="O806">
        <v>4</v>
      </c>
      <c r="P806" t="s">
        <v>54</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c r="AJ806">
        <f t="shared" si="12"/>
        <v>0</v>
      </c>
      <c r="AK806" t="str" cm="1">
        <f t="array" ref="AK806">_xlfn.IFS(A806&lt;=30,"18-30",A806&lt;=45,"31-45",A806&lt;=60,"46-60",TRUE, "60+")</f>
        <v>46-60</v>
      </c>
      <c r="AL806" t="str" cm="1">
        <f t="array" ref="AL806">_xlfn.IFS(F806&lt;=10,"0-10",F806&lt;=20,"11-20",TRUE,"20+")</f>
        <v>0-10</v>
      </c>
      <c r="AM806" t="str" cm="1">
        <f t="array" ref="AM806">_xlfn.IFS(S806&lt;=5000,"0-5k",S806&lt;=10000,"5k-10k",S806&lt;=15000,"10k-15k",TRUE,"15k+")</f>
        <v>15k+</v>
      </c>
      <c r="AN806" t="str" cm="1">
        <f t="array" ref="AN806">_xlfn.IFS(AF806&lt;=10,"0-10",AF806&lt;=20,"10-20",AF806&lt;=30,"20-30",TRUE,"30+")</f>
        <v>0-10</v>
      </c>
      <c r="AO806" t="str" cm="1">
        <f t="array" ref="AO806">_xlfn.IFS(Y806=1,"Poor",Y806=2,"Average",Y806=3,"Good",TRUE,"Excellent")</f>
        <v>Excellent</v>
      </c>
      <c r="AP806" t="str" cm="1">
        <f t="array" ref="AP806">_xlfn.IFS(Q806=1,"Low",Q806=2,"Medium",Q806=3,"High",TRUE,"Very High")</f>
        <v>Very High</v>
      </c>
    </row>
    <row r="807" spans="1:42" x14ac:dyDescent="0.25">
      <c r="A807">
        <v>45</v>
      </c>
      <c r="B807" t="s">
        <v>42</v>
      </c>
      <c r="C807" t="s">
        <v>53</v>
      </c>
      <c r="D807">
        <v>1050</v>
      </c>
      <c r="E807" t="s">
        <v>36</v>
      </c>
      <c r="F807">
        <v>9</v>
      </c>
      <c r="G807">
        <v>4</v>
      </c>
      <c r="H807" t="s">
        <v>37</v>
      </c>
      <c r="I807">
        <v>1</v>
      </c>
      <c r="J807">
        <v>1117</v>
      </c>
      <c r="K807">
        <v>2</v>
      </c>
      <c r="L807" t="s">
        <v>38</v>
      </c>
      <c r="M807">
        <v>65</v>
      </c>
      <c r="N807">
        <v>2</v>
      </c>
      <c r="O807">
        <v>2</v>
      </c>
      <c r="P807" t="s">
        <v>39</v>
      </c>
      <c r="Q807">
        <v>3</v>
      </c>
      <c r="R807" t="s">
        <v>46</v>
      </c>
      <c r="S807">
        <v>5593</v>
      </c>
      <c r="T807">
        <v>17970</v>
      </c>
      <c r="U807">
        <v>1</v>
      </c>
      <c r="V807" t="s">
        <v>41</v>
      </c>
      <c r="W807" t="s">
        <v>42</v>
      </c>
      <c r="X807">
        <v>13</v>
      </c>
      <c r="Y807">
        <v>3</v>
      </c>
      <c r="Z807">
        <v>4</v>
      </c>
      <c r="AA807">
        <v>80</v>
      </c>
      <c r="AB807">
        <v>1</v>
      </c>
      <c r="AC807">
        <v>15</v>
      </c>
      <c r="AD807">
        <v>2</v>
      </c>
      <c r="AE807">
        <v>3</v>
      </c>
      <c r="AF807">
        <v>15</v>
      </c>
      <c r="AG807">
        <v>10</v>
      </c>
      <c r="AH807">
        <v>4</v>
      </c>
      <c r="AI807">
        <v>12</v>
      </c>
      <c r="AJ807">
        <f t="shared" si="12"/>
        <v>0</v>
      </c>
      <c r="AK807" t="str" cm="1">
        <f t="array" ref="AK807">_xlfn.IFS(A807&lt;=30,"18-30",A807&lt;=45,"31-45",A807&lt;=60,"46-60",TRUE, "60+")</f>
        <v>31-45</v>
      </c>
      <c r="AL807" t="str" cm="1">
        <f t="array" ref="AL807">_xlfn.IFS(F807&lt;=10,"0-10",F807&lt;=20,"11-20",TRUE,"20+")</f>
        <v>0-10</v>
      </c>
      <c r="AM807" t="str" cm="1">
        <f t="array" ref="AM807">_xlfn.IFS(S807&lt;=5000,"0-5k",S807&lt;=10000,"5k-10k",S807&lt;=15000,"10k-15k",TRUE,"15k+")</f>
        <v>5k-10k</v>
      </c>
      <c r="AN807" t="str" cm="1">
        <f t="array" ref="AN807">_xlfn.IFS(AF807&lt;=10,"0-10",AF807&lt;=20,"10-20",AF807&lt;=30,"20-30",TRUE,"30+")</f>
        <v>10-20</v>
      </c>
      <c r="AO807" t="str" cm="1">
        <f t="array" ref="AO807">_xlfn.IFS(Y807=1,"Poor",Y807=2,"Average",Y807=3,"Good",TRUE,"Excellent")</f>
        <v>Good</v>
      </c>
      <c r="AP807" t="str" cm="1">
        <f t="array" ref="AP807">_xlfn.IFS(Q807=1,"Low",Q807=2,"Medium",Q807=3,"High",TRUE,"Very High")</f>
        <v>High</v>
      </c>
    </row>
    <row r="808" spans="1:42" x14ac:dyDescent="0.25">
      <c r="A808">
        <v>52</v>
      </c>
      <c r="B808" t="s">
        <v>42</v>
      </c>
      <c r="C808" t="s">
        <v>90</v>
      </c>
      <c r="D808">
        <v>994</v>
      </c>
      <c r="E808" t="s">
        <v>43</v>
      </c>
      <c r="F808">
        <v>7</v>
      </c>
      <c r="G808">
        <v>4</v>
      </c>
      <c r="H808" t="s">
        <v>37</v>
      </c>
      <c r="I808">
        <v>1</v>
      </c>
      <c r="J808">
        <v>1118</v>
      </c>
      <c r="K808">
        <v>2</v>
      </c>
      <c r="L808" t="s">
        <v>44</v>
      </c>
      <c r="M808">
        <v>87</v>
      </c>
      <c r="N808">
        <v>3</v>
      </c>
      <c r="O808">
        <v>3</v>
      </c>
      <c r="P808" t="s">
        <v>52</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c r="AJ808">
        <f t="shared" si="12"/>
        <v>0</v>
      </c>
      <c r="AK808" t="str" cm="1">
        <f t="array" ref="AK808">_xlfn.IFS(A808&lt;=30,"18-30",A808&lt;=45,"31-45",A808&lt;=60,"46-60",TRUE, "60+")</f>
        <v>46-60</v>
      </c>
      <c r="AL808" t="str" cm="1">
        <f t="array" ref="AL808">_xlfn.IFS(F808&lt;=10,"0-10",F808&lt;=20,"11-20",TRUE,"20+")</f>
        <v>0-10</v>
      </c>
      <c r="AM808" t="str" cm="1">
        <f t="array" ref="AM808">_xlfn.IFS(S808&lt;=5000,"0-5k",S808&lt;=10000,"5k-10k",S808&lt;=15000,"10k-15k",TRUE,"15k+")</f>
        <v>10k-15k</v>
      </c>
      <c r="AN808" t="str" cm="1">
        <f t="array" ref="AN808">_xlfn.IFS(AF808&lt;=10,"0-10",AF808&lt;=20,"10-20",AF808&lt;=30,"20-30",TRUE,"30+")</f>
        <v>0-10</v>
      </c>
      <c r="AO808" t="str" cm="1">
        <f t="array" ref="AO808">_xlfn.IFS(Y808=1,"Poor",Y808=2,"Average",Y808=3,"Good",TRUE,"Excellent")</f>
        <v>Good</v>
      </c>
      <c r="AP808" t="str" cm="1">
        <f t="array" ref="AP808">_xlfn.IFS(Q808=1,"Low",Q808=2,"Medium",Q808=3,"High",TRUE,"Very High")</f>
        <v>Medium</v>
      </c>
    </row>
    <row r="809" spans="1:42" x14ac:dyDescent="0.25">
      <c r="A809">
        <v>38</v>
      </c>
      <c r="B809" t="s">
        <v>42</v>
      </c>
      <c r="C809" t="s">
        <v>90</v>
      </c>
      <c r="D809">
        <v>770</v>
      </c>
      <c r="E809" t="s">
        <v>36</v>
      </c>
      <c r="F809">
        <v>10</v>
      </c>
      <c r="G809">
        <v>4</v>
      </c>
      <c r="H809" t="s">
        <v>57</v>
      </c>
      <c r="I809">
        <v>1</v>
      </c>
      <c r="J809">
        <v>1119</v>
      </c>
      <c r="K809">
        <v>3</v>
      </c>
      <c r="L809" t="s">
        <v>44</v>
      </c>
      <c r="M809">
        <v>73</v>
      </c>
      <c r="N809">
        <v>2</v>
      </c>
      <c r="O809">
        <v>3</v>
      </c>
      <c r="P809" t="s">
        <v>39</v>
      </c>
      <c r="Q809">
        <v>3</v>
      </c>
      <c r="R809" t="s">
        <v>50</v>
      </c>
      <c r="S809">
        <v>8740</v>
      </c>
      <c r="T809">
        <v>5569</v>
      </c>
      <c r="U809">
        <v>0</v>
      </c>
      <c r="V809" t="s">
        <v>41</v>
      </c>
      <c r="W809" t="s">
        <v>35</v>
      </c>
      <c r="X809">
        <v>14</v>
      </c>
      <c r="Y809">
        <v>3</v>
      </c>
      <c r="Z809">
        <v>2</v>
      </c>
      <c r="AA809">
        <v>80</v>
      </c>
      <c r="AB809">
        <v>2</v>
      </c>
      <c r="AC809">
        <v>9</v>
      </c>
      <c r="AD809">
        <v>2</v>
      </c>
      <c r="AE809">
        <v>3</v>
      </c>
      <c r="AF809">
        <v>8</v>
      </c>
      <c r="AG809">
        <v>7</v>
      </c>
      <c r="AH809">
        <v>2</v>
      </c>
      <c r="AI809">
        <v>7</v>
      </c>
      <c r="AJ809">
        <f t="shared" si="12"/>
        <v>0</v>
      </c>
      <c r="AK809" t="str" cm="1">
        <f t="array" ref="AK809">_xlfn.IFS(A809&lt;=30,"18-30",A809&lt;=45,"31-45",A809&lt;=60,"46-60",TRUE, "60+")</f>
        <v>31-45</v>
      </c>
      <c r="AL809" t="str" cm="1">
        <f t="array" ref="AL809">_xlfn.IFS(F809&lt;=10,"0-10",F809&lt;=20,"11-20",TRUE,"20+")</f>
        <v>0-10</v>
      </c>
      <c r="AM809" t="str" cm="1">
        <f t="array" ref="AM809">_xlfn.IFS(S809&lt;=5000,"0-5k",S809&lt;=10000,"5k-10k",S809&lt;=15000,"10k-15k",TRUE,"15k+")</f>
        <v>5k-10k</v>
      </c>
      <c r="AN809" t="str" cm="1">
        <f t="array" ref="AN809">_xlfn.IFS(AF809&lt;=10,"0-10",AF809&lt;=20,"10-20",AF809&lt;=30,"20-30",TRUE,"30+")</f>
        <v>0-10</v>
      </c>
      <c r="AO809" t="str" cm="1">
        <f t="array" ref="AO809">_xlfn.IFS(Y809=1,"Poor",Y809=2,"Average",Y809=3,"Good",TRUE,"Excellent")</f>
        <v>Good</v>
      </c>
      <c r="AP809" t="str" cm="1">
        <f t="array" ref="AP809">_xlfn.IFS(Q809=1,"Low",Q809=2,"Medium",Q809=3,"High",TRUE,"Very High")</f>
        <v>High</v>
      </c>
    </row>
    <row r="810" spans="1:42" x14ac:dyDescent="0.25">
      <c r="A810">
        <v>29</v>
      </c>
      <c r="B810" t="s">
        <v>42</v>
      </c>
      <c r="C810" t="s">
        <v>90</v>
      </c>
      <c r="D810">
        <v>1107</v>
      </c>
      <c r="E810" t="s">
        <v>43</v>
      </c>
      <c r="F810">
        <v>28</v>
      </c>
      <c r="G810">
        <v>4</v>
      </c>
      <c r="H810" t="s">
        <v>37</v>
      </c>
      <c r="I810">
        <v>1</v>
      </c>
      <c r="J810">
        <v>1120</v>
      </c>
      <c r="K810">
        <v>3</v>
      </c>
      <c r="L810" t="s">
        <v>38</v>
      </c>
      <c r="M810">
        <v>93</v>
      </c>
      <c r="N810">
        <v>3</v>
      </c>
      <c r="O810">
        <v>1</v>
      </c>
      <c r="P810" t="s">
        <v>45</v>
      </c>
      <c r="Q810">
        <v>4</v>
      </c>
      <c r="R810" t="s">
        <v>50</v>
      </c>
      <c r="S810">
        <v>2514</v>
      </c>
      <c r="T810">
        <v>26968</v>
      </c>
      <c r="U810">
        <v>4</v>
      </c>
      <c r="V810" t="s">
        <v>41</v>
      </c>
      <c r="W810" t="s">
        <v>42</v>
      </c>
      <c r="X810">
        <v>22</v>
      </c>
      <c r="Y810">
        <v>4</v>
      </c>
      <c r="Z810">
        <v>1</v>
      </c>
      <c r="AA810">
        <v>80</v>
      </c>
      <c r="AB810">
        <v>1</v>
      </c>
      <c r="AC810">
        <v>11</v>
      </c>
      <c r="AD810">
        <v>1</v>
      </c>
      <c r="AE810">
        <v>3</v>
      </c>
      <c r="AF810">
        <v>7</v>
      </c>
      <c r="AG810">
        <v>5</v>
      </c>
      <c r="AH810">
        <v>1</v>
      </c>
      <c r="AI810">
        <v>7</v>
      </c>
      <c r="AJ810">
        <f t="shared" si="12"/>
        <v>0</v>
      </c>
      <c r="AK810" t="str" cm="1">
        <f t="array" ref="AK810">_xlfn.IFS(A810&lt;=30,"18-30",A810&lt;=45,"31-45",A810&lt;=60,"46-60",TRUE, "60+")</f>
        <v>18-30</v>
      </c>
      <c r="AL810" t="str" cm="1">
        <f t="array" ref="AL810">_xlfn.IFS(F810&lt;=10,"0-10",F810&lt;=20,"11-20",TRUE,"20+")</f>
        <v>20+</v>
      </c>
      <c r="AM810" t="str" cm="1">
        <f t="array" ref="AM810">_xlfn.IFS(S810&lt;=5000,"0-5k",S810&lt;=10000,"5k-10k",S810&lt;=15000,"10k-15k",TRUE,"15k+")</f>
        <v>0-5k</v>
      </c>
      <c r="AN810" t="str" cm="1">
        <f t="array" ref="AN810">_xlfn.IFS(AF810&lt;=10,"0-10",AF810&lt;=20,"10-20",AF810&lt;=30,"20-30",TRUE,"30+")</f>
        <v>0-10</v>
      </c>
      <c r="AO810" t="str" cm="1">
        <f t="array" ref="AO810">_xlfn.IFS(Y810=1,"Poor",Y810=2,"Average",Y810=3,"Good",TRUE,"Excellent")</f>
        <v>Excellent</v>
      </c>
      <c r="AP810" t="str" cm="1">
        <f t="array" ref="AP810">_xlfn.IFS(Q810=1,"Low",Q810=2,"Medium",Q810=3,"High",TRUE,"Very High")</f>
        <v>Very High</v>
      </c>
    </row>
    <row r="811" spans="1:42" x14ac:dyDescent="0.25">
      <c r="A811">
        <v>28</v>
      </c>
      <c r="B811" t="s">
        <v>42</v>
      </c>
      <c r="C811" t="s">
        <v>90</v>
      </c>
      <c r="D811">
        <v>950</v>
      </c>
      <c r="E811" t="s">
        <v>43</v>
      </c>
      <c r="F811">
        <v>3</v>
      </c>
      <c r="G811">
        <v>3</v>
      </c>
      <c r="H811" t="s">
        <v>49</v>
      </c>
      <c r="I811">
        <v>1</v>
      </c>
      <c r="J811">
        <v>1121</v>
      </c>
      <c r="K811">
        <v>4</v>
      </c>
      <c r="L811" t="s">
        <v>38</v>
      </c>
      <c r="M811">
        <v>93</v>
      </c>
      <c r="N811">
        <v>3</v>
      </c>
      <c r="O811">
        <v>3</v>
      </c>
      <c r="P811" t="s">
        <v>51</v>
      </c>
      <c r="Q811">
        <v>2</v>
      </c>
      <c r="R811" t="s">
        <v>50</v>
      </c>
      <c r="S811">
        <v>7655</v>
      </c>
      <c r="T811">
        <v>8039</v>
      </c>
      <c r="U811">
        <v>0</v>
      </c>
      <c r="V811" t="s">
        <v>41</v>
      </c>
      <c r="W811" t="s">
        <v>42</v>
      </c>
      <c r="X811">
        <v>17</v>
      </c>
      <c r="Y811">
        <v>3</v>
      </c>
      <c r="Z811">
        <v>2</v>
      </c>
      <c r="AA811">
        <v>80</v>
      </c>
      <c r="AB811">
        <v>3</v>
      </c>
      <c r="AC811">
        <v>10</v>
      </c>
      <c r="AD811">
        <v>3</v>
      </c>
      <c r="AE811">
        <v>2</v>
      </c>
      <c r="AF811">
        <v>9</v>
      </c>
      <c r="AG811">
        <v>7</v>
      </c>
      <c r="AH811">
        <v>1</v>
      </c>
      <c r="AI811">
        <v>7</v>
      </c>
      <c r="AJ811">
        <f t="shared" si="12"/>
        <v>0</v>
      </c>
      <c r="AK811" t="str" cm="1">
        <f t="array" ref="AK811">_xlfn.IFS(A811&lt;=30,"18-30",A811&lt;=45,"31-45",A811&lt;=60,"46-60",TRUE, "60+")</f>
        <v>18-30</v>
      </c>
      <c r="AL811" t="str" cm="1">
        <f t="array" ref="AL811">_xlfn.IFS(F811&lt;=10,"0-10",F811&lt;=20,"11-20",TRUE,"20+")</f>
        <v>0-10</v>
      </c>
      <c r="AM811" t="str" cm="1">
        <f t="array" ref="AM811">_xlfn.IFS(S811&lt;=5000,"0-5k",S811&lt;=10000,"5k-10k",S811&lt;=15000,"10k-15k",TRUE,"15k+")</f>
        <v>5k-10k</v>
      </c>
      <c r="AN811" t="str" cm="1">
        <f t="array" ref="AN811">_xlfn.IFS(AF811&lt;=10,"0-10",AF811&lt;=20,"10-20",AF811&lt;=30,"20-30",TRUE,"30+")</f>
        <v>0-10</v>
      </c>
      <c r="AO811" t="str" cm="1">
        <f t="array" ref="AO811">_xlfn.IFS(Y811=1,"Poor",Y811=2,"Average",Y811=3,"Good",TRUE,"Excellent")</f>
        <v>Good</v>
      </c>
      <c r="AP811" t="str" cm="1">
        <f t="array" ref="AP811">_xlfn.IFS(Q811=1,"Low",Q811=2,"Medium",Q811=3,"High",TRUE,"Very High")</f>
        <v>Medium</v>
      </c>
    </row>
    <row r="812" spans="1:42" x14ac:dyDescent="0.25">
      <c r="A812">
        <v>46</v>
      </c>
      <c r="B812" t="s">
        <v>42</v>
      </c>
      <c r="C812" t="s">
        <v>90</v>
      </c>
      <c r="D812">
        <v>406</v>
      </c>
      <c r="E812" t="s">
        <v>36</v>
      </c>
      <c r="F812">
        <v>3</v>
      </c>
      <c r="G812">
        <v>1</v>
      </c>
      <c r="H812" t="s">
        <v>57</v>
      </c>
      <c r="I812">
        <v>1</v>
      </c>
      <c r="J812">
        <v>1124</v>
      </c>
      <c r="K812">
        <v>1</v>
      </c>
      <c r="L812" t="s">
        <v>44</v>
      </c>
      <c r="M812">
        <v>52</v>
      </c>
      <c r="N812">
        <v>3</v>
      </c>
      <c r="O812">
        <v>4</v>
      </c>
      <c r="P812" t="s">
        <v>54</v>
      </c>
      <c r="Q812">
        <v>3</v>
      </c>
      <c r="R812" t="s">
        <v>46</v>
      </c>
      <c r="S812">
        <v>17465</v>
      </c>
      <c r="T812">
        <v>15596</v>
      </c>
      <c r="U812">
        <v>3</v>
      </c>
      <c r="V812" t="s">
        <v>41</v>
      </c>
      <c r="W812" t="s">
        <v>42</v>
      </c>
      <c r="X812">
        <v>12</v>
      </c>
      <c r="Y812">
        <v>3</v>
      </c>
      <c r="Z812">
        <v>4</v>
      </c>
      <c r="AA812">
        <v>80</v>
      </c>
      <c r="AB812">
        <v>1</v>
      </c>
      <c r="AC812">
        <v>23</v>
      </c>
      <c r="AD812">
        <v>3</v>
      </c>
      <c r="AE812">
        <v>3</v>
      </c>
      <c r="AF812">
        <v>12</v>
      </c>
      <c r="AG812">
        <v>9</v>
      </c>
      <c r="AH812">
        <v>4</v>
      </c>
      <c r="AI812">
        <v>9</v>
      </c>
      <c r="AJ812">
        <f t="shared" si="12"/>
        <v>0</v>
      </c>
      <c r="AK812" t="str" cm="1">
        <f t="array" ref="AK812">_xlfn.IFS(A812&lt;=30,"18-30",A812&lt;=45,"31-45",A812&lt;=60,"46-60",TRUE, "60+")</f>
        <v>46-60</v>
      </c>
      <c r="AL812" t="str" cm="1">
        <f t="array" ref="AL812">_xlfn.IFS(F812&lt;=10,"0-10",F812&lt;=20,"11-20",TRUE,"20+")</f>
        <v>0-10</v>
      </c>
      <c r="AM812" t="str" cm="1">
        <f t="array" ref="AM812">_xlfn.IFS(S812&lt;=5000,"0-5k",S812&lt;=10000,"5k-10k",S812&lt;=15000,"10k-15k",TRUE,"15k+")</f>
        <v>15k+</v>
      </c>
      <c r="AN812" t="str" cm="1">
        <f t="array" ref="AN812">_xlfn.IFS(AF812&lt;=10,"0-10",AF812&lt;=20,"10-20",AF812&lt;=30,"20-30",TRUE,"30+")</f>
        <v>10-20</v>
      </c>
      <c r="AO812" t="str" cm="1">
        <f t="array" ref="AO812">_xlfn.IFS(Y812=1,"Poor",Y812=2,"Average",Y812=3,"Good",TRUE,"Excellent")</f>
        <v>Good</v>
      </c>
      <c r="AP812" t="str" cm="1">
        <f t="array" ref="AP812">_xlfn.IFS(Q812=1,"Low",Q812=2,"Medium",Q812=3,"High",TRUE,"Very High")</f>
        <v>High</v>
      </c>
    </row>
    <row r="813" spans="1:42" x14ac:dyDescent="0.25">
      <c r="A813">
        <v>38</v>
      </c>
      <c r="B813" t="s">
        <v>42</v>
      </c>
      <c r="C813" t="s">
        <v>90</v>
      </c>
      <c r="D813">
        <v>130</v>
      </c>
      <c r="E813" t="s">
        <v>36</v>
      </c>
      <c r="F813">
        <v>2</v>
      </c>
      <c r="G813">
        <v>2</v>
      </c>
      <c r="H813" t="s">
        <v>57</v>
      </c>
      <c r="I813">
        <v>1</v>
      </c>
      <c r="J813">
        <v>1125</v>
      </c>
      <c r="K813">
        <v>4</v>
      </c>
      <c r="L813" t="s">
        <v>44</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c r="AJ813">
        <f t="shared" si="12"/>
        <v>0</v>
      </c>
      <c r="AK813" t="str" cm="1">
        <f t="array" ref="AK813">_xlfn.IFS(A813&lt;=30,"18-30",A813&lt;=45,"31-45",A813&lt;=60,"46-60",TRUE, "60+")</f>
        <v>31-45</v>
      </c>
      <c r="AL813" t="str" cm="1">
        <f t="array" ref="AL813">_xlfn.IFS(F813&lt;=10,"0-10",F813&lt;=20,"11-20",TRUE,"20+")</f>
        <v>0-10</v>
      </c>
      <c r="AM813" t="str" cm="1">
        <f t="array" ref="AM813">_xlfn.IFS(S813&lt;=5000,"0-5k",S813&lt;=10000,"5k-10k",S813&lt;=15000,"10k-15k",TRUE,"15k+")</f>
        <v>5k-10k</v>
      </c>
      <c r="AN813" t="str" cm="1">
        <f t="array" ref="AN813">_xlfn.IFS(AF813&lt;=10,"0-10",AF813&lt;=20,"10-20",AF813&lt;=30,"20-30",TRUE,"30+")</f>
        <v>0-10</v>
      </c>
      <c r="AO813" t="str" cm="1">
        <f t="array" ref="AO813">_xlfn.IFS(Y813=1,"Poor",Y813=2,"Average",Y813=3,"Good",TRUE,"Excellent")</f>
        <v>Good</v>
      </c>
      <c r="AP813" t="str" cm="1">
        <f t="array" ref="AP813">_xlfn.IFS(Q813=1,"Low",Q813=2,"Medium",Q813=3,"High",TRUE,"Very High")</f>
        <v>Medium</v>
      </c>
    </row>
    <row r="814" spans="1:42" x14ac:dyDescent="0.25">
      <c r="A814">
        <v>43</v>
      </c>
      <c r="B814" t="s">
        <v>42</v>
      </c>
      <c r="C814" t="s">
        <v>91</v>
      </c>
      <c r="D814">
        <v>1082</v>
      </c>
      <c r="E814" t="s">
        <v>43</v>
      </c>
      <c r="F814">
        <v>27</v>
      </c>
      <c r="G814">
        <v>3</v>
      </c>
      <c r="H814" t="s">
        <v>37</v>
      </c>
      <c r="I814">
        <v>1</v>
      </c>
      <c r="J814">
        <v>1126</v>
      </c>
      <c r="K814">
        <v>3</v>
      </c>
      <c r="L814" t="s">
        <v>38</v>
      </c>
      <c r="M814">
        <v>83</v>
      </c>
      <c r="N814">
        <v>3</v>
      </c>
      <c r="O814">
        <v>3</v>
      </c>
      <c r="P814" t="s">
        <v>51</v>
      </c>
      <c r="Q814">
        <v>1</v>
      </c>
      <c r="R814" t="s">
        <v>46</v>
      </c>
      <c r="S814">
        <v>10820</v>
      </c>
      <c r="T814">
        <v>11535</v>
      </c>
      <c r="U814">
        <v>8</v>
      </c>
      <c r="V814" t="s">
        <v>41</v>
      </c>
      <c r="W814" t="s">
        <v>42</v>
      </c>
      <c r="X814">
        <v>11</v>
      </c>
      <c r="Y814">
        <v>3</v>
      </c>
      <c r="Z814">
        <v>3</v>
      </c>
      <c r="AA814">
        <v>80</v>
      </c>
      <c r="AB814">
        <v>1</v>
      </c>
      <c r="AC814">
        <v>18</v>
      </c>
      <c r="AD814">
        <v>1</v>
      </c>
      <c r="AE814">
        <v>3</v>
      </c>
      <c r="AF814">
        <v>8</v>
      </c>
      <c r="AG814">
        <v>7</v>
      </c>
      <c r="AH814">
        <v>0</v>
      </c>
      <c r="AI814">
        <v>1</v>
      </c>
      <c r="AJ814">
        <f t="shared" si="12"/>
        <v>0</v>
      </c>
      <c r="AK814" t="str" cm="1">
        <f t="array" ref="AK814">_xlfn.IFS(A814&lt;=30,"18-30",A814&lt;=45,"31-45",A814&lt;=60,"46-60",TRUE, "60+")</f>
        <v>31-45</v>
      </c>
      <c r="AL814" t="str" cm="1">
        <f t="array" ref="AL814">_xlfn.IFS(F814&lt;=10,"0-10",F814&lt;=20,"11-20",TRUE,"20+")</f>
        <v>20+</v>
      </c>
      <c r="AM814" t="str" cm="1">
        <f t="array" ref="AM814">_xlfn.IFS(S814&lt;=5000,"0-5k",S814&lt;=10000,"5k-10k",S814&lt;=15000,"10k-15k",TRUE,"15k+")</f>
        <v>10k-15k</v>
      </c>
      <c r="AN814" t="str" cm="1">
        <f t="array" ref="AN814">_xlfn.IFS(AF814&lt;=10,"0-10",AF814&lt;=20,"10-20",AF814&lt;=30,"20-30",TRUE,"30+")</f>
        <v>0-10</v>
      </c>
      <c r="AO814" t="str" cm="1">
        <f t="array" ref="AO814">_xlfn.IFS(Y814=1,"Poor",Y814=2,"Average",Y814=3,"Good",TRUE,"Excellent")</f>
        <v>Good</v>
      </c>
      <c r="AP814" t="str" cm="1">
        <f t="array" ref="AP814">_xlfn.IFS(Q814=1,"Low",Q814=2,"Medium",Q814=3,"High",TRUE,"Very High")</f>
        <v>Low</v>
      </c>
    </row>
    <row r="815" spans="1:42" x14ac:dyDescent="0.25">
      <c r="A815">
        <v>39</v>
      </c>
      <c r="B815" t="s">
        <v>35</v>
      </c>
      <c r="C815" t="s">
        <v>91</v>
      </c>
      <c r="D815">
        <v>203</v>
      </c>
      <c r="E815" t="s">
        <v>43</v>
      </c>
      <c r="F815">
        <v>2</v>
      </c>
      <c r="G815">
        <v>3</v>
      </c>
      <c r="H815" t="s">
        <v>37</v>
      </c>
      <c r="I815">
        <v>1</v>
      </c>
      <c r="J815">
        <v>1127</v>
      </c>
      <c r="K815">
        <v>1</v>
      </c>
      <c r="L815" t="s">
        <v>44</v>
      </c>
      <c r="M815">
        <v>84</v>
      </c>
      <c r="N815">
        <v>3</v>
      </c>
      <c r="O815">
        <v>4</v>
      </c>
      <c r="P815" t="s">
        <v>52</v>
      </c>
      <c r="Q815">
        <v>4</v>
      </c>
      <c r="R815" t="s">
        <v>50</v>
      </c>
      <c r="S815">
        <v>12169</v>
      </c>
      <c r="T815">
        <v>13547</v>
      </c>
      <c r="U815">
        <v>7</v>
      </c>
      <c r="V815" t="s">
        <v>41</v>
      </c>
      <c r="W815" t="s">
        <v>42</v>
      </c>
      <c r="X815">
        <v>11</v>
      </c>
      <c r="Y815">
        <v>3</v>
      </c>
      <c r="Z815">
        <v>4</v>
      </c>
      <c r="AA815">
        <v>80</v>
      </c>
      <c r="AB815">
        <v>3</v>
      </c>
      <c r="AC815">
        <v>21</v>
      </c>
      <c r="AD815">
        <v>4</v>
      </c>
      <c r="AE815">
        <v>3</v>
      </c>
      <c r="AF815">
        <v>18</v>
      </c>
      <c r="AG815">
        <v>7</v>
      </c>
      <c r="AH815">
        <v>11</v>
      </c>
      <c r="AI815">
        <v>5</v>
      </c>
      <c r="AJ815">
        <f t="shared" si="12"/>
        <v>1</v>
      </c>
      <c r="AK815" t="str" cm="1">
        <f t="array" ref="AK815">_xlfn.IFS(A815&lt;=30,"18-30",A815&lt;=45,"31-45",A815&lt;=60,"46-60",TRUE, "60+")</f>
        <v>31-45</v>
      </c>
      <c r="AL815" t="str" cm="1">
        <f t="array" ref="AL815">_xlfn.IFS(F815&lt;=10,"0-10",F815&lt;=20,"11-20",TRUE,"20+")</f>
        <v>0-10</v>
      </c>
      <c r="AM815" t="str" cm="1">
        <f t="array" ref="AM815">_xlfn.IFS(S815&lt;=5000,"0-5k",S815&lt;=10000,"5k-10k",S815&lt;=15000,"10k-15k",TRUE,"15k+")</f>
        <v>10k-15k</v>
      </c>
      <c r="AN815" t="str" cm="1">
        <f t="array" ref="AN815">_xlfn.IFS(AF815&lt;=10,"0-10",AF815&lt;=20,"10-20",AF815&lt;=30,"20-30",TRUE,"30+")</f>
        <v>10-20</v>
      </c>
      <c r="AO815" t="str" cm="1">
        <f t="array" ref="AO815">_xlfn.IFS(Y815=1,"Poor",Y815=2,"Average",Y815=3,"Good",TRUE,"Excellent")</f>
        <v>Good</v>
      </c>
      <c r="AP815" t="str" cm="1">
        <f t="array" ref="AP815">_xlfn.IFS(Q815=1,"Low",Q815=2,"Medium",Q815=3,"High",TRUE,"Very High")</f>
        <v>Very High</v>
      </c>
    </row>
    <row r="816" spans="1:42" x14ac:dyDescent="0.25">
      <c r="A816">
        <v>40</v>
      </c>
      <c r="B816" t="s">
        <v>42</v>
      </c>
      <c r="C816" t="s">
        <v>90</v>
      </c>
      <c r="D816">
        <v>1308</v>
      </c>
      <c r="E816" t="s">
        <v>43</v>
      </c>
      <c r="F816">
        <v>14</v>
      </c>
      <c r="G816">
        <v>3</v>
      </c>
      <c r="H816" t="s">
        <v>49</v>
      </c>
      <c r="I816">
        <v>1</v>
      </c>
      <c r="J816">
        <v>1128</v>
      </c>
      <c r="K816">
        <v>3</v>
      </c>
      <c r="L816" t="s">
        <v>44</v>
      </c>
      <c r="M816">
        <v>44</v>
      </c>
      <c r="N816">
        <v>2</v>
      </c>
      <c r="O816">
        <v>5</v>
      </c>
      <c r="P816" t="s">
        <v>56</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c r="AJ816">
        <f t="shared" si="12"/>
        <v>0</v>
      </c>
      <c r="AK816" t="str" cm="1">
        <f t="array" ref="AK816">_xlfn.IFS(A816&lt;=30,"18-30",A816&lt;=45,"31-45",A816&lt;=60,"46-60",TRUE, "60+")</f>
        <v>31-45</v>
      </c>
      <c r="AL816" t="str" cm="1">
        <f t="array" ref="AL816">_xlfn.IFS(F816&lt;=10,"0-10",F816&lt;=20,"11-20",TRUE,"20+")</f>
        <v>11-20</v>
      </c>
      <c r="AM816" t="str" cm="1">
        <f t="array" ref="AM816">_xlfn.IFS(S816&lt;=5000,"0-5k",S816&lt;=10000,"5k-10k",S816&lt;=15000,"10k-15k",TRUE,"15k+")</f>
        <v>15k+</v>
      </c>
      <c r="AN816" t="str" cm="1">
        <f t="array" ref="AN816">_xlfn.IFS(AF816&lt;=10,"0-10",AF816&lt;=20,"10-20",AF816&lt;=30,"20-30",TRUE,"30+")</f>
        <v>10-20</v>
      </c>
      <c r="AO816" t="str" cm="1">
        <f t="array" ref="AO816">_xlfn.IFS(Y816=1,"Poor",Y816=2,"Average",Y816=3,"Good",TRUE,"Excellent")</f>
        <v>Good</v>
      </c>
      <c r="AP816" t="str" cm="1">
        <f t="array" ref="AP816">_xlfn.IFS(Q816=1,"Low",Q816=2,"Medium",Q816=3,"High",TRUE,"Very High")</f>
        <v>High</v>
      </c>
    </row>
    <row r="817" spans="1:42" x14ac:dyDescent="0.25">
      <c r="A817">
        <v>21</v>
      </c>
      <c r="B817" t="s">
        <v>42</v>
      </c>
      <c r="C817" t="s">
        <v>90</v>
      </c>
      <c r="D817">
        <v>984</v>
      </c>
      <c r="E817" t="s">
        <v>43</v>
      </c>
      <c r="F817">
        <v>1</v>
      </c>
      <c r="G817">
        <v>1</v>
      </c>
      <c r="H817" t="s">
        <v>58</v>
      </c>
      <c r="I817">
        <v>1</v>
      </c>
      <c r="J817">
        <v>1131</v>
      </c>
      <c r="K817">
        <v>4</v>
      </c>
      <c r="L817" t="s">
        <v>38</v>
      </c>
      <c r="M817">
        <v>70</v>
      </c>
      <c r="N817">
        <v>2</v>
      </c>
      <c r="O817">
        <v>1</v>
      </c>
      <c r="P817" t="s">
        <v>45</v>
      </c>
      <c r="Q817">
        <v>2</v>
      </c>
      <c r="R817" t="s">
        <v>40</v>
      </c>
      <c r="S817">
        <v>2070</v>
      </c>
      <c r="T817">
        <v>25326</v>
      </c>
      <c r="U817">
        <v>1</v>
      </c>
      <c r="V817" t="s">
        <v>41</v>
      </c>
      <c r="W817" t="s">
        <v>35</v>
      </c>
      <c r="X817">
        <v>11</v>
      </c>
      <c r="Y817">
        <v>3</v>
      </c>
      <c r="Z817">
        <v>3</v>
      </c>
      <c r="AA817">
        <v>80</v>
      </c>
      <c r="AB817">
        <v>0</v>
      </c>
      <c r="AC817">
        <v>2</v>
      </c>
      <c r="AD817">
        <v>6</v>
      </c>
      <c r="AE817">
        <v>4</v>
      </c>
      <c r="AF817">
        <v>2</v>
      </c>
      <c r="AG817">
        <v>2</v>
      </c>
      <c r="AH817">
        <v>2</v>
      </c>
      <c r="AI817">
        <v>2</v>
      </c>
      <c r="AJ817">
        <f t="shared" si="12"/>
        <v>0</v>
      </c>
      <c r="AK817" t="str" cm="1">
        <f t="array" ref="AK817">_xlfn.IFS(A817&lt;=30,"18-30",A817&lt;=45,"31-45",A817&lt;=60,"46-60",TRUE, "60+")</f>
        <v>18-30</v>
      </c>
      <c r="AL817" t="str" cm="1">
        <f t="array" ref="AL817">_xlfn.IFS(F817&lt;=10,"0-10",F817&lt;=20,"11-20",TRUE,"20+")</f>
        <v>0-10</v>
      </c>
      <c r="AM817" t="str" cm="1">
        <f t="array" ref="AM817">_xlfn.IFS(S817&lt;=5000,"0-5k",S817&lt;=10000,"5k-10k",S817&lt;=15000,"10k-15k",TRUE,"15k+")</f>
        <v>0-5k</v>
      </c>
      <c r="AN817" t="str" cm="1">
        <f t="array" ref="AN817">_xlfn.IFS(AF817&lt;=10,"0-10",AF817&lt;=20,"10-20",AF817&lt;=30,"20-30",TRUE,"30+")</f>
        <v>0-10</v>
      </c>
      <c r="AO817" t="str" cm="1">
        <f t="array" ref="AO817">_xlfn.IFS(Y817=1,"Poor",Y817=2,"Average",Y817=3,"Good",TRUE,"Excellent")</f>
        <v>Good</v>
      </c>
      <c r="AP817" t="str" cm="1">
        <f t="array" ref="AP817">_xlfn.IFS(Q817=1,"Low",Q817=2,"Medium",Q817=3,"High",TRUE,"Very High")</f>
        <v>Medium</v>
      </c>
    </row>
    <row r="818" spans="1:42" x14ac:dyDescent="0.25">
      <c r="A818">
        <v>39</v>
      </c>
      <c r="B818" t="s">
        <v>42</v>
      </c>
      <c r="C818" t="s">
        <v>53</v>
      </c>
      <c r="D818">
        <v>439</v>
      </c>
      <c r="E818" t="s">
        <v>43</v>
      </c>
      <c r="F818">
        <v>9</v>
      </c>
      <c r="G818">
        <v>3</v>
      </c>
      <c r="H818" t="s">
        <v>37</v>
      </c>
      <c r="I818">
        <v>1</v>
      </c>
      <c r="J818">
        <v>1132</v>
      </c>
      <c r="K818">
        <v>3</v>
      </c>
      <c r="L818" t="s">
        <v>44</v>
      </c>
      <c r="M818">
        <v>70</v>
      </c>
      <c r="N818">
        <v>3</v>
      </c>
      <c r="O818">
        <v>2</v>
      </c>
      <c r="P818" t="s">
        <v>48</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c r="AJ818">
        <f t="shared" si="12"/>
        <v>0</v>
      </c>
      <c r="AK818" t="str" cm="1">
        <f t="array" ref="AK818">_xlfn.IFS(A818&lt;=30,"18-30",A818&lt;=45,"31-45",A818&lt;=60,"46-60",TRUE, "60+")</f>
        <v>31-45</v>
      </c>
      <c r="AL818" t="str" cm="1">
        <f t="array" ref="AL818">_xlfn.IFS(F818&lt;=10,"0-10",F818&lt;=20,"11-20",TRUE,"20+")</f>
        <v>0-10</v>
      </c>
      <c r="AM818" t="str" cm="1">
        <f t="array" ref="AM818">_xlfn.IFS(S818&lt;=5000,"0-5k",S818&lt;=10000,"5k-10k",S818&lt;=15000,"10k-15k",TRUE,"15k+")</f>
        <v>5k-10k</v>
      </c>
      <c r="AN818" t="str" cm="1">
        <f t="array" ref="AN818">_xlfn.IFS(AF818&lt;=10,"0-10",AF818&lt;=20,"10-20",AF818&lt;=30,"20-30",TRUE,"30+")</f>
        <v>0-10</v>
      </c>
      <c r="AO818" t="str" cm="1">
        <f t="array" ref="AO818">_xlfn.IFS(Y818=1,"Poor",Y818=2,"Average",Y818=3,"Good",TRUE,"Excellent")</f>
        <v>Good</v>
      </c>
      <c r="AP818" t="str" cm="1">
        <f t="array" ref="AP818">_xlfn.IFS(Q818=1,"Low",Q818=2,"Medium",Q818=3,"High",TRUE,"Very High")</f>
        <v>Medium</v>
      </c>
    </row>
    <row r="819" spans="1:42" x14ac:dyDescent="0.25">
      <c r="A819">
        <v>36</v>
      </c>
      <c r="B819" t="s">
        <v>42</v>
      </c>
      <c r="C819" t="s">
        <v>53</v>
      </c>
      <c r="D819">
        <v>217</v>
      </c>
      <c r="E819" t="s">
        <v>43</v>
      </c>
      <c r="F819">
        <v>18</v>
      </c>
      <c r="G819">
        <v>4</v>
      </c>
      <c r="H819" t="s">
        <v>37</v>
      </c>
      <c r="I819">
        <v>1</v>
      </c>
      <c r="J819">
        <v>1133</v>
      </c>
      <c r="K819">
        <v>1</v>
      </c>
      <c r="L819" t="s">
        <v>44</v>
      </c>
      <c r="M819">
        <v>78</v>
      </c>
      <c r="N819">
        <v>3</v>
      </c>
      <c r="O819">
        <v>2</v>
      </c>
      <c r="P819" t="s">
        <v>51</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c r="AJ819">
        <f t="shared" si="12"/>
        <v>0</v>
      </c>
      <c r="AK819" t="str" cm="1">
        <f t="array" ref="AK819">_xlfn.IFS(A819&lt;=30,"18-30",A819&lt;=45,"31-45",A819&lt;=60,"46-60",TRUE, "60+")</f>
        <v>31-45</v>
      </c>
      <c r="AL819" t="str" cm="1">
        <f t="array" ref="AL819">_xlfn.IFS(F819&lt;=10,"0-10",F819&lt;=20,"11-20",TRUE,"20+")</f>
        <v>11-20</v>
      </c>
      <c r="AM819" t="str" cm="1">
        <f t="array" ref="AM819">_xlfn.IFS(S819&lt;=5000,"0-5k",S819&lt;=10000,"5k-10k",S819&lt;=15000,"10k-15k",TRUE,"15k+")</f>
        <v>5k-10k</v>
      </c>
      <c r="AN819" t="str" cm="1">
        <f t="array" ref="AN819">_xlfn.IFS(AF819&lt;=10,"0-10",AF819&lt;=20,"10-20",AF819&lt;=30,"20-30",TRUE,"30+")</f>
        <v>10-20</v>
      </c>
      <c r="AO819" t="str" cm="1">
        <f t="array" ref="AO819">_xlfn.IFS(Y819=1,"Poor",Y819=2,"Average",Y819=3,"Good",TRUE,"Excellent")</f>
        <v>Excellent</v>
      </c>
      <c r="AP819" t="str" cm="1">
        <f t="array" ref="AP819">_xlfn.IFS(Q819=1,"Low",Q819=2,"Medium",Q819=3,"High",TRUE,"Very High")</f>
        <v>Very High</v>
      </c>
    </row>
    <row r="820" spans="1:42" x14ac:dyDescent="0.25">
      <c r="A820">
        <v>31</v>
      </c>
      <c r="B820" t="s">
        <v>42</v>
      </c>
      <c r="C820" t="s">
        <v>91</v>
      </c>
      <c r="D820">
        <v>793</v>
      </c>
      <c r="E820" t="s">
        <v>36</v>
      </c>
      <c r="F820">
        <v>20</v>
      </c>
      <c r="G820">
        <v>3</v>
      </c>
      <c r="H820" t="s">
        <v>37</v>
      </c>
      <c r="I820">
        <v>1</v>
      </c>
      <c r="J820">
        <v>1135</v>
      </c>
      <c r="K820">
        <v>3</v>
      </c>
      <c r="L820" t="s">
        <v>44</v>
      </c>
      <c r="M820">
        <v>67</v>
      </c>
      <c r="N820">
        <v>4</v>
      </c>
      <c r="O820">
        <v>1</v>
      </c>
      <c r="P820" t="s">
        <v>55</v>
      </c>
      <c r="Q820">
        <v>4</v>
      </c>
      <c r="R820" t="s">
        <v>46</v>
      </c>
      <c r="S820">
        <v>2791</v>
      </c>
      <c r="T820">
        <v>21981</v>
      </c>
      <c r="U820">
        <v>0</v>
      </c>
      <c r="V820" t="s">
        <v>41</v>
      </c>
      <c r="W820" t="s">
        <v>42</v>
      </c>
      <c r="X820">
        <v>12</v>
      </c>
      <c r="Y820">
        <v>3</v>
      </c>
      <c r="Z820">
        <v>1</v>
      </c>
      <c r="AA820">
        <v>80</v>
      </c>
      <c r="AB820">
        <v>1</v>
      </c>
      <c r="AC820">
        <v>3</v>
      </c>
      <c r="AD820">
        <v>4</v>
      </c>
      <c r="AE820">
        <v>3</v>
      </c>
      <c r="AF820">
        <v>2</v>
      </c>
      <c r="AG820">
        <v>2</v>
      </c>
      <c r="AH820">
        <v>2</v>
      </c>
      <c r="AI820">
        <v>2</v>
      </c>
      <c r="AJ820">
        <f t="shared" si="12"/>
        <v>0</v>
      </c>
      <c r="AK820" t="str" cm="1">
        <f t="array" ref="AK820">_xlfn.IFS(A820&lt;=30,"18-30",A820&lt;=45,"31-45",A820&lt;=60,"46-60",TRUE, "60+")</f>
        <v>31-45</v>
      </c>
      <c r="AL820" t="str" cm="1">
        <f t="array" ref="AL820">_xlfn.IFS(F820&lt;=10,"0-10",F820&lt;=20,"11-20",TRUE,"20+")</f>
        <v>11-20</v>
      </c>
      <c r="AM820" t="str" cm="1">
        <f t="array" ref="AM820">_xlfn.IFS(S820&lt;=5000,"0-5k",S820&lt;=10000,"5k-10k",S820&lt;=15000,"10k-15k",TRUE,"15k+")</f>
        <v>0-5k</v>
      </c>
      <c r="AN820" t="str" cm="1">
        <f t="array" ref="AN820">_xlfn.IFS(AF820&lt;=10,"0-10",AF820&lt;=20,"10-20",AF820&lt;=30,"20-30",TRUE,"30+")</f>
        <v>0-10</v>
      </c>
      <c r="AO820" t="str" cm="1">
        <f t="array" ref="AO820">_xlfn.IFS(Y820=1,"Poor",Y820=2,"Average",Y820=3,"Good",TRUE,"Excellent")</f>
        <v>Good</v>
      </c>
      <c r="AP820" t="str" cm="1">
        <f t="array" ref="AP820">_xlfn.IFS(Q820=1,"Low",Q820=2,"Medium",Q820=3,"High",TRUE,"Very High")</f>
        <v>Very High</v>
      </c>
    </row>
    <row r="821" spans="1:42" x14ac:dyDescent="0.25">
      <c r="A821">
        <v>28</v>
      </c>
      <c r="B821" t="s">
        <v>42</v>
      </c>
      <c r="C821" t="s">
        <v>90</v>
      </c>
      <c r="D821">
        <v>1451</v>
      </c>
      <c r="E821" t="s">
        <v>43</v>
      </c>
      <c r="F821">
        <v>2</v>
      </c>
      <c r="G821">
        <v>1</v>
      </c>
      <c r="H821" t="s">
        <v>37</v>
      </c>
      <c r="I821">
        <v>1</v>
      </c>
      <c r="J821">
        <v>1136</v>
      </c>
      <c r="K821">
        <v>1</v>
      </c>
      <c r="L821" t="s">
        <v>44</v>
      </c>
      <c r="M821">
        <v>67</v>
      </c>
      <c r="N821">
        <v>2</v>
      </c>
      <c r="O821">
        <v>1</v>
      </c>
      <c r="P821" t="s">
        <v>45</v>
      </c>
      <c r="Q821">
        <v>2</v>
      </c>
      <c r="R821" t="s">
        <v>46</v>
      </c>
      <c r="S821">
        <v>3201</v>
      </c>
      <c r="T821">
        <v>19911</v>
      </c>
      <c r="U821">
        <v>0</v>
      </c>
      <c r="V821" t="s">
        <v>41</v>
      </c>
      <c r="W821" t="s">
        <v>42</v>
      </c>
      <c r="X821">
        <v>17</v>
      </c>
      <c r="Y821">
        <v>3</v>
      </c>
      <c r="Z821">
        <v>1</v>
      </c>
      <c r="AA821">
        <v>80</v>
      </c>
      <c r="AB821">
        <v>0</v>
      </c>
      <c r="AC821">
        <v>6</v>
      </c>
      <c r="AD821">
        <v>2</v>
      </c>
      <c r="AE821">
        <v>1</v>
      </c>
      <c r="AF821">
        <v>5</v>
      </c>
      <c r="AG821">
        <v>3</v>
      </c>
      <c r="AH821">
        <v>0</v>
      </c>
      <c r="AI821">
        <v>4</v>
      </c>
      <c r="AJ821">
        <f t="shared" si="12"/>
        <v>0</v>
      </c>
      <c r="AK821" t="str" cm="1">
        <f t="array" ref="AK821">_xlfn.IFS(A821&lt;=30,"18-30",A821&lt;=45,"31-45",A821&lt;=60,"46-60",TRUE, "60+")</f>
        <v>18-30</v>
      </c>
      <c r="AL821" t="str" cm="1">
        <f t="array" ref="AL821">_xlfn.IFS(F821&lt;=10,"0-10",F821&lt;=20,"11-20",TRUE,"20+")</f>
        <v>0-10</v>
      </c>
      <c r="AM821" t="str" cm="1">
        <f t="array" ref="AM821">_xlfn.IFS(S821&lt;=5000,"0-5k",S821&lt;=10000,"5k-10k",S821&lt;=15000,"10k-15k",TRUE,"15k+")</f>
        <v>0-5k</v>
      </c>
      <c r="AN821" t="str" cm="1">
        <f t="array" ref="AN821">_xlfn.IFS(AF821&lt;=10,"0-10",AF821&lt;=20,"10-20",AF821&lt;=30,"20-30",TRUE,"30+")</f>
        <v>0-10</v>
      </c>
      <c r="AO821" t="str" cm="1">
        <f t="array" ref="AO821">_xlfn.IFS(Y821=1,"Poor",Y821=2,"Average",Y821=3,"Good",TRUE,"Excellent")</f>
        <v>Good</v>
      </c>
      <c r="AP821" t="str" cm="1">
        <f t="array" ref="AP821">_xlfn.IFS(Q821=1,"Low",Q821=2,"Medium",Q821=3,"High",TRUE,"Very High")</f>
        <v>Medium</v>
      </c>
    </row>
    <row r="822" spans="1:42" x14ac:dyDescent="0.25">
      <c r="A822">
        <v>35</v>
      </c>
      <c r="B822" t="s">
        <v>42</v>
      </c>
      <c r="C822" t="s">
        <v>91</v>
      </c>
      <c r="D822">
        <v>1182</v>
      </c>
      <c r="E822" t="s">
        <v>36</v>
      </c>
      <c r="F822">
        <v>11</v>
      </c>
      <c r="G822">
        <v>2</v>
      </c>
      <c r="H822" t="s">
        <v>57</v>
      </c>
      <c r="I822">
        <v>1</v>
      </c>
      <c r="J822">
        <v>1137</v>
      </c>
      <c r="K822">
        <v>4</v>
      </c>
      <c r="L822" t="s">
        <v>44</v>
      </c>
      <c r="M822">
        <v>54</v>
      </c>
      <c r="N822">
        <v>3</v>
      </c>
      <c r="O822">
        <v>2</v>
      </c>
      <c r="P822" t="s">
        <v>39</v>
      </c>
      <c r="Q822">
        <v>4</v>
      </c>
      <c r="R822" t="s">
        <v>50</v>
      </c>
      <c r="S822">
        <v>4968</v>
      </c>
      <c r="T822">
        <v>18500</v>
      </c>
      <c r="U822">
        <v>1</v>
      </c>
      <c r="V822" t="s">
        <v>41</v>
      </c>
      <c r="W822" t="s">
        <v>42</v>
      </c>
      <c r="X822">
        <v>11</v>
      </c>
      <c r="Y822">
        <v>3</v>
      </c>
      <c r="Z822">
        <v>4</v>
      </c>
      <c r="AA822">
        <v>80</v>
      </c>
      <c r="AB822">
        <v>1</v>
      </c>
      <c r="AC822">
        <v>5</v>
      </c>
      <c r="AD822">
        <v>3</v>
      </c>
      <c r="AE822">
        <v>3</v>
      </c>
      <c r="AF822">
        <v>5</v>
      </c>
      <c r="AG822">
        <v>2</v>
      </c>
      <c r="AH822">
        <v>0</v>
      </c>
      <c r="AI822">
        <v>2</v>
      </c>
      <c r="AJ822">
        <f t="shared" si="12"/>
        <v>0</v>
      </c>
      <c r="AK822" t="str" cm="1">
        <f t="array" ref="AK822">_xlfn.IFS(A822&lt;=30,"18-30",A822&lt;=45,"31-45",A822&lt;=60,"46-60",TRUE, "60+")</f>
        <v>31-45</v>
      </c>
      <c r="AL822" t="str" cm="1">
        <f t="array" ref="AL822">_xlfn.IFS(F822&lt;=10,"0-10",F822&lt;=20,"11-20",TRUE,"20+")</f>
        <v>11-20</v>
      </c>
      <c r="AM822" t="str" cm="1">
        <f t="array" ref="AM822">_xlfn.IFS(S822&lt;=5000,"0-5k",S822&lt;=10000,"5k-10k",S822&lt;=15000,"10k-15k",TRUE,"15k+")</f>
        <v>0-5k</v>
      </c>
      <c r="AN822" t="str" cm="1">
        <f t="array" ref="AN822">_xlfn.IFS(AF822&lt;=10,"0-10",AF822&lt;=20,"10-20",AF822&lt;=30,"20-30",TRUE,"30+")</f>
        <v>0-10</v>
      </c>
      <c r="AO822" t="str" cm="1">
        <f t="array" ref="AO822">_xlfn.IFS(Y822=1,"Poor",Y822=2,"Average",Y822=3,"Good",TRUE,"Excellent")</f>
        <v>Good</v>
      </c>
      <c r="AP822" t="str" cm="1">
        <f t="array" ref="AP822">_xlfn.IFS(Q822=1,"Low",Q822=2,"Medium",Q822=3,"High",TRUE,"Very High")</f>
        <v>Very High</v>
      </c>
    </row>
    <row r="823" spans="1:42" x14ac:dyDescent="0.25">
      <c r="A823">
        <v>49</v>
      </c>
      <c r="B823" t="s">
        <v>42</v>
      </c>
      <c r="C823" t="s">
        <v>90</v>
      </c>
      <c r="D823">
        <v>174</v>
      </c>
      <c r="E823" t="s">
        <v>36</v>
      </c>
      <c r="F823">
        <v>8</v>
      </c>
      <c r="G823">
        <v>4</v>
      </c>
      <c r="H823" t="s">
        <v>58</v>
      </c>
      <c r="I823">
        <v>1</v>
      </c>
      <c r="J823">
        <v>1138</v>
      </c>
      <c r="K823">
        <v>4</v>
      </c>
      <c r="L823" t="s">
        <v>44</v>
      </c>
      <c r="M823">
        <v>56</v>
      </c>
      <c r="N823">
        <v>2</v>
      </c>
      <c r="O823">
        <v>4</v>
      </c>
      <c r="P823" t="s">
        <v>39</v>
      </c>
      <c r="Q823">
        <v>2</v>
      </c>
      <c r="R823" t="s">
        <v>46</v>
      </c>
      <c r="S823">
        <v>13120</v>
      </c>
      <c r="T823">
        <v>11879</v>
      </c>
      <c r="U823">
        <v>6</v>
      </c>
      <c r="V823" t="s">
        <v>41</v>
      </c>
      <c r="W823" t="s">
        <v>42</v>
      </c>
      <c r="X823">
        <v>17</v>
      </c>
      <c r="Y823">
        <v>3</v>
      </c>
      <c r="Z823">
        <v>2</v>
      </c>
      <c r="AA823">
        <v>80</v>
      </c>
      <c r="AB823">
        <v>1</v>
      </c>
      <c r="AC823">
        <v>22</v>
      </c>
      <c r="AD823">
        <v>3</v>
      </c>
      <c r="AE823">
        <v>3</v>
      </c>
      <c r="AF823">
        <v>9</v>
      </c>
      <c r="AG823">
        <v>8</v>
      </c>
      <c r="AH823">
        <v>2</v>
      </c>
      <c r="AI823">
        <v>3</v>
      </c>
      <c r="AJ823">
        <f t="shared" si="12"/>
        <v>0</v>
      </c>
      <c r="AK823" t="str" cm="1">
        <f t="array" ref="AK823">_xlfn.IFS(A823&lt;=30,"18-30",A823&lt;=45,"31-45",A823&lt;=60,"46-60",TRUE, "60+")</f>
        <v>46-60</v>
      </c>
      <c r="AL823" t="str" cm="1">
        <f t="array" ref="AL823">_xlfn.IFS(F823&lt;=10,"0-10",F823&lt;=20,"11-20",TRUE,"20+")</f>
        <v>0-10</v>
      </c>
      <c r="AM823" t="str" cm="1">
        <f t="array" ref="AM823">_xlfn.IFS(S823&lt;=5000,"0-5k",S823&lt;=10000,"5k-10k",S823&lt;=15000,"10k-15k",TRUE,"15k+")</f>
        <v>10k-15k</v>
      </c>
      <c r="AN823" t="str" cm="1">
        <f t="array" ref="AN823">_xlfn.IFS(AF823&lt;=10,"0-10",AF823&lt;=20,"10-20",AF823&lt;=30,"20-30",TRUE,"30+")</f>
        <v>0-10</v>
      </c>
      <c r="AO823" t="str" cm="1">
        <f t="array" ref="AO823">_xlfn.IFS(Y823=1,"Poor",Y823=2,"Average",Y823=3,"Good",TRUE,"Excellent")</f>
        <v>Good</v>
      </c>
      <c r="AP823" t="str" cm="1">
        <f t="array" ref="AP823">_xlfn.IFS(Q823=1,"Low",Q823=2,"Medium",Q823=3,"High",TRUE,"Very High")</f>
        <v>Medium</v>
      </c>
    </row>
    <row r="824" spans="1:42" x14ac:dyDescent="0.25">
      <c r="A824">
        <v>34</v>
      </c>
      <c r="B824" t="s">
        <v>42</v>
      </c>
      <c r="C824" t="s">
        <v>91</v>
      </c>
      <c r="D824">
        <v>1003</v>
      </c>
      <c r="E824" t="s">
        <v>43</v>
      </c>
      <c r="F824">
        <v>2</v>
      </c>
      <c r="G824">
        <v>2</v>
      </c>
      <c r="H824" t="s">
        <v>37</v>
      </c>
      <c r="I824">
        <v>1</v>
      </c>
      <c r="J824">
        <v>1140</v>
      </c>
      <c r="K824">
        <v>4</v>
      </c>
      <c r="L824" t="s">
        <v>44</v>
      </c>
      <c r="M824">
        <v>95</v>
      </c>
      <c r="N824">
        <v>3</v>
      </c>
      <c r="O824">
        <v>2</v>
      </c>
      <c r="P824" t="s">
        <v>51</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c r="AJ824">
        <f t="shared" si="12"/>
        <v>0</v>
      </c>
      <c r="AK824" t="str" cm="1">
        <f t="array" ref="AK824">_xlfn.IFS(A824&lt;=30,"18-30",A824&lt;=45,"31-45",A824&lt;=60,"46-60",TRUE, "60+")</f>
        <v>31-45</v>
      </c>
      <c r="AL824" t="str" cm="1">
        <f t="array" ref="AL824">_xlfn.IFS(F824&lt;=10,"0-10",F824&lt;=20,"11-20",TRUE,"20+")</f>
        <v>0-10</v>
      </c>
      <c r="AM824" t="str" cm="1">
        <f t="array" ref="AM824">_xlfn.IFS(S824&lt;=5000,"0-5k",S824&lt;=10000,"5k-10k",S824&lt;=15000,"10k-15k",TRUE,"15k+")</f>
        <v>0-5k</v>
      </c>
      <c r="AN824" t="str" cm="1">
        <f t="array" ref="AN824">_xlfn.IFS(AF824&lt;=10,"0-10",AF824&lt;=20,"10-20",AF824&lt;=30,"20-30",TRUE,"30+")</f>
        <v>0-10</v>
      </c>
      <c r="AO824" t="str" cm="1">
        <f t="array" ref="AO824">_xlfn.IFS(Y824=1,"Poor",Y824=2,"Average",Y824=3,"Good",TRUE,"Excellent")</f>
        <v>Good</v>
      </c>
      <c r="AP824" t="str" cm="1">
        <f t="array" ref="AP824">_xlfn.IFS(Q824=1,"Low",Q824=2,"Medium",Q824=3,"High",TRUE,"Very High")</f>
        <v>High</v>
      </c>
    </row>
    <row r="825" spans="1:42" x14ac:dyDescent="0.25">
      <c r="A825">
        <v>29</v>
      </c>
      <c r="B825" t="s">
        <v>42</v>
      </c>
      <c r="C825" t="s">
        <v>91</v>
      </c>
      <c r="D825">
        <v>490</v>
      </c>
      <c r="E825" t="s">
        <v>43</v>
      </c>
      <c r="F825">
        <v>10</v>
      </c>
      <c r="G825">
        <v>3</v>
      </c>
      <c r="H825" t="s">
        <v>37</v>
      </c>
      <c r="I825">
        <v>1</v>
      </c>
      <c r="J825">
        <v>1143</v>
      </c>
      <c r="K825">
        <v>4</v>
      </c>
      <c r="L825" t="s">
        <v>38</v>
      </c>
      <c r="M825">
        <v>61</v>
      </c>
      <c r="N825">
        <v>3</v>
      </c>
      <c r="O825">
        <v>1</v>
      </c>
      <c r="P825" t="s">
        <v>45</v>
      </c>
      <c r="Q825">
        <v>2</v>
      </c>
      <c r="R825" t="s">
        <v>50</v>
      </c>
      <c r="S825">
        <v>3291</v>
      </c>
      <c r="T825">
        <v>17940</v>
      </c>
      <c r="U825">
        <v>0</v>
      </c>
      <c r="V825" t="s">
        <v>41</v>
      </c>
      <c r="W825" t="s">
        <v>42</v>
      </c>
      <c r="X825">
        <v>14</v>
      </c>
      <c r="Y825">
        <v>3</v>
      </c>
      <c r="Z825">
        <v>4</v>
      </c>
      <c r="AA825">
        <v>80</v>
      </c>
      <c r="AB825">
        <v>2</v>
      </c>
      <c r="AC825">
        <v>8</v>
      </c>
      <c r="AD825">
        <v>2</v>
      </c>
      <c r="AE825">
        <v>2</v>
      </c>
      <c r="AF825">
        <v>7</v>
      </c>
      <c r="AG825">
        <v>5</v>
      </c>
      <c r="AH825">
        <v>1</v>
      </c>
      <c r="AI825">
        <v>1</v>
      </c>
      <c r="AJ825">
        <f t="shared" si="12"/>
        <v>0</v>
      </c>
      <c r="AK825" t="str" cm="1">
        <f t="array" ref="AK825">_xlfn.IFS(A825&lt;=30,"18-30",A825&lt;=45,"31-45",A825&lt;=60,"46-60",TRUE, "60+")</f>
        <v>18-30</v>
      </c>
      <c r="AL825" t="str" cm="1">
        <f t="array" ref="AL825">_xlfn.IFS(F825&lt;=10,"0-10",F825&lt;=20,"11-20",TRUE,"20+")</f>
        <v>0-10</v>
      </c>
      <c r="AM825" t="str" cm="1">
        <f t="array" ref="AM825">_xlfn.IFS(S825&lt;=5000,"0-5k",S825&lt;=10000,"5k-10k",S825&lt;=15000,"10k-15k",TRUE,"15k+")</f>
        <v>0-5k</v>
      </c>
      <c r="AN825" t="str" cm="1">
        <f t="array" ref="AN825">_xlfn.IFS(AF825&lt;=10,"0-10",AF825&lt;=20,"10-20",AF825&lt;=30,"20-30",TRUE,"30+")</f>
        <v>0-10</v>
      </c>
      <c r="AO825" t="str" cm="1">
        <f t="array" ref="AO825">_xlfn.IFS(Y825=1,"Poor",Y825=2,"Average",Y825=3,"Good",TRUE,"Excellent")</f>
        <v>Good</v>
      </c>
      <c r="AP825" t="str" cm="1">
        <f t="array" ref="AP825">_xlfn.IFS(Q825=1,"Low",Q825=2,"Medium",Q825=3,"High",TRUE,"Very High")</f>
        <v>Medium</v>
      </c>
    </row>
    <row r="826" spans="1:42" x14ac:dyDescent="0.25">
      <c r="A826">
        <v>42</v>
      </c>
      <c r="B826" t="s">
        <v>42</v>
      </c>
      <c r="C826" t="s">
        <v>90</v>
      </c>
      <c r="D826">
        <v>188</v>
      </c>
      <c r="E826" t="s">
        <v>43</v>
      </c>
      <c r="F826">
        <v>29</v>
      </c>
      <c r="G826">
        <v>3</v>
      </c>
      <c r="H826" t="s">
        <v>49</v>
      </c>
      <c r="I826">
        <v>1</v>
      </c>
      <c r="J826">
        <v>1148</v>
      </c>
      <c r="K826">
        <v>2</v>
      </c>
      <c r="L826" t="s">
        <v>44</v>
      </c>
      <c r="M826">
        <v>56</v>
      </c>
      <c r="N826">
        <v>1</v>
      </c>
      <c r="O826">
        <v>2</v>
      </c>
      <c r="P826" t="s">
        <v>48</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c r="AJ826">
        <f t="shared" si="12"/>
        <v>0</v>
      </c>
      <c r="AK826" t="str" cm="1">
        <f t="array" ref="AK826">_xlfn.IFS(A826&lt;=30,"18-30",A826&lt;=45,"31-45",A826&lt;=60,"46-60",TRUE, "60+")</f>
        <v>31-45</v>
      </c>
      <c r="AL826" t="str" cm="1">
        <f t="array" ref="AL826">_xlfn.IFS(F826&lt;=10,"0-10",F826&lt;=20,"11-20",TRUE,"20+")</f>
        <v>20+</v>
      </c>
      <c r="AM826" t="str" cm="1">
        <f t="array" ref="AM826">_xlfn.IFS(S826&lt;=5000,"0-5k",S826&lt;=10000,"5k-10k",S826&lt;=15000,"10k-15k",TRUE,"15k+")</f>
        <v>0-5k</v>
      </c>
      <c r="AN826" t="str" cm="1">
        <f t="array" ref="AN826">_xlfn.IFS(AF826&lt;=10,"0-10",AF826&lt;=20,"10-20",AF826&lt;=30,"20-30",TRUE,"30+")</f>
        <v>0-10</v>
      </c>
      <c r="AO826" t="str" cm="1">
        <f t="array" ref="AO826">_xlfn.IFS(Y826=1,"Poor",Y826=2,"Average",Y826=3,"Good",TRUE,"Excellent")</f>
        <v>Good</v>
      </c>
      <c r="AP826" t="str" cm="1">
        <f t="array" ref="AP826">_xlfn.IFS(Q826=1,"Low",Q826=2,"Medium",Q826=3,"High",TRUE,"Very High")</f>
        <v>Very High</v>
      </c>
    </row>
    <row r="827" spans="1:42" x14ac:dyDescent="0.25">
      <c r="A827">
        <v>29</v>
      </c>
      <c r="B827" t="s">
        <v>42</v>
      </c>
      <c r="C827" t="s">
        <v>90</v>
      </c>
      <c r="D827">
        <v>718</v>
      </c>
      <c r="E827" t="s">
        <v>43</v>
      </c>
      <c r="F827">
        <v>8</v>
      </c>
      <c r="G827">
        <v>1</v>
      </c>
      <c r="H827" t="s">
        <v>49</v>
      </c>
      <c r="I827">
        <v>1</v>
      </c>
      <c r="J827">
        <v>1150</v>
      </c>
      <c r="K827">
        <v>2</v>
      </c>
      <c r="L827" t="s">
        <v>44</v>
      </c>
      <c r="M827">
        <v>79</v>
      </c>
      <c r="N827">
        <v>2</v>
      </c>
      <c r="O827">
        <v>2</v>
      </c>
      <c r="P827" t="s">
        <v>51</v>
      </c>
      <c r="Q827">
        <v>4</v>
      </c>
      <c r="R827" t="s">
        <v>46</v>
      </c>
      <c r="S827">
        <v>5056</v>
      </c>
      <c r="T827">
        <v>17689</v>
      </c>
      <c r="U827">
        <v>1</v>
      </c>
      <c r="V827" t="s">
        <v>41</v>
      </c>
      <c r="W827" t="s">
        <v>35</v>
      </c>
      <c r="X827">
        <v>15</v>
      </c>
      <c r="Y827">
        <v>3</v>
      </c>
      <c r="Z827">
        <v>3</v>
      </c>
      <c r="AA827">
        <v>80</v>
      </c>
      <c r="AB827">
        <v>1</v>
      </c>
      <c r="AC827">
        <v>10</v>
      </c>
      <c r="AD827">
        <v>2</v>
      </c>
      <c r="AE827">
        <v>2</v>
      </c>
      <c r="AF827">
        <v>10</v>
      </c>
      <c r="AG827">
        <v>7</v>
      </c>
      <c r="AH827">
        <v>1</v>
      </c>
      <c r="AI827">
        <v>2</v>
      </c>
      <c r="AJ827">
        <f t="shared" si="12"/>
        <v>0</v>
      </c>
      <c r="AK827" t="str" cm="1">
        <f t="array" ref="AK827">_xlfn.IFS(A827&lt;=30,"18-30",A827&lt;=45,"31-45",A827&lt;=60,"46-60",TRUE, "60+")</f>
        <v>18-30</v>
      </c>
      <c r="AL827" t="str" cm="1">
        <f t="array" ref="AL827">_xlfn.IFS(F827&lt;=10,"0-10",F827&lt;=20,"11-20",TRUE,"20+")</f>
        <v>0-10</v>
      </c>
      <c r="AM827" t="str" cm="1">
        <f t="array" ref="AM827">_xlfn.IFS(S827&lt;=5000,"0-5k",S827&lt;=10000,"5k-10k",S827&lt;=15000,"10k-15k",TRUE,"15k+")</f>
        <v>5k-10k</v>
      </c>
      <c r="AN827" t="str" cm="1">
        <f t="array" ref="AN827">_xlfn.IFS(AF827&lt;=10,"0-10",AF827&lt;=20,"10-20",AF827&lt;=30,"20-30",TRUE,"30+")</f>
        <v>0-10</v>
      </c>
      <c r="AO827" t="str" cm="1">
        <f t="array" ref="AO827">_xlfn.IFS(Y827=1,"Poor",Y827=2,"Average",Y827=3,"Good",TRUE,"Excellent")</f>
        <v>Good</v>
      </c>
      <c r="AP827" t="str" cm="1">
        <f t="array" ref="AP827">_xlfn.IFS(Q827=1,"Low",Q827=2,"Medium",Q827=3,"High",TRUE,"Very High")</f>
        <v>Very High</v>
      </c>
    </row>
    <row r="828" spans="1:42" x14ac:dyDescent="0.25">
      <c r="A828">
        <v>38</v>
      </c>
      <c r="B828" t="s">
        <v>42</v>
      </c>
      <c r="C828" t="s">
        <v>90</v>
      </c>
      <c r="D828">
        <v>433</v>
      </c>
      <c r="E828" t="s">
        <v>59</v>
      </c>
      <c r="F828">
        <v>1</v>
      </c>
      <c r="G828">
        <v>3</v>
      </c>
      <c r="H828" t="s">
        <v>59</v>
      </c>
      <c r="I828">
        <v>1</v>
      </c>
      <c r="J828">
        <v>1152</v>
      </c>
      <c r="K828">
        <v>3</v>
      </c>
      <c r="L828" t="s">
        <v>44</v>
      </c>
      <c r="M828">
        <v>37</v>
      </c>
      <c r="N828">
        <v>4</v>
      </c>
      <c r="O828">
        <v>1</v>
      </c>
      <c r="P828" t="s">
        <v>59</v>
      </c>
      <c r="Q828">
        <v>3</v>
      </c>
      <c r="R828" t="s">
        <v>46</v>
      </c>
      <c r="S828">
        <v>2844</v>
      </c>
      <c r="T828">
        <v>6004</v>
      </c>
      <c r="U828">
        <v>1</v>
      </c>
      <c r="V828" t="s">
        <v>41</v>
      </c>
      <c r="W828" t="s">
        <v>42</v>
      </c>
      <c r="X828">
        <v>13</v>
      </c>
      <c r="Y828">
        <v>3</v>
      </c>
      <c r="Z828">
        <v>4</v>
      </c>
      <c r="AA828">
        <v>80</v>
      </c>
      <c r="AB828">
        <v>1</v>
      </c>
      <c r="AC828">
        <v>7</v>
      </c>
      <c r="AD828">
        <v>2</v>
      </c>
      <c r="AE828">
        <v>4</v>
      </c>
      <c r="AF828">
        <v>7</v>
      </c>
      <c r="AG828">
        <v>6</v>
      </c>
      <c r="AH828">
        <v>5</v>
      </c>
      <c r="AI828">
        <v>0</v>
      </c>
      <c r="AJ828">
        <f t="shared" si="12"/>
        <v>0</v>
      </c>
      <c r="AK828" t="str" cm="1">
        <f t="array" ref="AK828">_xlfn.IFS(A828&lt;=30,"18-30",A828&lt;=45,"31-45",A828&lt;=60,"46-60",TRUE, "60+")</f>
        <v>31-45</v>
      </c>
      <c r="AL828" t="str" cm="1">
        <f t="array" ref="AL828">_xlfn.IFS(F828&lt;=10,"0-10",F828&lt;=20,"11-20",TRUE,"20+")</f>
        <v>0-10</v>
      </c>
      <c r="AM828" t="str" cm="1">
        <f t="array" ref="AM828">_xlfn.IFS(S828&lt;=5000,"0-5k",S828&lt;=10000,"5k-10k",S828&lt;=15000,"10k-15k",TRUE,"15k+")</f>
        <v>0-5k</v>
      </c>
      <c r="AN828" t="str" cm="1">
        <f t="array" ref="AN828">_xlfn.IFS(AF828&lt;=10,"0-10",AF828&lt;=20,"10-20",AF828&lt;=30,"20-30",TRUE,"30+")</f>
        <v>0-10</v>
      </c>
      <c r="AO828" t="str" cm="1">
        <f t="array" ref="AO828">_xlfn.IFS(Y828=1,"Poor",Y828=2,"Average",Y828=3,"Good",TRUE,"Excellent")</f>
        <v>Good</v>
      </c>
      <c r="AP828" t="str" cm="1">
        <f t="array" ref="AP828">_xlfn.IFS(Q828=1,"Low",Q828=2,"Medium",Q828=3,"High",TRUE,"Very High")</f>
        <v>High</v>
      </c>
    </row>
    <row r="829" spans="1:42" x14ac:dyDescent="0.25">
      <c r="A829">
        <v>28</v>
      </c>
      <c r="B829" t="s">
        <v>42</v>
      </c>
      <c r="C829" t="s">
        <v>91</v>
      </c>
      <c r="D829">
        <v>773</v>
      </c>
      <c r="E829" t="s">
        <v>43</v>
      </c>
      <c r="F829">
        <v>6</v>
      </c>
      <c r="G829">
        <v>3</v>
      </c>
      <c r="H829" t="s">
        <v>37</v>
      </c>
      <c r="I829">
        <v>1</v>
      </c>
      <c r="J829">
        <v>1154</v>
      </c>
      <c r="K829">
        <v>3</v>
      </c>
      <c r="L829" t="s">
        <v>44</v>
      </c>
      <c r="M829">
        <v>39</v>
      </c>
      <c r="N829">
        <v>2</v>
      </c>
      <c r="O829">
        <v>1</v>
      </c>
      <c r="P829" t="s">
        <v>45</v>
      </c>
      <c r="Q829">
        <v>3</v>
      </c>
      <c r="R829" t="s">
        <v>50</v>
      </c>
      <c r="S829">
        <v>2703</v>
      </c>
      <c r="T829">
        <v>22088</v>
      </c>
      <c r="U829">
        <v>1</v>
      </c>
      <c r="V829" t="s">
        <v>41</v>
      </c>
      <c r="W829" t="s">
        <v>35</v>
      </c>
      <c r="X829">
        <v>14</v>
      </c>
      <c r="Y829">
        <v>3</v>
      </c>
      <c r="Z829">
        <v>4</v>
      </c>
      <c r="AA829">
        <v>80</v>
      </c>
      <c r="AB829">
        <v>1</v>
      </c>
      <c r="AC829">
        <v>3</v>
      </c>
      <c r="AD829">
        <v>2</v>
      </c>
      <c r="AE829">
        <v>3</v>
      </c>
      <c r="AF829">
        <v>3</v>
      </c>
      <c r="AG829">
        <v>1</v>
      </c>
      <c r="AH829">
        <v>0</v>
      </c>
      <c r="AI829">
        <v>2</v>
      </c>
      <c r="AJ829">
        <f t="shared" si="12"/>
        <v>0</v>
      </c>
      <c r="AK829" t="str" cm="1">
        <f t="array" ref="AK829">_xlfn.IFS(A829&lt;=30,"18-30",A829&lt;=45,"31-45",A829&lt;=60,"46-60",TRUE, "60+")</f>
        <v>18-30</v>
      </c>
      <c r="AL829" t="str" cm="1">
        <f t="array" ref="AL829">_xlfn.IFS(F829&lt;=10,"0-10",F829&lt;=20,"11-20",TRUE,"20+")</f>
        <v>0-10</v>
      </c>
      <c r="AM829" t="str" cm="1">
        <f t="array" ref="AM829">_xlfn.IFS(S829&lt;=5000,"0-5k",S829&lt;=10000,"5k-10k",S829&lt;=15000,"10k-15k",TRUE,"15k+")</f>
        <v>0-5k</v>
      </c>
      <c r="AN829" t="str" cm="1">
        <f t="array" ref="AN829">_xlfn.IFS(AF829&lt;=10,"0-10",AF829&lt;=20,"10-20",AF829&lt;=30,"20-30",TRUE,"30+")</f>
        <v>0-10</v>
      </c>
      <c r="AO829" t="str" cm="1">
        <f t="array" ref="AO829">_xlfn.IFS(Y829=1,"Poor",Y829=2,"Average",Y829=3,"Good",TRUE,"Excellent")</f>
        <v>Good</v>
      </c>
      <c r="AP829" t="str" cm="1">
        <f t="array" ref="AP829">_xlfn.IFS(Q829=1,"Low",Q829=2,"Medium",Q829=3,"High",TRUE,"Very High")</f>
        <v>High</v>
      </c>
    </row>
    <row r="830" spans="1:42" x14ac:dyDescent="0.25">
      <c r="A830">
        <v>18</v>
      </c>
      <c r="B830" t="s">
        <v>35</v>
      </c>
      <c r="C830" t="s">
        <v>53</v>
      </c>
      <c r="D830">
        <v>247</v>
      </c>
      <c r="E830" t="s">
        <v>43</v>
      </c>
      <c r="F830">
        <v>8</v>
      </c>
      <c r="G830">
        <v>1</v>
      </c>
      <c r="H830" t="s">
        <v>49</v>
      </c>
      <c r="I830">
        <v>1</v>
      </c>
      <c r="J830">
        <v>1156</v>
      </c>
      <c r="K830">
        <v>3</v>
      </c>
      <c r="L830" t="s">
        <v>44</v>
      </c>
      <c r="M830">
        <v>80</v>
      </c>
      <c r="N830">
        <v>3</v>
      </c>
      <c r="O830">
        <v>1</v>
      </c>
      <c r="P830" t="s">
        <v>48</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c r="AJ830">
        <f t="shared" si="12"/>
        <v>1</v>
      </c>
      <c r="AK830" t="str" cm="1">
        <f t="array" ref="AK830">_xlfn.IFS(A830&lt;=30,"18-30",A830&lt;=45,"31-45",A830&lt;=60,"46-60",TRUE, "60+")</f>
        <v>18-30</v>
      </c>
      <c r="AL830" t="str" cm="1">
        <f t="array" ref="AL830">_xlfn.IFS(F830&lt;=10,"0-10",F830&lt;=20,"11-20",TRUE,"20+")</f>
        <v>0-10</v>
      </c>
      <c r="AM830" t="str" cm="1">
        <f t="array" ref="AM830">_xlfn.IFS(S830&lt;=5000,"0-5k",S830&lt;=10000,"5k-10k",S830&lt;=15000,"10k-15k",TRUE,"15k+")</f>
        <v>0-5k</v>
      </c>
      <c r="AN830" t="str" cm="1">
        <f t="array" ref="AN830">_xlfn.IFS(AF830&lt;=10,"0-10",AF830&lt;=20,"10-20",AF830&lt;=30,"20-30",TRUE,"30+")</f>
        <v>0-10</v>
      </c>
      <c r="AO830" t="str" cm="1">
        <f t="array" ref="AO830">_xlfn.IFS(Y830=1,"Poor",Y830=2,"Average",Y830=3,"Good",TRUE,"Excellent")</f>
        <v>Good</v>
      </c>
      <c r="AP830" t="str" cm="1">
        <f t="array" ref="AP830">_xlfn.IFS(Q830=1,"Low",Q830=2,"Medium",Q830=3,"High",TRUE,"Very High")</f>
        <v>High</v>
      </c>
    </row>
    <row r="831" spans="1:42" x14ac:dyDescent="0.25">
      <c r="A831">
        <v>33</v>
      </c>
      <c r="B831" t="s">
        <v>35</v>
      </c>
      <c r="C831" t="s">
        <v>90</v>
      </c>
      <c r="D831">
        <v>603</v>
      </c>
      <c r="E831" t="s">
        <v>36</v>
      </c>
      <c r="F831">
        <v>9</v>
      </c>
      <c r="G831">
        <v>4</v>
      </c>
      <c r="H831" t="s">
        <v>57</v>
      </c>
      <c r="I831">
        <v>1</v>
      </c>
      <c r="J831">
        <v>1157</v>
      </c>
      <c r="K831">
        <v>1</v>
      </c>
      <c r="L831" t="s">
        <v>38</v>
      </c>
      <c r="M831">
        <v>77</v>
      </c>
      <c r="N831">
        <v>3</v>
      </c>
      <c r="O831">
        <v>2</v>
      </c>
      <c r="P831" t="s">
        <v>39</v>
      </c>
      <c r="Q831">
        <v>1</v>
      </c>
      <c r="R831" t="s">
        <v>40</v>
      </c>
      <c r="S831">
        <v>8224</v>
      </c>
      <c r="T831">
        <v>18385</v>
      </c>
      <c r="U831">
        <v>0</v>
      </c>
      <c r="V831" t="s">
        <v>41</v>
      </c>
      <c r="W831" t="s">
        <v>35</v>
      </c>
      <c r="X831">
        <v>17</v>
      </c>
      <c r="Y831">
        <v>3</v>
      </c>
      <c r="Z831">
        <v>1</v>
      </c>
      <c r="AA831">
        <v>80</v>
      </c>
      <c r="AB831">
        <v>0</v>
      </c>
      <c r="AC831">
        <v>6</v>
      </c>
      <c r="AD831">
        <v>3</v>
      </c>
      <c r="AE831">
        <v>3</v>
      </c>
      <c r="AF831">
        <v>5</v>
      </c>
      <c r="AG831">
        <v>2</v>
      </c>
      <c r="AH831">
        <v>0</v>
      </c>
      <c r="AI831">
        <v>3</v>
      </c>
      <c r="AJ831">
        <f t="shared" si="12"/>
        <v>1</v>
      </c>
      <c r="AK831" t="str" cm="1">
        <f t="array" ref="AK831">_xlfn.IFS(A831&lt;=30,"18-30",A831&lt;=45,"31-45",A831&lt;=60,"46-60",TRUE, "60+")</f>
        <v>31-45</v>
      </c>
      <c r="AL831" t="str" cm="1">
        <f t="array" ref="AL831">_xlfn.IFS(F831&lt;=10,"0-10",F831&lt;=20,"11-20",TRUE,"20+")</f>
        <v>0-10</v>
      </c>
      <c r="AM831" t="str" cm="1">
        <f t="array" ref="AM831">_xlfn.IFS(S831&lt;=5000,"0-5k",S831&lt;=10000,"5k-10k",S831&lt;=15000,"10k-15k",TRUE,"15k+")</f>
        <v>5k-10k</v>
      </c>
      <c r="AN831" t="str" cm="1">
        <f t="array" ref="AN831">_xlfn.IFS(AF831&lt;=10,"0-10",AF831&lt;=20,"10-20",AF831&lt;=30,"20-30",TRUE,"30+")</f>
        <v>0-10</v>
      </c>
      <c r="AO831" t="str" cm="1">
        <f t="array" ref="AO831">_xlfn.IFS(Y831=1,"Poor",Y831=2,"Average",Y831=3,"Good",TRUE,"Excellent")</f>
        <v>Good</v>
      </c>
      <c r="AP831" t="str" cm="1">
        <f t="array" ref="AP831">_xlfn.IFS(Q831=1,"Low",Q831=2,"Medium",Q831=3,"High",TRUE,"Very High")</f>
        <v>Low</v>
      </c>
    </row>
    <row r="832" spans="1:42" x14ac:dyDescent="0.25">
      <c r="A832">
        <v>41</v>
      </c>
      <c r="B832" t="s">
        <v>42</v>
      </c>
      <c r="C832" t="s">
        <v>90</v>
      </c>
      <c r="D832">
        <v>167</v>
      </c>
      <c r="E832" t="s">
        <v>43</v>
      </c>
      <c r="F832">
        <v>12</v>
      </c>
      <c r="G832">
        <v>4</v>
      </c>
      <c r="H832" t="s">
        <v>37</v>
      </c>
      <c r="I832">
        <v>1</v>
      </c>
      <c r="J832">
        <v>1158</v>
      </c>
      <c r="K832">
        <v>2</v>
      </c>
      <c r="L832" t="s">
        <v>44</v>
      </c>
      <c r="M832">
        <v>46</v>
      </c>
      <c r="N832">
        <v>3</v>
      </c>
      <c r="O832">
        <v>1</v>
      </c>
      <c r="P832" t="s">
        <v>48</v>
      </c>
      <c r="Q832">
        <v>4</v>
      </c>
      <c r="R832" t="s">
        <v>46</v>
      </c>
      <c r="S832">
        <v>4766</v>
      </c>
      <c r="T832">
        <v>9051</v>
      </c>
      <c r="U832">
        <v>3</v>
      </c>
      <c r="V832" t="s">
        <v>41</v>
      </c>
      <c r="W832" t="s">
        <v>35</v>
      </c>
      <c r="X832">
        <v>11</v>
      </c>
      <c r="Y832">
        <v>3</v>
      </c>
      <c r="Z832">
        <v>1</v>
      </c>
      <c r="AA832">
        <v>80</v>
      </c>
      <c r="AB832">
        <v>1</v>
      </c>
      <c r="AC832">
        <v>6</v>
      </c>
      <c r="AD832">
        <v>4</v>
      </c>
      <c r="AE832">
        <v>3</v>
      </c>
      <c r="AF832">
        <v>1</v>
      </c>
      <c r="AG832">
        <v>0</v>
      </c>
      <c r="AH832">
        <v>0</v>
      </c>
      <c r="AI832">
        <v>0</v>
      </c>
      <c r="AJ832">
        <f t="shared" si="12"/>
        <v>0</v>
      </c>
      <c r="AK832" t="str" cm="1">
        <f t="array" ref="AK832">_xlfn.IFS(A832&lt;=30,"18-30",A832&lt;=45,"31-45",A832&lt;=60,"46-60",TRUE, "60+")</f>
        <v>31-45</v>
      </c>
      <c r="AL832" t="str" cm="1">
        <f t="array" ref="AL832">_xlfn.IFS(F832&lt;=10,"0-10",F832&lt;=20,"11-20",TRUE,"20+")</f>
        <v>11-20</v>
      </c>
      <c r="AM832" t="str" cm="1">
        <f t="array" ref="AM832">_xlfn.IFS(S832&lt;=5000,"0-5k",S832&lt;=10000,"5k-10k",S832&lt;=15000,"10k-15k",TRUE,"15k+")</f>
        <v>0-5k</v>
      </c>
      <c r="AN832" t="str" cm="1">
        <f t="array" ref="AN832">_xlfn.IFS(AF832&lt;=10,"0-10",AF832&lt;=20,"10-20",AF832&lt;=30,"20-30",TRUE,"30+")</f>
        <v>0-10</v>
      </c>
      <c r="AO832" t="str" cm="1">
        <f t="array" ref="AO832">_xlfn.IFS(Y832=1,"Poor",Y832=2,"Average",Y832=3,"Good",TRUE,"Excellent")</f>
        <v>Good</v>
      </c>
      <c r="AP832" t="str" cm="1">
        <f t="array" ref="AP832">_xlfn.IFS(Q832=1,"Low",Q832=2,"Medium",Q832=3,"High",TRUE,"Very High")</f>
        <v>Very High</v>
      </c>
    </row>
    <row r="833" spans="1:42" x14ac:dyDescent="0.25">
      <c r="A833">
        <v>31</v>
      </c>
      <c r="B833" t="s">
        <v>35</v>
      </c>
      <c r="C833" t="s">
        <v>91</v>
      </c>
      <c r="D833">
        <v>874</v>
      </c>
      <c r="E833" t="s">
        <v>43</v>
      </c>
      <c r="F833">
        <v>15</v>
      </c>
      <c r="G833">
        <v>3</v>
      </c>
      <c r="H833" t="s">
        <v>49</v>
      </c>
      <c r="I833">
        <v>1</v>
      </c>
      <c r="J833">
        <v>1160</v>
      </c>
      <c r="K833">
        <v>3</v>
      </c>
      <c r="L833" t="s">
        <v>44</v>
      </c>
      <c r="M833">
        <v>72</v>
      </c>
      <c r="N833">
        <v>3</v>
      </c>
      <c r="O833">
        <v>1</v>
      </c>
      <c r="P833" t="s">
        <v>48</v>
      </c>
      <c r="Q833">
        <v>3</v>
      </c>
      <c r="R833" t="s">
        <v>46</v>
      </c>
      <c r="S833">
        <v>2610</v>
      </c>
      <c r="T833">
        <v>6233</v>
      </c>
      <c r="U833">
        <v>1</v>
      </c>
      <c r="V833" t="s">
        <v>41</v>
      </c>
      <c r="W833" t="s">
        <v>42</v>
      </c>
      <c r="X833">
        <v>12</v>
      </c>
      <c r="Y833">
        <v>3</v>
      </c>
      <c r="Z833">
        <v>3</v>
      </c>
      <c r="AA833">
        <v>80</v>
      </c>
      <c r="AB833">
        <v>1</v>
      </c>
      <c r="AC833">
        <v>2</v>
      </c>
      <c r="AD833">
        <v>5</v>
      </c>
      <c r="AE833">
        <v>2</v>
      </c>
      <c r="AF833">
        <v>2</v>
      </c>
      <c r="AG833">
        <v>2</v>
      </c>
      <c r="AH833">
        <v>2</v>
      </c>
      <c r="AI833">
        <v>2</v>
      </c>
      <c r="AJ833">
        <f t="shared" si="12"/>
        <v>1</v>
      </c>
      <c r="AK833" t="str" cm="1">
        <f t="array" ref="AK833">_xlfn.IFS(A833&lt;=30,"18-30",A833&lt;=45,"31-45",A833&lt;=60,"46-60",TRUE, "60+")</f>
        <v>31-45</v>
      </c>
      <c r="AL833" t="str" cm="1">
        <f t="array" ref="AL833">_xlfn.IFS(F833&lt;=10,"0-10",F833&lt;=20,"11-20",TRUE,"20+")</f>
        <v>11-20</v>
      </c>
      <c r="AM833" t="str" cm="1">
        <f t="array" ref="AM833">_xlfn.IFS(S833&lt;=5000,"0-5k",S833&lt;=10000,"5k-10k",S833&lt;=15000,"10k-15k",TRUE,"15k+")</f>
        <v>0-5k</v>
      </c>
      <c r="AN833" t="str" cm="1">
        <f t="array" ref="AN833">_xlfn.IFS(AF833&lt;=10,"0-10",AF833&lt;=20,"10-20",AF833&lt;=30,"20-30",TRUE,"30+")</f>
        <v>0-10</v>
      </c>
      <c r="AO833" t="str" cm="1">
        <f t="array" ref="AO833">_xlfn.IFS(Y833=1,"Poor",Y833=2,"Average",Y833=3,"Good",TRUE,"Excellent")</f>
        <v>Good</v>
      </c>
      <c r="AP833" t="str" cm="1">
        <f t="array" ref="AP833">_xlfn.IFS(Q833=1,"Low",Q833=2,"Medium",Q833=3,"High",TRUE,"Very High")</f>
        <v>High</v>
      </c>
    </row>
    <row r="834" spans="1:42" x14ac:dyDescent="0.25">
      <c r="A834">
        <v>37</v>
      </c>
      <c r="B834" t="s">
        <v>42</v>
      </c>
      <c r="C834" t="s">
        <v>90</v>
      </c>
      <c r="D834">
        <v>367</v>
      </c>
      <c r="E834" t="s">
        <v>43</v>
      </c>
      <c r="F834">
        <v>25</v>
      </c>
      <c r="G834">
        <v>2</v>
      </c>
      <c r="H834" t="s">
        <v>49</v>
      </c>
      <c r="I834">
        <v>1</v>
      </c>
      <c r="J834">
        <v>1161</v>
      </c>
      <c r="K834">
        <v>3</v>
      </c>
      <c r="L834" t="s">
        <v>38</v>
      </c>
      <c r="M834">
        <v>52</v>
      </c>
      <c r="N834">
        <v>2</v>
      </c>
      <c r="O834">
        <v>2</v>
      </c>
      <c r="P834" t="s">
        <v>52</v>
      </c>
      <c r="Q834">
        <v>4</v>
      </c>
      <c r="R834" t="s">
        <v>50</v>
      </c>
      <c r="S834">
        <v>5731</v>
      </c>
      <c r="T834">
        <v>17171</v>
      </c>
      <c r="U834">
        <v>7</v>
      </c>
      <c r="V834" t="s">
        <v>41</v>
      </c>
      <c r="W834" t="s">
        <v>42</v>
      </c>
      <c r="X834">
        <v>13</v>
      </c>
      <c r="Y834">
        <v>3</v>
      </c>
      <c r="Z834">
        <v>3</v>
      </c>
      <c r="AA834">
        <v>80</v>
      </c>
      <c r="AB834">
        <v>2</v>
      </c>
      <c r="AC834">
        <v>9</v>
      </c>
      <c r="AD834">
        <v>2</v>
      </c>
      <c r="AE834">
        <v>3</v>
      </c>
      <c r="AF834">
        <v>6</v>
      </c>
      <c r="AG834">
        <v>2</v>
      </c>
      <c r="AH834">
        <v>1</v>
      </c>
      <c r="AI834">
        <v>3</v>
      </c>
      <c r="AJ834">
        <f t="shared" ref="AJ834:AJ897" si="13">IF(B834="yes",1,0)</f>
        <v>0</v>
      </c>
      <c r="AK834" t="str" cm="1">
        <f t="array" ref="AK834">_xlfn.IFS(A834&lt;=30,"18-30",A834&lt;=45,"31-45",A834&lt;=60,"46-60",TRUE, "60+")</f>
        <v>31-45</v>
      </c>
      <c r="AL834" t="str" cm="1">
        <f t="array" ref="AL834">_xlfn.IFS(F834&lt;=10,"0-10",F834&lt;=20,"11-20",TRUE,"20+")</f>
        <v>20+</v>
      </c>
      <c r="AM834" t="str" cm="1">
        <f t="array" ref="AM834">_xlfn.IFS(S834&lt;=5000,"0-5k",S834&lt;=10000,"5k-10k",S834&lt;=15000,"10k-15k",TRUE,"15k+")</f>
        <v>5k-10k</v>
      </c>
      <c r="AN834" t="str" cm="1">
        <f t="array" ref="AN834">_xlfn.IFS(AF834&lt;=10,"0-10",AF834&lt;=20,"10-20",AF834&lt;=30,"20-30",TRUE,"30+")</f>
        <v>0-10</v>
      </c>
      <c r="AO834" t="str" cm="1">
        <f t="array" ref="AO834">_xlfn.IFS(Y834=1,"Poor",Y834=2,"Average",Y834=3,"Good",TRUE,"Excellent")</f>
        <v>Good</v>
      </c>
      <c r="AP834" t="str" cm="1">
        <f t="array" ref="AP834">_xlfn.IFS(Q834=1,"Low",Q834=2,"Medium",Q834=3,"High",TRUE,"Very High")</f>
        <v>Very High</v>
      </c>
    </row>
    <row r="835" spans="1:42" x14ac:dyDescent="0.25">
      <c r="A835">
        <v>27</v>
      </c>
      <c r="B835" t="s">
        <v>42</v>
      </c>
      <c r="C835" t="s">
        <v>90</v>
      </c>
      <c r="D835">
        <v>199</v>
      </c>
      <c r="E835" t="s">
        <v>43</v>
      </c>
      <c r="F835">
        <v>6</v>
      </c>
      <c r="G835">
        <v>3</v>
      </c>
      <c r="H835" t="s">
        <v>37</v>
      </c>
      <c r="I835">
        <v>1</v>
      </c>
      <c r="J835">
        <v>1162</v>
      </c>
      <c r="K835">
        <v>4</v>
      </c>
      <c r="L835" t="s">
        <v>44</v>
      </c>
      <c r="M835">
        <v>55</v>
      </c>
      <c r="N835">
        <v>2</v>
      </c>
      <c r="O835">
        <v>1</v>
      </c>
      <c r="P835" t="s">
        <v>45</v>
      </c>
      <c r="Q835">
        <v>3</v>
      </c>
      <c r="R835" t="s">
        <v>46</v>
      </c>
      <c r="S835">
        <v>2539</v>
      </c>
      <c r="T835">
        <v>7950</v>
      </c>
      <c r="U835">
        <v>1</v>
      </c>
      <c r="V835" t="s">
        <v>41</v>
      </c>
      <c r="W835" t="s">
        <v>42</v>
      </c>
      <c r="X835">
        <v>13</v>
      </c>
      <c r="Y835">
        <v>3</v>
      </c>
      <c r="Z835">
        <v>3</v>
      </c>
      <c r="AA835">
        <v>80</v>
      </c>
      <c r="AB835">
        <v>1</v>
      </c>
      <c r="AC835">
        <v>4</v>
      </c>
      <c r="AD835">
        <v>0</v>
      </c>
      <c r="AE835">
        <v>3</v>
      </c>
      <c r="AF835">
        <v>4</v>
      </c>
      <c r="AG835">
        <v>2</v>
      </c>
      <c r="AH835">
        <v>2</v>
      </c>
      <c r="AI835">
        <v>2</v>
      </c>
      <c r="AJ835">
        <f t="shared" si="13"/>
        <v>0</v>
      </c>
      <c r="AK835" t="str" cm="1">
        <f t="array" ref="AK835">_xlfn.IFS(A835&lt;=30,"18-30",A835&lt;=45,"31-45",A835&lt;=60,"46-60",TRUE, "60+")</f>
        <v>18-30</v>
      </c>
      <c r="AL835" t="str" cm="1">
        <f t="array" ref="AL835">_xlfn.IFS(F835&lt;=10,"0-10",F835&lt;=20,"11-20",TRUE,"20+")</f>
        <v>0-10</v>
      </c>
      <c r="AM835" t="str" cm="1">
        <f t="array" ref="AM835">_xlfn.IFS(S835&lt;=5000,"0-5k",S835&lt;=10000,"5k-10k",S835&lt;=15000,"10k-15k",TRUE,"15k+")</f>
        <v>0-5k</v>
      </c>
      <c r="AN835" t="str" cm="1">
        <f t="array" ref="AN835">_xlfn.IFS(AF835&lt;=10,"0-10",AF835&lt;=20,"10-20",AF835&lt;=30,"20-30",TRUE,"30+")</f>
        <v>0-10</v>
      </c>
      <c r="AO835" t="str" cm="1">
        <f t="array" ref="AO835">_xlfn.IFS(Y835=1,"Poor",Y835=2,"Average",Y835=3,"Good",TRUE,"Excellent")</f>
        <v>Good</v>
      </c>
      <c r="AP835" t="str" cm="1">
        <f t="array" ref="AP835">_xlfn.IFS(Q835=1,"Low",Q835=2,"Medium",Q835=3,"High",TRUE,"Very High")</f>
        <v>High</v>
      </c>
    </row>
    <row r="836" spans="1:42" x14ac:dyDescent="0.25">
      <c r="A836">
        <v>34</v>
      </c>
      <c r="B836" t="s">
        <v>42</v>
      </c>
      <c r="C836" t="s">
        <v>90</v>
      </c>
      <c r="D836">
        <v>1400</v>
      </c>
      <c r="E836" t="s">
        <v>36</v>
      </c>
      <c r="F836">
        <v>9</v>
      </c>
      <c r="G836">
        <v>1</v>
      </c>
      <c r="H836" t="s">
        <v>37</v>
      </c>
      <c r="I836">
        <v>1</v>
      </c>
      <c r="J836">
        <v>1163</v>
      </c>
      <c r="K836">
        <v>2</v>
      </c>
      <c r="L836" t="s">
        <v>38</v>
      </c>
      <c r="M836">
        <v>70</v>
      </c>
      <c r="N836">
        <v>3</v>
      </c>
      <c r="O836">
        <v>2</v>
      </c>
      <c r="P836" t="s">
        <v>39</v>
      </c>
      <c r="Q836">
        <v>3</v>
      </c>
      <c r="R836" t="s">
        <v>46</v>
      </c>
      <c r="S836">
        <v>5714</v>
      </c>
      <c r="T836">
        <v>5829</v>
      </c>
      <c r="U836">
        <v>1</v>
      </c>
      <c r="V836" t="s">
        <v>41</v>
      </c>
      <c r="W836" t="s">
        <v>42</v>
      </c>
      <c r="X836">
        <v>20</v>
      </c>
      <c r="Y836">
        <v>4</v>
      </c>
      <c r="Z836">
        <v>1</v>
      </c>
      <c r="AA836">
        <v>80</v>
      </c>
      <c r="AB836">
        <v>0</v>
      </c>
      <c r="AC836">
        <v>6</v>
      </c>
      <c r="AD836">
        <v>3</v>
      </c>
      <c r="AE836">
        <v>2</v>
      </c>
      <c r="AF836">
        <v>6</v>
      </c>
      <c r="AG836">
        <v>5</v>
      </c>
      <c r="AH836">
        <v>1</v>
      </c>
      <c r="AI836">
        <v>3</v>
      </c>
      <c r="AJ836">
        <f t="shared" si="13"/>
        <v>0</v>
      </c>
      <c r="AK836" t="str" cm="1">
        <f t="array" ref="AK836">_xlfn.IFS(A836&lt;=30,"18-30",A836&lt;=45,"31-45",A836&lt;=60,"46-60",TRUE, "60+")</f>
        <v>31-45</v>
      </c>
      <c r="AL836" t="str" cm="1">
        <f t="array" ref="AL836">_xlfn.IFS(F836&lt;=10,"0-10",F836&lt;=20,"11-20",TRUE,"20+")</f>
        <v>0-10</v>
      </c>
      <c r="AM836" t="str" cm="1">
        <f t="array" ref="AM836">_xlfn.IFS(S836&lt;=5000,"0-5k",S836&lt;=10000,"5k-10k",S836&lt;=15000,"10k-15k",TRUE,"15k+")</f>
        <v>5k-10k</v>
      </c>
      <c r="AN836" t="str" cm="1">
        <f t="array" ref="AN836">_xlfn.IFS(AF836&lt;=10,"0-10",AF836&lt;=20,"10-20",AF836&lt;=30,"20-30",TRUE,"30+")</f>
        <v>0-10</v>
      </c>
      <c r="AO836" t="str" cm="1">
        <f t="array" ref="AO836">_xlfn.IFS(Y836=1,"Poor",Y836=2,"Average",Y836=3,"Good",TRUE,"Excellent")</f>
        <v>Excellent</v>
      </c>
      <c r="AP836" t="str" cm="1">
        <f t="array" ref="AP836">_xlfn.IFS(Q836=1,"Low",Q836=2,"Medium",Q836=3,"High",TRUE,"Very High")</f>
        <v>High</v>
      </c>
    </row>
    <row r="837" spans="1:42" x14ac:dyDescent="0.25">
      <c r="A837">
        <v>35</v>
      </c>
      <c r="B837" t="s">
        <v>42</v>
      </c>
      <c r="C837" t="s">
        <v>90</v>
      </c>
      <c r="D837">
        <v>528</v>
      </c>
      <c r="E837" t="s">
        <v>59</v>
      </c>
      <c r="F837">
        <v>8</v>
      </c>
      <c r="G837">
        <v>4</v>
      </c>
      <c r="H837" t="s">
        <v>58</v>
      </c>
      <c r="I837">
        <v>1</v>
      </c>
      <c r="J837">
        <v>1164</v>
      </c>
      <c r="K837">
        <v>3</v>
      </c>
      <c r="L837" t="s">
        <v>44</v>
      </c>
      <c r="M837">
        <v>100</v>
      </c>
      <c r="N837">
        <v>3</v>
      </c>
      <c r="O837">
        <v>1</v>
      </c>
      <c r="P837" t="s">
        <v>59</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c r="AJ837">
        <f t="shared" si="13"/>
        <v>0</v>
      </c>
      <c r="AK837" t="str" cm="1">
        <f t="array" ref="AK837">_xlfn.IFS(A837&lt;=30,"18-30",A837&lt;=45,"31-45",A837&lt;=60,"46-60",TRUE, "60+")</f>
        <v>31-45</v>
      </c>
      <c r="AL837" t="str" cm="1">
        <f t="array" ref="AL837">_xlfn.IFS(F837&lt;=10,"0-10",F837&lt;=20,"11-20",TRUE,"20+")</f>
        <v>0-10</v>
      </c>
      <c r="AM837" t="str" cm="1">
        <f t="array" ref="AM837">_xlfn.IFS(S837&lt;=5000,"0-5k",S837&lt;=10000,"5k-10k",S837&lt;=15000,"10k-15k",TRUE,"15k+")</f>
        <v>0-5k</v>
      </c>
      <c r="AN837" t="str" cm="1">
        <f t="array" ref="AN837">_xlfn.IFS(AF837&lt;=10,"0-10",AF837&lt;=20,"10-20",AF837&lt;=30,"20-30",TRUE,"30+")</f>
        <v>0-10</v>
      </c>
      <c r="AO837" t="str" cm="1">
        <f t="array" ref="AO837">_xlfn.IFS(Y837=1,"Poor",Y837=2,"Average",Y837=3,"Good",TRUE,"Excellent")</f>
        <v>Good</v>
      </c>
      <c r="AP837" t="str" cm="1">
        <f t="array" ref="AP837">_xlfn.IFS(Q837=1,"Low",Q837=2,"Medium",Q837=3,"High",TRUE,"Very High")</f>
        <v>High</v>
      </c>
    </row>
    <row r="838" spans="1:42" x14ac:dyDescent="0.25">
      <c r="A838">
        <v>29</v>
      </c>
      <c r="B838" t="s">
        <v>35</v>
      </c>
      <c r="C838" t="s">
        <v>90</v>
      </c>
      <c r="D838">
        <v>408</v>
      </c>
      <c r="E838" t="s">
        <v>36</v>
      </c>
      <c r="F838">
        <v>23</v>
      </c>
      <c r="G838">
        <v>1</v>
      </c>
      <c r="H838" t="s">
        <v>37</v>
      </c>
      <c r="I838">
        <v>1</v>
      </c>
      <c r="J838">
        <v>1165</v>
      </c>
      <c r="K838">
        <v>4</v>
      </c>
      <c r="L838" t="s">
        <v>38</v>
      </c>
      <c r="M838">
        <v>45</v>
      </c>
      <c r="N838">
        <v>2</v>
      </c>
      <c r="O838">
        <v>3</v>
      </c>
      <c r="P838" t="s">
        <v>39</v>
      </c>
      <c r="Q838">
        <v>1</v>
      </c>
      <c r="R838" t="s">
        <v>46</v>
      </c>
      <c r="S838">
        <v>7336</v>
      </c>
      <c r="T838">
        <v>11162</v>
      </c>
      <c r="U838">
        <v>1</v>
      </c>
      <c r="V838" t="s">
        <v>41</v>
      </c>
      <c r="W838" t="s">
        <v>42</v>
      </c>
      <c r="X838">
        <v>13</v>
      </c>
      <c r="Y838">
        <v>3</v>
      </c>
      <c r="Z838">
        <v>1</v>
      </c>
      <c r="AA838">
        <v>80</v>
      </c>
      <c r="AB838">
        <v>1</v>
      </c>
      <c r="AC838">
        <v>11</v>
      </c>
      <c r="AD838">
        <v>3</v>
      </c>
      <c r="AE838">
        <v>1</v>
      </c>
      <c r="AF838">
        <v>11</v>
      </c>
      <c r="AG838">
        <v>8</v>
      </c>
      <c r="AH838">
        <v>3</v>
      </c>
      <c r="AI838">
        <v>10</v>
      </c>
      <c r="AJ838">
        <f t="shared" si="13"/>
        <v>1</v>
      </c>
      <c r="AK838" t="str" cm="1">
        <f t="array" ref="AK838">_xlfn.IFS(A838&lt;=30,"18-30",A838&lt;=45,"31-45",A838&lt;=60,"46-60",TRUE, "60+")</f>
        <v>18-30</v>
      </c>
      <c r="AL838" t="str" cm="1">
        <f t="array" ref="AL838">_xlfn.IFS(F838&lt;=10,"0-10",F838&lt;=20,"11-20",TRUE,"20+")</f>
        <v>20+</v>
      </c>
      <c r="AM838" t="str" cm="1">
        <f t="array" ref="AM838">_xlfn.IFS(S838&lt;=5000,"0-5k",S838&lt;=10000,"5k-10k",S838&lt;=15000,"10k-15k",TRUE,"15k+")</f>
        <v>5k-10k</v>
      </c>
      <c r="AN838" t="str" cm="1">
        <f t="array" ref="AN838">_xlfn.IFS(AF838&lt;=10,"0-10",AF838&lt;=20,"10-20",AF838&lt;=30,"20-30",TRUE,"30+")</f>
        <v>10-20</v>
      </c>
      <c r="AO838" t="str" cm="1">
        <f t="array" ref="AO838">_xlfn.IFS(Y838=1,"Poor",Y838=2,"Average",Y838=3,"Good",TRUE,"Excellent")</f>
        <v>Good</v>
      </c>
      <c r="AP838" t="str" cm="1">
        <f t="array" ref="AP838">_xlfn.IFS(Q838=1,"Low",Q838=2,"Medium",Q838=3,"High",TRUE,"Very High")</f>
        <v>Low</v>
      </c>
    </row>
    <row r="839" spans="1:42" x14ac:dyDescent="0.25">
      <c r="A839">
        <v>40</v>
      </c>
      <c r="B839" t="s">
        <v>42</v>
      </c>
      <c r="C839" t="s">
        <v>91</v>
      </c>
      <c r="D839">
        <v>593</v>
      </c>
      <c r="E839" t="s">
        <v>43</v>
      </c>
      <c r="F839">
        <v>9</v>
      </c>
      <c r="G839">
        <v>4</v>
      </c>
      <c r="H839" t="s">
        <v>49</v>
      </c>
      <c r="I839">
        <v>1</v>
      </c>
      <c r="J839">
        <v>1166</v>
      </c>
      <c r="K839">
        <v>2</v>
      </c>
      <c r="L839" t="s">
        <v>38</v>
      </c>
      <c r="M839">
        <v>88</v>
      </c>
      <c r="N839">
        <v>3</v>
      </c>
      <c r="O839">
        <v>3</v>
      </c>
      <c r="P839" t="s">
        <v>56</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c r="AJ839">
        <f t="shared" si="13"/>
        <v>0</v>
      </c>
      <c r="AK839" t="str" cm="1">
        <f t="array" ref="AK839">_xlfn.IFS(A839&lt;=30,"18-30",A839&lt;=45,"31-45",A839&lt;=60,"46-60",TRUE, "60+")</f>
        <v>31-45</v>
      </c>
      <c r="AL839" t="str" cm="1">
        <f t="array" ref="AL839">_xlfn.IFS(F839&lt;=10,"0-10",F839&lt;=20,"11-20",TRUE,"20+")</f>
        <v>0-10</v>
      </c>
      <c r="AM839" t="str" cm="1">
        <f t="array" ref="AM839">_xlfn.IFS(S839&lt;=5000,"0-5k",S839&lt;=10000,"5k-10k",S839&lt;=15000,"10k-15k",TRUE,"15k+")</f>
        <v>10k-15k</v>
      </c>
      <c r="AN839" t="str" cm="1">
        <f t="array" ref="AN839">_xlfn.IFS(AF839&lt;=10,"0-10",AF839&lt;=20,"10-20",AF839&lt;=30,"20-30",TRUE,"30+")</f>
        <v>10-20</v>
      </c>
      <c r="AO839" t="str" cm="1">
        <f t="array" ref="AO839">_xlfn.IFS(Y839=1,"Poor",Y839=2,"Average",Y839=3,"Good",TRUE,"Excellent")</f>
        <v>Good</v>
      </c>
      <c r="AP839" t="str" cm="1">
        <f t="array" ref="AP839">_xlfn.IFS(Q839=1,"Low",Q839=2,"Medium",Q839=3,"High",TRUE,"Very High")</f>
        <v>High</v>
      </c>
    </row>
    <row r="840" spans="1:42" x14ac:dyDescent="0.25">
      <c r="A840">
        <v>42</v>
      </c>
      <c r="B840" t="s">
        <v>35</v>
      </c>
      <c r="C840" t="s">
        <v>91</v>
      </c>
      <c r="D840">
        <v>481</v>
      </c>
      <c r="E840" t="s">
        <v>36</v>
      </c>
      <c r="F840">
        <v>12</v>
      </c>
      <c r="G840">
        <v>3</v>
      </c>
      <c r="H840" t="s">
        <v>37</v>
      </c>
      <c r="I840">
        <v>1</v>
      </c>
      <c r="J840">
        <v>1167</v>
      </c>
      <c r="K840">
        <v>3</v>
      </c>
      <c r="L840" t="s">
        <v>44</v>
      </c>
      <c r="M840">
        <v>44</v>
      </c>
      <c r="N840">
        <v>3</v>
      </c>
      <c r="O840">
        <v>4</v>
      </c>
      <c r="P840" t="s">
        <v>39</v>
      </c>
      <c r="Q840">
        <v>1</v>
      </c>
      <c r="R840" t="s">
        <v>40</v>
      </c>
      <c r="S840">
        <v>13758</v>
      </c>
      <c r="T840">
        <v>2447</v>
      </c>
      <c r="U840">
        <v>0</v>
      </c>
      <c r="V840" t="s">
        <v>41</v>
      </c>
      <c r="W840" t="s">
        <v>35</v>
      </c>
      <c r="X840">
        <v>12</v>
      </c>
      <c r="Y840">
        <v>3</v>
      </c>
      <c r="Z840">
        <v>2</v>
      </c>
      <c r="AA840">
        <v>80</v>
      </c>
      <c r="AB840">
        <v>0</v>
      </c>
      <c r="AC840">
        <v>22</v>
      </c>
      <c r="AD840">
        <v>2</v>
      </c>
      <c r="AE840">
        <v>2</v>
      </c>
      <c r="AF840">
        <v>21</v>
      </c>
      <c r="AG840">
        <v>9</v>
      </c>
      <c r="AH840">
        <v>13</v>
      </c>
      <c r="AI840">
        <v>14</v>
      </c>
      <c r="AJ840">
        <f t="shared" si="13"/>
        <v>1</v>
      </c>
      <c r="AK840" t="str" cm="1">
        <f t="array" ref="AK840">_xlfn.IFS(A840&lt;=30,"18-30",A840&lt;=45,"31-45",A840&lt;=60,"46-60",TRUE, "60+")</f>
        <v>31-45</v>
      </c>
      <c r="AL840" t="str" cm="1">
        <f t="array" ref="AL840">_xlfn.IFS(F840&lt;=10,"0-10",F840&lt;=20,"11-20",TRUE,"20+")</f>
        <v>11-20</v>
      </c>
      <c r="AM840" t="str" cm="1">
        <f t="array" ref="AM840">_xlfn.IFS(S840&lt;=5000,"0-5k",S840&lt;=10000,"5k-10k",S840&lt;=15000,"10k-15k",TRUE,"15k+")</f>
        <v>10k-15k</v>
      </c>
      <c r="AN840" t="str" cm="1">
        <f t="array" ref="AN840">_xlfn.IFS(AF840&lt;=10,"0-10",AF840&lt;=20,"10-20",AF840&lt;=30,"20-30",TRUE,"30+")</f>
        <v>20-30</v>
      </c>
      <c r="AO840" t="str" cm="1">
        <f t="array" ref="AO840">_xlfn.IFS(Y840=1,"Poor",Y840=2,"Average",Y840=3,"Good",TRUE,"Excellent")</f>
        <v>Good</v>
      </c>
      <c r="AP840" t="str" cm="1">
        <f t="array" ref="AP840">_xlfn.IFS(Q840=1,"Low",Q840=2,"Medium",Q840=3,"High",TRUE,"Very High")</f>
        <v>Low</v>
      </c>
    </row>
    <row r="841" spans="1:42" x14ac:dyDescent="0.25">
      <c r="A841">
        <v>42</v>
      </c>
      <c r="B841" t="s">
        <v>42</v>
      </c>
      <c r="C841" t="s">
        <v>90</v>
      </c>
      <c r="D841">
        <v>647</v>
      </c>
      <c r="E841" t="s">
        <v>36</v>
      </c>
      <c r="F841">
        <v>4</v>
      </c>
      <c r="G841">
        <v>4</v>
      </c>
      <c r="H841" t="s">
        <v>57</v>
      </c>
      <c r="I841">
        <v>1</v>
      </c>
      <c r="J841">
        <v>1171</v>
      </c>
      <c r="K841">
        <v>2</v>
      </c>
      <c r="L841" t="s">
        <v>44</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c r="AJ841">
        <f t="shared" si="13"/>
        <v>0</v>
      </c>
      <c r="AK841" t="str" cm="1">
        <f t="array" ref="AK841">_xlfn.IFS(A841&lt;=30,"18-30",A841&lt;=45,"31-45",A841&lt;=60,"46-60",TRUE, "60+")</f>
        <v>31-45</v>
      </c>
      <c r="AL841" t="str" cm="1">
        <f t="array" ref="AL841">_xlfn.IFS(F841&lt;=10,"0-10",F841&lt;=20,"11-20",TRUE,"20+")</f>
        <v>0-10</v>
      </c>
      <c r="AM841" t="str" cm="1">
        <f t="array" ref="AM841">_xlfn.IFS(S841&lt;=5000,"0-5k",S841&lt;=10000,"5k-10k",S841&lt;=15000,"10k-15k",TRUE,"15k+")</f>
        <v>5k-10k</v>
      </c>
      <c r="AN841" t="str" cm="1">
        <f t="array" ref="AN841">_xlfn.IFS(AF841&lt;=10,"0-10",AF841&lt;=20,"10-20",AF841&lt;=30,"20-30",TRUE,"30+")</f>
        <v>0-10</v>
      </c>
      <c r="AO841" t="str" cm="1">
        <f t="array" ref="AO841">_xlfn.IFS(Y841=1,"Poor",Y841=2,"Average",Y841=3,"Good",TRUE,"Excellent")</f>
        <v>Good</v>
      </c>
      <c r="AP841" t="str" cm="1">
        <f t="array" ref="AP841">_xlfn.IFS(Q841=1,"Low",Q841=2,"Medium",Q841=3,"High",TRUE,"Very High")</f>
        <v>Low</v>
      </c>
    </row>
    <row r="842" spans="1:42" x14ac:dyDescent="0.25">
      <c r="A842">
        <v>35</v>
      </c>
      <c r="B842" t="s">
        <v>42</v>
      </c>
      <c r="C842" t="s">
        <v>90</v>
      </c>
      <c r="D842">
        <v>982</v>
      </c>
      <c r="E842" t="s">
        <v>43</v>
      </c>
      <c r="F842">
        <v>1</v>
      </c>
      <c r="G842">
        <v>4</v>
      </c>
      <c r="H842" t="s">
        <v>49</v>
      </c>
      <c r="I842">
        <v>1</v>
      </c>
      <c r="J842">
        <v>1172</v>
      </c>
      <c r="K842">
        <v>4</v>
      </c>
      <c r="L842" t="s">
        <v>44</v>
      </c>
      <c r="M842">
        <v>58</v>
      </c>
      <c r="N842">
        <v>2</v>
      </c>
      <c r="O842">
        <v>1</v>
      </c>
      <c r="P842" t="s">
        <v>48</v>
      </c>
      <c r="Q842">
        <v>3</v>
      </c>
      <c r="R842" t="s">
        <v>46</v>
      </c>
      <c r="S842">
        <v>2258</v>
      </c>
      <c r="T842">
        <v>16340</v>
      </c>
      <c r="U842">
        <v>6</v>
      </c>
      <c r="V842" t="s">
        <v>41</v>
      </c>
      <c r="W842" t="s">
        <v>42</v>
      </c>
      <c r="X842">
        <v>12</v>
      </c>
      <c r="Y842">
        <v>3</v>
      </c>
      <c r="Z842">
        <v>2</v>
      </c>
      <c r="AA842">
        <v>80</v>
      </c>
      <c r="AB842">
        <v>1</v>
      </c>
      <c r="AC842">
        <v>10</v>
      </c>
      <c r="AD842">
        <v>2</v>
      </c>
      <c r="AE842">
        <v>3</v>
      </c>
      <c r="AF842">
        <v>8</v>
      </c>
      <c r="AG842">
        <v>0</v>
      </c>
      <c r="AH842">
        <v>1</v>
      </c>
      <c r="AI842">
        <v>7</v>
      </c>
      <c r="AJ842">
        <f t="shared" si="13"/>
        <v>0</v>
      </c>
      <c r="AK842" t="str" cm="1">
        <f t="array" ref="AK842">_xlfn.IFS(A842&lt;=30,"18-30",A842&lt;=45,"31-45",A842&lt;=60,"46-60",TRUE, "60+")</f>
        <v>31-45</v>
      </c>
      <c r="AL842" t="str" cm="1">
        <f t="array" ref="AL842">_xlfn.IFS(F842&lt;=10,"0-10",F842&lt;=20,"11-20",TRUE,"20+")</f>
        <v>0-10</v>
      </c>
      <c r="AM842" t="str" cm="1">
        <f t="array" ref="AM842">_xlfn.IFS(S842&lt;=5000,"0-5k",S842&lt;=10000,"5k-10k",S842&lt;=15000,"10k-15k",TRUE,"15k+")</f>
        <v>0-5k</v>
      </c>
      <c r="AN842" t="str" cm="1">
        <f t="array" ref="AN842">_xlfn.IFS(AF842&lt;=10,"0-10",AF842&lt;=20,"10-20",AF842&lt;=30,"20-30",TRUE,"30+")</f>
        <v>0-10</v>
      </c>
      <c r="AO842" t="str" cm="1">
        <f t="array" ref="AO842">_xlfn.IFS(Y842=1,"Poor",Y842=2,"Average",Y842=3,"Good",TRUE,"Excellent")</f>
        <v>Good</v>
      </c>
      <c r="AP842" t="str" cm="1">
        <f t="array" ref="AP842">_xlfn.IFS(Q842=1,"Low",Q842=2,"Medium",Q842=3,"High",TRUE,"Very High")</f>
        <v>High</v>
      </c>
    </row>
    <row r="843" spans="1:42" x14ac:dyDescent="0.25">
      <c r="A843">
        <v>24</v>
      </c>
      <c r="B843" t="s">
        <v>42</v>
      </c>
      <c r="C843" t="s">
        <v>90</v>
      </c>
      <c r="D843">
        <v>477</v>
      </c>
      <c r="E843" t="s">
        <v>43</v>
      </c>
      <c r="F843">
        <v>24</v>
      </c>
      <c r="G843">
        <v>3</v>
      </c>
      <c r="H843" t="s">
        <v>49</v>
      </c>
      <c r="I843">
        <v>1</v>
      </c>
      <c r="J843">
        <v>1173</v>
      </c>
      <c r="K843">
        <v>4</v>
      </c>
      <c r="L843" t="s">
        <v>44</v>
      </c>
      <c r="M843">
        <v>49</v>
      </c>
      <c r="N843">
        <v>3</v>
      </c>
      <c r="O843">
        <v>1</v>
      </c>
      <c r="P843" t="s">
        <v>48</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c r="AJ843">
        <f t="shared" si="13"/>
        <v>0</v>
      </c>
      <c r="AK843" t="str" cm="1">
        <f t="array" ref="AK843">_xlfn.IFS(A843&lt;=30,"18-30",A843&lt;=45,"31-45",A843&lt;=60,"46-60",TRUE, "60+")</f>
        <v>18-30</v>
      </c>
      <c r="AL843" t="str" cm="1">
        <f t="array" ref="AL843">_xlfn.IFS(F843&lt;=10,"0-10",F843&lt;=20,"11-20",TRUE,"20+")</f>
        <v>20+</v>
      </c>
      <c r="AM843" t="str" cm="1">
        <f t="array" ref="AM843">_xlfn.IFS(S843&lt;=5000,"0-5k",S843&lt;=10000,"5k-10k",S843&lt;=15000,"10k-15k",TRUE,"15k+")</f>
        <v>0-5k</v>
      </c>
      <c r="AN843" t="str" cm="1">
        <f t="array" ref="AN843">_xlfn.IFS(AF843&lt;=10,"0-10",AF843&lt;=20,"10-20",AF843&lt;=30,"20-30",TRUE,"30+")</f>
        <v>0-10</v>
      </c>
      <c r="AO843" t="str" cm="1">
        <f t="array" ref="AO843">_xlfn.IFS(Y843=1,"Poor",Y843=2,"Average",Y843=3,"Good",TRUE,"Excellent")</f>
        <v>Excellent</v>
      </c>
      <c r="AP843" t="str" cm="1">
        <f t="array" ref="AP843">_xlfn.IFS(Q843=1,"Low",Q843=2,"Medium",Q843=3,"High",TRUE,"Very High")</f>
        <v>Medium</v>
      </c>
    </row>
    <row r="844" spans="1:42" x14ac:dyDescent="0.25">
      <c r="A844">
        <v>28</v>
      </c>
      <c r="B844" t="s">
        <v>35</v>
      </c>
      <c r="C844" t="s">
        <v>90</v>
      </c>
      <c r="D844">
        <v>1485</v>
      </c>
      <c r="E844" t="s">
        <v>43</v>
      </c>
      <c r="F844">
        <v>12</v>
      </c>
      <c r="G844">
        <v>1</v>
      </c>
      <c r="H844" t="s">
        <v>37</v>
      </c>
      <c r="I844">
        <v>1</v>
      </c>
      <c r="J844">
        <v>1175</v>
      </c>
      <c r="K844">
        <v>3</v>
      </c>
      <c r="L844" t="s">
        <v>38</v>
      </c>
      <c r="M844">
        <v>79</v>
      </c>
      <c r="N844">
        <v>3</v>
      </c>
      <c r="O844">
        <v>1</v>
      </c>
      <c r="P844" t="s">
        <v>48</v>
      </c>
      <c r="Q844">
        <v>4</v>
      </c>
      <c r="R844" t="s">
        <v>46</v>
      </c>
      <c r="S844">
        <v>2515</v>
      </c>
      <c r="T844">
        <v>22955</v>
      </c>
      <c r="U844">
        <v>1</v>
      </c>
      <c r="V844" t="s">
        <v>41</v>
      </c>
      <c r="W844" t="s">
        <v>35</v>
      </c>
      <c r="X844">
        <v>11</v>
      </c>
      <c r="Y844">
        <v>3</v>
      </c>
      <c r="Z844">
        <v>4</v>
      </c>
      <c r="AA844">
        <v>80</v>
      </c>
      <c r="AB844">
        <v>0</v>
      </c>
      <c r="AC844">
        <v>1</v>
      </c>
      <c r="AD844">
        <v>4</v>
      </c>
      <c r="AE844">
        <v>2</v>
      </c>
      <c r="AF844">
        <v>1</v>
      </c>
      <c r="AG844">
        <v>1</v>
      </c>
      <c r="AH844">
        <v>0</v>
      </c>
      <c r="AI844">
        <v>0</v>
      </c>
      <c r="AJ844">
        <f t="shared" si="13"/>
        <v>1</v>
      </c>
      <c r="AK844" t="str" cm="1">
        <f t="array" ref="AK844">_xlfn.IFS(A844&lt;=30,"18-30",A844&lt;=45,"31-45",A844&lt;=60,"46-60",TRUE, "60+")</f>
        <v>18-30</v>
      </c>
      <c r="AL844" t="str" cm="1">
        <f t="array" ref="AL844">_xlfn.IFS(F844&lt;=10,"0-10",F844&lt;=20,"11-20",TRUE,"20+")</f>
        <v>11-20</v>
      </c>
      <c r="AM844" t="str" cm="1">
        <f t="array" ref="AM844">_xlfn.IFS(S844&lt;=5000,"0-5k",S844&lt;=10000,"5k-10k",S844&lt;=15000,"10k-15k",TRUE,"15k+")</f>
        <v>0-5k</v>
      </c>
      <c r="AN844" t="str" cm="1">
        <f t="array" ref="AN844">_xlfn.IFS(AF844&lt;=10,"0-10",AF844&lt;=20,"10-20",AF844&lt;=30,"20-30",TRUE,"30+")</f>
        <v>0-10</v>
      </c>
      <c r="AO844" t="str" cm="1">
        <f t="array" ref="AO844">_xlfn.IFS(Y844=1,"Poor",Y844=2,"Average",Y844=3,"Good",TRUE,"Excellent")</f>
        <v>Good</v>
      </c>
      <c r="AP844" t="str" cm="1">
        <f t="array" ref="AP844">_xlfn.IFS(Q844=1,"Low",Q844=2,"Medium",Q844=3,"High",TRUE,"Very High")</f>
        <v>Very High</v>
      </c>
    </row>
    <row r="845" spans="1:42" x14ac:dyDescent="0.25">
      <c r="A845">
        <v>26</v>
      </c>
      <c r="B845" t="s">
        <v>42</v>
      </c>
      <c r="C845" t="s">
        <v>90</v>
      </c>
      <c r="D845">
        <v>1384</v>
      </c>
      <c r="E845" t="s">
        <v>43</v>
      </c>
      <c r="F845">
        <v>3</v>
      </c>
      <c r="G845">
        <v>4</v>
      </c>
      <c r="H845" t="s">
        <v>49</v>
      </c>
      <c r="I845">
        <v>1</v>
      </c>
      <c r="J845">
        <v>1177</v>
      </c>
      <c r="K845">
        <v>1</v>
      </c>
      <c r="L845" t="s">
        <v>44</v>
      </c>
      <c r="M845">
        <v>82</v>
      </c>
      <c r="N845">
        <v>4</v>
      </c>
      <c r="O845">
        <v>1</v>
      </c>
      <c r="P845" t="s">
        <v>48</v>
      </c>
      <c r="Q845">
        <v>4</v>
      </c>
      <c r="R845" t="s">
        <v>46</v>
      </c>
      <c r="S845">
        <v>4420</v>
      </c>
      <c r="T845">
        <v>13421</v>
      </c>
      <c r="U845">
        <v>1</v>
      </c>
      <c r="V845" t="s">
        <v>41</v>
      </c>
      <c r="W845" t="s">
        <v>42</v>
      </c>
      <c r="X845">
        <v>22</v>
      </c>
      <c r="Y845">
        <v>4</v>
      </c>
      <c r="Z845">
        <v>2</v>
      </c>
      <c r="AA845">
        <v>80</v>
      </c>
      <c r="AB845">
        <v>1</v>
      </c>
      <c r="AC845">
        <v>8</v>
      </c>
      <c r="AD845">
        <v>2</v>
      </c>
      <c r="AE845">
        <v>3</v>
      </c>
      <c r="AF845">
        <v>8</v>
      </c>
      <c r="AG845">
        <v>7</v>
      </c>
      <c r="AH845">
        <v>0</v>
      </c>
      <c r="AI845">
        <v>7</v>
      </c>
      <c r="AJ845">
        <f t="shared" si="13"/>
        <v>0</v>
      </c>
      <c r="AK845" t="str" cm="1">
        <f t="array" ref="AK845">_xlfn.IFS(A845&lt;=30,"18-30",A845&lt;=45,"31-45",A845&lt;=60,"46-60",TRUE, "60+")</f>
        <v>18-30</v>
      </c>
      <c r="AL845" t="str" cm="1">
        <f t="array" ref="AL845">_xlfn.IFS(F845&lt;=10,"0-10",F845&lt;=20,"11-20",TRUE,"20+")</f>
        <v>0-10</v>
      </c>
      <c r="AM845" t="str" cm="1">
        <f t="array" ref="AM845">_xlfn.IFS(S845&lt;=5000,"0-5k",S845&lt;=10000,"5k-10k",S845&lt;=15000,"10k-15k",TRUE,"15k+")</f>
        <v>0-5k</v>
      </c>
      <c r="AN845" t="str" cm="1">
        <f t="array" ref="AN845">_xlfn.IFS(AF845&lt;=10,"0-10",AF845&lt;=20,"10-20",AF845&lt;=30,"20-30",TRUE,"30+")</f>
        <v>0-10</v>
      </c>
      <c r="AO845" t="str" cm="1">
        <f t="array" ref="AO845">_xlfn.IFS(Y845=1,"Poor",Y845=2,"Average",Y845=3,"Good",TRUE,"Excellent")</f>
        <v>Excellent</v>
      </c>
      <c r="AP845" t="str" cm="1">
        <f t="array" ref="AP845">_xlfn.IFS(Q845=1,"Low",Q845=2,"Medium",Q845=3,"High",TRUE,"Very High")</f>
        <v>Very High</v>
      </c>
    </row>
    <row r="846" spans="1:42" x14ac:dyDescent="0.25">
      <c r="A846">
        <v>30</v>
      </c>
      <c r="B846" t="s">
        <v>42</v>
      </c>
      <c r="C846" t="s">
        <v>90</v>
      </c>
      <c r="D846">
        <v>852</v>
      </c>
      <c r="E846" t="s">
        <v>36</v>
      </c>
      <c r="F846">
        <v>10</v>
      </c>
      <c r="G846">
        <v>3</v>
      </c>
      <c r="H846" t="s">
        <v>57</v>
      </c>
      <c r="I846">
        <v>1</v>
      </c>
      <c r="J846">
        <v>1179</v>
      </c>
      <c r="K846">
        <v>3</v>
      </c>
      <c r="L846" t="s">
        <v>44</v>
      </c>
      <c r="M846">
        <v>72</v>
      </c>
      <c r="N846">
        <v>2</v>
      </c>
      <c r="O846">
        <v>2</v>
      </c>
      <c r="P846" t="s">
        <v>39</v>
      </c>
      <c r="Q846">
        <v>3</v>
      </c>
      <c r="R846" t="s">
        <v>46</v>
      </c>
      <c r="S846">
        <v>6578</v>
      </c>
      <c r="T846">
        <v>2706</v>
      </c>
      <c r="U846">
        <v>1</v>
      </c>
      <c r="V846" t="s">
        <v>41</v>
      </c>
      <c r="W846" t="s">
        <v>42</v>
      </c>
      <c r="X846">
        <v>18</v>
      </c>
      <c r="Y846">
        <v>3</v>
      </c>
      <c r="Z846">
        <v>1</v>
      </c>
      <c r="AA846">
        <v>80</v>
      </c>
      <c r="AB846">
        <v>1</v>
      </c>
      <c r="AC846">
        <v>10</v>
      </c>
      <c r="AD846">
        <v>3</v>
      </c>
      <c r="AE846">
        <v>3</v>
      </c>
      <c r="AF846">
        <v>10</v>
      </c>
      <c r="AG846">
        <v>3</v>
      </c>
      <c r="AH846">
        <v>1</v>
      </c>
      <c r="AI846">
        <v>4</v>
      </c>
      <c r="AJ846">
        <f t="shared" si="13"/>
        <v>0</v>
      </c>
      <c r="AK846" t="str" cm="1">
        <f t="array" ref="AK846">_xlfn.IFS(A846&lt;=30,"18-30",A846&lt;=45,"31-45",A846&lt;=60,"46-60",TRUE, "60+")</f>
        <v>18-30</v>
      </c>
      <c r="AL846" t="str" cm="1">
        <f t="array" ref="AL846">_xlfn.IFS(F846&lt;=10,"0-10",F846&lt;=20,"11-20",TRUE,"20+")</f>
        <v>0-10</v>
      </c>
      <c r="AM846" t="str" cm="1">
        <f t="array" ref="AM846">_xlfn.IFS(S846&lt;=5000,"0-5k",S846&lt;=10000,"5k-10k",S846&lt;=15000,"10k-15k",TRUE,"15k+")</f>
        <v>5k-10k</v>
      </c>
      <c r="AN846" t="str" cm="1">
        <f t="array" ref="AN846">_xlfn.IFS(AF846&lt;=10,"0-10",AF846&lt;=20,"10-20",AF846&lt;=30,"20-30",TRUE,"30+")</f>
        <v>0-10</v>
      </c>
      <c r="AO846" t="str" cm="1">
        <f t="array" ref="AO846">_xlfn.IFS(Y846=1,"Poor",Y846=2,"Average",Y846=3,"Good",TRUE,"Excellent")</f>
        <v>Good</v>
      </c>
      <c r="AP846" t="str" cm="1">
        <f t="array" ref="AP846">_xlfn.IFS(Q846=1,"Low",Q846=2,"Medium",Q846=3,"High",TRUE,"Very High")</f>
        <v>High</v>
      </c>
    </row>
    <row r="847" spans="1:42" x14ac:dyDescent="0.25">
      <c r="A847">
        <v>40</v>
      </c>
      <c r="B847" t="s">
        <v>42</v>
      </c>
      <c r="C847" t="s">
        <v>91</v>
      </c>
      <c r="D847">
        <v>902</v>
      </c>
      <c r="E847" t="s">
        <v>43</v>
      </c>
      <c r="F847">
        <v>26</v>
      </c>
      <c r="G847">
        <v>2</v>
      </c>
      <c r="H847" t="s">
        <v>49</v>
      </c>
      <c r="I847">
        <v>1</v>
      </c>
      <c r="J847">
        <v>1180</v>
      </c>
      <c r="K847">
        <v>3</v>
      </c>
      <c r="L847" t="s">
        <v>38</v>
      </c>
      <c r="M847">
        <v>92</v>
      </c>
      <c r="N847">
        <v>2</v>
      </c>
      <c r="O847">
        <v>2</v>
      </c>
      <c r="P847" t="s">
        <v>45</v>
      </c>
      <c r="Q847">
        <v>4</v>
      </c>
      <c r="R847" t="s">
        <v>46</v>
      </c>
      <c r="S847">
        <v>4422</v>
      </c>
      <c r="T847">
        <v>21203</v>
      </c>
      <c r="U847">
        <v>3</v>
      </c>
      <c r="V847" t="s">
        <v>41</v>
      </c>
      <c r="W847" t="s">
        <v>35</v>
      </c>
      <c r="X847">
        <v>13</v>
      </c>
      <c r="Y847">
        <v>3</v>
      </c>
      <c r="Z847">
        <v>4</v>
      </c>
      <c r="AA847">
        <v>80</v>
      </c>
      <c r="AB847">
        <v>1</v>
      </c>
      <c r="AC847">
        <v>16</v>
      </c>
      <c r="AD847">
        <v>3</v>
      </c>
      <c r="AE847">
        <v>1</v>
      </c>
      <c r="AF847">
        <v>1</v>
      </c>
      <c r="AG847">
        <v>1</v>
      </c>
      <c r="AH847">
        <v>0</v>
      </c>
      <c r="AI847">
        <v>0</v>
      </c>
      <c r="AJ847">
        <f t="shared" si="13"/>
        <v>0</v>
      </c>
      <c r="AK847" t="str" cm="1">
        <f t="array" ref="AK847">_xlfn.IFS(A847&lt;=30,"18-30",A847&lt;=45,"31-45",A847&lt;=60,"46-60",TRUE, "60+")</f>
        <v>31-45</v>
      </c>
      <c r="AL847" t="str" cm="1">
        <f t="array" ref="AL847">_xlfn.IFS(F847&lt;=10,"0-10",F847&lt;=20,"11-20",TRUE,"20+")</f>
        <v>20+</v>
      </c>
      <c r="AM847" t="str" cm="1">
        <f t="array" ref="AM847">_xlfn.IFS(S847&lt;=5000,"0-5k",S847&lt;=10000,"5k-10k",S847&lt;=15000,"10k-15k",TRUE,"15k+")</f>
        <v>0-5k</v>
      </c>
      <c r="AN847" t="str" cm="1">
        <f t="array" ref="AN847">_xlfn.IFS(AF847&lt;=10,"0-10",AF847&lt;=20,"10-20",AF847&lt;=30,"20-30",TRUE,"30+")</f>
        <v>0-10</v>
      </c>
      <c r="AO847" t="str" cm="1">
        <f t="array" ref="AO847">_xlfn.IFS(Y847=1,"Poor",Y847=2,"Average",Y847=3,"Good",TRUE,"Excellent")</f>
        <v>Good</v>
      </c>
      <c r="AP847" t="str" cm="1">
        <f t="array" ref="AP847">_xlfn.IFS(Q847=1,"Low",Q847=2,"Medium",Q847=3,"High",TRUE,"Very High")</f>
        <v>Very High</v>
      </c>
    </row>
    <row r="848" spans="1:42" x14ac:dyDescent="0.25">
      <c r="A848">
        <v>35</v>
      </c>
      <c r="B848" t="s">
        <v>42</v>
      </c>
      <c r="C848" t="s">
        <v>90</v>
      </c>
      <c r="D848">
        <v>819</v>
      </c>
      <c r="E848" t="s">
        <v>43</v>
      </c>
      <c r="F848">
        <v>2</v>
      </c>
      <c r="G848">
        <v>3</v>
      </c>
      <c r="H848" t="s">
        <v>37</v>
      </c>
      <c r="I848">
        <v>1</v>
      </c>
      <c r="J848">
        <v>1182</v>
      </c>
      <c r="K848">
        <v>3</v>
      </c>
      <c r="L848" t="s">
        <v>44</v>
      </c>
      <c r="M848">
        <v>44</v>
      </c>
      <c r="N848">
        <v>2</v>
      </c>
      <c r="O848">
        <v>3</v>
      </c>
      <c r="P848" t="s">
        <v>51</v>
      </c>
      <c r="Q848">
        <v>2</v>
      </c>
      <c r="R848" t="s">
        <v>50</v>
      </c>
      <c r="S848">
        <v>10274</v>
      </c>
      <c r="T848">
        <v>19588</v>
      </c>
      <c r="U848">
        <v>2</v>
      </c>
      <c r="V848" t="s">
        <v>41</v>
      </c>
      <c r="W848" t="s">
        <v>42</v>
      </c>
      <c r="X848">
        <v>18</v>
      </c>
      <c r="Y848">
        <v>3</v>
      </c>
      <c r="Z848">
        <v>2</v>
      </c>
      <c r="AA848">
        <v>80</v>
      </c>
      <c r="AB848">
        <v>1</v>
      </c>
      <c r="AC848">
        <v>15</v>
      </c>
      <c r="AD848">
        <v>2</v>
      </c>
      <c r="AE848">
        <v>4</v>
      </c>
      <c r="AF848">
        <v>7</v>
      </c>
      <c r="AG848">
        <v>7</v>
      </c>
      <c r="AH848">
        <v>6</v>
      </c>
      <c r="AI848">
        <v>4</v>
      </c>
      <c r="AJ848">
        <f t="shared" si="13"/>
        <v>0</v>
      </c>
      <c r="AK848" t="str" cm="1">
        <f t="array" ref="AK848">_xlfn.IFS(A848&lt;=30,"18-30",A848&lt;=45,"31-45",A848&lt;=60,"46-60",TRUE, "60+")</f>
        <v>31-45</v>
      </c>
      <c r="AL848" t="str" cm="1">
        <f t="array" ref="AL848">_xlfn.IFS(F848&lt;=10,"0-10",F848&lt;=20,"11-20",TRUE,"20+")</f>
        <v>0-10</v>
      </c>
      <c r="AM848" t="str" cm="1">
        <f t="array" ref="AM848">_xlfn.IFS(S848&lt;=5000,"0-5k",S848&lt;=10000,"5k-10k",S848&lt;=15000,"10k-15k",TRUE,"15k+")</f>
        <v>10k-15k</v>
      </c>
      <c r="AN848" t="str" cm="1">
        <f t="array" ref="AN848">_xlfn.IFS(AF848&lt;=10,"0-10",AF848&lt;=20,"10-20",AF848&lt;=30,"20-30",TRUE,"30+")</f>
        <v>0-10</v>
      </c>
      <c r="AO848" t="str" cm="1">
        <f t="array" ref="AO848">_xlfn.IFS(Y848=1,"Poor",Y848=2,"Average",Y848=3,"Good",TRUE,"Excellent")</f>
        <v>Good</v>
      </c>
      <c r="AP848" t="str" cm="1">
        <f t="array" ref="AP848">_xlfn.IFS(Q848=1,"Low",Q848=2,"Medium",Q848=3,"High",TRUE,"Very High")</f>
        <v>Medium</v>
      </c>
    </row>
    <row r="849" spans="1:42" x14ac:dyDescent="0.25">
      <c r="A849">
        <v>34</v>
      </c>
      <c r="B849" t="s">
        <v>42</v>
      </c>
      <c r="C849" t="s">
        <v>91</v>
      </c>
      <c r="D849">
        <v>669</v>
      </c>
      <c r="E849" t="s">
        <v>43</v>
      </c>
      <c r="F849">
        <v>1</v>
      </c>
      <c r="G849">
        <v>3</v>
      </c>
      <c r="H849" t="s">
        <v>49</v>
      </c>
      <c r="I849">
        <v>1</v>
      </c>
      <c r="J849">
        <v>1184</v>
      </c>
      <c r="K849">
        <v>4</v>
      </c>
      <c r="L849" t="s">
        <v>44</v>
      </c>
      <c r="M849">
        <v>97</v>
      </c>
      <c r="N849">
        <v>2</v>
      </c>
      <c r="O849">
        <v>2</v>
      </c>
      <c r="P849" t="s">
        <v>52</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c r="AJ849">
        <f t="shared" si="13"/>
        <v>0</v>
      </c>
      <c r="AK849" t="str" cm="1">
        <f t="array" ref="AK849">_xlfn.IFS(A849&lt;=30,"18-30",A849&lt;=45,"31-45",A849&lt;=60,"46-60",TRUE, "60+")</f>
        <v>31-45</v>
      </c>
      <c r="AL849" t="str" cm="1">
        <f t="array" ref="AL849">_xlfn.IFS(F849&lt;=10,"0-10",F849&lt;=20,"11-20",TRUE,"20+")</f>
        <v>0-10</v>
      </c>
      <c r="AM849" t="str" cm="1">
        <f t="array" ref="AM849">_xlfn.IFS(S849&lt;=5000,"0-5k",S849&lt;=10000,"5k-10k",S849&lt;=15000,"10k-15k",TRUE,"15k+")</f>
        <v>5k-10k</v>
      </c>
      <c r="AN849" t="str" cm="1">
        <f t="array" ref="AN849">_xlfn.IFS(AF849&lt;=10,"0-10",AF849&lt;=20,"10-20",AF849&lt;=30,"20-30",TRUE,"30+")</f>
        <v>10-20</v>
      </c>
      <c r="AO849" t="str" cm="1">
        <f t="array" ref="AO849">_xlfn.IFS(Y849=1,"Poor",Y849=2,"Average",Y849=3,"Good",TRUE,"Excellent")</f>
        <v>Excellent</v>
      </c>
      <c r="AP849" t="str" cm="1">
        <f t="array" ref="AP849">_xlfn.IFS(Q849=1,"Low",Q849=2,"Medium",Q849=3,"High",TRUE,"Very High")</f>
        <v>Low</v>
      </c>
    </row>
    <row r="850" spans="1:42" x14ac:dyDescent="0.25">
      <c r="A850">
        <v>35</v>
      </c>
      <c r="B850" t="s">
        <v>42</v>
      </c>
      <c r="C850" t="s">
        <v>91</v>
      </c>
      <c r="D850">
        <v>636</v>
      </c>
      <c r="E850" t="s">
        <v>43</v>
      </c>
      <c r="F850">
        <v>4</v>
      </c>
      <c r="G850">
        <v>4</v>
      </c>
      <c r="H850" t="s">
        <v>47</v>
      </c>
      <c r="I850">
        <v>1</v>
      </c>
      <c r="J850">
        <v>1185</v>
      </c>
      <c r="K850">
        <v>4</v>
      </c>
      <c r="L850" t="s">
        <v>44</v>
      </c>
      <c r="M850">
        <v>47</v>
      </c>
      <c r="N850">
        <v>2</v>
      </c>
      <c r="O850">
        <v>1</v>
      </c>
      <c r="P850" t="s">
        <v>48</v>
      </c>
      <c r="Q850">
        <v>4</v>
      </c>
      <c r="R850" t="s">
        <v>46</v>
      </c>
      <c r="S850">
        <v>2376</v>
      </c>
      <c r="T850">
        <v>26537</v>
      </c>
      <c r="U850">
        <v>1</v>
      </c>
      <c r="V850" t="s">
        <v>41</v>
      </c>
      <c r="W850" t="s">
        <v>42</v>
      </c>
      <c r="X850">
        <v>13</v>
      </c>
      <c r="Y850">
        <v>3</v>
      </c>
      <c r="Z850">
        <v>2</v>
      </c>
      <c r="AA850">
        <v>80</v>
      </c>
      <c r="AB850">
        <v>1</v>
      </c>
      <c r="AC850">
        <v>2</v>
      </c>
      <c r="AD850">
        <v>2</v>
      </c>
      <c r="AE850">
        <v>4</v>
      </c>
      <c r="AF850">
        <v>2</v>
      </c>
      <c r="AG850">
        <v>2</v>
      </c>
      <c r="AH850">
        <v>2</v>
      </c>
      <c r="AI850">
        <v>2</v>
      </c>
      <c r="AJ850">
        <f t="shared" si="13"/>
        <v>0</v>
      </c>
      <c r="AK850" t="str" cm="1">
        <f t="array" ref="AK850">_xlfn.IFS(A850&lt;=30,"18-30",A850&lt;=45,"31-45",A850&lt;=60,"46-60",TRUE, "60+")</f>
        <v>31-45</v>
      </c>
      <c r="AL850" t="str" cm="1">
        <f t="array" ref="AL850">_xlfn.IFS(F850&lt;=10,"0-10",F850&lt;=20,"11-20",TRUE,"20+")</f>
        <v>0-10</v>
      </c>
      <c r="AM850" t="str" cm="1">
        <f t="array" ref="AM850">_xlfn.IFS(S850&lt;=5000,"0-5k",S850&lt;=10000,"5k-10k",S850&lt;=15000,"10k-15k",TRUE,"15k+")</f>
        <v>0-5k</v>
      </c>
      <c r="AN850" t="str" cm="1">
        <f t="array" ref="AN850">_xlfn.IFS(AF850&lt;=10,"0-10",AF850&lt;=20,"10-20",AF850&lt;=30,"20-30",TRUE,"30+")</f>
        <v>0-10</v>
      </c>
      <c r="AO850" t="str" cm="1">
        <f t="array" ref="AO850">_xlfn.IFS(Y850=1,"Poor",Y850=2,"Average",Y850=3,"Good",TRUE,"Excellent")</f>
        <v>Good</v>
      </c>
      <c r="AP850" t="str" cm="1">
        <f t="array" ref="AP850">_xlfn.IFS(Q850=1,"Low",Q850=2,"Medium",Q850=3,"High",TRUE,"Very High")</f>
        <v>Very High</v>
      </c>
    </row>
    <row r="851" spans="1:42" x14ac:dyDescent="0.25">
      <c r="A851">
        <v>43</v>
      </c>
      <c r="B851" t="s">
        <v>35</v>
      </c>
      <c r="C851" t="s">
        <v>90</v>
      </c>
      <c r="D851">
        <v>1372</v>
      </c>
      <c r="E851" t="s">
        <v>36</v>
      </c>
      <c r="F851">
        <v>9</v>
      </c>
      <c r="G851">
        <v>3</v>
      </c>
      <c r="H851" t="s">
        <v>57</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c r="AJ851">
        <f t="shared" si="13"/>
        <v>1</v>
      </c>
      <c r="AK851" t="str" cm="1">
        <f t="array" ref="AK851">_xlfn.IFS(A851&lt;=30,"18-30",A851&lt;=45,"31-45",A851&lt;=60,"46-60",TRUE, "60+")</f>
        <v>31-45</v>
      </c>
      <c r="AL851" t="str" cm="1">
        <f t="array" ref="AL851">_xlfn.IFS(F851&lt;=10,"0-10",F851&lt;=20,"11-20",TRUE,"20+")</f>
        <v>0-10</v>
      </c>
      <c r="AM851" t="str" cm="1">
        <f t="array" ref="AM851">_xlfn.IFS(S851&lt;=5000,"0-5k",S851&lt;=10000,"5k-10k",S851&lt;=15000,"10k-15k",TRUE,"15k+")</f>
        <v>5k-10k</v>
      </c>
      <c r="AN851" t="str" cm="1">
        <f t="array" ref="AN851">_xlfn.IFS(AF851&lt;=10,"0-10",AF851&lt;=20,"10-20",AF851&lt;=30,"20-30",TRUE,"30+")</f>
        <v>0-10</v>
      </c>
      <c r="AO851" t="str" cm="1">
        <f t="array" ref="AO851">_xlfn.IFS(Y851=1,"Poor",Y851=2,"Average",Y851=3,"Good",TRUE,"Excellent")</f>
        <v>Good</v>
      </c>
      <c r="AP851" t="str" cm="1">
        <f t="array" ref="AP851">_xlfn.IFS(Q851=1,"Low",Q851=2,"Medium",Q851=3,"High",TRUE,"Very High")</f>
        <v>High</v>
      </c>
    </row>
    <row r="852" spans="1:42" x14ac:dyDescent="0.25">
      <c r="A852">
        <v>32</v>
      </c>
      <c r="B852" t="s">
        <v>42</v>
      </c>
      <c r="C852" t="s">
        <v>53</v>
      </c>
      <c r="D852">
        <v>862</v>
      </c>
      <c r="E852" t="s">
        <v>36</v>
      </c>
      <c r="F852">
        <v>2</v>
      </c>
      <c r="G852">
        <v>1</v>
      </c>
      <c r="H852" t="s">
        <v>37</v>
      </c>
      <c r="I852">
        <v>1</v>
      </c>
      <c r="J852">
        <v>1190</v>
      </c>
      <c r="K852">
        <v>3</v>
      </c>
      <c r="L852" t="s">
        <v>38</v>
      </c>
      <c r="M852">
        <v>76</v>
      </c>
      <c r="N852">
        <v>3</v>
      </c>
      <c r="O852">
        <v>1</v>
      </c>
      <c r="P852" t="s">
        <v>55</v>
      </c>
      <c r="Q852">
        <v>1</v>
      </c>
      <c r="R852" t="s">
        <v>50</v>
      </c>
      <c r="S852">
        <v>2827</v>
      </c>
      <c r="T852">
        <v>14947</v>
      </c>
      <c r="U852">
        <v>1</v>
      </c>
      <c r="V852" t="s">
        <v>41</v>
      </c>
      <c r="W852" t="s">
        <v>42</v>
      </c>
      <c r="X852">
        <v>12</v>
      </c>
      <c r="Y852">
        <v>3</v>
      </c>
      <c r="Z852">
        <v>3</v>
      </c>
      <c r="AA852">
        <v>80</v>
      </c>
      <c r="AB852">
        <v>3</v>
      </c>
      <c r="AC852">
        <v>1</v>
      </c>
      <c r="AD852">
        <v>3</v>
      </c>
      <c r="AE852">
        <v>3</v>
      </c>
      <c r="AF852">
        <v>1</v>
      </c>
      <c r="AG852">
        <v>0</v>
      </c>
      <c r="AH852">
        <v>0</v>
      </c>
      <c r="AI852">
        <v>0</v>
      </c>
      <c r="AJ852">
        <f t="shared" si="13"/>
        <v>0</v>
      </c>
      <c r="AK852" t="str" cm="1">
        <f t="array" ref="AK852">_xlfn.IFS(A852&lt;=30,"18-30",A852&lt;=45,"31-45",A852&lt;=60,"46-60",TRUE, "60+")</f>
        <v>31-45</v>
      </c>
      <c r="AL852" t="str" cm="1">
        <f t="array" ref="AL852">_xlfn.IFS(F852&lt;=10,"0-10",F852&lt;=20,"11-20",TRUE,"20+")</f>
        <v>0-10</v>
      </c>
      <c r="AM852" t="str" cm="1">
        <f t="array" ref="AM852">_xlfn.IFS(S852&lt;=5000,"0-5k",S852&lt;=10000,"5k-10k",S852&lt;=15000,"10k-15k",TRUE,"15k+")</f>
        <v>0-5k</v>
      </c>
      <c r="AN852" t="str" cm="1">
        <f t="array" ref="AN852">_xlfn.IFS(AF852&lt;=10,"0-10",AF852&lt;=20,"10-20",AF852&lt;=30,"20-30",TRUE,"30+")</f>
        <v>0-10</v>
      </c>
      <c r="AO852" t="str" cm="1">
        <f t="array" ref="AO852">_xlfn.IFS(Y852=1,"Poor",Y852=2,"Average",Y852=3,"Good",TRUE,"Excellent")</f>
        <v>Good</v>
      </c>
      <c r="AP852" t="str" cm="1">
        <f t="array" ref="AP852">_xlfn.IFS(Q852=1,"Low",Q852=2,"Medium",Q852=3,"High",TRUE,"Very High")</f>
        <v>Low</v>
      </c>
    </row>
    <row r="853" spans="1:42" x14ac:dyDescent="0.25">
      <c r="A853">
        <v>56</v>
      </c>
      <c r="B853" t="s">
        <v>42</v>
      </c>
      <c r="C853" t="s">
        <v>90</v>
      </c>
      <c r="D853">
        <v>718</v>
      </c>
      <c r="E853" t="s">
        <v>43</v>
      </c>
      <c r="F853">
        <v>4</v>
      </c>
      <c r="G853">
        <v>4</v>
      </c>
      <c r="H853" t="s">
        <v>58</v>
      </c>
      <c r="I853">
        <v>1</v>
      </c>
      <c r="J853">
        <v>1191</v>
      </c>
      <c r="K853">
        <v>4</v>
      </c>
      <c r="L853" t="s">
        <v>38</v>
      </c>
      <c r="M853">
        <v>92</v>
      </c>
      <c r="N853">
        <v>3</v>
      </c>
      <c r="O853">
        <v>5</v>
      </c>
      <c r="P853" t="s">
        <v>54</v>
      </c>
      <c r="Q853">
        <v>1</v>
      </c>
      <c r="R853" t="s">
        <v>50</v>
      </c>
      <c r="S853">
        <v>19943</v>
      </c>
      <c r="T853">
        <v>18575</v>
      </c>
      <c r="U853">
        <v>4</v>
      </c>
      <c r="V853" t="s">
        <v>41</v>
      </c>
      <c r="W853" t="s">
        <v>42</v>
      </c>
      <c r="X853">
        <v>13</v>
      </c>
      <c r="Y853">
        <v>3</v>
      </c>
      <c r="Z853">
        <v>4</v>
      </c>
      <c r="AA853">
        <v>80</v>
      </c>
      <c r="AB853">
        <v>1</v>
      </c>
      <c r="AC853">
        <v>28</v>
      </c>
      <c r="AD853">
        <v>2</v>
      </c>
      <c r="AE853">
        <v>3</v>
      </c>
      <c r="AF853">
        <v>5</v>
      </c>
      <c r="AG853">
        <v>2</v>
      </c>
      <c r="AH853">
        <v>4</v>
      </c>
      <c r="AI853">
        <v>2</v>
      </c>
      <c r="AJ853">
        <f t="shared" si="13"/>
        <v>0</v>
      </c>
      <c r="AK853" t="str" cm="1">
        <f t="array" ref="AK853">_xlfn.IFS(A853&lt;=30,"18-30",A853&lt;=45,"31-45",A853&lt;=60,"46-60",TRUE, "60+")</f>
        <v>46-60</v>
      </c>
      <c r="AL853" t="str" cm="1">
        <f t="array" ref="AL853">_xlfn.IFS(F853&lt;=10,"0-10",F853&lt;=20,"11-20",TRUE,"20+")</f>
        <v>0-10</v>
      </c>
      <c r="AM853" t="str" cm="1">
        <f t="array" ref="AM853">_xlfn.IFS(S853&lt;=5000,"0-5k",S853&lt;=10000,"5k-10k",S853&lt;=15000,"10k-15k",TRUE,"15k+")</f>
        <v>15k+</v>
      </c>
      <c r="AN853" t="str" cm="1">
        <f t="array" ref="AN853">_xlfn.IFS(AF853&lt;=10,"0-10",AF853&lt;=20,"10-20",AF853&lt;=30,"20-30",TRUE,"30+")</f>
        <v>0-10</v>
      </c>
      <c r="AO853" t="str" cm="1">
        <f t="array" ref="AO853">_xlfn.IFS(Y853=1,"Poor",Y853=2,"Average",Y853=3,"Good",TRUE,"Excellent")</f>
        <v>Good</v>
      </c>
      <c r="AP853" t="str" cm="1">
        <f t="array" ref="AP853">_xlfn.IFS(Q853=1,"Low",Q853=2,"Medium",Q853=3,"High",TRUE,"Very High")</f>
        <v>Low</v>
      </c>
    </row>
    <row r="854" spans="1:42" x14ac:dyDescent="0.25">
      <c r="A854">
        <v>29</v>
      </c>
      <c r="B854" t="s">
        <v>42</v>
      </c>
      <c r="C854" t="s">
        <v>90</v>
      </c>
      <c r="D854">
        <v>1401</v>
      </c>
      <c r="E854" t="s">
        <v>43</v>
      </c>
      <c r="F854">
        <v>6</v>
      </c>
      <c r="G854">
        <v>1</v>
      </c>
      <c r="H854" t="s">
        <v>49</v>
      </c>
      <c r="I854">
        <v>1</v>
      </c>
      <c r="J854">
        <v>1192</v>
      </c>
      <c r="K854">
        <v>2</v>
      </c>
      <c r="L854" t="s">
        <v>38</v>
      </c>
      <c r="M854">
        <v>54</v>
      </c>
      <c r="N854">
        <v>3</v>
      </c>
      <c r="O854">
        <v>1</v>
      </c>
      <c r="P854" t="s">
        <v>48</v>
      </c>
      <c r="Q854">
        <v>4</v>
      </c>
      <c r="R854" t="s">
        <v>46</v>
      </c>
      <c r="S854">
        <v>3131</v>
      </c>
      <c r="T854">
        <v>26342</v>
      </c>
      <c r="U854">
        <v>1</v>
      </c>
      <c r="V854" t="s">
        <v>41</v>
      </c>
      <c r="W854" t="s">
        <v>42</v>
      </c>
      <c r="X854">
        <v>13</v>
      </c>
      <c r="Y854">
        <v>3</v>
      </c>
      <c r="Z854">
        <v>1</v>
      </c>
      <c r="AA854">
        <v>80</v>
      </c>
      <c r="AB854">
        <v>1</v>
      </c>
      <c r="AC854">
        <v>10</v>
      </c>
      <c r="AD854">
        <v>5</v>
      </c>
      <c r="AE854">
        <v>3</v>
      </c>
      <c r="AF854">
        <v>10</v>
      </c>
      <c r="AG854">
        <v>8</v>
      </c>
      <c r="AH854">
        <v>0</v>
      </c>
      <c r="AI854">
        <v>8</v>
      </c>
      <c r="AJ854">
        <f t="shared" si="13"/>
        <v>0</v>
      </c>
      <c r="AK854" t="str" cm="1">
        <f t="array" ref="AK854">_xlfn.IFS(A854&lt;=30,"18-30",A854&lt;=45,"31-45",A854&lt;=60,"46-60",TRUE, "60+")</f>
        <v>18-30</v>
      </c>
      <c r="AL854" t="str" cm="1">
        <f t="array" ref="AL854">_xlfn.IFS(F854&lt;=10,"0-10",F854&lt;=20,"11-20",TRUE,"20+")</f>
        <v>0-10</v>
      </c>
      <c r="AM854" t="str" cm="1">
        <f t="array" ref="AM854">_xlfn.IFS(S854&lt;=5000,"0-5k",S854&lt;=10000,"5k-10k",S854&lt;=15000,"10k-15k",TRUE,"15k+")</f>
        <v>0-5k</v>
      </c>
      <c r="AN854" t="str" cm="1">
        <f t="array" ref="AN854">_xlfn.IFS(AF854&lt;=10,"0-10",AF854&lt;=20,"10-20",AF854&lt;=30,"20-30",TRUE,"30+")</f>
        <v>0-10</v>
      </c>
      <c r="AO854" t="str" cm="1">
        <f t="array" ref="AO854">_xlfn.IFS(Y854=1,"Poor",Y854=2,"Average",Y854=3,"Good",TRUE,"Excellent")</f>
        <v>Good</v>
      </c>
      <c r="AP854" t="str" cm="1">
        <f t="array" ref="AP854">_xlfn.IFS(Q854=1,"Low",Q854=2,"Medium",Q854=3,"High",TRUE,"Very High")</f>
        <v>Very High</v>
      </c>
    </row>
    <row r="855" spans="1:42" x14ac:dyDescent="0.25">
      <c r="A855">
        <v>19</v>
      </c>
      <c r="B855" t="s">
        <v>42</v>
      </c>
      <c r="C855" t="s">
        <v>90</v>
      </c>
      <c r="D855">
        <v>645</v>
      </c>
      <c r="E855" t="s">
        <v>43</v>
      </c>
      <c r="F855">
        <v>9</v>
      </c>
      <c r="G855">
        <v>2</v>
      </c>
      <c r="H855" t="s">
        <v>37</v>
      </c>
      <c r="I855">
        <v>1</v>
      </c>
      <c r="J855">
        <v>1193</v>
      </c>
      <c r="K855">
        <v>3</v>
      </c>
      <c r="L855" t="s">
        <v>44</v>
      </c>
      <c r="M855">
        <v>54</v>
      </c>
      <c r="N855">
        <v>3</v>
      </c>
      <c r="O855">
        <v>1</v>
      </c>
      <c r="P855" t="s">
        <v>45</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c r="AJ855">
        <f t="shared" si="13"/>
        <v>0</v>
      </c>
      <c r="AK855" t="str" cm="1">
        <f t="array" ref="AK855">_xlfn.IFS(A855&lt;=30,"18-30",A855&lt;=45,"31-45",A855&lt;=60,"46-60",TRUE, "60+")</f>
        <v>18-30</v>
      </c>
      <c r="AL855" t="str" cm="1">
        <f t="array" ref="AL855">_xlfn.IFS(F855&lt;=10,"0-10",F855&lt;=20,"11-20",TRUE,"20+")</f>
        <v>0-10</v>
      </c>
      <c r="AM855" t="str" cm="1">
        <f t="array" ref="AM855">_xlfn.IFS(S855&lt;=5000,"0-5k",S855&lt;=10000,"5k-10k",S855&lt;=15000,"10k-15k",TRUE,"15k+")</f>
        <v>0-5k</v>
      </c>
      <c r="AN855" t="str" cm="1">
        <f t="array" ref="AN855">_xlfn.IFS(AF855&lt;=10,"0-10",AF855&lt;=20,"10-20",AF855&lt;=30,"20-30",TRUE,"30+")</f>
        <v>0-10</v>
      </c>
      <c r="AO855" t="str" cm="1">
        <f t="array" ref="AO855">_xlfn.IFS(Y855=1,"Poor",Y855=2,"Average",Y855=3,"Good",TRUE,"Excellent")</f>
        <v>Excellent</v>
      </c>
      <c r="AP855" t="str" cm="1">
        <f t="array" ref="AP855">_xlfn.IFS(Q855=1,"Low",Q855=2,"Medium",Q855=3,"High",TRUE,"Very High")</f>
        <v>Low</v>
      </c>
    </row>
    <row r="856" spans="1:42" x14ac:dyDescent="0.25">
      <c r="A856">
        <v>45</v>
      </c>
      <c r="B856" t="s">
        <v>42</v>
      </c>
      <c r="C856" t="s">
        <v>90</v>
      </c>
      <c r="D856">
        <v>1457</v>
      </c>
      <c r="E856" t="s">
        <v>43</v>
      </c>
      <c r="F856">
        <v>7</v>
      </c>
      <c r="G856">
        <v>3</v>
      </c>
      <c r="H856" t="s">
        <v>49</v>
      </c>
      <c r="I856">
        <v>1</v>
      </c>
      <c r="J856">
        <v>1195</v>
      </c>
      <c r="K856">
        <v>1</v>
      </c>
      <c r="L856" t="s">
        <v>38</v>
      </c>
      <c r="M856">
        <v>83</v>
      </c>
      <c r="N856">
        <v>3</v>
      </c>
      <c r="O856">
        <v>1</v>
      </c>
      <c r="P856" t="s">
        <v>45</v>
      </c>
      <c r="Q856">
        <v>3</v>
      </c>
      <c r="R856" t="s">
        <v>46</v>
      </c>
      <c r="S856">
        <v>4477</v>
      </c>
      <c r="T856">
        <v>20100</v>
      </c>
      <c r="U856">
        <v>4</v>
      </c>
      <c r="V856" t="s">
        <v>41</v>
      </c>
      <c r="W856" t="s">
        <v>35</v>
      </c>
      <c r="X856">
        <v>19</v>
      </c>
      <c r="Y856">
        <v>3</v>
      </c>
      <c r="Z856">
        <v>3</v>
      </c>
      <c r="AA856">
        <v>80</v>
      </c>
      <c r="AB856">
        <v>1</v>
      </c>
      <c r="AC856">
        <v>7</v>
      </c>
      <c r="AD856">
        <v>2</v>
      </c>
      <c r="AE856">
        <v>2</v>
      </c>
      <c r="AF856">
        <v>3</v>
      </c>
      <c r="AG856">
        <v>2</v>
      </c>
      <c r="AH856">
        <v>0</v>
      </c>
      <c r="AI856">
        <v>2</v>
      </c>
      <c r="AJ856">
        <f t="shared" si="13"/>
        <v>0</v>
      </c>
      <c r="AK856" t="str" cm="1">
        <f t="array" ref="AK856">_xlfn.IFS(A856&lt;=30,"18-30",A856&lt;=45,"31-45",A856&lt;=60,"46-60",TRUE, "60+")</f>
        <v>31-45</v>
      </c>
      <c r="AL856" t="str" cm="1">
        <f t="array" ref="AL856">_xlfn.IFS(F856&lt;=10,"0-10",F856&lt;=20,"11-20",TRUE,"20+")</f>
        <v>0-10</v>
      </c>
      <c r="AM856" t="str" cm="1">
        <f t="array" ref="AM856">_xlfn.IFS(S856&lt;=5000,"0-5k",S856&lt;=10000,"5k-10k",S856&lt;=15000,"10k-15k",TRUE,"15k+")</f>
        <v>0-5k</v>
      </c>
      <c r="AN856" t="str" cm="1">
        <f t="array" ref="AN856">_xlfn.IFS(AF856&lt;=10,"0-10",AF856&lt;=20,"10-20",AF856&lt;=30,"20-30",TRUE,"30+")</f>
        <v>0-10</v>
      </c>
      <c r="AO856" t="str" cm="1">
        <f t="array" ref="AO856">_xlfn.IFS(Y856=1,"Poor",Y856=2,"Average",Y856=3,"Good",TRUE,"Excellent")</f>
        <v>Good</v>
      </c>
      <c r="AP856" t="str" cm="1">
        <f t="array" ref="AP856">_xlfn.IFS(Q856=1,"Low",Q856=2,"Medium",Q856=3,"High",TRUE,"Very High")</f>
        <v>High</v>
      </c>
    </row>
    <row r="857" spans="1:42" x14ac:dyDescent="0.25">
      <c r="A857">
        <v>37</v>
      </c>
      <c r="B857" t="s">
        <v>42</v>
      </c>
      <c r="C857" t="s">
        <v>90</v>
      </c>
      <c r="D857">
        <v>977</v>
      </c>
      <c r="E857" t="s">
        <v>43</v>
      </c>
      <c r="F857">
        <v>1</v>
      </c>
      <c r="G857">
        <v>3</v>
      </c>
      <c r="H857" t="s">
        <v>37</v>
      </c>
      <c r="I857">
        <v>1</v>
      </c>
      <c r="J857">
        <v>1196</v>
      </c>
      <c r="K857">
        <v>4</v>
      </c>
      <c r="L857" t="s">
        <v>38</v>
      </c>
      <c r="M857">
        <v>56</v>
      </c>
      <c r="N857">
        <v>2</v>
      </c>
      <c r="O857">
        <v>2</v>
      </c>
      <c r="P857" t="s">
        <v>51</v>
      </c>
      <c r="Q857">
        <v>4</v>
      </c>
      <c r="R857" t="s">
        <v>46</v>
      </c>
      <c r="S857">
        <v>6474</v>
      </c>
      <c r="T857">
        <v>9961</v>
      </c>
      <c r="U857">
        <v>1</v>
      </c>
      <c r="V857" t="s">
        <v>41</v>
      </c>
      <c r="W857" t="s">
        <v>42</v>
      </c>
      <c r="X857">
        <v>13</v>
      </c>
      <c r="Y857">
        <v>3</v>
      </c>
      <c r="Z857">
        <v>2</v>
      </c>
      <c r="AA857">
        <v>80</v>
      </c>
      <c r="AB857">
        <v>1</v>
      </c>
      <c r="AC857">
        <v>14</v>
      </c>
      <c r="AD857">
        <v>2</v>
      </c>
      <c r="AE857">
        <v>2</v>
      </c>
      <c r="AF857">
        <v>14</v>
      </c>
      <c r="AG857">
        <v>8</v>
      </c>
      <c r="AH857">
        <v>3</v>
      </c>
      <c r="AI857">
        <v>11</v>
      </c>
      <c r="AJ857">
        <f t="shared" si="13"/>
        <v>0</v>
      </c>
      <c r="AK857" t="str" cm="1">
        <f t="array" ref="AK857">_xlfn.IFS(A857&lt;=30,"18-30",A857&lt;=45,"31-45",A857&lt;=60,"46-60",TRUE, "60+")</f>
        <v>31-45</v>
      </c>
      <c r="AL857" t="str" cm="1">
        <f t="array" ref="AL857">_xlfn.IFS(F857&lt;=10,"0-10",F857&lt;=20,"11-20",TRUE,"20+")</f>
        <v>0-10</v>
      </c>
      <c r="AM857" t="str" cm="1">
        <f t="array" ref="AM857">_xlfn.IFS(S857&lt;=5000,"0-5k",S857&lt;=10000,"5k-10k",S857&lt;=15000,"10k-15k",TRUE,"15k+")</f>
        <v>5k-10k</v>
      </c>
      <c r="AN857" t="str" cm="1">
        <f t="array" ref="AN857">_xlfn.IFS(AF857&lt;=10,"0-10",AF857&lt;=20,"10-20",AF857&lt;=30,"20-30",TRUE,"30+")</f>
        <v>10-20</v>
      </c>
      <c r="AO857" t="str" cm="1">
        <f t="array" ref="AO857">_xlfn.IFS(Y857=1,"Poor",Y857=2,"Average",Y857=3,"Good",TRUE,"Excellent")</f>
        <v>Good</v>
      </c>
      <c r="AP857" t="str" cm="1">
        <f t="array" ref="AP857">_xlfn.IFS(Q857=1,"Low",Q857=2,"Medium",Q857=3,"High",TRUE,"Very High")</f>
        <v>Very High</v>
      </c>
    </row>
    <row r="858" spans="1:42" x14ac:dyDescent="0.25">
      <c r="A858">
        <v>20</v>
      </c>
      <c r="B858" t="s">
        <v>42</v>
      </c>
      <c r="C858" t="s">
        <v>90</v>
      </c>
      <c r="D858">
        <v>805</v>
      </c>
      <c r="E858" t="s">
        <v>43</v>
      </c>
      <c r="F858">
        <v>3</v>
      </c>
      <c r="G858">
        <v>3</v>
      </c>
      <c r="H858" t="s">
        <v>37</v>
      </c>
      <c r="I858">
        <v>1</v>
      </c>
      <c r="J858">
        <v>1198</v>
      </c>
      <c r="K858">
        <v>1</v>
      </c>
      <c r="L858" t="s">
        <v>44</v>
      </c>
      <c r="M858">
        <v>87</v>
      </c>
      <c r="N858">
        <v>2</v>
      </c>
      <c r="O858">
        <v>1</v>
      </c>
      <c r="P858" t="s">
        <v>48</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c r="AJ858">
        <f t="shared" si="13"/>
        <v>0</v>
      </c>
      <c r="AK858" t="str" cm="1">
        <f t="array" ref="AK858">_xlfn.IFS(A858&lt;=30,"18-30",A858&lt;=45,"31-45",A858&lt;=60,"46-60",TRUE, "60+")</f>
        <v>18-30</v>
      </c>
      <c r="AL858" t="str" cm="1">
        <f t="array" ref="AL858">_xlfn.IFS(F858&lt;=10,"0-10",F858&lt;=20,"11-20",TRUE,"20+")</f>
        <v>0-10</v>
      </c>
      <c r="AM858" t="str" cm="1">
        <f t="array" ref="AM858">_xlfn.IFS(S858&lt;=5000,"0-5k",S858&lt;=10000,"5k-10k",S858&lt;=15000,"10k-15k",TRUE,"15k+")</f>
        <v>0-5k</v>
      </c>
      <c r="AN858" t="str" cm="1">
        <f t="array" ref="AN858">_xlfn.IFS(AF858&lt;=10,"0-10",AF858&lt;=20,"10-20",AF858&lt;=30,"20-30",TRUE,"30+")</f>
        <v>0-10</v>
      </c>
      <c r="AO858" t="str" cm="1">
        <f t="array" ref="AO858">_xlfn.IFS(Y858=1,"Poor",Y858=2,"Average",Y858=3,"Good",TRUE,"Excellent")</f>
        <v>Good</v>
      </c>
      <c r="AP858" t="str" cm="1">
        <f t="array" ref="AP858">_xlfn.IFS(Q858=1,"Low",Q858=2,"Medium",Q858=3,"High",TRUE,"Very High")</f>
        <v>High</v>
      </c>
    </row>
    <row r="859" spans="1:42" x14ac:dyDescent="0.25">
      <c r="A859">
        <v>44</v>
      </c>
      <c r="B859" t="s">
        <v>35</v>
      </c>
      <c r="C859" t="s">
        <v>90</v>
      </c>
      <c r="D859">
        <v>1097</v>
      </c>
      <c r="E859" t="s">
        <v>43</v>
      </c>
      <c r="F859">
        <v>10</v>
      </c>
      <c r="G859">
        <v>4</v>
      </c>
      <c r="H859" t="s">
        <v>37</v>
      </c>
      <c r="I859">
        <v>1</v>
      </c>
      <c r="J859">
        <v>1200</v>
      </c>
      <c r="K859">
        <v>3</v>
      </c>
      <c r="L859" t="s">
        <v>44</v>
      </c>
      <c r="M859">
        <v>96</v>
      </c>
      <c r="N859">
        <v>3</v>
      </c>
      <c r="O859">
        <v>1</v>
      </c>
      <c r="P859" t="s">
        <v>45</v>
      </c>
      <c r="Q859">
        <v>3</v>
      </c>
      <c r="R859" t="s">
        <v>40</v>
      </c>
      <c r="S859">
        <v>2936</v>
      </c>
      <c r="T859">
        <v>10826</v>
      </c>
      <c r="U859">
        <v>1</v>
      </c>
      <c r="V859" t="s">
        <v>41</v>
      </c>
      <c r="W859" t="s">
        <v>35</v>
      </c>
      <c r="X859">
        <v>11</v>
      </c>
      <c r="Y859">
        <v>3</v>
      </c>
      <c r="Z859">
        <v>3</v>
      </c>
      <c r="AA859">
        <v>80</v>
      </c>
      <c r="AB859">
        <v>0</v>
      </c>
      <c r="AC859">
        <v>6</v>
      </c>
      <c r="AD859">
        <v>4</v>
      </c>
      <c r="AE859">
        <v>3</v>
      </c>
      <c r="AF859">
        <v>6</v>
      </c>
      <c r="AG859">
        <v>4</v>
      </c>
      <c r="AH859">
        <v>0</v>
      </c>
      <c r="AI859">
        <v>2</v>
      </c>
      <c r="AJ859">
        <f t="shared" si="13"/>
        <v>1</v>
      </c>
      <c r="AK859" t="str" cm="1">
        <f t="array" ref="AK859">_xlfn.IFS(A859&lt;=30,"18-30",A859&lt;=45,"31-45",A859&lt;=60,"46-60",TRUE, "60+")</f>
        <v>31-45</v>
      </c>
      <c r="AL859" t="str" cm="1">
        <f t="array" ref="AL859">_xlfn.IFS(F859&lt;=10,"0-10",F859&lt;=20,"11-20",TRUE,"20+")</f>
        <v>0-10</v>
      </c>
      <c r="AM859" t="str" cm="1">
        <f t="array" ref="AM859">_xlfn.IFS(S859&lt;=5000,"0-5k",S859&lt;=10000,"5k-10k",S859&lt;=15000,"10k-15k",TRUE,"15k+")</f>
        <v>0-5k</v>
      </c>
      <c r="AN859" t="str" cm="1">
        <f t="array" ref="AN859">_xlfn.IFS(AF859&lt;=10,"0-10",AF859&lt;=20,"10-20",AF859&lt;=30,"20-30",TRUE,"30+")</f>
        <v>0-10</v>
      </c>
      <c r="AO859" t="str" cm="1">
        <f t="array" ref="AO859">_xlfn.IFS(Y859=1,"Poor",Y859=2,"Average",Y859=3,"Good",TRUE,"Excellent")</f>
        <v>Good</v>
      </c>
      <c r="AP859" t="str" cm="1">
        <f t="array" ref="AP859">_xlfn.IFS(Q859=1,"Low",Q859=2,"Medium",Q859=3,"High",TRUE,"Very High")</f>
        <v>High</v>
      </c>
    </row>
    <row r="860" spans="1:42" x14ac:dyDescent="0.25">
      <c r="A860">
        <v>53</v>
      </c>
      <c r="B860" t="s">
        <v>42</v>
      </c>
      <c r="C860" t="s">
        <v>90</v>
      </c>
      <c r="D860">
        <v>1223</v>
      </c>
      <c r="E860" t="s">
        <v>43</v>
      </c>
      <c r="F860">
        <v>7</v>
      </c>
      <c r="G860">
        <v>2</v>
      </c>
      <c r="H860" t="s">
        <v>49</v>
      </c>
      <c r="I860">
        <v>1</v>
      </c>
      <c r="J860">
        <v>1201</v>
      </c>
      <c r="K860">
        <v>4</v>
      </c>
      <c r="L860" t="s">
        <v>38</v>
      </c>
      <c r="M860">
        <v>50</v>
      </c>
      <c r="N860">
        <v>3</v>
      </c>
      <c r="O860">
        <v>5</v>
      </c>
      <c r="P860" t="s">
        <v>54</v>
      </c>
      <c r="Q860">
        <v>3</v>
      </c>
      <c r="R860" t="s">
        <v>50</v>
      </c>
      <c r="S860">
        <v>18606</v>
      </c>
      <c r="T860">
        <v>18640</v>
      </c>
      <c r="U860">
        <v>3</v>
      </c>
      <c r="V860" t="s">
        <v>41</v>
      </c>
      <c r="W860" t="s">
        <v>42</v>
      </c>
      <c r="X860">
        <v>18</v>
      </c>
      <c r="Y860">
        <v>3</v>
      </c>
      <c r="Z860">
        <v>2</v>
      </c>
      <c r="AA860">
        <v>80</v>
      </c>
      <c r="AB860">
        <v>1</v>
      </c>
      <c r="AC860">
        <v>26</v>
      </c>
      <c r="AD860">
        <v>6</v>
      </c>
      <c r="AE860">
        <v>3</v>
      </c>
      <c r="AF860">
        <v>7</v>
      </c>
      <c r="AG860">
        <v>7</v>
      </c>
      <c r="AH860">
        <v>4</v>
      </c>
      <c r="AI860">
        <v>7</v>
      </c>
      <c r="AJ860">
        <f t="shared" si="13"/>
        <v>0</v>
      </c>
      <c r="AK860" t="str" cm="1">
        <f t="array" ref="AK860">_xlfn.IFS(A860&lt;=30,"18-30",A860&lt;=45,"31-45",A860&lt;=60,"46-60",TRUE, "60+")</f>
        <v>46-60</v>
      </c>
      <c r="AL860" t="str" cm="1">
        <f t="array" ref="AL860">_xlfn.IFS(F860&lt;=10,"0-10",F860&lt;=20,"11-20",TRUE,"20+")</f>
        <v>0-10</v>
      </c>
      <c r="AM860" t="str" cm="1">
        <f t="array" ref="AM860">_xlfn.IFS(S860&lt;=5000,"0-5k",S860&lt;=10000,"5k-10k",S860&lt;=15000,"10k-15k",TRUE,"15k+")</f>
        <v>15k+</v>
      </c>
      <c r="AN860" t="str" cm="1">
        <f t="array" ref="AN860">_xlfn.IFS(AF860&lt;=10,"0-10",AF860&lt;=20,"10-20",AF860&lt;=30,"20-30",TRUE,"30+")</f>
        <v>0-10</v>
      </c>
      <c r="AO860" t="str" cm="1">
        <f t="array" ref="AO860">_xlfn.IFS(Y860=1,"Poor",Y860=2,"Average",Y860=3,"Good",TRUE,"Excellent")</f>
        <v>Good</v>
      </c>
      <c r="AP860" t="str" cm="1">
        <f t="array" ref="AP860">_xlfn.IFS(Q860=1,"Low",Q860=2,"Medium",Q860=3,"High",TRUE,"Very High")</f>
        <v>High</v>
      </c>
    </row>
    <row r="861" spans="1:42" x14ac:dyDescent="0.25">
      <c r="A861">
        <v>29</v>
      </c>
      <c r="B861" t="s">
        <v>42</v>
      </c>
      <c r="C861" t="s">
        <v>90</v>
      </c>
      <c r="D861">
        <v>942</v>
      </c>
      <c r="E861" t="s">
        <v>43</v>
      </c>
      <c r="F861">
        <v>15</v>
      </c>
      <c r="G861">
        <v>1</v>
      </c>
      <c r="H861" t="s">
        <v>37</v>
      </c>
      <c r="I861">
        <v>1</v>
      </c>
      <c r="J861">
        <v>1202</v>
      </c>
      <c r="K861">
        <v>2</v>
      </c>
      <c r="L861" t="s">
        <v>38</v>
      </c>
      <c r="M861">
        <v>69</v>
      </c>
      <c r="N861">
        <v>1</v>
      </c>
      <c r="O861">
        <v>1</v>
      </c>
      <c r="P861" t="s">
        <v>45</v>
      </c>
      <c r="Q861">
        <v>4</v>
      </c>
      <c r="R861" t="s">
        <v>46</v>
      </c>
      <c r="S861">
        <v>2168</v>
      </c>
      <c r="T861">
        <v>26933</v>
      </c>
      <c r="U861">
        <v>0</v>
      </c>
      <c r="V861" t="s">
        <v>41</v>
      </c>
      <c r="W861" t="s">
        <v>35</v>
      </c>
      <c r="X861">
        <v>18</v>
      </c>
      <c r="Y861">
        <v>3</v>
      </c>
      <c r="Z861">
        <v>1</v>
      </c>
      <c r="AA861">
        <v>80</v>
      </c>
      <c r="AB861">
        <v>1</v>
      </c>
      <c r="AC861">
        <v>6</v>
      </c>
      <c r="AD861">
        <v>2</v>
      </c>
      <c r="AE861">
        <v>2</v>
      </c>
      <c r="AF861">
        <v>5</v>
      </c>
      <c r="AG861">
        <v>4</v>
      </c>
      <c r="AH861">
        <v>1</v>
      </c>
      <c r="AI861">
        <v>3</v>
      </c>
      <c r="AJ861">
        <f t="shared" si="13"/>
        <v>0</v>
      </c>
      <c r="AK861" t="str" cm="1">
        <f t="array" ref="AK861">_xlfn.IFS(A861&lt;=30,"18-30",A861&lt;=45,"31-45",A861&lt;=60,"46-60",TRUE, "60+")</f>
        <v>18-30</v>
      </c>
      <c r="AL861" t="str" cm="1">
        <f t="array" ref="AL861">_xlfn.IFS(F861&lt;=10,"0-10",F861&lt;=20,"11-20",TRUE,"20+")</f>
        <v>11-20</v>
      </c>
      <c r="AM861" t="str" cm="1">
        <f t="array" ref="AM861">_xlfn.IFS(S861&lt;=5000,"0-5k",S861&lt;=10000,"5k-10k",S861&lt;=15000,"10k-15k",TRUE,"15k+")</f>
        <v>0-5k</v>
      </c>
      <c r="AN861" t="str" cm="1">
        <f t="array" ref="AN861">_xlfn.IFS(AF861&lt;=10,"0-10",AF861&lt;=20,"10-20",AF861&lt;=30,"20-30",TRUE,"30+")</f>
        <v>0-10</v>
      </c>
      <c r="AO861" t="str" cm="1">
        <f t="array" ref="AO861">_xlfn.IFS(Y861=1,"Poor",Y861=2,"Average",Y861=3,"Good",TRUE,"Excellent")</f>
        <v>Good</v>
      </c>
      <c r="AP861" t="str" cm="1">
        <f t="array" ref="AP861">_xlfn.IFS(Q861=1,"Low",Q861=2,"Medium",Q861=3,"High",TRUE,"Very High")</f>
        <v>Very High</v>
      </c>
    </row>
    <row r="862" spans="1:42" x14ac:dyDescent="0.25">
      <c r="A862">
        <v>22</v>
      </c>
      <c r="B862" t="s">
        <v>35</v>
      </c>
      <c r="C862" t="s">
        <v>91</v>
      </c>
      <c r="D862">
        <v>1256</v>
      </c>
      <c r="E862" t="s">
        <v>43</v>
      </c>
      <c r="F862">
        <v>3</v>
      </c>
      <c r="G862">
        <v>4</v>
      </c>
      <c r="H862" t="s">
        <v>37</v>
      </c>
      <c r="I862">
        <v>1</v>
      </c>
      <c r="J862">
        <v>1203</v>
      </c>
      <c r="K862">
        <v>3</v>
      </c>
      <c r="L862" t="s">
        <v>44</v>
      </c>
      <c r="M862">
        <v>48</v>
      </c>
      <c r="N862">
        <v>2</v>
      </c>
      <c r="O862">
        <v>1</v>
      </c>
      <c r="P862" t="s">
        <v>45</v>
      </c>
      <c r="Q862">
        <v>4</v>
      </c>
      <c r="R862" t="s">
        <v>46</v>
      </c>
      <c r="S862">
        <v>2853</v>
      </c>
      <c r="T862">
        <v>4223</v>
      </c>
      <c r="U862">
        <v>0</v>
      </c>
      <c r="V862" t="s">
        <v>41</v>
      </c>
      <c r="W862" t="s">
        <v>35</v>
      </c>
      <c r="X862">
        <v>11</v>
      </c>
      <c r="Y862">
        <v>3</v>
      </c>
      <c r="Z862">
        <v>2</v>
      </c>
      <c r="AA862">
        <v>80</v>
      </c>
      <c r="AB862">
        <v>1</v>
      </c>
      <c r="AC862">
        <v>1</v>
      </c>
      <c r="AD862">
        <v>5</v>
      </c>
      <c r="AE862">
        <v>3</v>
      </c>
      <c r="AF862">
        <v>0</v>
      </c>
      <c r="AG862">
        <v>0</v>
      </c>
      <c r="AH862">
        <v>0</v>
      </c>
      <c r="AI862">
        <v>0</v>
      </c>
      <c r="AJ862">
        <f t="shared" si="13"/>
        <v>1</v>
      </c>
      <c r="AK862" t="str" cm="1">
        <f t="array" ref="AK862">_xlfn.IFS(A862&lt;=30,"18-30",A862&lt;=45,"31-45",A862&lt;=60,"46-60",TRUE, "60+")</f>
        <v>18-30</v>
      </c>
      <c r="AL862" t="str" cm="1">
        <f t="array" ref="AL862">_xlfn.IFS(F862&lt;=10,"0-10",F862&lt;=20,"11-20",TRUE,"20+")</f>
        <v>0-10</v>
      </c>
      <c r="AM862" t="str" cm="1">
        <f t="array" ref="AM862">_xlfn.IFS(S862&lt;=5000,"0-5k",S862&lt;=10000,"5k-10k",S862&lt;=15000,"10k-15k",TRUE,"15k+")</f>
        <v>0-5k</v>
      </c>
      <c r="AN862" t="str" cm="1">
        <f t="array" ref="AN862">_xlfn.IFS(AF862&lt;=10,"0-10",AF862&lt;=20,"10-20",AF862&lt;=30,"20-30",TRUE,"30+")</f>
        <v>0-10</v>
      </c>
      <c r="AO862" t="str" cm="1">
        <f t="array" ref="AO862">_xlfn.IFS(Y862=1,"Poor",Y862=2,"Average",Y862=3,"Good",TRUE,"Excellent")</f>
        <v>Good</v>
      </c>
      <c r="AP862" t="str" cm="1">
        <f t="array" ref="AP862">_xlfn.IFS(Q862=1,"Low",Q862=2,"Medium",Q862=3,"High",TRUE,"Very High")</f>
        <v>Very High</v>
      </c>
    </row>
    <row r="863" spans="1:42" x14ac:dyDescent="0.25">
      <c r="A863">
        <v>46</v>
      </c>
      <c r="B863" t="s">
        <v>42</v>
      </c>
      <c r="C863" t="s">
        <v>90</v>
      </c>
      <c r="D863">
        <v>1402</v>
      </c>
      <c r="E863" t="s">
        <v>36</v>
      </c>
      <c r="F863">
        <v>2</v>
      </c>
      <c r="G863">
        <v>3</v>
      </c>
      <c r="H863" t="s">
        <v>57</v>
      </c>
      <c r="I863">
        <v>1</v>
      </c>
      <c r="J863">
        <v>1204</v>
      </c>
      <c r="K863">
        <v>3</v>
      </c>
      <c r="L863" t="s">
        <v>38</v>
      </c>
      <c r="M863">
        <v>69</v>
      </c>
      <c r="N863">
        <v>3</v>
      </c>
      <c r="O863">
        <v>4</v>
      </c>
      <c r="P863" t="s">
        <v>54</v>
      </c>
      <c r="Q863">
        <v>1</v>
      </c>
      <c r="R863" t="s">
        <v>46</v>
      </c>
      <c r="S863">
        <v>17048</v>
      </c>
      <c r="T863">
        <v>24097</v>
      </c>
      <c r="U863">
        <v>8</v>
      </c>
      <c r="V863" t="s">
        <v>41</v>
      </c>
      <c r="W863" t="s">
        <v>42</v>
      </c>
      <c r="X863">
        <v>23</v>
      </c>
      <c r="Y863">
        <v>4</v>
      </c>
      <c r="Z863">
        <v>1</v>
      </c>
      <c r="AA863">
        <v>80</v>
      </c>
      <c r="AB863">
        <v>0</v>
      </c>
      <c r="AC863">
        <v>28</v>
      </c>
      <c r="AD863">
        <v>2</v>
      </c>
      <c r="AE863">
        <v>3</v>
      </c>
      <c r="AF863">
        <v>26</v>
      </c>
      <c r="AG863">
        <v>15</v>
      </c>
      <c r="AH863">
        <v>15</v>
      </c>
      <c r="AI863">
        <v>9</v>
      </c>
      <c r="AJ863">
        <f t="shared" si="13"/>
        <v>0</v>
      </c>
      <c r="AK863" t="str" cm="1">
        <f t="array" ref="AK863">_xlfn.IFS(A863&lt;=30,"18-30",A863&lt;=45,"31-45",A863&lt;=60,"46-60",TRUE, "60+")</f>
        <v>46-60</v>
      </c>
      <c r="AL863" t="str" cm="1">
        <f t="array" ref="AL863">_xlfn.IFS(F863&lt;=10,"0-10",F863&lt;=20,"11-20",TRUE,"20+")</f>
        <v>0-10</v>
      </c>
      <c r="AM863" t="str" cm="1">
        <f t="array" ref="AM863">_xlfn.IFS(S863&lt;=5000,"0-5k",S863&lt;=10000,"5k-10k",S863&lt;=15000,"10k-15k",TRUE,"15k+")</f>
        <v>15k+</v>
      </c>
      <c r="AN863" t="str" cm="1">
        <f t="array" ref="AN863">_xlfn.IFS(AF863&lt;=10,"0-10",AF863&lt;=20,"10-20",AF863&lt;=30,"20-30",TRUE,"30+")</f>
        <v>20-30</v>
      </c>
      <c r="AO863" t="str" cm="1">
        <f t="array" ref="AO863">_xlfn.IFS(Y863=1,"Poor",Y863=2,"Average",Y863=3,"Good",TRUE,"Excellent")</f>
        <v>Excellent</v>
      </c>
      <c r="AP863" t="str" cm="1">
        <f t="array" ref="AP863">_xlfn.IFS(Q863=1,"Low",Q863=2,"Medium",Q863=3,"High",TRUE,"Very High")</f>
        <v>Low</v>
      </c>
    </row>
    <row r="864" spans="1:42" x14ac:dyDescent="0.25">
      <c r="A864">
        <v>44</v>
      </c>
      <c r="B864" t="s">
        <v>42</v>
      </c>
      <c r="C864" t="s">
        <v>53</v>
      </c>
      <c r="D864">
        <v>111</v>
      </c>
      <c r="E864" t="s">
        <v>43</v>
      </c>
      <c r="F864">
        <v>17</v>
      </c>
      <c r="G864">
        <v>3</v>
      </c>
      <c r="H864" t="s">
        <v>37</v>
      </c>
      <c r="I864">
        <v>1</v>
      </c>
      <c r="J864">
        <v>1206</v>
      </c>
      <c r="K864">
        <v>4</v>
      </c>
      <c r="L864" t="s">
        <v>44</v>
      </c>
      <c r="M864">
        <v>74</v>
      </c>
      <c r="N864">
        <v>1</v>
      </c>
      <c r="O864">
        <v>1</v>
      </c>
      <c r="P864" t="s">
        <v>45</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c r="AJ864">
        <f t="shared" si="13"/>
        <v>0</v>
      </c>
      <c r="AK864" t="str" cm="1">
        <f t="array" ref="AK864">_xlfn.IFS(A864&lt;=30,"18-30",A864&lt;=45,"31-45",A864&lt;=60,"46-60",TRUE, "60+")</f>
        <v>31-45</v>
      </c>
      <c r="AL864" t="str" cm="1">
        <f t="array" ref="AL864">_xlfn.IFS(F864&lt;=10,"0-10",F864&lt;=20,"11-20",TRUE,"20+")</f>
        <v>11-20</v>
      </c>
      <c r="AM864" t="str" cm="1">
        <f t="array" ref="AM864">_xlfn.IFS(S864&lt;=5000,"0-5k",S864&lt;=10000,"5k-10k",S864&lt;=15000,"10k-15k",TRUE,"15k+")</f>
        <v>0-5k</v>
      </c>
      <c r="AN864" t="str" cm="1">
        <f t="array" ref="AN864">_xlfn.IFS(AF864&lt;=10,"0-10",AF864&lt;=20,"10-20",AF864&lt;=30,"20-30",TRUE,"30+")</f>
        <v>0-10</v>
      </c>
      <c r="AO864" t="str" cm="1">
        <f t="array" ref="AO864">_xlfn.IFS(Y864=1,"Poor",Y864=2,"Average",Y864=3,"Good",TRUE,"Excellent")</f>
        <v>Good</v>
      </c>
      <c r="AP864" t="str" cm="1">
        <f t="array" ref="AP864">_xlfn.IFS(Q864=1,"Low",Q864=2,"Medium",Q864=3,"High",TRUE,"Very High")</f>
        <v>High</v>
      </c>
    </row>
    <row r="865" spans="1:42" x14ac:dyDescent="0.25">
      <c r="A865">
        <v>33</v>
      </c>
      <c r="B865" t="s">
        <v>42</v>
      </c>
      <c r="C865" t="s">
        <v>90</v>
      </c>
      <c r="D865">
        <v>147</v>
      </c>
      <c r="E865" t="s">
        <v>59</v>
      </c>
      <c r="F865">
        <v>2</v>
      </c>
      <c r="G865">
        <v>3</v>
      </c>
      <c r="H865" t="s">
        <v>59</v>
      </c>
      <c r="I865">
        <v>1</v>
      </c>
      <c r="J865">
        <v>1207</v>
      </c>
      <c r="K865">
        <v>2</v>
      </c>
      <c r="L865" t="s">
        <v>44</v>
      </c>
      <c r="M865">
        <v>99</v>
      </c>
      <c r="N865">
        <v>3</v>
      </c>
      <c r="O865">
        <v>1</v>
      </c>
      <c r="P865" t="s">
        <v>59</v>
      </c>
      <c r="Q865">
        <v>3</v>
      </c>
      <c r="R865" t="s">
        <v>46</v>
      </c>
      <c r="S865">
        <v>3600</v>
      </c>
      <c r="T865">
        <v>8429</v>
      </c>
      <c r="U865">
        <v>1</v>
      </c>
      <c r="V865" t="s">
        <v>41</v>
      </c>
      <c r="W865" t="s">
        <v>42</v>
      </c>
      <c r="X865">
        <v>13</v>
      </c>
      <c r="Y865">
        <v>3</v>
      </c>
      <c r="Z865">
        <v>4</v>
      </c>
      <c r="AA865">
        <v>80</v>
      </c>
      <c r="AB865">
        <v>1</v>
      </c>
      <c r="AC865">
        <v>5</v>
      </c>
      <c r="AD865">
        <v>2</v>
      </c>
      <c r="AE865">
        <v>3</v>
      </c>
      <c r="AF865">
        <v>5</v>
      </c>
      <c r="AG865">
        <v>4</v>
      </c>
      <c r="AH865">
        <v>1</v>
      </c>
      <c r="AI865">
        <v>4</v>
      </c>
      <c r="AJ865">
        <f t="shared" si="13"/>
        <v>0</v>
      </c>
      <c r="AK865" t="str" cm="1">
        <f t="array" ref="AK865">_xlfn.IFS(A865&lt;=30,"18-30",A865&lt;=45,"31-45",A865&lt;=60,"46-60",TRUE, "60+")</f>
        <v>31-45</v>
      </c>
      <c r="AL865" t="str" cm="1">
        <f t="array" ref="AL865">_xlfn.IFS(F865&lt;=10,"0-10",F865&lt;=20,"11-20",TRUE,"20+")</f>
        <v>0-10</v>
      </c>
      <c r="AM865" t="str" cm="1">
        <f t="array" ref="AM865">_xlfn.IFS(S865&lt;=5000,"0-5k",S865&lt;=10000,"5k-10k",S865&lt;=15000,"10k-15k",TRUE,"15k+")</f>
        <v>0-5k</v>
      </c>
      <c r="AN865" t="str" cm="1">
        <f t="array" ref="AN865">_xlfn.IFS(AF865&lt;=10,"0-10",AF865&lt;=20,"10-20",AF865&lt;=30,"20-30",TRUE,"30+")</f>
        <v>0-10</v>
      </c>
      <c r="AO865" t="str" cm="1">
        <f t="array" ref="AO865">_xlfn.IFS(Y865=1,"Poor",Y865=2,"Average",Y865=3,"Good",TRUE,"Excellent")</f>
        <v>Good</v>
      </c>
      <c r="AP865" t="str" cm="1">
        <f t="array" ref="AP865">_xlfn.IFS(Q865=1,"Low",Q865=2,"Medium",Q865=3,"High",TRUE,"Very High")</f>
        <v>High</v>
      </c>
    </row>
    <row r="866" spans="1:42" x14ac:dyDescent="0.25">
      <c r="A866">
        <v>41</v>
      </c>
      <c r="B866" t="s">
        <v>35</v>
      </c>
      <c r="C866" t="s">
        <v>53</v>
      </c>
      <c r="D866">
        <v>906</v>
      </c>
      <c r="E866" t="s">
        <v>43</v>
      </c>
      <c r="F866">
        <v>5</v>
      </c>
      <c r="G866">
        <v>2</v>
      </c>
      <c r="H866" t="s">
        <v>37</v>
      </c>
      <c r="I866">
        <v>1</v>
      </c>
      <c r="J866">
        <v>1210</v>
      </c>
      <c r="K866">
        <v>1</v>
      </c>
      <c r="L866" t="s">
        <v>44</v>
      </c>
      <c r="M866">
        <v>95</v>
      </c>
      <c r="N866">
        <v>2</v>
      </c>
      <c r="O866">
        <v>1</v>
      </c>
      <c r="P866" t="s">
        <v>45</v>
      </c>
      <c r="Q866">
        <v>1</v>
      </c>
      <c r="R866" t="s">
        <v>50</v>
      </c>
      <c r="S866">
        <v>2107</v>
      </c>
      <c r="T866">
        <v>20293</v>
      </c>
      <c r="U866">
        <v>6</v>
      </c>
      <c r="V866" t="s">
        <v>41</v>
      </c>
      <c r="W866" t="s">
        <v>42</v>
      </c>
      <c r="X866">
        <v>17</v>
      </c>
      <c r="Y866">
        <v>3</v>
      </c>
      <c r="Z866">
        <v>1</v>
      </c>
      <c r="AA866">
        <v>80</v>
      </c>
      <c r="AB866">
        <v>1</v>
      </c>
      <c r="AC866">
        <v>5</v>
      </c>
      <c r="AD866">
        <v>2</v>
      </c>
      <c r="AE866">
        <v>1</v>
      </c>
      <c r="AF866">
        <v>1</v>
      </c>
      <c r="AG866">
        <v>0</v>
      </c>
      <c r="AH866">
        <v>0</v>
      </c>
      <c r="AI866">
        <v>0</v>
      </c>
      <c r="AJ866">
        <f t="shared" si="13"/>
        <v>1</v>
      </c>
      <c r="AK866" t="str" cm="1">
        <f t="array" ref="AK866">_xlfn.IFS(A866&lt;=30,"18-30",A866&lt;=45,"31-45",A866&lt;=60,"46-60",TRUE, "60+")</f>
        <v>31-45</v>
      </c>
      <c r="AL866" t="str" cm="1">
        <f t="array" ref="AL866">_xlfn.IFS(F866&lt;=10,"0-10",F866&lt;=20,"11-20",TRUE,"20+")</f>
        <v>0-10</v>
      </c>
      <c r="AM866" t="str" cm="1">
        <f t="array" ref="AM866">_xlfn.IFS(S866&lt;=5000,"0-5k",S866&lt;=10000,"5k-10k",S866&lt;=15000,"10k-15k",TRUE,"15k+")</f>
        <v>0-5k</v>
      </c>
      <c r="AN866" t="str" cm="1">
        <f t="array" ref="AN866">_xlfn.IFS(AF866&lt;=10,"0-10",AF866&lt;=20,"10-20",AF866&lt;=30,"20-30",TRUE,"30+")</f>
        <v>0-10</v>
      </c>
      <c r="AO866" t="str" cm="1">
        <f t="array" ref="AO866">_xlfn.IFS(Y866=1,"Poor",Y866=2,"Average",Y866=3,"Good",TRUE,"Excellent")</f>
        <v>Good</v>
      </c>
      <c r="AP866" t="str" cm="1">
        <f t="array" ref="AP866">_xlfn.IFS(Q866=1,"Low",Q866=2,"Medium",Q866=3,"High",TRUE,"Very High")</f>
        <v>Low</v>
      </c>
    </row>
    <row r="867" spans="1:42" x14ac:dyDescent="0.25">
      <c r="A867">
        <v>30</v>
      </c>
      <c r="B867" t="s">
        <v>42</v>
      </c>
      <c r="C867" t="s">
        <v>90</v>
      </c>
      <c r="D867">
        <v>1329</v>
      </c>
      <c r="E867" t="s">
        <v>36</v>
      </c>
      <c r="F867">
        <v>29</v>
      </c>
      <c r="G867">
        <v>4</v>
      </c>
      <c r="H867" t="s">
        <v>37</v>
      </c>
      <c r="I867">
        <v>1</v>
      </c>
      <c r="J867">
        <v>1211</v>
      </c>
      <c r="K867">
        <v>3</v>
      </c>
      <c r="L867" t="s">
        <v>44</v>
      </c>
      <c r="M867">
        <v>61</v>
      </c>
      <c r="N867">
        <v>3</v>
      </c>
      <c r="O867">
        <v>2</v>
      </c>
      <c r="P867" t="s">
        <v>39</v>
      </c>
      <c r="Q867">
        <v>1</v>
      </c>
      <c r="R867" t="s">
        <v>50</v>
      </c>
      <c r="S867">
        <v>4115</v>
      </c>
      <c r="T867">
        <v>13192</v>
      </c>
      <c r="U867">
        <v>8</v>
      </c>
      <c r="V867" t="s">
        <v>41</v>
      </c>
      <c r="W867" t="s">
        <v>42</v>
      </c>
      <c r="X867">
        <v>19</v>
      </c>
      <c r="Y867">
        <v>3</v>
      </c>
      <c r="Z867">
        <v>3</v>
      </c>
      <c r="AA867">
        <v>80</v>
      </c>
      <c r="AB867">
        <v>3</v>
      </c>
      <c r="AC867">
        <v>8</v>
      </c>
      <c r="AD867">
        <v>3</v>
      </c>
      <c r="AE867">
        <v>3</v>
      </c>
      <c r="AF867">
        <v>4</v>
      </c>
      <c r="AG867">
        <v>3</v>
      </c>
      <c r="AH867">
        <v>0</v>
      </c>
      <c r="AI867">
        <v>3</v>
      </c>
      <c r="AJ867">
        <f t="shared" si="13"/>
        <v>0</v>
      </c>
      <c r="AK867" t="str" cm="1">
        <f t="array" ref="AK867">_xlfn.IFS(A867&lt;=30,"18-30",A867&lt;=45,"31-45",A867&lt;=60,"46-60",TRUE, "60+")</f>
        <v>18-30</v>
      </c>
      <c r="AL867" t="str" cm="1">
        <f t="array" ref="AL867">_xlfn.IFS(F867&lt;=10,"0-10",F867&lt;=20,"11-20",TRUE,"20+")</f>
        <v>20+</v>
      </c>
      <c r="AM867" t="str" cm="1">
        <f t="array" ref="AM867">_xlfn.IFS(S867&lt;=5000,"0-5k",S867&lt;=10000,"5k-10k",S867&lt;=15000,"10k-15k",TRUE,"15k+")</f>
        <v>0-5k</v>
      </c>
      <c r="AN867" t="str" cm="1">
        <f t="array" ref="AN867">_xlfn.IFS(AF867&lt;=10,"0-10",AF867&lt;=20,"10-20",AF867&lt;=30,"20-30",TRUE,"30+")</f>
        <v>0-10</v>
      </c>
      <c r="AO867" t="str" cm="1">
        <f t="array" ref="AO867">_xlfn.IFS(Y867=1,"Poor",Y867=2,"Average",Y867=3,"Good",TRUE,"Excellent")</f>
        <v>Good</v>
      </c>
      <c r="AP867" t="str" cm="1">
        <f t="array" ref="AP867">_xlfn.IFS(Q867=1,"Low",Q867=2,"Medium",Q867=3,"High",TRUE,"Very High")</f>
        <v>Low</v>
      </c>
    </row>
    <row r="868" spans="1:42" x14ac:dyDescent="0.25">
      <c r="A868">
        <v>40</v>
      </c>
      <c r="B868" t="s">
        <v>42</v>
      </c>
      <c r="C868" t="s">
        <v>91</v>
      </c>
      <c r="D868">
        <v>1184</v>
      </c>
      <c r="E868" t="s">
        <v>36</v>
      </c>
      <c r="F868">
        <v>2</v>
      </c>
      <c r="G868">
        <v>4</v>
      </c>
      <c r="H868" t="s">
        <v>49</v>
      </c>
      <c r="I868">
        <v>1</v>
      </c>
      <c r="J868">
        <v>1212</v>
      </c>
      <c r="K868">
        <v>2</v>
      </c>
      <c r="L868" t="s">
        <v>44</v>
      </c>
      <c r="M868">
        <v>62</v>
      </c>
      <c r="N868">
        <v>3</v>
      </c>
      <c r="O868">
        <v>2</v>
      </c>
      <c r="P868" t="s">
        <v>39</v>
      </c>
      <c r="Q868">
        <v>2</v>
      </c>
      <c r="R868" t="s">
        <v>46</v>
      </c>
      <c r="S868">
        <v>4327</v>
      </c>
      <c r="T868">
        <v>25440</v>
      </c>
      <c r="U868">
        <v>5</v>
      </c>
      <c r="V868" t="s">
        <v>41</v>
      </c>
      <c r="W868" t="s">
        <v>42</v>
      </c>
      <c r="X868">
        <v>12</v>
      </c>
      <c r="Y868">
        <v>3</v>
      </c>
      <c r="Z868">
        <v>4</v>
      </c>
      <c r="AA868">
        <v>80</v>
      </c>
      <c r="AB868">
        <v>3</v>
      </c>
      <c r="AC868">
        <v>5</v>
      </c>
      <c r="AD868">
        <v>2</v>
      </c>
      <c r="AE868">
        <v>3</v>
      </c>
      <c r="AF868">
        <v>0</v>
      </c>
      <c r="AG868">
        <v>0</v>
      </c>
      <c r="AH868">
        <v>0</v>
      </c>
      <c r="AI868">
        <v>0</v>
      </c>
      <c r="AJ868">
        <f t="shared" si="13"/>
        <v>0</v>
      </c>
      <c r="AK868" t="str" cm="1">
        <f t="array" ref="AK868">_xlfn.IFS(A868&lt;=30,"18-30",A868&lt;=45,"31-45",A868&lt;=60,"46-60",TRUE, "60+")</f>
        <v>31-45</v>
      </c>
      <c r="AL868" t="str" cm="1">
        <f t="array" ref="AL868">_xlfn.IFS(F868&lt;=10,"0-10",F868&lt;=20,"11-20",TRUE,"20+")</f>
        <v>0-10</v>
      </c>
      <c r="AM868" t="str" cm="1">
        <f t="array" ref="AM868">_xlfn.IFS(S868&lt;=5000,"0-5k",S868&lt;=10000,"5k-10k",S868&lt;=15000,"10k-15k",TRUE,"15k+")</f>
        <v>0-5k</v>
      </c>
      <c r="AN868" t="str" cm="1">
        <f t="array" ref="AN868">_xlfn.IFS(AF868&lt;=10,"0-10",AF868&lt;=20,"10-20",AF868&lt;=30,"20-30",TRUE,"30+")</f>
        <v>0-10</v>
      </c>
      <c r="AO868" t="str" cm="1">
        <f t="array" ref="AO868">_xlfn.IFS(Y868=1,"Poor",Y868=2,"Average",Y868=3,"Good",TRUE,"Excellent")</f>
        <v>Good</v>
      </c>
      <c r="AP868" t="str" cm="1">
        <f t="array" ref="AP868">_xlfn.IFS(Q868=1,"Low",Q868=2,"Medium",Q868=3,"High",TRUE,"Very High")</f>
        <v>Medium</v>
      </c>
    </row>
    <row r="869" spans="1:42" x14ac:dyDescent="0.25">
      <c r="A869">
        <v>50</v>
      </c>
      <c r="B869" t="s">
        <v>42</v>
      </c>
      <c r="C869" t="s">
        <v>91</v>
      </c>
      <c r="D869">
        <v>1421</v>
      </c>
      <c r="E869" t="s">
        <v>43</v>
      </c>
      <c r="F869">
        <v>2</v>
      </c>
      <c r="G869">
        <v>3</v>
      </c>
      <c r="H869" t="s">
        <v>49</v>
      </c>
      <c r="I869">
        <v>1</v>
      </c>
      <c r="J869">
        <v>1215</v>
      </c>
      <c r="K869">
        <v>4</v>
      </c>
      <c r="L869" t="s">
        <v>38</v>
      </c>
      <c r="M869">
        <v>30</v>
      </c>
      <c r="N869">
        <v>3</v>
      </c>
      <c r="O869">
        <v>4</v>
      </c>
      <c r="P869" t="s">
        <v>54</v>
      </c>
      <c r="Q869">
        <v>1</v>
      </c>
      <c r="R869" t="s">
        <v>46</v>
      </c>
      <c r="S869">
        <v>17856</v>
      </c>
      <c r="T869">
        <v>9490</v>
      </c>
      <c r="U869">
        <v>2</v>
      </c>
      <c r="V869" t="s">
        <v>41</v>
      </c>
      <c r="W869" t="s">
        <v>42</v>
      </c>
      <c r="X869">
        <v>22</v>
      </c>
      <c r="Y869">
        <v>4</v>
      </c>
      <c r="Z869">
        <v>3</v>
      </c>
      <c r="AA869">
        <v>80</v>
      </c>
      <c r="AB869">
        <v>1</v>
      </c>
      <c r="AC869">
        <v>32</v>
      </c>
      <c r="AD869">
        <v>3</v>
      </c>
      <c r="AE869">
        <v>3</v>
      </c>
      <c r="AF869">
        <v>2</v>
      </c>
      <c r="AG869">
        <v>2</v>
      </c>
      <c r="AH869">
        <v>2</v>
      </c>
      <c r="AI869">
        <v>2</v>
      </c>
      <c r="AJ869">
        <f t="shared" si="13"/>
        <v>0</v>
      </c>
      <c r="AK869" t="str" cm="1">
        <f t="array" ref="AK869">_xlfn.IFS(A869&lt;=30,"18-30",A869&lt;=45,"31-45",A869&lt;=60,"46-60",TRUE, "60+")</f>
        <v>46-60</v>
      </c>
      <c r="AL869" t="str" cm="1">
        <f t="array" ref="AL869">_xlfn.IFS(F869&lt;=10,"0-10",F869&lt;=20,"11-20",TRUE,"20+")</f>
        <v>0-10</v>
      </c>
      <c r="AM869" t="str" cm="1">
        <f t="array" ref="AM869">_xlfn.IFS(S869&lt;=5000,"0-5k",S869&lt;=10000,"5k-10k",S869&lt;=15000,"10k-15k",TRUE,"15k+")</f>
        <v>15k+</v>
      </c>
      <c r="AN869" t="str" cm="1">
        <f t="array" ref="AN869">_xlfn.IFS(AF869&lt;=10,"0-10",AF869&lt;=20,"10-20",AF869&lt;=30,"20-30",TRUE,"30+")</f>
        <v>0-10</v>
      </c>
      <c r="AO869" t="str" cm="1">
        <f t="array" ref="AO869">_xlfn.IFS(Y869=1,"Poor",Y869=2,"Average",Y869=3,"Good",TRUE,"Excellent")</f>
        <v>Excellent</v>
      </c>
      <c r="AP869" t="str" cm="1">
        <f t="array" ref="AP869">_xlfn.IFS(Q869=1,"Low",Q869=2,"Medium",Q869=3,"High",TRUE,"Very High")</f>
        <v>Low</v>
      </c>
    </row>
    <row r="870" spans="1:42" x14ac:dyDescent="0.25">
      <c r="A870">
        <v>28</v>
      </c>
      <c r="B870" t="s">
        <v>42</v>
      </c>
      <c r="C870" t="s">
        <v>90</v>
      </c>
      <c r="D870">
        <v>1179</v>
      </c>
      <c r="E870" t="s">
        <v>43</v>
      </c>
      <c r="F870">
        <v>19</v>
      </c>
      <c r="G870">
        <v>4</v>
      </c>
      <c r="H870" t="s">
        <v>49</v>
      </c>
      <c r="I870">
        <v>1</v>
      </c>
      <c r="J870">
        <v>1216</v>
      </c>
      <c r="K870">
        <v>4</v>
      </c>
      <c r="L870" t="s">
        <v>44</v>
      </c>
      <c r="M870">
        <v>78</v>
      </c>
      <c r="N870">
        <v>2</v>
      </c>
      <c r="O870">
        <v>1</v>
      </c>
      <c r="P870" t="s">
        <v>48</v>
      </c>
      <c r="Q870">
        <v>1</v>
      </c>
      <c r="R870" t="s">
        <v>46</v>
      </c>
      <c r="S870">
        <v>3196</v>
      </c>
      <c r="T870">
        <v>12449</v>
      </c>
      <c r="U870">
        <v>1</v>
      </c>
      <c r="V870" t="s">
        <v>41</v>
      </c>
      <c r="W870" t="s">
        <v>42</v>
      </c>
      <c r="X870">
        <v>12</v>
      </c>
      <c r="Y870">
        <v>3</v>
      </c>
      <c r="Z870">
        <v>3</v>
      </c>
      <c r="AA870">
        <v>80</v>
      </c>
      <c r="AB870">
        <v>3</v>
      </c>
      <c r="AC870">
        <v>6</v>
      </c>
      <c r="AD870">
        <v>2</v>
      </c>
      <c r="AE870">
        <v>3</v>
      </c>
      <c r="AF870">
        <v>6</v>
      </c>
      <c r="AG870">
        <v>5</v>
      </c>
      <c r="AH870">
        <v>3</v>
      </c>
      <c r="AI870">
        <v>3</v>
      </c>
      <c r="AJ870">
        <f t="shared" si="13"/>
        <v>0</v>
      </c>
      <c r="AK870" t="str" cm="1">
        <f t="array" ref="AK870">_xlfn.IFS(A870&lt;=30,"18-30",A870&lt;=45,"31-45",A870&lt;=60,"46-60",TRUE, "60+")</f>
        <v>18-30</v>
      </c>
      <c r="AL870" t="str" cm="1">
        <f t="array" ref="AL870">_xlfn.IFS(F870&lt;=10,"0-10",F870&lt;=20,"11-20",TRUE,"20+")</f>
        <v>11-20</v>
      </c>
      <c r="AM870" t="str" cm="1">
        <f t="array" ref="AM870">_xlfn.IFS(S870&lt;=5000,"0-5k",S870&lt;=10000,"5k-10k",S870&lt;=15000,"10k-15k",TRUE,"15k+")</f>
        <v>0-5k</v>
      </c>
      <c r="AN870" t="str" cm="1">
        <f t="array" ref="AN870">_xlfn.IFS(AF870&lt;=10,"0-10",AF870&lt;=20,"10-20",AF870&lt;=30,"20-30",TRUE,"30+")</f>
        <v>0-10</v>
      </c>
      <c r="AO870" t="str" cm="1">
        <f t="array" ref="AO870">_xlfn.IFS(Y870=1,"Poor",Y870=2,"Average",Y870=3,"Good",TRUE,"Excellent")</f>
        <v>Good</v>
      </c>
      <c r="AP870" t="str" cm="1">
        <f t="array" ref="AP870">_xlfn.IFS(Q870=1,"Low",Q870=2,"Medium",Q870=3,"High",TRUE,"Very High")</f>
        <v>Low</v>
      </c>
    </row>
    <row r="871" spans="1:42" x14ac:dyDescent="0.25">
      <c r="A871">
        <v>46</v>
      </c>
      <c r="B871" t="s">
        <v>42</v>
      </c>
      <c r="C871" t="s">
        <v>90</v>
      </c>
      <c r="D871">
        <v>1450</v>
      </c>
      <c r="E871" t="s">
        <v>43</v>
      </c>
      <c r="F871">
        <v>15</v>
      </c>
      <c r="G871">
        <v>2</v>
      </c>
      <c r="H871" t="s">
        <v>37</v>
      </c>
      <c r="I871">
        <v>1</v>
      </c>
      <c r="J871">
        <v>1217</v>
      </c>
      <c r="K871">
        <v>4</v>
      </c>
      <c r="L871" t="s">
        <v>44</v>
      </c>
      <c r="M871">
        <v>52</v>
      </c>
      <c r="N871">
        <v>3</v>
      </c>
      <c r="O871">
        <v>5</v>
      </c>
      <c r="P871" t="s">
        <v>56</v>
      </c>
      <c r="Q871">
        <v>2</v>
      </c>
      <c r="R871" t="s">
        <v>46</v>
      </c>
      <c r="S871">
        <v>19081</v>
      </c>
      <c r="T871">
        <v>10849</v>
      </c>
      <c r="U871">
        <v>5</v>
      </c>
      <c r="V871" t="s">
        <v>41</v>
      </c>
      <c r="W871" t="s">
        <v>42</v>
      </c>
      <c r="X871">
        <v>11</v>
      </c>
      <c r="Y871">
        <v>3</v>
      </c>
      <c r="Z871">
        <v>1</v>
      </c>
      <c r="AA871">
        <v>80</v>
      </c>
      <c r="AB871">
        <v>1</v>
      </c>
      <c r="AC871">
        <v>25</v>
      </c>
      <c r="AD871">
        <v>2</v>
      </c>
      <c r="AE871">
        <v>3</v>
      </c>
      <c r="AF871">
        <v>4</v>
      </c>
      <c r="AG871">
        <v>2</v>
      </c>
      <c r="AH871">
        <v>0</v>
      </c>
      <c r="AI871">
        <v>3</v>
      </c>
      <c r="AJ871">
        <f t="shared" si="13"/>
        <v>0</v>
      </c>
      <c r="AK871" t="str" cm="1">
        <f t="array" ref="AK871">_xlfn.IFS(A871&lt;=30,"18-30",A871&lt;=45,"31-45",A871&lt;=60,"46-60",TRUE, "60+")</f>
        <v>46-60</v>
      </c>
      <c r="AL871" t="str" cm="1">
        <f t="array" ref="AL871">_xlfn.IFS(F871&lt;=10,"0-10",F871&lt;=20,"11-20",TRUE,"20+")</f>
        <v>11-20</v>
      </c>
      <c r="AM871" t="str" cm="1">
        <f t="array" ref="AM871">_xlfn.IFS(S871&lt;=5000,"0-5k",S871&lt;=10000,"5k-10k",S871&lt;=15000,"10k-15k",TRUE,"15k+")</f>
        <v>15k+</v>
      </c>
      <c r="AN871" t="str" cm="1">
        <f t="array" ref="AN871">_xlfn.IFS(AF871&lt;=10,"0-10",AF871&lt;=20,"10-20",AF871&lt;=30,"20-30",TRUE,"30+")</f>
        <v>0-10</v>
      </c>
      <c r="AO871" t="str" cm="1">
        <f t="array" ref="AO871">_xlfn.IFS(Y871=1,"Poor",Y871=2,"Average",Y871=3,"Good",TRUE,"Excellent")</f>
        <v>Good</v>
      </c>
      <c r="AP871" t="str" cm="1">
        <f t="array" ref="AP871">_xlfn.IFS(Q871=1,"Low",Q871=2,"Medium",Q871=3,"High",TRUE,"Very High")</f>
        <v>Medium</v>
      </c>
    </row>
    <row r="872" spans="1:42" x14ac:dyDescent="0.25">
      <c r="A872">
        <v>35</v>
      </c>
      <c r="B872" t="s">
        <v>42</v>
      </c>
      <c r="C872" t="s">
        <v>90</v>
      </c>
      <c r="D872">
        <v>1361</v>
      </c>
      <c r="E872" t="s">
        <v>36</v>
      </c>
      <c r="F872">
        <v>17</v>
      </c>
      <c r="G872">
        <v>4</v>
      </c>
      <c r="H872" t="s">
        <v>37</v>
      </c>
      <c r="I872">
        <v>1</v>
      </c>
      <c r="J872">
        <v>1218</v>
      </c>
      <c r="K872">
        <v>3</v>
      </c>
      <c r="L872" t="s">
        <v>44</v>
      </c>
      <c r="M872">
        <v>94</v>
      </c>
      <c r="N872">
        <v>3</v>
      </c>
      <c r="O872">
        <v>2</v>
      </c>
      <c r="P872" t="s">
        <v>39</v>
      </c>
      <c r="Q872">
        <v>1</v>
      </c>
      <c r="R872" t="s">
        <v>46</v>
      </c>
      <c r="S872">
        <v>8966</v>
      </c>
      <c r="T872">
        <v>21026</v>
      </c>
      <c r="U872">
        <v>3</v>
      </c>
      <c r="V872" t="s">
        <v>41</v>
      </c>
      <c r="W872" t="s">
        <v>35</v>
      </c>
      <c r="X872">
        <v>15</v>
      </c>
      <c r="Y872">
        <v>3</v>
      </c>
      <c r="Z872">
        <v>4</v>
      </c>
      <c r="AA872">
        <v>80</v>
      </c>
      <c r="AB872">
        <v>3</v>
      </c>
      <c r="AC872">
        <v>15</v>
      </c>
      <c r="AD872">
        <v>2</v>
      </c>
      <c r="AE872">
        <v>3</v>
      </c>
      <c r="AF872">
        <v>7</v>
      </c>
      <c r="AG872">
        <v>7</v>
      </c>
      <c r="AH872">
        <v>1</v>
      </c>
      <c r="AI872">
        <v>7</v>
      </c>
      <c r="AJ872">
        <f t="shared" si="13"/>
        <v>0</v>
      </c>
      <c r="AK872" t="str" cm="1">
        <f t="array" ref="AK872">_xlfn.IFS(A872&lt;=30,"18-30",A872&lt;=45,"31-45",A872&lt;=60,"46-60",TRUE, "60+")</f>
        <v>31-45</v>
      </c>
      <c r="AL872" t="str" cm="1">
        <f t="array" ref="AL872">_xlfn.IFS(F872&lt;=10,"0-10",F872&lt;=20,"11-20",TRUE,"20+")</f>
        <v>11-20</v>
      </c>
      <c r="AM872" t="str" cm="1">
        <f t="array" ref="AM872">_xlfn.IFS(S872&lt;=5000,"0-5k",S872&lt;=10000,"5k-10k",S872&lt;=15000,"10k-15k",TRUE,"15k+")</f>
        <v>5k-10k</v>
      </c>
      <c r="AN872" t="str" cm="1">
        <f t="array" ref="AN872">_xlfn.IFS(AF872&lt;=10,"0-10",AF872&lt;=20,"10-20",AF872&lt;=30,"20-30",TRUE,"30+")</f>
        <v>0-10</v>
      </c>
      <c r="AO872" t="str" cm="1">
        <f t="array" ref="AO872">_xlfn.IFS(Y872=1,"Poor",Y872=2,"Average",Y872=3,"Good",TRUE,"Excellent")</f>
        <v>Good</v>
      </c>
      <c r="AP872" t="str" cm="1">
        <f t="array" ref="AP872">_xlfn.IFS(Q872=1,"Low",Q872=2,"Medium",Q872=3,"High",TRUE,"Very High")</f>
        <v>Low</v>
      </c>
    </row>
    <row r="873" spans="1:42" x14ac:dyDescent="0.25">
      <c r="A873">
        <v>24</v>
      </c>
      <c r="B873" t="s">
        <v>35</v>
      </c>
      <c r="C873" t="s">
        <v>90</v>
      </c>
      <c r="D873">
        <v>984</v>
      </c>
      <c r="E873" t="s">
        <v>43</v>
      </c>
      <c r="F873">
        <v>17</v>
      </c>
      <c r="G873">
        <v>2</v>
      </c>
      <c r="H873" t="s">
        <v>37</v>
      </c>
      <c r="I873">
        <v>1</v>
      </c>
      <c r="J873">
        <v>1219</v>
      </c>
      <c r="K873">
        <v>4</v>
      </c>
      <c r="L873" t="s">
        <v>38</v>
      </c>
      <c r="M873">
        <v>97</v>
      </c>
      <c r="N873">
        <v>3</v>
      </c>
      <c r="O873">
        <v>1</v>
      </c>
      <c r="P873" t="s">
        <v>48</v>
      </c>
      <c r="Q873">
        <v>2</v>
      </c>
      <c r="R873" t="s">
        <v>46</v>
      </c>
      <c r="S873">
        <v>2210</v>
      </c>
      <c r="T873">
        <v>3372</v>
      </c>
      <c r="U873">
        <v>1</v>
      </c>
      <c r="V873" t="s">
        <v>41</v>
      </c>
      <c r="W873" t="s">
        <v>42</v>
      </c>
      <c r="X873">
        <v>13</v>
      </c>
      <c r="Y873">
        <v>3</v>
      </c>
      <c r="Z873">
        <v>1</v>
      </c>
      <c r="AA873">
        <v>80</v>
      </c>
      <c r="AB873">
        <v>1</v>
      </c>
      <c r="AC873">
        <v>1</v>
      </c>
      <c r="AD873">
        <v>3</v>
      </c>
      <c r="AE873">
        <v>1</v>
      </c>
      <c r="AF873">
        <v>1</v>
      </c>
      <c r="AG873">
        <v>0</v>
      </c>
      <c r="AH873">
        <v>0</v>
      </c>
      <c r="AI873">
        <v>0</v>
      </c>
      <c r="AJ873">
        <f t="shared" si="13"/>
        <v>1</v>
      </c>
      <c r="AK873" t="str" cm="1">
        <f t="array" ref="AK873">_xlfn.IFS(A873&lt;=30,"18-30",A873&lt;=45,"31-45",A873&lt;=60,"46-60",TRUE, "60+")</f>
        <v>18-30</v>
      </c>
      <c r="AL873" t="str" cm="1">
        <f t="array" ref="AL873">_xlfn.IFS(F873&lt;=10,"0-10",F873&lt;=20,"11-20",TRUE,"20+")</f>
        <v>11-20</v>
      </c>
      <c r="AM873" t="str" cm="1">
        <f t="array" ref="AM873">_xlfn.IFS(S873&lt;=5000,"0-5k",S873&lt;=10000,"5k-10k",S873&lt;=15000,"10k-15k",TRUE,"15k+")</f>
        <v>0-5k</v>
      </c>
      <c r="AN873" t="str" cm="1">
        <f t="array" ref="AN873">_xlfn.IFS(AF873&lt;=10,"0-10",AF873&lt;=20,"10-20",AF873&lt;=30,"20-30",TRUE,"30+")</f>
        <v>0-10</v>
      </c>
      <c r="AO873" t="str" cm="1">
        <f t="array" ref="AO873">_xlfn.IFS(Y873=1,"Poor",Y873=2,"Average",Y873=3,"Good",TRUE,"Excellent")</f>
        <v>Good</v>
      </c>
      <c r="AP873" t="str" cm="1">
        <f t="array" ref="AP873">_xlfn.IFS(Q873=1,"Low",Q873=2,"Medium",Q873=3,"High",TRUE,"Very High")</f>
        <v>Medium</v>
      </c>
    </row>
    <row r="874" spans="1:42" x14ac:dyDescent="0.25">
      <c r="A874">
        <v>33</v>
      </c>
      <c r="B874" t="s">
        <v>42</v>
      </c>
      <c r="C874" t="s">
        <v>91</v>
      </c>
      <c r="D874">
        <v>1146</v>
      </c>
      <c r="E874" t="s">
        <v>36</v>
      </c>
      <c r="F874">
        <v>25</v>
      </c>
      <c r="G874">
        <v>3</v>
      </c>
      <c r="H874" t="s">
        <v>49</v>
      </c>
      <c r="I874">
        <v>1</v>
      </c>
      <c r="J874">
        <v>1220</v>
      </c>
      <c r="K874">
        <v>2</v>
      </c>
      <c r="L874" t="s">
        <v>38</v>
      </c>
      <c r="M874">
        <v>82</v>
      </c>
      <c r="N874">
        <v>3</v>
      </c>
      <c r="O874">
        <v>2</v>
      </c>
      <c r="P874" t="s">
        <v>39</v>
      </c>
      <c r="Q874">
        <v>3</v>
      </c>
      <c r="R874" t="s">
        <v>46</v>
      </c>
      <c r="S874">
        <v>4539</v>
      </c>
      <c r="T874">
        <v>4905</v>
      </c>
      <c r="U874">
        <v>1</v>
      </c>
      <c r="V874" t="s">
        <v>41</v>
      </c>
      <c r="W874" t="s">
        <v>42</v>
      </c>
      <c r="X874">
        <v>12</v>
      </c>
      <c r="Y874">
        <v>3</v>
      </c>
      <c r="Z874">
        <v>1</v>
      </c>
      <c r="AA874">
        <v>80</v>
      </c>
      <c r="AB874">
        <v>1</v>
      </c>
      <c r="AC874">
        <v>10</v>
      </c>
      <c r="AD874">
        <v>3</v>
      </c>
      <c r="AE874">
        <v>2</v>
      </c>
      <c r="AF874">
        <v>10</v>
      </c>
      <c r="AG874">
        <v>7</v>
      </c>
      <c r="AH874">
        <v>0</v>
      </c>
      <c r="AI874">
        <v>1</v>
      </c>
      <c r="AJ874">
        <f t="shared" si="13"/>
        <v>0</v>
      </c>
      <c r="AK874" t="str" cm="1">
        <f t="array" ref="AK874">_xlfn.IFS(A874&lt;=30,"18-30",A874&lt;=45,"31-45",A874&lt;=60,"46-60",TRUE, "60+")</f>
        <v>31-45</v>
      </c>
      <c r="AL874" t="str" cm="1">
        <f t="array" ref="AL874">_xlfn.IFS(F874&lt;=10,"0-10",F874&lt;=20,"11-20",TRUE,"20+")</f>
        <v>20+</v>
      </c>
      <c r="AM874" t="str" cm="1">
        <f t="array" ref="AM874">_xlfn.IFS(S874&lt;=5000,"0-5k",S874&lt;=10000,"5k-10k",S874&lt;=15000,"10k-15k",TRUE,"15k+")</f>
        <v>0-5k</v>
      </c>
      <c r="AN874" t="str" cm="1">
        <f t="array" ref="AN874">_xlfn.IFS(AF874&lt;=10,"0-10",AF874&lt;=20,"10-20",AF874&lt;=30,"20-30",TRUE,"30+")</f>
        <v>0-10</v>
      </c>
      <c r="AO874" t="str" cm="1">
        <f t="array" ref="AO874">_xlfn.IFS(Y874=1,"Poor",Y874=2,"Average",Y874=3,"Good",TRUE,"Excellent")</f>
        <v>Good</v>
      </c>
      <c r="AP874" t="str" cm="1">
        <f t="array" ref="AP874">_xlfn.IFS(Q874=1,"Low",Q874=2,"Medium",Q874=3,"High",TRUE,"Very High")</f>
        <v>High</v>
      </c>
    </row>
    <row r="875" spans="1:42" x14ac:dyDescent="0.25">
      <c r="A875">
        <v>36</v>
      </c>
      <c r="B875" t="s">
        <v>42</v>
      </c>
      <c r="C875" t="s">
        <v>90</v>
      </c>
      <c r="D875">
        <v>917</v>
      </c>
      <c r="E875" t="s">
        <v>43</v>
      </c>
      <c r="F875">
        <v>6</v>
      </c>
      <c r="G875">
        <v>4</v>
      </c>
      <c r="H875" t="s">
        <v>37</v>
      </c>
      <c r="I875">
        <v>1</v>
      </c>
      <c r="J875">
        <v>1221</v>
      </c>
      <c r="K875">
        <v>3</v>
      </c>
      <c r="L875" t="s">
        <v>44</v>
      </c>
      <c r="M875">
        <v>60</v>
      </c>
      <c r="N875">
        <v>1</v>
      </c>
      <c r="O875">
        <v>1</v>
      </c>
      <c r="P875" t="s">
        <v>48</v>
      </c>
      <c r="Q875">
        <v>3</v>
      </c>
      <c r="R875" t="s">
        <v>50</v>
      </c>
      <c r="S875">
        <v>2741</v>
      </c>
      <c r="T875">
        <v>6865</v>
      </c>
      <c r="U875">
        <v>1</v>
      </c>
      <c r="V875" t="s">
        <v>41</v>
      </c>
      <c r="W875" t="s">
        <v>42</v>
      </c>
      <c r="X875">
        <v>14</v>
      </c>
      <c r="Y875">
        <v>3</v>
      </c>
      <c r="Z875">
        <v>3</v>
      </c>
      <c r="AA875">
        <v>80</v>
      </c>
      <c r="AB875">
        <v>1</v>
      </c>
      <c r="AC875">
        <v>7</v>
      </c>
      <c r="AD875">
        <v>4</v>
      </c>
      <c r="AE875">
        <v>3</v>
      </c>
      <c r="AF875">
        <v>7</v>
      </c>
      <c r="AG875">
        <v>7</v>
      </c>
      <c r="AH875">
        <v>1</v>
      </c>
      <c r="AI875">
        <v>7</v>
      </c>
      <c r="AJ875">
        <f t="shared" si="13"/>
        <v>0</v>
      </c>
      <c r="AK875" t="str" cm="1">
        <f t="array" ref="AK875">_xlfn.IFS(A875&lt;=30,"18-30",A875&lt;=45,"31-45",A875&lt;=60,"46-60",TRUE, "60+")</f>
        <v>31-45</v>
      </c>
      <c r="AL875" t="str" cm="1">
        <f t="array" ref="AL875">_xlfn.IFS(F875&lt;=10,"0-10",F875&lt;=20,"11-20",TRUE,"20+")</f>
        <v>0-10</v>
      </c>
      <c r="AM875" t="str" cm="1">
        <f t="array" ref="AM875">_xlfn.IFS(S875&lt;=5000,"0-5k",S875&lt;=10000,"5k-10k",S875&lt;=15000,"10k-15k",TRUE,"15k+")</f>
        <v>0-5k</v>
      </c>
      <c r="AN875" t="str" cm="1">
        <f t="array" ref="AN875">_xlfn.IFS(AF875&lt;=10,"0-10",AF875&lt;=20,"10-20",AF875&lt;=30,"20-30",TRUE,"30+")</f>
        <v>0-10</v>
      </c>
      <c r="AO875" t="str" cm="1">
        <f t="array" ref="AO875">_xlfn.IFS(Y875=1,"Poor",Y875=2,"Average",Y875=3,"Good",TRUE,"Excellent")</f>
        <v>Good</v>
      </c>
      <c r="AP875" t="str" cm="1">
        <f t="array" ref="AP875">_xlfn.IFS(Q875=1,"Low",Q875=2,"Medium",Q875=3,"High",TRUE,"Very High")</f>
        <v>High</v>
      </c>
    </row>
    <row r="876" spans="1:42" x14ac:dyDescent="0.25">
      <c r="A876">
        <v>30</v>
      </c>
      <c r="B876" t="s">
        <v>42</v>
      </c>
      <c r="C876" t="s">
        <v>90</v>
      </c>
      <c r="D876">
        <v>853</v>
      </c>
      <c r="E876" t="s">
        <v>43</v>
      </c>
      <c r="F876">
        <v>7</v>
      </c>
      <c r="G876">
        <v>4</v>
      </c>
      <c r="H876" t="s">
        <v>37</v>
      </c>
      <c r="I876">
        <v>1</v>
      </c>
      <c r="J876">
        <v>1224</v>
      </c>
      <c r="K876">
        <v>3</v>
      </c>
      <c r="L876" t="s">
        <v>44</v>
      </c>
      <c r="M876">
        <v>49</v>
      </c>
      <c r="N876">
        <v>3</v>
      </c>
      <c r="O876">
        <v>2</v>
      </c>
      <c r="P876" t="s">
        <v>48</v>
      </c>
      <c r="Q876">
        <v>3</v>
      </c>
      <c r="R876" t="s">
        <v>50</v>
      </c>
      <c r="S876">
        <v>3491</v>
      </c>
      <c r="T876">
        <v>11309</v>
      </c>
      <c r="U876">
        <v>1</v>
      </c>
      <c r="V876" t="s">
        <v>41</v>
      </c>
      <c r="W876" t="s">
        <v>42</v>
      </c>
      <c r="X876">
        <v>13</v>
      </c>
      <c r="Y876">
        <v>3</v>
      </c>
      <c r="Z876">
        <v>1</v>
      </c>
      <c r="AA876">
        <v>80</v>
      </c>
      <c r="AB876">
        <v>3</v>
      </c>
      <c r="AC876">
        <v>10</v>
      </c>
      <c r="AD876">
        <v>4</v>
      </c>
      <c r="AE876">
        <v>2</v>
      </c>
      <c r="AF876">
        <v>10</v>
      </c>
      <c r="AG876">
        <v>7</v>
      </c>
      <c r="AH876">
        <v>8</v>
      </c>
      <c r="AI876">
        <v>9</v>
      </c>
      <c r="AJ876">
        <f t="shared" si="13"/>
        <v>0</v>
      </c>
      <c r="AK876" t="str" cm="1">
        <f t="array" ref="AK876">_xlfn.IFS(A876&lt;=30,"18-30",A876&lt;=45,"31-45",A876&lt;=60,"46-60",TRUE, "60+")</f>
        <v>18-30</v>
      </c>
      <c r="AL876" t="str" cm="1">
        <f t="array" ref="AL876">_xlfn.IFS(F876&lt;=10,"0-10",F876&lt;=20,"11-20",TRUE,"20+")</f>
        <v>0-10</v>
      </c>
      <c r="AM876" t="str" cm="1">
        <f t="array" ref="AM876">_xlfn.IFS(S876&lt;=5000,"0-5k",S876&lt;=10000,"5k-10k",S876&lt;=15000,"10k-15k",TRUE,"15k+")</f>
        <v>0-5k</v>
      </c>
      <c r="AN876" t="str" cm="1">
        <f t="array" ref="AN876">_xlfn.IFS(AF876&lt;=10,"0-10",AF876&lt;=20,"10-20",AF876&lt;=30,"20-30",TRUE,"30+")</f>
        <v>0-10</v>
      </c>
      <c r="AO876" t="str" cm="1">
        <f t="array" ref="AO876">_xlfn.IFS(Y876=1,"Poor",Y876=2,"Average",Y876=3,"Good",TRUE,"Excellent")</f>
        <v>Good</v>
      </c>
      <c r="AP876" t="str" cm="1">
        <f t="array" ref="AP876">_xlfn.IFS(Q876=1,"Low",Q876=2,"Medium",Q876=3,"High",TRUE,"Very High")</f>
        <v>High</v>
      </c>
    </row>
    <row r="877" spans="1:42" x14ac:dyDescent="0.25">
      <c r="A877">
        <v>44</v>
      </c>
      <c r="B877" t="s">
        <v>42</v>
      </c>
      <c r="C877" t="s">
        <v>90</v>
      </c>
      <c r="D877">
        <v>200</v>
      </c>
      <c r="E877" t="s">
        <v>43</v>
      </c>
      <c r="F877">
        <v>29</v>
      </c>
      <c r="G877">
        <v>4</v>
      </c>
      <c r="H877" t="s">
        <v>47</v>
      </c>
      <c r="I877">
        <v>1</v>
      </c>
      <c r="J877">
        <v>1225</v>
      </c>
      <c r="K877">
        <v>4</v>
      </c>
      <c r="L877" t="s">
        <v>44</v>
      </c>
      <c r="M877">
        <v>32</v>
      </c>
      <c r="N877">
        <v>3</v>
      </c>
      <c r="O877">
        <v>2</v>
      </c>
      <c r="P877" t="s">
        <v>45</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c r="AJ877">
        <f t="shared" si="13"/>
        <v>0</v>
      </c>
      <c r="AK877" t="str" cm="1">
        <f t="array" ref="AK877">_xlfn.IFS(A877&lt;=30,"18-30",A877&lt;=45,"31-45",A877&lt;=60,"46-60",TRUE, "60+")</f>
        <v>31-45</v>
      </c>
      <c r="AL877" t="str" cm="1">
        <f t="array" ref="AL877">_xlfn.IFS(F877&lt;=10,"0-10",F877&lt;=20,"11-20",TRUE,"20+")</f>
        <v>20+</v>
      </c>
      <c r="AM877" t="str" cm="1">
        <f t="array" ref="AM877">_xlfn.IFS(S877&lt;=5000,"0-5k",S877&lt;=10000,"5k-10k",S877&lt;=15000,"10k-15k",TRUE,"15k+")</f>
        <v>0-5k</v>
      </c>
      <c r="AN877" t="str" cm="1">
        <f t="array" ref="AN877">_xlfn.IFS(AF877&lt;=10,"0-10",AF877&lt;=20,"10-20",AF877&lt;=30,"20-30",TRUE,"30+")</f>
        <v>10-20</v>
      </c>
      <c r="AO877" t="str" cm="1">
        <f t="array" ref="AO877">_xlfn.IFS(Y877=1,"Poor",Y877=2,"Average",Y877=3,"Good",TRUE,"Excellent")</f>
        <v>Excellent</v>
      </c>
      <c r="AP877" t="str" cm="1">
        <f t="array" ref="AP877">_xlfn.IFS(Q877=1,"Low",Q877=2,"Medium",Q877=3,"High",TRUE,"Very High")</f>
        <v>Very High</v>
      </c>
    </row>
    <row r="878" spans="1:42" x14ac:dyDescent="0.25">
      <c r="A878">
        <v>20</v>
      </c>
      <c r="B878" t="s">
        <v>42</v>
      </c>
      <c r="C878" t="s">
        <v>90</v>
      </c>
      <c r="D878">
        <v>654</v>
      </c>
      <c r="E878" t="s">
        <v>36</v>
      </c>
      <c r="F878">
        <v>21</v>
      </c>
      <c r="G878">
        <v>3</v>
      </c>
      <c r="H878" t="s">
        <v>57</v>
      </c>
      <c r="I878">
        <v>1</v>
      </c>
      <c r="J878">
        <v>1226</v>
      </c>
      <c r="K878">
        <v>3</v>
      </c>
      <c r="L878" t="s">
        <v>44</v>
      </c>
      <c r="M878">
        <v>43</v>
      </c>
      <c r="N878">
        <v>4</v>
      </c>
      <c r="O878">
        <v>1</v>
      </c>
      <c r="P878" t="s">
        <v>55</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c r="AJ878">
        <f t="shared" si="13"/>
        <v>0</v>
      </c>
      <c r="AK878" t="str" cm="1">
        <f t="array" ref="AK878">_xlfn.IFS(A878&lt;=30,"18-30",A878&lt;=45,"31-45",A878&lt;=60,"46-60",TRUE, "60+")</f>
        <v>18-30</v>
      </c>
      <c r="AL878" t="str" cm="1">
        <f t="array" ref="AL878">_xlfn.IFS(F878&lt;=10,"0-10",F878&lt;=20,"11-20",TRUE,"20+")</f>
        <v>20+</v>
      </c>
      <c r="AM878" t="str" cm="1">
        <f t="array" ref="AM878">_xlfn.IFS(S878&lt;=5000,"0-5k",S878&lt;=10000,"5k-10k",S878&lt;=15000,"10k-15k",TRUE,"15k+")</f>
        <v>0-5k</v>
      </c>
      <c r="AN878" t="str" cm="1">
        <f t="array" ref="AN878">_xlfn.IFS(AF878&lt;=10,"0-10",AF878&lt;=20,"10-20",AF878&lt;=30,"20-30",TRUE,"30+")</f>
        <v>0-10</v>
      </c>
      <c r="AO878" t="str" cm="1">
        <f t="array" ref="AO878">_xlfn.IFS(Y878=1,"Poor",Y878=2,"Average",Y878=3,"Good",TRUE,"Excellent")</f>
        <v>Good</v>
      </c>
      <c r="AP878" t="str" cm="1">
        <f t="array" ref="AP878">_xlfn.IFS(Q878=1,"Low",Q878=2,"Medium",Q878=3,"High",TRUE,"Very High")</f>
        <v>Very High</v>
      </c>
    </row>
    <row r="879" spans="1:42" x14ac:dyDescent="0.25">
      <c r="A879">
        <v>46</v>
      </c>
      <c r="B879" t="s">
        <v>42</v>
      </c>
      <c r="C879" t="s">
        <v>90</v>
      </c>
      <c r="D879">
        <v>150</v>
      </c>
      <c r="E879" t="s">
        <v>43</v>
      </c>
      <c r="F879">
        <v>2</v>
      </c>
      <c r="G879">
        <v>4</v>
      </c>
      <c r="H879" t="s">
        <v>58</v>
      </c>
      <c r="I879">
        <v>1</v>
      </c>
      <c r="J879">
        <v>1228</v>
      </c>
      <c r="K879">
        <v>4</v>
      </c>
      <c r="L879" t="s">
        <v>44</v>
      </c>
      <c r="M879">
        <v>60</v>
      </c>
      <c r="N879">
        <v>3</v>
      </c>
      <c r="O879">
        <v>2</v>
      </c>
      <c r="P879" t="s">
        <v>51</v>
      </c>
      <c r="Q879">
        <v>4</v>
      </c>
      <c r="R879" t="s">
        <v>50</v>
      </c>
      <c r="S879">
        <v>7379</v>
      </c>
      <c r="T879">
        <v>17433</v>
      </c>
      <c r="U879">
        <v>2</v>
      </c>
      <c r="V879" t="s">
        <v>41</v>
      </c>
      <c r="W879" t="s">
        <v>42</v>
      </c>
      <c r="X879">
        <v>11</v>
      </c>
      <c r="Y879">
        <v>3</v>
      </c>
      <c r="Z879">
        <v>3</v>
      </c>
      <c r="AA879">
        <v>80</v>
      </c>
      <c r="AB879">
        <v>1</v>
      </c>
      <c r="AC879">
        <v>12</v>
      </c>
      <c r="AD879">
        <v>3</v>
      </c>
      <c r="AE879">
        <v>2</v>
      </c>
      <c r="AF879">
        <v>6</v>
      </c>
      <c r="AG879">
        <v>3</v>
      </c>
      <c r="AH879">
        <v>1</v>
      </c>
      <c r="AI879">
        <v>4</v>
      </c>
      <c r="AJ879">
        <f t="shared" si="13"/>
        <v>0</v>
      </c>
      <c r="AK879" t="str" cm="1">
        <f t="array" ref="AK879">_xlfn.IFS(A879&lt;=30,"18-30",A879&lt;=45,"31-45",A879&lt;=60,"46-60",TRUE, "60+")</f>
        <v>46-60</v>
      </c>
      <c r="AL879" t="str" cm="1">
        <f t="array" ref="AL879">_xlfn.IFS(F879&lt;=10,"0-10",F879&lt;=20,"11-20",TRUE,"20+")</f>
        <v>0-10</v>
      </c>
      <c r="AM879" t="str" cm="1">
        <f t="array" ref="AM879">_xlfn.IFS(S879&lt;=5000,"0-5k",S879&lt;=10000,"5k-10k",S879&lt;=15000,"10k-15k",TRUE,"15k+")</f>
        <v>5k-10k</v>
      </c>
      <c r="AN879" t="str" cm="1">
        <f t="array" ref="AN879">_xlfn.IFS(AF879&lt;=10,"0-10",AF879&lt;=20,"10-20",AF879&lt;=30,"20-30",TRUE,"30+")</f>
        <v>0-10</v>
      </c>
      <c r="AO879" t="str" cm="1">
        <f t="array" ref="AO879">_xlfn.IFS(Y879=1,"Poor",Y879=2,"Average",Y879=3,"Good",TRUE,"Excellent")</f>
        <v>Good</v>
      </c>
      <c r="AP879" t="str" cm="1">
        <f t="array" ref="AP879">_xlfn.IFS(Q879=1,"Low",Q879=2,"Medium",Q879=3,"High",TRUE,"Very High")</f>
        <v>Very High</v>
      </c>
    </row>
    <row r="880" spans="1:42" x14ac:dyDescent="0.25">
      <c r="A880">
        <v>42</v>
      </c>
      <c r="B880" t="s">
        <v>42</v>
      </c>
      <c r="C880" t="s">
        <v>53</v>
      </c>
      <c r="D880">
        <v>179</v>
      </c>
      <c r="E880" t="s">
        <v>59</v>
      </c>
      <c r="F880">
        <v>2</v>
      </c>
      <c r="G880">
        <v>5</v>
      </c>
      <c r="H880" t="s">
        <v>49</v>
      </c>
      <c r="I880">
        <v>1</v>
      </c>
      <c r="J880">
        <v>1231</v>
      </c>
      <c r="K880">
        <v>4</v>
      </c>
      <c r="L880" t="s">
        <v>44</v>
      </c>
      <c r="M880">
        <v>79</v>
      </c>
      <c r="N880">
        <v>4</v>
      </c>
      <c r="O880">
        <v>2</v>
      </c>
      <c r="P880" t="s">
        <v>59</v>
      </c>
      <c r="Q880">
        <v>1</v>
      </c>
      <c r="R880" t="s">
        <v>46</v>
      </c>
      <c r="S880">
        <v>6272</v>
      </c>
      <c r="T880">
        <v>12858</v>
      </c>
      <c r="U880">
        <v>7</v>
      </c>
      <c r="V880" t="s">
        <v>41</v>
      </c>
      <c r="W880" t="s">
        <v>42</v>
      </c>
      <c r="X880">
        <v>16</v>
      </c>
      <c r="Y880">
        <v>3</v>
      </c>
      <c r="Z880">
        <v>1</v>
      </c>
      <c r="AA880">
        <v>80</v>
      </c>
      <c r="AB880">
        <v>1</v>
      </c>
      <c r="AC880">
        <v>10</v>
      </c>
      <c r="AD880">
        <v>3</v>
      </c>
      <c r="AE880">
        <v>4</v>
      </c>
      <c r="AF880">
        <v>4</v>
      </c>
      <c r="AG880">
        <v>3</v>
      </c>
      <c r="AH880">
        <v>0</v>
      </c>
      <c r="AI880">
        <v>3</v>
      </c>
      <c r="AJ880">
        <f t="shared" si="13"/>
        <v>0</v>
      </c>
      <c r="AK880" t="str" cm="1">
        <f t="array" ref="AK880">_xlfn.IFS(A880&lt;=30,"18-30",A880&lt;=45,"31-45",A880&lt;=60,"46-60",TRUE, "60+")</f>
        <v>31-45</v>
      </c>
      <c r="AL880" t="str" cm="1">
        <f t="array" ref="AL880">_xlfn.IFS(F880&lt;=10,"0-10",F880&lt;=20,"11-20",TRUE,"20+")</f>
        <v>0-10</v>
      </c>
      <c r="AM880" t="str" cm="1">
        <f t="array" ref="AM880">_xlfn.IFS(S880&lt;=5000,"0-5k",S880&lt;=10000,"5k-10k",S880&lt;=15000,"10k-15k",TRUE,"15k+")</f>
        <v>5k-10k</v>
      </c>
      <c r="AN880" t="str" cm="1">
        <f t="array" ref="AN880">_xlfn.IFS(AF880&lt;=10,"0-10",AF880&lt;=20,"10-20",AF880&lt;=30,"20-30",TRUE,"30+")</f>
        <v>0-10</v>
      </c>
      <c r="AO880" t="str" cm="1">
        <f t="array" ref="AO880">_xlfn.IFS(Y880=1,"Poor",Y880=2,"Average",Y880=3,"Good",TRUE,"Excellent")</f>
        <v>Good</v>
      </c>
      <c r="AP880" t="str" cm="1">
        <f t="array" ref="AP880">_xlfn.IFS(Q880=1,"Low",Q880=2,"Medium",Q880=3,"High",TRUE,"Very High")</f>
        <v>Low</v>
      </c>
    </row>
    <row r="881" spans="1:42" x14ac:dyDescent="0.25">
      <c r="A881">
        <v>60</v>
      </c>
      <c r="B881" t="s">
        <v>42</v>
      </c>
      <c r="C881" t="s">
        <v>90</v>
      </c>
      <c r="D881">
        <v>696</v>
      </c>
      <c r="E881" t="s">
        <v>36</v>
      </c>
      <c r="F881">
        <v>7</v>
      </c>
      <c r="G881">
        <v>4</v>
      </c>
      <c r="H881" t="s">
        <v>57</v>
      </c>
      <c r="I881">
        <v>1</v>
      </c>
      <c r="J881">
        <v>1233</v>
      </c>
      <c r="K881">
        <v>2</v>
      </c>
      <c r="L881" t="s">
        <v>44</v>
      </c>
      <c r="M881">
        <v>52</v>
      </c>
      <c r="N881">
        <v>4</v>
      </c>
      <c r="O881">
        <v>2</v>
      </c>
      <c r="P881" t="s">
        <v>39</v>
      </c>
      <c r="Q881">
        <v>4</v>
      </c>
      <c r="R881" t="s">
        <v>50</v>
      </c>
      <c r="S881">
        <v>5220</v>
      </c>
      <c r="T881">
        <v>10893</v>
      </c>
      <c r="U881">
        <v>0</v>
      </c>
      <c r="V881" t="s">
        <v>41</v>
      </c>
      <c r="W881" t="s">
        <v>35</v>
      </c>
      <c r="X881">
        <v>18</v>
      </c>
      <c r="Y881">
        <v>3</v>
      </c>
      <c r="Z881">
        <v>2</v>
      </c>
      <c r="AA881">
        <v>80</v>
      </c>
      <c r="AB881">
        <v>1</v>
      </c>
      <c r="AC881">
        <v>12</v>
      </c>
      <c r="AD881">
        <v>3</v>
      </c>
      <c r="AE881">
        <v>3</v>
      </c>
      <c r="AF881">
        <v>11</v>
      </c>
      <c r="AG881">
        <v>7</v>
      </c>
      <c r="AH881">
        <v>1</v>
      </c>
      <c r="AI881">
        <v>9</v>
      </c>
      <c r="AJ881">
        <f t="shared" si="13"/>
        <v>0</v>
      </c>
      <c r="AK881" t="str" cm="1">
        <f t="array" ref="AK881">_xlfn.IFS(A881&lt;=30,"18-30",A881&lt;=45,"31-45",A881&lt;=60,"46-60",TRUE, "60+")</f>
        <v>46-60</v>
      </c>
      <c r="AL881" t="str" cm="1">
        <f t="array" ref="AL881">_xlfn.IFS(F881&lt;=10,"0-10",F881&lt;=20,"11-20",TRUE,"20+")</f>
        <v>0-10</v>
      </c>
      <c r="AM881" t="str" cm="1">
        <f t="array" ref="AM881">_xlfn.IFS(S881&lt;=5000,"0-5k",S881&lt;=10000,"5k-10k",S881&lt;=15000,"10k-15k",TRUE,"15k+")</f>
        <v>5k-10k</v>
      </c>
      <c r="AN881" t="str" cm="1">
        <f t="array" ref="AN881">_xlfn.IFS(AF881&lt;=10,"0-10",AF881&lt;=20,"10-20",AF881&lt;=30,"20-30",TRUE,"30+")</f>
        <v>10-20</v>
      </c>
      <c r="AO881" t="str" cm="1">
        <f t="array" ref="AO881">_xlfn.IFS(Y881=1,"Poor",Y881=2,"Average",Y881=3,"Good",TRUE,"Excellent")</f>
        <v>Good</v>
      </c>
      <c r="AP881" t="str" cm="1">
        <f t="array" ref="AP881">_xlfn.IFS(Q881=1,"Low",Q881=2,"Medium",Q881=3,"High",TRUE,"Very High")</f>
        <v>Very High</v>
      </c>
    </row>
    <row r="882" spans="1:42" x14ac:dyDescent="0.25">
      <c r="A882">
        <v>32</v>
      </c>
      <c r="B882" t="s">
        <v>42</v>
      </c>
      <c r="C882" t="s">
        <v>91</v>
      </c>
      <c r="D882">
        <v>116</v>
      </c>
      <c r="E882" t="s">
        <v>43</v>
      </c>
      <c r="F882">
        <v>13</v>
      </c>
      <c r="G882">
        <v>3</v>
      </c>
      <c r="H882" t="s">
        <v>47</v>
      </c>
      <c r="I882">
        <v>1</v>
      </c>
      <c r="J882">
        <v>1234</v>
      </c>
      <c r="K882">
        <v>3</v>
      </c>
      <c r="L882" t="s">
        <v>38</v>
      </c>
      <c r="M882">
        <v>77</v>
      </c>
      <c r="N882">
        <v>2</v>
      </c>
      <c r="O882">
        <v>1</v>
      </c>
      <c r="P882" t="s">
        <v>48</v>
      </c>
      <c r="Q882">
        <v>2</v>
      </c>
      <c r="R882" t="s">
        <v>46</v>
      </c>
      <c r="S882">
        <v>2743</v>
      </c>
      <c r="T882">
        <v>7331</v>
      </c>
      <c r="U882">
        <v>1</v>
      </c>
      <c r="V882" t="s">
        <v>41</v>
      </c>
      <c r="W882" t="s">
        <v>42</v>
      </c>
      <c r="X882">
        <v>20</v>
      </c>
      <c r="Y882">
        <v>4</v>
      </c>
      <c r="Z882">
        <v>3</v>
      </c>
      <c r="AA882">
        <v>80</v>
      </c>
      <c r="AB882">
        <v>1</v>
      </c>
      <c r="AC882">
        <v>2</v>
      </c>
      <c r="AD882">
        <v>2</v>
      </c>
      <c r="AE882">
        <v>3</v>
      </c>
      <c r="AF882">
        <v>2</v>
      </c>
      <c r="AG882">
        <v>2</v>
      </c>
      <c r="AH882">
        <v>2</v>
      </c>
      <c r="AI882">
        <v>2</v>
      </c>
      <c r="AJ882">
        <f t="shared" si="13"/>
        <v>0</v>
      </c>
      <c r="AK882" t="str" cm="1">
        <f t="array" ref="AK882">_xlfn.IFS(A882&lt;=30,"18-30",A882&lt;=45,"31-45",A882&lt;=60,"46-60",TRUE, "60+")</f>
        <v>31-45</v>
      </c>
      <c r="AL882" t="str" cm="1">
        <f t="array" ref="AL882">_xlfn.IFS(F882&lt;=10,"0-10",F882&lt;=20,"11-20",TRUE,"20+")</f>
        <v>11-20</v>
      </c>
      <c r="AM882" t="str" cm="1">
        <f t="array" ref="AM882">_xlfn.IFS(S882&lt;=5000,"0-5k",S882&lt;=10000,"5k-10k",S882&lt;=15000,"10k-15k",TRUE,"15k+")</f>
        <v>0-5k</v>
      </c>
      <c r="AN882" t="str" cm="1">
        <f t="array" ref="AN882">_xlfn.IFS(AF882&lt;=10,"0-10",AF882&lt;=20,"10-20",AF882&lt;=30,"20-30",TRUE,"30+")</f>
        <v>0-10</v>
      </c>
      <c r="AO882" t="str" cm="1">
        <f t="array" ref="AO882">_xlfn.IFS(Y882=1,"Poor",Y882=2,"Average",Y882=3,"Good",TRUE,"Excellent")</f>
        <v>Excellent</v>
      </c>
      <c r="AP882" t="str" cm="1">
        <f t="array" ref="AP882">_xlfn.IFS(Q882=1,"Low",Q882=2,"Medium",Q882=3,"High",TRUE,"Very High")</f>
        <v>Medium</v>
      </c>
    </row>
    <row r="883" spans="1:42" x14ac:dyDescent="0.25">
      <c r="A883">
        <v>32</v>
      </c>
      <c r="B883" t="s">
        <v>42</v>
      </c>
      <c r="C883" t="s">
        <v>91</v>
      </c>
      <c r="D883">
        <v>1316</v>
      </c>
      <c r="E883" t="s">
        <v>43</v>
      </c>
      <c r="F883">
        <v>2</v>
      </c>
      <c r="G883">
        <v>2</v>
      </c>
      <c r="H883" t="s">
        <v>37</v>
      </c>
      <c r="I883">
        <v>1</v>
      </c>
      <c r="J883">
        <v>1235</v>
      </c>
      <c r="K883">
        <v>4</v>
      </c>
      <c r="L883" t="s">
        <v>38</v>
      </c>
      <c r="M883">
        <v>38</v>
      </c>
      <c r="N883">
        <v>3</v>
      </c>
      <c r="O883">
        <v>2</v>
      </c>
      <c r="P883" t="s">
        <v>45</v>
      </c>
      <c r="Q883">
        <v>3</v>
      </c>
      <c r="R883" t="s">
        <v>40</v>
      </c>
      <c r="S883">
        <v>4998</v>
      </c>
      <c r="T883">
        <v>2338</v>
      </c>
      <c r="U883">
        <v>4</v>
      </c>
      <c r="V883" t="s">
        <v>41</v>
      </c>
      <c r="W883" t="s">
        <v>35</v>
      </c>
      <c r="X883">
        <v>14</v>
      </c>
      <c r="Y883">
        <v>3</v>
      </c>
      <c r="Z883">
        <v>4</v>
      </c>
      <c r="AA883">
        <v>80</v>
      </c>
      <c r="AB883">
        <v>0</v>
      </c>
      <c r="AC883">
        <v>10</v>
      </c>
      <c r="AD883">
        <v>2</v>
      </c>
      <c r="AE883">
        <v>3</v>
      </c>
      <c r="AF883">
        <v>8</v>
      </c>
      <c r="AG883">
        <v>7</v>
      </c>
      <c r="AH883">
        <v>0</v>
      </c>
      <c r="AI883">
        <v>7</v>
      </c>
      <c r="AJ883">
        <f t="shared" si="13"/>
        <v>0</v>
      </c>
      <c r="AK883" t="str" cm="1">
        <f t="array" ref="AK883">_xlfn.IFS(A883&lt;=30,"18-30",A883&lt;=45,"31-45",A883&lt;=60,"46-60",TRUE, "60+")</f>
        <v>31-45</v>
      </c>
      <c r="AL883" t="str" cm="1">
        <f t="array" ref="AL883">_xlfn.IFS(F883&lt;=10,"0-10",F883&lt;=20,"11-20",TRUE,"20+")</f>
        <v>0-10</v>
      </c>
      <c r="AM883" t="str" cm="1">
        <f t="array" ref="AM883">_xlfn.IFS(S883&lt;=5000,"0-5k",S883&lt;=10000,"5k-10k",S883&lt;=15000,"10k-15k",TRUE,"15k+")</f>
        <v>0-5k</v>
      </c>
      <c r="AN883" t="str" cm="1">
        <f t="array" ref="AN883">_xlfn.IFS(AF883&lt;=10,"0-10",AF883&lt;=20,"10-20",AF883&lt;=30,"20-30",TRUE,"30+")</f>
        <v>0-10</v>
      </c>
      <c r="AO883" t="str" cm="1">
        <f t="array" ref="AO883">_xlfn.IFS(Y883=1,"Poor",Y883=2,"Average",Y883=3,"Good",TRUE,"Excellent")</f>
        <v>Good</v>
      </c>
      <c r="AP883" t="str" cm="1">
        <f t="array" ref="AP883">_xlfn.IFS(Q883=1,"Low",Q883=2,"Medium",Q883=3,"High",TRUE,"Very High")</f>
        <v>High</v>
      </c>
    </row>
    <row r="884" spans="1:42" x14ac:dyDescent="0.25">
      <c r="A884">
        <v>36</v>
      </c>
      <c r="B884" t="s">
        <v>42</v>
      </c>
      <c r="C884" t="s">
        <v>90</v>
      </c>
      <c r="D884">
        <v>363</v>
      </c>
      <c r="E884" t="s">
        <v>43</v>
      </c>
      <c r="F884">
        <v>1</v>
      </c>
      <c r="G884">
        <v>3</v>
      </c>
      <c r="H884" t="s">
        <v>58</v>
      </c>
      <c r="I884">
        <v>1</v>
      </c>
      <c r="J884">
        <v>1237</v>
      </c>
      <c r="K884">
        <v>3</v>
      </c>
      <c r="L884" t="s">
        <v>38</v>
      </c>
      <c r="M884">
        <v>77</v>
      </c>
      <c r="N884">
        <v>1</v>
      </c>
      <c r="O884">
        <v>3</v>
      </c>
      <c r="P884" t="s">
        <v>51</v>
      </c>
      <c r="Q884">
        <v>1</v>
      </c>
      <c r="R884" t="s">
        <v>50</v>
      </c>
      <c r="S884">
        <v>10252</v>
      </c>
      <c r="T884">
        <v>4235</v>
      </c>
      <c r="U884">
        <v>2</v>
      </c>
      <c r="V884" t="s">
        <v>41</v>
      </c>
      <c r="W884" t="s">
        <v>35</v>
      </c>
      <c r="X884">
        <v>21</v>
      </c>
      <c r="Y884">
        <v>4</v>
      </c>
      <c r="Z884">
        <v>3</v>
      </c>
      <c r="AA884">
        <v>80</v>
      </c>
      <c r="AB884">
        <v>1</v>
      </c>
      <c r="AC884">
        <v>17</v>
      </c>
      <c r="AD884">
        <v>2</v>
      </c>
      <c r="AE884">
        <v>3</v>
      </c>
      <c r="AF884">
        <v>7</v>
      </c>
      <c r="AG884">
        <v>7</v>
      </c>
      <c r="AH884">
        <v>7</v>
      </c>
      <c r="AI884">
        <v>7</v>
      </c>
      <c r="AJ884">
        <f t="shared" si="13"/>
        <v>0</v>
      </c>
      <c r="AK884" t="str" cm="1">
        <f t="array" ref="AK884">_xlfn.IFS(A884&lt;=30,"18-30",A884&lt;=45,"31-45",A884&lt;=60,"46-60",TRUE, "60+")</f>
        <v>31-45</v>
      </c>
      <c r="AL884" t="str" cm="1">
        <f t="array" ref="AL884">_xlfn.IFS(F884&lt;=10,"0-10",F884&lt;=20,"11-20",TRUE,"20+")</f>
        <v>0-10</v>
      </c>
      <c r="AM884" t="str" cm="1">
        <f t="array" ref="AM884">_xlfn.IFS(S884&lt;=5000,"0-5k",S884&lt;=10000,"5k-10k",S884&lt;=15000,"10k-15k",TRUE,"15k+")</f>
        <v>10k-15k</v>
      </c>
      <c r="AN884" t="str" cm="1">
        <f t="array" ref="AN884">_xlfn.IFS(AF884&lt;=10,"0-10",AF884&lt;=20,"10-20",AF884&lt;=30,"20-30",TRUE,"30+")</f>
        <v>0-10</v>
      </c>
      <c r="AO884" t="str" cm="1">
        <f t="array" ref="AO884">_xlfn.IFS(Y884=1,"Poor",Y884=2,"Average",Y884=3,"Good",TRUE,"Excellent")</f>
        <v>Excellent</v>
      </c>
      <c r="AP884" t="str" cm="1">
        <f t="array" ref="AP884">_xlfn.IFS(Q884=1,"Low",Q884=2,"Medium",Q884=3,"High",TRUE,"Very High")</f>
        <v>Low</v>
      </c>
    </row>
    <row r="885" spans="1:42" x14ac:dyDescent="0.25">
      <c r="A885">
        <v>33</v>
      </c>
      <c r="B885" t="s">
        <v>42</v>
      </c>
      <c r="C885" t="s">
        <v>90</v>
      </c>
      <c r="D885">
        <v>117</v>
      </c>
      <c r="E885" t="s">
        <v>43</v>
      </c>
      <c r="F885">
        <v>9</v>
      </c>
      <c r="G885">
        <v>3</v>
      </c>
      <c r="H885" t="s">
        <v>49</v>
      </c>
      <c r="I885">
        <v>1</v>
      </c>
      <c r="J885">
        <v>1238</v>
      </c>
      <c r="K885">
        <v>1</v>
      </c>
      <c r="L885" t="s">
        <v>44</v>
      </c>
      <c r="M885">
        <v>60</v>
      </c>
      <c r="N885">
        <v>3</v>
      </c>
      <c r="O885">
        <v>1</v>
      </c>
      <c r="P885" t="s">
        <v>45</v>
      </c>
      <c r="Q885">
        <v>4</v>
      </c>
      <c r="R885" t="s">
        <v>46</v>
      </c>
      <c r="S885">
        <v>2781</v>
      </c>
      <c r="T885">
        <v>6311</v>
      </c>
      <c r="U885">
        <v>0</v>
      </c>
      <c r="V885" t="s">
        <v>41</v>
      </c>
      <c r="W885" t="s">
        <v>42</v>
      </c>
      <c r="X885">
        <v>13</v>
      </c>
      <c r="Y885">
        <v>3</v>
      </c>
      <c r="Z885">
        <v>2</v>
      </c>
      <c r="AA885">
        <v>80</v>
      </c>
      <c r="AB885">
        <v>1</v>
      </c>
      <c r="AC885">
        <v>15</v>
      </c>
      <c r="AD885">
        <v>5</v>
      </c>
      <c r="AE885">
        <v>3</v>
      </c>
      <c r="AF885">
        <v>14</v>
      </c>
      <c r="AG885">
        <v>10</v>
      </c>
      <c r="AH885">
        <v>4</v>
      </c>
      <c r="AI885">
        <v>10</v>
      </c>
      <c r="AJ885">
        <f t="shared" si="13"/>
        <v>0</v>
      </c>
      <c r="AK885" t="str" cm="1">
        <f t="array" ref="AK885">_xlfn.IFS(A885&lt;=30,"18-30",A885&lt;=45,"31-45",A885&lt;=60,"46-60",TRUE, "60+")</f>
        <v>31-45</v>
      </c>
      <c r="AL885" t="str" cm="1">
        <f t="array" ref="AL885">_xlfn.IFS(F885&lt;=10,"0-10",F885&lt;=20,"11-20",TRUE,"20+")</f>
        <v>0-10</v>
      </c>
      <c r="AM885" t="str" cm="1">
        <f t="array" ref="AM885">_xlfn.IFS(S885&lt;=5000,"0-5k",S885&lt;=10000,"5k-10k",S885&lt;=15000,"10k-15k",TRUE,"15k+")</f>
        <v>0-5k</v>
      </c>
      <c r="AN885" t="str" cm="1">
        <f t="array" ref="AN885">_xlfn.IFS(AF885&lt;=10,"0-10",AF885&lt;=20,"10-20",AF885&lt;=30,"20-30",TRUE,"30+")</f>
        <v>10-20</v>
      </c>
      <c r="AO885" t="str" cm="1">
        <f t="array" ref="AO885">_xlfn.IFS(Y885=1,"Poor",Y885=2,"Average",Y885=3,"Good",TRUE,"Excellent")</f>
        <v>Good</v>
      </c>
      <c r="AP885" t="str" cm="1">
        <f t="array" ref="AP885">_xlfn.IFS(Q885=1,"Low",Q885=2,"Medium",Q885=3,"High",TRUE,"Very High")</f>
        <v>Very High</v>
      </c>
    </row>
    <row r="886" spans="1:42" x14ac:dyDescent="0.25">
      <c r="A886">
        <v>40</v>
      </c>
      <c r="B886" t="s">
        <v>42</v>
      </c>
      <c r="C886" t="s">
        <v>90</v>
      </c>
      <c r="D886">
        <v>107</v>
      </c>
      <c r="E886" t="s">
        <v>36</v>
      </c>
      <c r="F886">
        <v>10</v>
      </c>
      <c r="G886">
        <v>3</v>
      </c>
      <c r="H886" t="s">
        <v>58</v>
      </c>
      <c r="I886">
        <v>1</v>
      </c>
      <c r="J886">
        <v>1239</v>
      </c>
      <c r="K886">
        <v>2</v>
      </c>
      <c r="L886" t="s">
        <v>38</v>
      </c>
      <c r="M886">
        <v>84</v>
      </c>
      <c r="N886">
        <v>2</v>
      </c>
      <c r="O886">
        <v>2</v>
      </c>
      <c r="P886" t="s">
        <v>39</v>
      </c>
      <c r="Q886">
        <v>2</v>
      </c>
      <c r="R886" t="s">
        <v>50</v>
      </c>
      <c r="S886">
        <v>6852</v>
      </c>
      <c r="T886">
        <v>11591</v>
      </c>
      <c r="U886">
        <v>7</v>
      </c>
      <c r="V886" t="s">
        <v>41</v>
      </c>
      <c r="W886" t="s">
        <v>42</v>
      </c>
      <c r="X886">
        <v>12</v>
      </c>
      <c r="Y886">
        <v>3</v>
      </c>
      <c r="Z886">
        <v>2</v>
      </c>
      <c r="AA886">
        <v>80</v>
      </c>
      <c r="AB886">
        <v>1</v>
      </c>
      <c r="AC886">
        <v>7</v>
      </c>
      <c r="AD886">
        <v>2</v>
      </c>
      <c r="AE886">
        <v>4</v>
      </c>
      <c r="AF886">
        <v>5</v>
      </c>
      <c r="AG886">
        <v>1</v>
      </c>
      <c r="AH886">
        <v>1</v>
      </c>
      <c r="AI886">
        <v>3</v>
      </c>
      <c r="AJ886">
        <f t="shared" si="13"/>
        <v>0</v>
      </c>
      <c r="AK886" t="str" cm="1">
        <f t="array" ref="AK886">_xlfn.IFS(A886&lt;=30,"18-30",A886&lt;=45,"31-45",A886&lt;=60,"46-60",TRUE, "60+")</f>
        <v>31-45</v>
      </c>
      <c r="AL886" t="str" cm="1">
        <f t="array" ref="AL886">_xlfn.IFS(F886&lt;=10,"0-10",F886&lt;=20,"11-20",TRUE,"20+")</f>
        <v>0-10</v>
      </c>
      <c r="AM886" t="str" cm="1">
        <f t="array" ref="AM886">_xlfn.IFS(S886&lt;=5000,"0-5k",S886&lt;=10000,"5k-10k",S886&lt;=15000,"10k-15k",TRUE,"15k+")</f>
        <v>5k-10k</v>
      </c>
      <c r="AN886" t="str" cm="1">
        <f t="array" ref="AN886">_xlfn.IFS(AF886&lt;=10,"0-10",AF886&lt;=20,"10-20",AF886&lt;=30,"20-30",TRUE,"30+")</f>
        <v>0-10</v>
      </c>
      <c r="AO886" t="str" cm="1">
        <f t="array" ref="AO886">_xlfn.IFS(Y886=1,"Poor",Y886=2,"Average",Y886=3,"Good",TRUE,"Excellent")</f>
        <v>Good</v>
      </c>
      <c r="AP886" t="str" cm="1">
        <f t="array" ref="AP886">_xlfn.IFS(Q886=1,"Low",Q886=2,"Medium",Q886=3,"High",TRUE,"Very High")</f>
        <v>Medium</v>
      </c>
    </row>
    <row r="887" spans="1:42" x14ac:dyDescent="0.25">
      <c r="A887">
        <v>25</v>
      </c>
      <c r="B887" t="s">
        <v>42</v>
      </c>
      <c r="C887" t="s">
        <v>90</v>
      </c>
      <c r="D887">
        <v>1356</v>
      </c>
      <c r="E887" t="s">
        <v>36</v>
      </c>
      <c r="F887">
        <v>10</v>
      </c>
      <c r="G887">
        <v>4</v>
      </c>
      <c r="H887" t="s">
        <v>37</v>
      </c>
      <c r="I887">
        <v>1</v>
      </c>
      <c r="J887">
        <v>1240</v>
      </c>
      <c r="K887">
        <v>3</v>
      </c>
      <c r="L887" t="s">
        <v>44</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c r="AJ887">
        <f t="shared" si="13"/>
        <v>0</v>
      </c>
      <c r="AK887" t="str" cm="1">
        <f t="array" ref="AK887">_xlfn.IFS(A887&lt;=30,"18-30",A887&lt;=45,"31-45",A887&lt;=60,"46-60",TRUE, "60+")</f>
        <v>18-30</v>
      </c>
      <c r="AL887" t="str" cm="1">
        <f t="array" ref="AL887">_xlfn.IFS(F887&lt;=10,"0-10",F887&lt;=20,"11-20",TRUE,"20+")</f>
        <v>0-10</v>
      </c>
      <c r="AM887" t="str" cm="1">
        <f t="array" ref="AM887">_xlfn.IFS(S887&lt;=5000,"0-5k",S887&lt;=10000,"5k-10k",S887&lt;=15000,"10k-15k",TRUE,"15k+")</f>
        <v>0-5k</v>
      </c>
      <c r="AN887" t="str" cm="1">
        <f t="array" ref="AN887">_xlfn.IFS(AF887&lt;=10,"0-10",AF887&lt;=20,"10-20",AF887&lt;=30,"20-30",TRUE,"30+")</f>
        <v>0-10</v>
      </c>
      <c r="AO887" t="str" cm="1">
        <f t="array" ref="AO887">_xlfn.IFS(Y887=1,"Poor",Y887=2,"Average",Y887=3,"Good",TRUE,"Excellent")</f>
        <v>Good</v>
      </c>
      <c r="AP887" t="str" cm="1">
        <f t="array" ref="AP887">_xlfn.IFS(Q887=1,"Low",Q887=2,"Medium",Q887=3,"High",TRUE,"Very High")</f>
        <v>Very High</v>
      </c>
    </row>
    <row r="888" spans="1:42" x14ac:dyDescent="0.25">
      <c r="A888">
        <v>30</v>
      </c>
      <c r="B888" t="s">
        <v>42</v>
      </c>
      <c r="C888" t="s">
        <v>90</v>
      </c>
      <c r="D888">
        <v>1465</v>
      </c>
      <c r="E888" t="s">
        <v>43</v>
      </c>
      <c r="F888">
        <v>1</v>
      </c>
      <c r="G888">
        <v>3</v>
      </c>
      <c r="H888" t="s">
        <v>49</v>
      </c>
      <c r="I888">
        <v>1</v>
      </c>
      <c r="J888">
        <v>1241</v>
      </c>
      <c r="K888">
        <v>4</v>
      </c>
      <c r="L888" t="s">
        <v>44</v>
      </c>
      <c r="M888">
        <v>63</v>
      </c>
      <c r="N888">
        <v>3</v>
      </c>
      <c r="O888">
        <v>1</v>
      </c>
      <c r="P888" t="s">
        <v>45</v>
      </c>
      <c r="Q888">
        <v>2</v>
      </c>
      <c r="R888" t="s">
        <v>46</v>
      </c>
      <c r="S888">
        <v>3579</v>
      </c>
      <c r="T888">
        <v>9369</v>
      </c>
      <c r="U888">
        <v>0</v>
      </c>
      <c r="V888" t="s">
        <v>41</v>
      </c>
      <c r="W888" t="s">
        <v>35</v>
      </c>
      <c r="X888">
        <v>21</v>
      </c>
      <c r="Y888">
        <v>4</v>
      </c>
      <c r="Z888">
        <v>1</v>
      </c>
      <c r="AA888">
        <v>80</v>
      </c>
      <c r="AB888">
        <v>1</v>
      </c>
      <c r="AC888">
        <v>12</v>
      </c>
      <c r="AD888">
        <v>2</v>
      </c>
      <c r="AE888">
        <v>3</v>
      </c>
      <c r="AF888">
        <v>11</v>
      </c>
      <c r="AG888">
        <v>9</v>
      </c>
      <c r="AH888">
        <v>5</v>
      </c>
      <c r="AI888">
        <v>7</v>
      </c>
      <c r="AJ888">
        <f t="shared" si="13"/>
        <v>0</v>
      </c>
      <c r="AK888" t="str" cm="1">
        <f t="array" ref="AK888">_xlfn.IFS(A888&lt;=30,"18-30",A888&lt;=45,"31-45",A888&lt;=60,"46-60",TRUE, "60+")</f>
        <v>18-30</v>
      </c>
      <c r="AL888" t="str" cm="1">
        <f t="array" ref="AL888">_xlfn.IFS(F888&lt;=10,"0-10",F888&lt;=20,"11-20",TRUE,"20+")</f>
        <v>0-10</v>
      </c>
      <c r="AM888" t="str" cm="1">
        <f t="array" ref="AM888">_xlfn.IFS(S888&lt;=5000,"0-5k",S888&lt;=10000,"5k-10k",S888&lt;=15000,"10k-15k",TRUE,"15k+")</f>
        <v>0-5k</v>
      </c>
      <c r="AN888" t="str" cm="1">
        <f t="array" ref="AN888">_xlfn.IFS(AF888&lt;=10,"0-10",AF888&lt;=20,"10-20",AF888&lt;=30,"20-30",TRUE,"30+")</f>
        <v>10-20</v>
      </c>
      <c r="AO888" t="str" cm="1">
        <f t="array" ref="AO888">_xlfn.IFS(Y888=1,"Poor",Y888=2,"Average",Y888=3,"Good",TRUE,"Excellent")</f>
        <v>Excellent</v>
      </c>
      <c r="AP888" t="str" cm="1">
        <f t="array" ref="AP888">_xlfn.IFS(Q888=1,"Low",Q888=2,"Medium",Q888=3,"High",TRUE,"Very High")</f>
        <v>Medium</v>
      </c>
    </row>
    <row r="889" spans="1:42" x14ac:dyDescent="0.25">
      <c r="A889">
        <v>42</v>
      </c>
      <c r="B889" t="s">
        <v>42</v>
      </c>
      <c r="C889" t="s">
        <v>91</v>
      </c>
      <c r="D889">
        <v>458</v>
      </c>
      <c r="E889" t="s">
        <v>43</v>
      </c>
      <c r="F889">
        <v>26</v>
      </c>
      <c r="G889">
        <v>5</v>
      </c>
      <c r="H889" t="s">
        <v>49</v>
      </c>
      <c r="I889">
        <v>1</v>
      </c>
      <c r="J889">
        <v>1242</v>
      </c>
      <c r="K889">
        <v>1</v>
      </c>
      <c r="L889" t="s">
        <v>38</v>
      </c>
      <c r="M889">
        <v>60</v>
      </c>
      <c r="N889">
        <v>3</v>
      </c>
      <c r="O889">
        <v>3</v>
      </c>
      <c r="P889" t="s">
        <v>56</v>
      </c>
      <c r="Q889">
        <v>1</v>
      </c>
      <c r="R889" t="s">
        <v>46</v>
      </c>
      <c r="S889">
        <v>13191</v>
      </c>
      <c r="T889">
        <v>23281</v>
      </c>
      <c r="U889">
        <v>3</v>
      </c>
      <c r="V889" t="s">
        <v>41</v>
      </c>
      <c r="W889" t="s">
        <v>35</v>
      </c>
      <c r="X889">
        <v>17</v>
      </c>
      <c r="Y889">
        <v>3</v>
      </c>
      <c r="Z889">
        <v>3</v>
      </c>
      <c r="AA889">
        <v>80</v>
      </c>
      <c r="AB889">
        <v>0</v>
      </c>
      <c r="AC889">
        <v>20</v>
      </c>
      <c r="AD889">
        <v>6</v>
      </c>
      <c r="AE889">
        <v>3</v>
      </c>
      <c r="AF889">
        <v>1</v>
      </c>
      <c r="AG889">
        <v>0</v>
      </c>
      <c r="AH889">
        <v>0</v>
      </c>
      <c r="AI889">
        <v>0</v>
      </c>
      <c r="AJ889">
        <f t="shared" si="13"/>
        <v>0</v>
      </c>
      <c r="AK889" t="str" cm="1">
        <f t="array" ref="AK889">_xlfn.IFS(A889&lt;=30,"18-30",A889&lt;=45,"31-45",A889&lt;=60,"46-60",TRUE, "60+")</f>
        <v>31-45</v>
      </c>
      <c r="AL889" t="str" cm="1">
        <f t="array" ref="AL889">_xlfn.IFS(F889&lt;=10,"0-10",F889&lt;=20,"11-20",TRUE,"20+")</f>
        <v>20+</v>
      </c>
      <c r="AM889" t="str" cm="1">
        <f t="array" ref="AM889">_xlfn.IFS(S889&lt;=5000,"0-5k",S889&lt;=10000,"5k-10k",S889&lt;=15000,"10k-15k",TRUE,"15k+")</f>
        <v>10k-15k</v>
      </c>
      <c r="AN889" t="str" cm="1">
        <f t="array" ref="AN889">_xlfn.IFS(AF889&lt;=10,"0-10",AF889&lt;=20,"10-20",AF889&lt;=30,"20-30",TRUE,"30+")</f>
        <v>0-10</v>
      </c>
      <c r="AO889" t="str" cm="1">
        <f t="array" ref="AO889">_xlfn.IFS(Y889=1,"Poor",Y889=2,"Average",Y889=3,"Good",TRUE,"Excellent")</f>
        <v>Good</v>
      </c>
      <c r="AP889" t="str" cm="1">
        <f t="array" ref="AP889">_xlfn.IFS(Q889=1,"Low",Q889=2,"Medium",Q889=3,"High",TRUE,"Very High")</f>
        <v>Low</v>
      </c>
    </row>
    <row r="890" spans="1:42" x14ac:dyDescent="0.25">
      <c r="A890">
        <v>35</v>
      </c>
      <c r="B890" t="s">
        <v>42</v>
      </c>
      <c r="C890" t="s">
        <v>53</v>
      </c>
      <c r="D890">
        <v>1212</v>
      </c>
      <c r="E890" t="s">
        <v>36</v>
      </c>
      <c r="F890">
        <v>8</v>
      </c>
      <c r="G890">
        <v>2</v>
      </c>
      <c r="H890" t="s">
        <v>57</v>
      </c>
      <c r="I890">
        <v>1</v>
      </c>
      <c r="J890">
        <v>1243</v>
      </c>
      <c r="K890">
        <v>3</v>
      </c>
      <c r="L890" t="s">
        <v>38</v>
      </c>
      <c r="M890">
        <v>78</v>
      </c>
      <c r="N890">
        <v>2</v>
      </c>
      <c r="O890">
        <v>3</v>
      </c>
      <c r="P890" t="s">
        <v>39</v>
      </c>
      <c r="Q890">
        <v>4</v>
      </c>
      <c r="R890" t="s">
        <v>46</v>
      </c>
      <c r="S890">
        <v>10377</v>
      </c>
      <c r="T890">
        <v>13755</v>
      </c>
      <c r="U890">
        <v>4</v>
      </c>
      <c r="V890" t="s">
        <v>41</v>
      </c>
      <c r="W890" t="s">
        <v>35</v>
      </c>
      <c r="X890">
        <v>11</v>
      </c>
      <c r="Y890">
        <v>3</v>
      </c>
      <c r="Z890">
        <v>2</v>
      </c>
      <c r="AA890">
        <v>80</v>
      </c>
      <c r="AB890">
        <v>1</v>
      </c>
      <c r="AC890">
        <v>16</v>
      </c>
      <c r="AD890">
        <v>6</v>
      </c>
      <c r="AE890">
        <v>2</v>
      </c>
      <c r="AF890">
        <v>13</v>
      </c>
      <c r="AG890">
        <v>2</v>
      </c>
      <c r="AH890">
        <v>4</v>
      </c>
      <c r="AI890">
        <v>12</v>
      </c>
      <c r="AJ890">
        <f t="shared" si="13"/>
        <v>0</v>
      </c>
      <c r="AK890" t="str" cm="1">
        <f t="array" ref="AK890">_xlfn.IFS(A890&lt;=30,"18-30",A890&lt;=45,"31-45",A890&lt;=60,"46-60",TRUE, "60+")</f>
        <v>31-45</v>
      </c>
      <c r="AL890" t="str" cm="1">
        <f t="array" ref="AL890">_xlfn.IFS(F890&lt;=10,"0-10",F890&lt;=20,"11-20",TRUE,"20+")</f>
        <v>0-10</v>
      </c>
      <c r="AM890" t="str" cm="1">
        <f t="array" ref="AM890">_xlfn.IFS(S890&lt;=5000,"0-5k",S890&lt;=10000,"5k-10k",S890&lt;=15000,"10k-15k",TRUE,"15k+")</f>
        <v>10k-15k</v>
      </c>
      <c r="AN890" t="str" cm="1">
        <f t="array" ref="AN890">_xlfn.IFS(AF890&lt;=10,"0-10",AF890&lt;=20,"10-20",AF890&lt;=30,"20-30",TRUE,"30+")</f>
        <v>10-20</v>
      </c>
      <c r="AO890" t="str" cm="1">
        <f t="array" ref="AO890">_xlfn.IFS(Y890=1,"Poor",Y890=2,"Average",Y890=3,"Good",TRUE,"Excellent")</f>
        <v>Good</v>
      </c>
      <c r="AP890" t="str" cm="1">
        <f t="array" ref="AP890">_xlfn.IFS(Q890=1,"Low",Q890=2,"Medium",Q890=3,"High",TRUE,"Very High")</f>
        <v>Very High</v>
      </c>
    </row>
    <row r="891" spans="1:42" x14ac:dyDescent="0.25">
      <c r="A891">
        <v>27</v>
      </c>
      <c r="B891" t="s">
        <v>42</v>
      </c>
      <c r="C891" t="s">
        <v>90</v>
      </c>
      <c r="D891">
        <v>1103</v>
      </c>
      <c r="E891" t="s">
        <v>43</v>
      </c>
      <c r="F891">
        <v>14</v>
      </c>
      <c r="G891">
        <v>3</v>
      </c>
      <c r="H891" t="s">
        <v>37</v>
      </c>
      <c r="I891">
        <v>1</v>
      </c>
      <c r="J891">
        <v>1244</v>
      </c>
      <c r="K891">
        <v>1</v>
      </c>
      <c r="L891" t="s">
        <v>44</v>
      </c>
      <c r="M891">
        <v>42</v>
      </c>
      <c r="N891">
        <v>3</v>
      </c>
      <c r="O891">
        <v>1</v>
      </c>
      <c r="P891" t="s">
        <v>45</v>
      </c>
      <c r="Q891">
        <v>1</v>
      </c>
      <c r="R891" t="s">
        <v>46</v>
      </c>
      <c r="S891">
        <v>2235</v>
      </c>
      <c r="T891">
        <v>14377</v>
      </c>
      <c r="U891">
        <v>1</v>
      </c>
      <c r="V891" t="s">
        <v>41</v>
      </c>
      <c r="W891" t="s">
        <v>35</v>
      </c>
      <c r="X891">
        <v>14</v>
      </c>
      <c r="Y891">
        <v>3</v>
      </c>
      <c r="Z891">
        <v>4</v>
      </c>
      <c r="AA891">
        <v>80</v>
      </c>
      <c r="AB891">
        <v>2</v>
      </c>
      <c r="AC891">
        <v>9</v>
      </c>
      <c r="AD891">
        <v>3</v>
      </c>
      <c r="AE891">
        <v>2</v>
      </c>
      <c r="AF891">
        <v>9</v>
      </c>
      <c r="AG891">
        <v>7</v>
      </c>
      <c r="AH891">
        <v>6</v>
      </c>
      <c r="AI891">
        <v>8</v>
      </c>
      <c r="AJ891">
        <f t="shared" si="13"/>
        <v>0</v>
      </c>
      <c r="AK891" t="str" cm="1">
        <f t="array" ref="AK891">_xlfn.IFS(A891&lt;=30,"18-30",A891&lt;=45,"31-45",A891&lt;=60,"46-60",TRUE, "60+")</f>
        <v>18-30</v>
      </c>
      <c r="AL891" t="str" cm="1">
        <f t="array" ref="AL891">_xlfn.IFS(F891&lt;=10,"0-10",F891&lt;=20,"11-20",TRUE,"20+")</f>
        <v>11-20</v>
      </c>
      <c r="AM891" t="str" cm="1">
        <f t="array" ref="AM891">_xlfn.IFS(S891&lt;=5000,"0-5k",S891&lt;=10000,"5k-10k",S891&lt;=15000,"10k-15k",TRUE,"15k+")</f>
        <v>0-5k</v>
      </c>
      <c r="AN891" t="str" cm="1">
        <f t="array" ref="AN891">_xlfn.IFS(AF891&lt;=10,"0-10",AF891&lt;=20,"10-20",AF891&lt;=30,"20-30",TRUE,"30+")</f>
        <v>0-10</v>
      </c>
      <c r="AO891" t="str" cm="1">
        <f t="array" ref="AO891">_xlfn.IFS(Y891=1,"Poor",Y891=2,"Average",Y891=3,"Good",TRUE,"Excellent")</f>
        <v>Good</v>
      </c>
      <c r="AP891" t="str" cm="1">
        <f t="array" ref="AP891">_xlfn.IFS(Q891=1,"Low",Q891=2,"Medium",Q891=3,"High",TRUE,"Very High")</f>
        <v>Low</v>
      </c>
    </row>
    <row r="892" spans="1:42" x14ac:dyDescent="0.25">
      <c r="A892">
        <v>54</v>
      </c>
      <c r="B892" t="s">
        <v>42</v>
      </c>
      <c r="C892" t="s">
        <v>91</v>
      </c>
      <c r="D892">
        <v>966</v>
      </c>
      <c r="E892" t="s">
        <v>43</v>
      </c>
      <c r="F892">
        <v>1</v>
      </c>
      <c r="G892">
        <v>4</v>
      </c>
      <c r="H892" t="s">
        <v>37</v>
      </c>
      <c r="I892">
        <v>1</v>
      </c>
      <c r="J892">
        <v>1245</v>
      </c>
      <c r="K892">
        <v>4</v>
      </c>
      <c r="L892" t="s">
        <v>38</v>
      </c>
      <c r="M892">
        <v>53</v>
      </c>
      <c r="N892">
        <v>3</v>
      </c>
      <c r="O892">
        <v>3</v>
      </c>
      <c r="P892" t="s">
        <v>51</v>
      </c>
      <c r="Q892">
        <v>3</v>
      </c>
      <c r="R892" t="s">
        <v>50</v>
      </c>
      <c r="S892">
        <v>10502</v>
      </c>
      <c r="T892">
        <v>9659</v>
      </c>
      <c r="U892">
        <v>7</v>
      </c>
      <c r="V892" t="s">
        <v>41</v>
      </c>
      <c r="W892" t="s">
        <v>42</v>
      </c>
      <c r="X892">
        <v>17</v>
      </c>
      <c r="Y892">
        <v>3</v>
      </c>
      <c r="Z892">
        <v>1</v>
      </c>
      <c r="AA892">
        <v>80</v>
      </c>
      <c r="AB892">
        <v>1</v>
      </c>
      <c r="AC892">
        <v>33</v>
      </c>
      <c r="AD892">
        <v>2</v>
      </c>
      <c r="AE892">
        <v>1</v>
      </c>
      <c r="AF892">
        <v>5</v>
      </c>
      <c r="AG892">
        <v>4</v>
      </c>
      <c r="AH892">
        <v>1</v>
      </c>
      <c r="AI892">
        <v>4</v>
      </c>
      <c r="AJ892">
        <f t="shared" si="13"/>
        <v>0</v>
      </c>
      <c r="AK892" t="str" cm="1">
        <f t="array" ref="AK892">_xlfn.IFS(A892&lt;=30,"18-30",A892&lt;=45,"31-45",A892&lt;=60,"46-60",TRUE, "60+")</f>
        <v>46-60</v>
      </c>
      <c r="AL892" t="str" cm="1">
        <f t="array" ref="AL892">_xlfn.IFS(F892&lt;=10,"0-10",F892&lt;=20,"11-20",TRUE,"20+")</f>
        <v>0-10</v>
      </c>
      <c r="AM892" t="str" cm="1">
        <f t="array" ref="AM892">_xlfn.IFS(S892&lt;=5000,"0-5k",S892&lt;=10000,"5k-10k",S892&lt;=15000,"10k-15k",TRUE,"15k+")</f>
        <v>10k-15k</v>
      </c>
      <c r="AN892" t="str" cm="1">
        <f t="array" ref="AN892">_xlfn.IFS(AF892&lt;=10,"0-10",AF892&lt;=20,"10-20",AF892&lt;=30,"20-30",TRUE,"30+")</f>
        <v>0-10</v>
      </c>
      <c r="AO892" t="str" cm="1">
        <f t="array" ref="AO892">_xlfn.IFS(Y892=1,"Poor",Y892=2,"Average",Y892=3,"Good",TRUE,"Excellent")</f>
        <v>Good</v>
      </c>
      <c r="AP892" t="str" cm="1">
        <f t="array" ref="AP892">_xlfn.IFS(Q892=1,"Low",Q892=2,"Medium",Q892=3,"High",TRUE,"Very High")</f>
        <v>High</v>
      </c>
    </row>
    <row r="893" spans="1:42" x14ac:dyDescent="0.25">
      <c r="A893">
        <v>44</v>
      </c>
      <c r="B893" t="s">
        <v>42</v>
      </c>
      <c r="C893" t="s">
        <v>90</v>
      </c>
      <c r="D893">
        <v>1117</v>
      </c>
      <c r="E893" t="s">
        <v>43</v>
      </c>
      <c r="F893">
        <v>2</v>
      </c>
      <c r="G893">
        <v>1</v>
      </c>
      <c r="H893" t="s">
        <v>37</v>
      </c>
      <c r="I893">
        <v>1</v>
      </c>
      <c r="J893">
        <v>1246</v>
      </c>
      <c r="K893">
        <v>1</v>
      </c>
      <c r="L893" t="s">
        <v>38</v>
      </c>
      <c r="M893">
        <v>72</v>
      </c>
      <c r="N893">
        <v>4</v>
      </c>
      <c r="O893">
        <v>1</v>
      </c>
      <c r="P893" t="s">
        <v>45</v>
      </c>
      <c r="Q893">
        <v>4</v>
      </c>
      <c r="R893" t="s">
        <v>46</v>
      </c>
      <c r="S893">
        <v>2011</v>
      </c>
      <c r="T893">
        <v>19982</v>
      </c>
      <c r="U893">
        <v>1</v>
      </c>
      <c r="V893" t="s">
        <v>41</v>
      </c>
      <c r="W893" t="s">
        <v>42</v>
      </c>
      <c r="X893">
        <v>13</v>
      </c>
      <c r="Y893">
        <v>3</v>
      </c>
      <c r="Z893">
        <v>4</v>
      </c>
      <c r="AA893">
        <v>80</v>
      </c>
      <c r="AB893">
        <v>1</v>
      </c>
      <c r="AC893">
        <v>10</v>
      </c>
      <c r="AD893">
        <v>5</v>
      </c>
      <c r="AE893">
        <v>3</v>
      </c>
      <c r="AF893">
        <v>10</v>
      </c>
      <c r="AG893">
        <v>5</v>
      </c>
      <c r="AH893">
        <v>7</v>
      </c>
      <c r="AI893">
        <v>7</v>
      </c>
      <c r="AJ893">
        <f t="shared" si="13"/>
        <v>0</v>
      </c>
      <c r="AK893" t="str" cm="1">
        <f t="array" ref="AK893">_xlfn.IFS(A893&lt;=30,"18-30",A893&lt;=45,"31-45",A893&lt;=60,"46-60",TRUE, "60+")</f>
        <v>31-45</v>
      </c>
      <c r="AL893" t="str" cm="1">
        <f t="array" ref="AL893">_xlfn.IFS(F893&lt;=10,"0-10",F893&lt;=20,"11-20",TRUE,"20+")</f>
        <v>0-10</v>
      </c>
      <c r="AM893" t="str" cm="1">
        <f t="array" ref="AM893">_xlfn.IFS(S893&lt;=5000,"0-5k",S893&lt;=10000,"5k-10k",S893&lt;=15000,"10k-15k",TRUE,"15k+")</f>
        <v>0-5k</v>
      </c>
      <c r="AN893" t="str" cm="1">
        <f t="array" ref="AN893">_xlfn.IFS(AF893&lt;=10,"0-10",AF893&lt;=20,"10-20",AF893&lt;=30,"20-30",TRUE,"30+")</f>
        <v>0-10</v>
      </c>
      <c r="AO893" t="str" cm="1">
        <f t="array" ref="AO893">_xlfn.IFS(Y893=1,"Poor",Y893=2,"Average",Y893=3,"Good",TRUE,"Excellent")</f>
        <v>Good</v>
      </c>
      <c r="AP893" t="str" cm="1">
        <f t="array" ref="AP893">_xlfn.IFS(Q893=1,"Low",Q893=2,"Medium",Q893=3,"High",TRUE,"Very High")</f>
        <v>Very High</v>
      </c>
    </row>
    <row r="894" spans="1:42" x14ac:dyDescent="0.25">
      <c r="A894">
        <v>19</v>
      </c>
      <c r="B894" t="s">
        <v>35</v>
      </c>
      <c r="C894" t="s">
        <v>53</v>
      </c>
      <c r="D894">
        <v>504</v>
      </c>
      <c r="E894" t="s">
        <v>43</v>
      </c>
      <c r="F894">
        <v>10</v>
      </c>
      <c r="G894">
        <v>3</v>
      </c>
      <c r="H894" t="s">
        <v>49</v>
      </c>
      <c r="I894">
        <v>1</v>
      </c>
      <c r="J894">
        <v>1248</v>
      </c>
      <c r="K894">
        <v>1</v>
      </c>
      <c r="L894" t="s">
        <v>38</v>
      </c>
      <c r="M894">
        <v>96</v>
      </c>
      <c r="N894">
        <v>2</v>
      </c>
      <c r="O894">
        <v>1</v>
      </c>
      <c r="P894" t="s">
        <v>45</v>
      </c>
      <c r="Q894">
        <v>2</v>
      </c>
      <c r="R894" t="s">
        <v>40</v>
      </c>
      <c r="S894">
        <v>1859</v>
      </c>
      <c r="T894">
        <v>6148</v>
      </c>
      <c r="U894">
        <v>1</v>
      </c>
      <c r="V894" t="s">
        <v>41</v>
      </c>
      <c r="W894" t="s">
        <v>35</v>
      </c>
      <c r="X894">
        <v>25</v>
      </c>
      <c r="Y894">
        <v>4</v>
      </c>
      <c r="Z894">
        <v>2</v>
      </c>
      <c r="AA894">
        <v>80</v>
      </c>
      <c r="AB894">
        <v>0</v>
      </c>
      <c r="AC894">
        <v>1</v>
      </c>
      <c r="AD894">
        <v>2</v>
      </c>
      <c r="AE894">
        <v>4</v>
      </c>
      <c r="AF894">
        <v>1</v>
      </c>
      <c r="AG894">
        <v>1</v>
      </c>
      <c r="AH894">
        <v>0</v>
      </c>
      <c r="AI894">
        <v>0</v>
      </c>
      <c r="AJ894">
        <f t="shared" si="13"/>
        <v>1</v>
      </c>
      <c r="AK894" t="str" cm="1">
        <f t="array" ref="AK894">_xlfn.IFS(A894&lt;=30,"18-30",A894&lt;=45,"31-45",A894&lt;=60,"46-60",TRUE, "60+")</f>
        <v>18-30</v>
      </c>
      <c r="AL894" t="str" cm="1">
        <f t="array" ref="AL894">_xlfn.IFS(F894&lt;=10,"0-10",F894&lt;=20,"11-20",TRUE,"20+")</f>
        <v>0-10</v>
      </c>
      <c r="AM894" t="str" cm="1">
        <f t="array" ref="AM894">_xlfn.IFS(S894&lt;=5000,"0-5k",S894&lt;=10000,"5k-10k",S894&lt;=15000,"10k-15k",TRUE,"15k+")</f>
        <v>0-5k</v>
      </c>
      <c r="AN894" t="str" cm="1">
        <f t="array" ref="AN894">_xlfn.IFS(AF894&lt;=10,"0-10",AF894&lt;=20,"10-20",AF894&lt;=30,"20-30",TRUE,"30+")</f>
        <v>0-10</v>
      </c>
      <c r="AO894" t="str" cm="1">
        <f t="array" ref="AO894">_xlfn.IFS(Y894=1,"Poor",Y894=2,"Average",Y894=3,"Good",TRUE,"Excellent")</f>
        <v>Excellent</v>
      </c>
      <c r="AP894" t="str" cm="1">
        <f t="array" ref="AP894">_xlfn.IFS(Q894=1,"Low",Q894=2,"Medium",Q894=3,"High",TRUE,"Very High")</f>
        <v>Medium</v>
      </c>
    </row>
    <row r="895" spans="1:42" x14ac:dyDescent="0.25">
      <c r="A895">
        <v>29</v>
      </c>
      <c r="B895" t="s">
        <v>42</v>
      </c>
      <c r="C895" t="s">
        <v>90</v>
      </c>
      <c r="D895">
        <v>1010</v>
      </c>
      <c r="E895" t="s">
        <v>43</v>
      </c>
      <c r="F895">
        <v>1</v>
      </c>
      <c r="G895">
        <v>3</v>
      </c>
      <c r="H895" t="s">
        <v>37</v>
      </c>
      <c r="I895">
        <v>1</v>
      </c>
      <c r="J895">
        <v>1249</v>
      </c>
      <c r="K895">
        <v>1</v>
      </c>
      <c r="L895" t="s">
        <v>38</v>
      </c>
      <c r="M895">
        <v>97</v>
      </c>
      <c r="N895">
        <v>3</v>
      </c>
      <c r="O895">
        <v>1</v>
      </c>
      <c r="P895" t="s">
        <v>45</v>
      </c>
      <c r="Q895">
        <v>4</v>
      </c>
      <c r="R895" t="s">
        <v>50</v>
      </c>
      <c r="S895">
        <v>3760</v>
      </c>
      <c r="T895">
        <v>5598</v>
      </c>
      <c r="U895">
        <v>1</v>
      </c>
      <c r="V895" t="s">
        <v>41</v>
      </c>
      <c r="W895" t="s">
        <v>42</v>
      </c>
      <c r="X895">
        <v>15</v>
      </c>
      <c r="Y895">
        <v>3</v>
      </c>
      <c r="Z895">
        <v>1</v>
      </c>
      <c r="AA895">
        <v>80</v>
      </c>
      <c r="AB895">
        <v>3</v>
      </c>
      <c r="AC895">
        <v>3</v>
      </c>
      <c r="AD895">
        <v>5</v>
      </c>
      <c r="AE895">
        <v>3</v>
      </c>
      <c r="AF895">
        <v>3</v>
      </c>
      <c r="AG895">
        <v>2</v>
      </c>
      <c r="AH895">
        <v>1</v>
      </c>
      <c r="AI895">
        <v>2</v>
      </c>
      <c r="AJ895">
        <f t="shared" si="13"/>
        <v>0</v>
      </c>
      <c r="AK895" t="str" cm="1">
        <f t="array" ref="AK895">_xlfn.IFS(A895&lt;=30,"18-30",A895&lt;=45,"31-45",A895&lt;=60,"46-60",TRUE, "60+")</f>
        <v>18-30</v>
      </c>
      <c r="AL895" t="str" cm="1">
        <f t="array" ref="AL895">_xlfn.IFS(F895&lt;=10,"0-10",F895&lt;=20,"11-20",TRUE,"20+")</f>
        <v>0-10</v>
      </c>
      <c r="AM895" t="str" cm="1">
        <f t="array" ref="AM895">_xlfn.IFS(S895&lt;=5000,"0-5k",S895&lt;=10000,"5k-10k",S895&lt;=15000,"10k-15k",TRUE,"15k+")</f>
        <v>0-5k</v>
      </c>
      <c r="AN895" t="str" cm="1">
        <f t="array" ref="AN895">_xlfn.IFS(AF895&lt;=10,"0-10",AF895&lt;=20,"10-20",AF895&lt;=30,"20-30",TRUE,"30+")</f>
        <v>0-10</v>
      </c>
      <c r="AO895" t="str" cm="1">
        <f t="array" ref="AO895">_xlfn.IFS(Y895=1,"Poor",Y895=2,"Average",Y895=3,"Good",TRUE,"Excellent")</f>
        <v>Good</v>
      </c>
      <c r="AP895" t="str" cm="1">
        <f t="array" ref="AP895">_xlfn.IFS(Q895=1,"Low",Q895=2,"Medium",Q895=3,"High",TRUE,"Very High")</f>
        <v>Very High</v>
      </c>
    </row>
    <row r="896" spans="1:42" x14ac:dyDescent="0.25">
      <c r="A896">
        <v>54</v>
      </c>
      <c r="B896" t="s">
        <v>42</v>
      </c>
      <c r="C896" t="s">
        <v>90</v>
      </c>
      <c r="D896">
        <v>685</v>
      </c>
      <c r="E896" t="s">
        <v>43</v>
      </c>
      <c r="F896">
        <v>3</v>
      </c>
      <c r="G896">
        <v>3</v>
      </c>
      <c r="H896" t="s">
        <v>37</v>
      </c>
      <c r="I896">
        <v>1</v>
      </c>
      <c r="J896">
        <v>1250</v>
      </c>
      <c r="K896">
        <v>4</v>
      </c>
      <c r="L896" t="s">
        <v>44</v>
      </c>
      <c r="M896">
        <v>85</v>
      </c>
      <c r="N896">
        <v>3</v>
      </c>
      <c r="O896">
        <v>4</v>
      </c>
      <c r="P896" t="s">
        <v>56</v>
      </c>
      <c r="Q896">
        <v>4</v>
      </c>
      <c r="R896" t="s">
        <v>46</v>
      </c>
      <c r="S896">
        <v>17779</v>
      </c>
      <c r="T896">
        <v>23474</v>
      </c>
      <c r="U896">
        <v>3</v>
      </c>
      <c r="V896" t="s">
        <v>41</v>
      </c>
      <c r="W896" t="s">
        <v>42</v>
      </c>
      <c r="X896">
        <v>14</v>
      </c>
      <c r="Y896">
        <v>3</v>
      </c>
      <c r="Z896">
        <v>1</v>
      </c>
      <c r="AA896">
        <v>80</v>
      </c>
      <c r="AB896">
        <v>0</v>
      </c>
      <c r="AC896">
        <v>36</v>
      </c>
      <c r="AD896">
        <v>2</v>
      </c>
      <c r="AE896">
        <v>3</v>
      </c>
      <c r="AF896">
        <v>10</v>
      </c>
      <c r="AG896">
        <v>9</v>
      </c>
      <c r="AH896">
        <v>0</v>
      </c>
      <c r="AI896">
        <v>9</v>
      </c>
      <c r="AJ896">
        <f t="shared" si="13"/>
        <v>0</v>
      </c>
      <c r="AK896" t="str" cm="1">
        <f t="array" ref="AK896">_xlfn.IFS(A896&lt;=30,"18-30",A896&lt;=45,"31-45",A896&lt;=60,"46-60",TRUE, "60+")</f>
        <v>46-60</v>
      </c>
      <c r="AL896" t="str" cm="1">
        <f t="array" ref="AL896">_xlfn.IFS(F896&lt;=10,"0-10",F896&lt;=20,"11-20",TRUE,"20+")</f>
        <v>0-10</v>
      </c>
      <c r="AM896" t="str" cm="1">
        <f t="array" ref="AM896">_xlfn.IFS(S896&lt;=5000,"0-5k",S896&lt;=10000,"5k-10k",S896&lt;=15000,"10k-15k",TRUE,"15k+")</f>
        <v>15k+</v>
      </c>
      <c r="AN896" t="str" cm="1">
        <f t="array" ref="AN896">_xlfn.IFS(AF896&lt;=10,"0-10",AF896&lt;=20,"10-20",AF896&lt;=30,"20-30",TRUE,"30+")</f>
        <v>0-10</v>
      </c>
      <c r="AO896" t="str" cm="1">
        <f t="array" ref="AO896">_xlfn.IFS(Y896=1,"Poor",Y896=2,"Average",Y896=3,"Good",TRUE,"Excellent")</f>
        <v>Good</v>
      </c>
      <c r="AP896" t="str" cm="1">
        <f t="array" ref="AP896">_xlfn.IFS(Q896=1,"Low",Q896=2,"Medium",Q896=3,"High",TRUE,"Very High")</f>
        <v>Very High</v>
      </c>
    </row>
    <row r="897" spans="1:42" x14ac:dyDescent="0.25">
      <c r="A897">
        <v>31</v>
      </c>
      <c r="B897" t="s">
        <v>42</v>
      </c>
      <c r="C897" t="s">
        <v>90</v>
      </c>
      <c r="D897">
        <v>1332</v>
      </c>
      <c r="E897" t="s">
        <v>43</v>
      </c>
      <c r="F897">
        <v>11</v>
      </c>
      <c r="G897">
        <v>2</v>
      </c>
      <c r="H897" t="s">
        <v>49</v>
      </c>
      <c r="I897">
        <v>1</v>
      </c>
      <c r="J897">
        <v>1251</v>
      </c>
      <c r="K897">
        <v>3</v>
      </c>
      <c r="L897" t="s">
        <v>44</v>
      </c>
      <c r="M897">
        <v>80</v>
      </c>
      <c r="N897">
        <v>3</v>
      </c>
      <c r="O897">
        <v>2</v>
      </c>
      <c r="P897" t="s">
        <v>52</v>
      </c>
      <c r="Q897">
        <v>1</v>
      </c>
      <c r="R897" t="s">
        <v>46</v>
      </c>
      <c r="S897">
        <v>6833</v>
      </c>
      <c r="T897">
        <v>17089</v>
      </c>
      <c r="U897">
        <v>1</v>
      </c>
      <c r="V897" t="s">
        <v>41</v>
      </c>
      <c r="W897" t="s">
        <v>35</v>
      </c>
      <c r="X897">
        <v>12</v>
      </c>
      <c r="Y897">
        <v>3</v>
      </c>
      <c r="Z897">
        <v>4</v>
      </c>
      <c r="AA897">
        <v>80</v>
      </c>
      <c r="AB897">
        <v>0</v>
      </c>
      <c r="AC897">
        <v>6</v>
      </c>
      <c r="AD897">
        <v>2</v>
      </c>
      <c r="AE897">
        <v>2</v>
      </c>
      <c r="AF897">
        <v>6</v>
      </c>
      <c r="AG897">
        <v>5</v>
      </c>
      <c r="AH897">
        <v>0</v>
      </c>
      <c r="AI897">
        <v>1</v>
      </c>
      <c r="AJ897">
        <f t="shared" si="13"/>
        <v>0</v>
      </c>
      <c r="AK897" t="str" cm="1">
        <f t="array" ref="AK897">_xlfn.IFS(A897&lt;=30,"18-30",A897&lt;=45,"31-45",A897&lt;=60,"46-60",TRUE, "60+")</f>
        <v>31-45</v>
      </c>
      <c r="AL897" t="str" cm="1">
        <f t="array" ref="AL897">_xlfn.IFS(F897&lt;=10,"0-10",F897&lt;=20,"11-20",TRUE,"20+")</f>
        <v>11-20</v>
      </c>
      <c r="AM897" t="str" cm="1">
        <f t="array" ref="AM897">_xlfn.IFS(S897&lt;=5000,"0-5k",S897&lt;=10000,"5k-10k",S897&lt;=15000,"10k-15k",TRUE,"15k+")</f>
        <v>5k-10k</v>
      </c>
      <c r="AN897" t="str" cm="1">
        <f t="array" ref="AN897">_xlfn.IFS(AF897&lt;=10,"0-10",AF897&lt;=20,"10-20",AF897&lt;=30,"20-30",TRUE,"30+")</f>
        <v>0-10</v>
      </c>
      <c r="AO897" t="str" cm="1">
        <f t="array" ref="AO897">_xlfn.IFS(Y897=1,"Poor",Y897=2,"Average",Y897=3,"Good",TRUE,"Excellent")</f>
        <v>Good</v>
      </c>
      <c r="AP897" t="str" cm="1">
        <f t="array" ref="AP897">_xlfn.IFS(Q897=1,"Low",Q897=2,"Medium",Q897=3,"High",TRUE,"Very High")</f>
        <v>Low</v>
      </c>
    </row>
    <row r="898" spans="1:42" x14ac:dyDescent="0.25">
      <c r="A898">
        <v>31</v>
      </c>
      <c r="B898" t="s">
        <v>42</v>
      </c>
      <c r="C898" t="s">
        <v>90</v>
      </c>
      <c r="D898">
        <v>1062</v>
      </c>
      <c r="E898" t="s">
        <v>43</v>
      </c>
      <c r="F898">
        <v>24</v>
      </c>
      <c r="G898">
        <v>3</v>
      </c>
      <c r="H898" t="s">
        <v>49</v>
      </c>
      <c r="I898">
        <v>1</v>
      </c>
      <c r="J898">
        <v>1252</v>
      </c>
      <c r="K898">
        <v>3</v>
      </c>
      <c r="L898" t="s">
        <v>38</v>
      </c>
      <c r="M898">
        <v>96</v>
      </c>
      <c r="N898">
        <v>2</v>
      </c>
      <c r="O898">
        <v>2</v>
      </c>
      <c r="P898" t="s">
        <v>52</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c r="AJ898">
        <f t="shared" ref="AJ898:AJ961" si="14">IF(B898="yes",1,0)</f>
        <v>0</v>
      </c>
      <c r="AK898" t="str" cm="1">
        <f t="array" ref="AK898">_xlfn.IFS(A898&lt;=30,"18-30",A898&lt;=45,"31-45",A898&lt;=60,"46-60",TRUE, "60+")</f>
        <v>31-45</v>
      </c>
      <c r="AL898" t="str" cm="1">
        <f t="array" ref="AL898">_xlfn.IFS(F898&lt;=10,"0-10",F898&lt;=20,"11-20",TRUE,"20+")</f>
        <v>20+</v>
      </c>
      <c r="AM898" t="str" cm="1">
        <f t="array" ref="AM898">_xlfn.IFS(S898&lt;=5000,"0-5k",S898&lt;=10000,"5k-10k",S898&lt;=15000,"10k-15k",TRUE,"15k+")</f>
        <v>5k-10k</v>
      </c>
      <c r="AN898" t="str" cm="1">
        <f t="array" ref="AN898">_xlfn.IFS(AF898&lt;=10,"0-10",AF898&lt;=20,"10-20",AF898&lt;=30,"20-30",TRUE,"30+")</f>
        <v>0-10</v>
      </c>
      <c r="AO898" t="str" cm="1">
        <f t="array" ref="AO898">_xlfn.IFS(Y898=1,"Poor",Y898=2,"Average",Y898=3,"Good",TRUE,"Excellent")</f>
        <v>Good</v>
      </c>
      <c r="AP898" t="str" cm="1">
        <f t="array" ref="AP898">_xlfn.IFS(Q898=1,"Low",Q898=2,"Medium",Q898=3,"High",TRUE,"Very High")</f>
        <v>Low</v>
      </c>
    </row>
    <row r="899" spans="1:42" x14ac:dyDescent="0.25">
      <c r="A899">
        <v>59</v>
      </c>
      <c r="B899" t="s">
        <v>42</v>
      </c>
      <c r="C899" t="s">
        <v>90</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c r="AJ899">
        <f t="shared" si="14"/>
        <v>0</v>
      </c>
      <c r="AK899" t="str" cm="1">
        <f t="array" ref="AK899">_xlfn.IFS(A899&lt;=30,"18-30",A899&lt;=45,"31-45",A899&lt;=60,"46-60",TRUE, "60+")</f>
        <v>46-60</v>
      </c>
      <c r="AL899" t="str" cm="1">
        <f t="array" ref="AL899">_xlfn.IFS(F899&lt;=10,"0-10",F899&lt;=20,"11-20",TRUE,"20+")</f>
        <v>0-10</v>
      </c>
      <c r="AM899" t="str" cm="1">
        <f t="array" ref="AM899">_xlfn.IFS(S899&lt;=5000,"0-5k",S899&lt;=10000,"5k-10k",S899&lt;=15000,"10k-15k",TRUE,"15k+")</f>
        <v>5k-10k</v>
      </c>
      <c r="AN899" t="str" cm="1">
        <f t="array" ref="AN899">_xlfn.IFS(AF899&lt;=10,"0-10",AF899&lt;=20,"10-20",AF899&lt;=30,"20-30",TRUE,"30+")</f>
        <v>0-10</v>
      </c>
      <c r="AO899" t="str" cm="1">
        <f t="array" ref="AO899">_xlfn.IFS(Y899=1,"Poor",Y899=2,"Average",Y899=3,"Good",TRUE,"Excellent")</f>
        <v>Good</v>
      </c>
      <c r="AP899" t="str" cm="1">
        <f t="array" ref="AP899">_xlfn.IFS(Q899=1,"Low",Q899=2,"Medium",Q899=3,"High",TRUE,"Very High")</f>
        <v>Very High</v>
      </c>
    </row>
    <row r="900" spans="1:42" x14ac:dyDescent="0.25">
      <c r="A900">
        <v>43</v>
      </c>
      <c r="B900" t="s">
        <v>42</v>
      </c>
      <c r="C900" t="s">
        <v>90</v>
      </c>
      <c r="D900">
        <v>920</v>
      </c>
      <c r="E900" t="s">
        <v>43</v>
      </c>
      <c r="F900">
        <v>3</v>
      </c>
      <c r="G900">
        <v>3</v>
      </c>
      <c r="H900" t="s">
        <v>37</v>
      </c>
      <c r="I900">
        <v>1</v>
      </c>
      <c r="J900">
        <v>1255</v>
      </c>
      <c r="K900">
        <v>3</v>
      </c>
      <c r="L900" t="s">
        <v>44</v>
      </c>
      <c r="M900">
        <v>96</v>
      </c>
      <c r="N900">
        <v>1</v>
      </c>
      <c r="O900">
        <v>5</v>
      </c>
      <c r="P900" t="s">
        <v>56</v>
      </c>
      <c r="Q900">
        <v>4</v>
      </c>
      <c r="R900" t="s">
        <v>46</v>
      </c>
      <c r="S900">
        <v>19740</v>
      </c>
      <c r="T900">
        <v>18625</v>
      </c>
      <c r="U900">
        <v>3</v>
      </c>
      <c r="V900" t="s">
        <v>41</v>
      </c>
      <c r="W900" t="s">
        <v>42</v>
      </c>
      <c r="X900">
        <v>14</v>
      </c>
      <c r="Y900">
        <v>3</v>
      </c>
      <c r="Z900">
        <v>2</v>
      </c>
      <c r="AA900">
        <v>80</v>
      </c>
      <c r="AB900">
        <v>1</v>
      </c>
      <c r="AC900">
        <v>25</v>
      </c>
      <c r="AD900">
        <v>2</v>
      </c>
      <c r="AE900">
        <v>3</v>
      </c>
      <c r="AF900">
        <v>8</v>
      </c>
      <c r="AG900">
        <v>7</v>
      </c>
      <c r="AH900">
        <v>0</v>
      </c>
      <c r="AI900">
        <v>7</v>
      </c>
      <c r="AJ900">
        <f t="shared" si="14"/>
        <v>0</v>
      </c>
      <c r="AK900" t="str" cm="1">
        <f t="array" ref="AK900">_xlfn.IFS(A900&lt;=30,"18-30",A900&lt;=45,"31-45",A900&lt;=60,"46-60",TRUE, "60+")</f>
        <v>31-45</v>
      </c>
      <c r="AL900" t="str" cm="1">
        <f t="array" ref="AL900">_xlfn.IFS(F900&lt;=10,"0-10",F900&lt;=20,"11-20",TRUE,"20+")</f>
        <v>0-10</v>
      </c>
      <c r="AM900" t="str" cm="1">
        <f t="array" ref="AM900">_xlfn.IFS(S900&lt;=5000,"0-5k",S900&lt;=10000,"5k-10k",S900&lt;=15000,"10k-15k",TRUE,"15k+")</f>
        <v>15k+</v>
      </c>
      <c r="AN900" t="str" cm="1">
        <f t="array" ref="AN900">_xlfn.IFS(AF900&lt;=10,"0-10",AF900&lt;=20,"10-20",AF900&lt;=30,"20-30",TRUE,"30+")</f>
        <v>0-10</v>
      </c>
      <c r="AO900" t="str" cm="1">
        <f t="array" ref="AO900">_xlfn.IFS(Y900=1,"Poor",Y900=2,"Average",Y900=3,"Good",TRUE,"Excellent")</f>
        <v>Good</v>
      </c>
      <c r="AP900" t="str" cm="1">
        <f t="array" ref="AP900">_xlfn.IFS(Q900=1,"Low",Q900=2,"Medium",Q900=3,"High",TRUE,"Very High")</f>
        <v>Very High</v>
      </c>
    </row>
    <row r="901" spans="1:42" x14ac:dyDescent="0.25">
      <c r="A901">
        <v>49</v>
      </c>
      <c r="B901" t="s">
        <v>42</v>
      </c>
      <c r="C901" t="s">
        <v>90</v>
      </c>
      <c r="D901">
        <v>1098</v>
      </c>
      <c r="E901" t="s">
        <v>43</v>
      </c>
      <c r="F901">
        <v>4</v>
      </c>
      <c r="G901">
        <v>2</v>
      </c>
      <c r="H901" t="s">
        <v>49</v>
      </c>
      <c r="I901">
        <v>1</v>
      </c>
      <c r="J901">
        <v>1256</v>
      </c>
      <c r="K901">
        <v>1</v>
      </c>
      <c r="L901" t="s">
        <v>44</v>
      </c>
      <c r="M901">
        <v>85</v>
      </c>
      <c r="N901">
        <v>2</v>
      </c>
      <c r="O901">
        <v>5</v>
      </c>
      <c r="P901" t="s">
        <v>54</v>
      </c>
      <c r="Q901">
        <v>3</v>
      </c>
      <c r="R901" t="s">
        <v>46</v>
      </c>
      <c r="S901">
        <v>18711</v>
      </c>
      <c r="T901">
        <v>12124</v>
      </c>
      <c r="U901">
        <v>2</v>
      </c>
      <c r="V901" t="s">
        <v>41</v>
      </c>
      <c r="W901" t="s">
        <v>42</v>
      </c>
      <c r="X901">
        <v>13</v>
      </c>
      <c r="Y901">
        <v>3</v>
      </c>
      <c r="Z901">
        <v>3</v>
      </c>
      <c r="AA901">
        <v>80</v>
      </c>
      <c r="AB901">
        <v>1</v>
      </c>
      <c r="AC901">
        <v>23</v>
      </c>
      <c r="AD901">
        <v>2</v>
      </c>
      <c r="AE901">
        <v>4</v>
      </c>
      <c r="AF901">
        <v>1</v>
      </c>
      <c r="AG901">
        <v>0</v>
      </c>
      <c r="AH901">
        <v>0</v>
      </c>
      <c r="AI901">
        <v>0</v>
      </c>
      <c r="AJ901">
        <f t="shared" si="14"/>
        <v>0</v>
      </c>
      <c r="AK901" t="str" cm="1">
        <f t="array" ref="AK901">_xlfn.IFS(A901&lt;=30,"18-30",A901&lt;=45,"31-45",A901&lt;=60,"46-60",TRUE, "60+")</f>
        <v>46-60</v>
      </c>
      <c r="AL901" t="str" cm="1">
        <f t="array" ref="AL901">_xlfn.IFS(F901&lt;=10,"0-10",F901&lt;=20,"11-20",TRUE,"20+")</f>
        <v>0-10</v>
      </c>
      <c r="AM901" t="str" cm="1">
        <f t="array" ref="AM901">_xlfn.IFS(S901&lt;=5000,"0-5k",S901&lt;=10000,"5k-10k",S901&lt;=15000,"10k-15k",TRUE,"15k+")</f>
        <v>15k+</v>
      </c>
      <c r="AN901" t="str" cm="1">
        <f t="array" ref="AN901">_xlfn.IFS(AF901&lt;=10,"0-10",AF901&lt;=20,"10-20",AF901&lt;=30,"20-30",TRUE,"30+")</f>
        <v>0-10</v>
      </c>
      <c r="AO901" t="str" cm="1">
        <f t="array" ref="AO901">_xlfn.IFS(Y901=1,"Poor",Y901=2,"Average",Y901=3,"Good",TRUE,"Excellent")</f>
        <v>Good</v>
      </c>
      <c r="AP901" t="str" cm="1">
        <f t="array" ref="AP901">_xlfn.IFS(Q901=1,"Low",Q901=2,"Medium",Q901=3,"High",TRUE,"Very High")</f>
        <v>High</v>
      </c>
    </row>
    <row r="902" spans="1:42" x14ac:dyDescent="0.25">
      <c r="A902">
        <v>36</v>
      </c>
      <c r="B902" t="s">
        <v>42</v>
      </c>
      <c r="C902" t="s">
        <v>91</v>
      </c>
      <c r="D902">
        <v>469</v>
      </c>
      <c r="E902" t="s">
        <v>43</v>
      </c>
      <c r="F902">
        <v>3</v>
      </c>
      <c r="G902">
        <v>3</v>
      </c>
      <c r="H902" t="s">
        <v>58</v>
      </c>
      <c r="I902">
        <v>1</v>
      </c>
      <c r="J902">
        <v>1257</v>
      </c>
      <c r="K902">
        <v>3</v>
      </c>
      <c r="L902" t="s">
        <v>44</v>
      </c>
      <c r="M902">
        <v>46</v>
      </c>
      <c r="N902">
        <v>3</v>
      </c>
      <c r="O902">
        <v>1</v>
      </c>
      <c r="P902" t="s">
        <v>45</v>
      </c>
      <c r="Q902">
        <v>2</v>
      </c>
      <c r="R902" t="s">
        <v>46</v>
      </c>
      <c r="S902">
        <v>3692</v>
      </c>
      <c r="T902">
        <v>9256</v>
      </c>
      <c r="U902">
        <v>1</v>
      </c>
      <c r="V902" t="s">
        <v>41</v>
      </c>
      <c r="W902" t="s">
        <v>42</v>
      </c>
      <c r="X902">
        <v>12</v>
      </c>
      <c r="Y902">
        <v>3</v>
      </c>
      <c r="Z902">
        <v>3</v>
      </c>
      <c r="AA902">
        <v>80</v>
      </c>
      <c r="AB902">
        <v>0</v>
      </c>
      <c r="AC902">
        <v>12</v>
      </c>
      <c r="AD902">
        <v>2</v>
      </c>
      <c r="AE902">
        <v>2</v>
      </c>
      <c r="AF902">
        <v>11</v>
      </c>
      <c r="AG902">
        <v>10</v>
      </c>
      <c r="AH902">
        <v>0</v>
      </c>
      <c r="AI902">
        <v>7</v>
      </c>
      <c r="AJ902">
        <f t="shared" si="14"/>
        <v>0</v>
      </c>
      <c r="AK902" t="str" cm="1">
        <f t="array" ref="AK902">_xlfn.IFS(A902&lt;=30,"18-30",A902&lt;=45,"31-45",A902&lt;=60,"46-60",TRUE, "60+")</f>
        <v>31-45</v>
      </c>
      <c r="AL902" t="str" cm="1">
        <f t="array" ref="AL902">_xlfn.IFS(F902&lt;=10,"0-10",F902&lt;=20,"11-20",TRUE,"20+")</f>
        <v>0-10</v>
      </c>
      <c r="AM902" t="str" cm="1">
        <f t="array" ref="AM902">_xlfn.IFS(S902&lt;=5000,"0-5k",S902&lt;=10000,"5k-10k",S902&lt;=15000,"10k-15k",TRUE,"15k+")</f>
        <v>0-5k</v>
      </c>
      <c r="AN902" t="str" cm="1">
        <f t="array" ref="AN902">_xlfn.IFS(AF902&lt;=10,"0-10",AF902&lt;=20,"10-20",AF902&lt;=30,"20-30",TRUE,"30+")</f>
        <v>10-20</v>
      </c>
      <c r="AO902" t="str" cm="1">
        <f t="array" ref="AO902">_xlfn.IFS(Y902=1,"Poor",Y902=2,"Average",Y902=3,"Good",TRUE,"Excellent")</f>
        <v>Good</v>
      </c>
      <c r="AP902" t="str" cm="1">
        <f t="array" ref="AP902">_xlfn.IFS(Q902=1,"Low",Q902=2,"Medium",Q902=3,"High",TRUE,"Very High")</f>
        <v>Medium</v>
      </c>
    </row>
    <row r="903" spans="1:42" x14ac:dyDescent="0.25">
      <c r="A903">
        <v>48</v>
      </c>
      <c r="B903" t="s">
        <v>42</v>
      </c>
      <c r="C903" t="s">
        <v>90</v>
      </c>
      <c r="D903">
        <v>969</v>
      </c>
      <c r="E903" t="s">
        <v>43</v>
      </c>
      <c r="F903">
        <v>2</v>
      </c>
      <c r="G903">
        <v>2</v>
      </c>
      <c r="H903" t="s">
        <v>58</v>
      </c>
      <c r="I903">
        <v>1</v>
      </c>
      <c r="J903">
        <v>1258</v>
      </c>
      <c r="K903">
        <v>4</v>
      </c>
      <c r="L903" t="s">
        <v>44</v>
      </c>
      <c r="M903">
        <v>76</v>
      </c>
      <c r="N903">
        <v>4</v>
      </c>
      <c r="O903">
        <v>1</v>
      </c>
      <c r="P903" t="s">
        <v>48</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c r="AJ903">
        <f t="shared" si="14"/>
        <v>0</v>
      </c>
      <c r="AK903" t="str" cm="1">
        <f t="array" ref="AK903">_xlfn.IFS(A903&lt;=30,"18-30",A903&lt;=45,"31-45",A903&lt;=60,"46-60",TRUE, "60+")</f>
        <v>46-60</v>
      </c>
      <c r="AL903" t="str" cm="1">
        <f t="array" ref="AL903">_xlfn.IFS(F903&lt;=10,"0-10",F903&lt;=20,"11-20",TRUE,"20+")</f>
        <v>0-10</v>
      </c>
      <c r="AM903" t="str" cm="1">
        <f t="array" ref="AM903">_xlfn.IFS(S903&lt;=5000,"0-5k",S903&lt;=10000,"5k-10k",S903&lt;=15000,"10k-15k",TRUE,"15k+")</f>
        <v>0-5k</v>
      </c>
      <c r="AN903" t="str" cm="1">
        <f t="array" ref="AN903">_xlfn.IFS(AF903&lt;=10,"0-10",AF903&lt;=20,"10-20",AF903&lt;=30,"20-30",TRUE,"30+")</f>
        <v>0-10</v>
      </c>
      <c r="AO903" t="str" cm="1">
        <f t="array" ref="AO903">_xlfn.IFS(Y903=1,"Poor",Y903=2,"Average",Y903=3,"Good",TRUE,"Excellent")</f>
        <v>Good</v>
      </c>
      <c r="AP903" t="str" cm="1">
        <f t="array" ref="AP903">_xlfn.IFS(Q903=1,"Low",Q903=2,"Medium",Q903=3,"High",TRUE,"Very High")</f>
        <v>Medium</v>
      </c>
    </row>
    <row r="904" spans="1:42" x14ac:dyDescent="0.25">
      <c r="A904">
        <v>27</v>
      </c>
      <c r="B904" t="s">
        <v>42</v>
      </c>
      <c r="C904" t="s">
        <v>90</v>
      </c>
      <c r="D904">
        <v>1167</v>
      </c>
      <c r="E904" t="s">
        <v>43</v>
      </c>
      <c r="F904">
        <v>4</v>
      </c>
      <c r="G904">
        <v>2</v>
      </c>
      <c r="H904" t="s">
        <v>37</v>
      </c>
      <c r="I904">
        <v>1</v>
      </c>
      <c r="J904">
        <v>1259</v>
      </c>
      <c r="K904">
        <v>1</v>
      </c>
      <c r="L904" t="s">
        <v>44</v>
      </c>
      <c r="M904">
        <v>76</v>
      </c>
      <c r="N904">
        <v>3</v>
      </c>
      <c r="O904">
        <v>1</v>
      </c>
      <c r="P904" t="s">
        <v>45</v>
      </c>
      <c r="Q904">
        <v>3</v>
      </c>
      <c r="R904" t="s">
        <v>50</v>
      </c>
      <c r="S904">
        <v>2517</v>
      </c>
      <c r="T904">
        <v>3208</v>
      </c>
      <c r="U904">
        <v>1</v>
      </c>
      <c r="V904" t="s">
        <v>41</v>
      </c>
      <c r="W904" t="s">
        <v>42</v>
      </c>
      <c r="X904">
        <v>11</v>
      </c>
      <c r="Y904">
        <v>3</v>
      </c>
      <c r="Z904">
        <v>2</v>
      </c>
      <c r="AA904">
        <v>80</v>
      </c>
      <c r="AB904">
        <v>3</v>
      </c>
      <c r="AC904">
        <v>5</v>
      </c>
      <c r="AD904">
        <v>2</v>
      </c>
      <c r="AE904">
        <v>3</v>
      </c>
      <c r="AF904">
        <v>5</v>
      </c>
      <c r="AG904">
        <v>3</v>
      </c>
      <c r="AH904">
        <v>0</v>
      </c>
      <c r="AI904">
        <v>3</v>
      </c>
      <c r="AJ904">
        <f t="shared" si="14"/>
        <v>0</v>
      </c>
      <c r="AK904" t="str" cm="1">
        <f t="array" ref="AK904">_xlfn.IFS(A904&lt;=30,"18-30",A904&lt;=45,"31-45",A904&lt;=60,"46-60",TRUE, "60+")</f>
        <v>18-30</v>
      </c>
      <c r="AL904" t="str" cm="1">
        <f t="array" ref="AL904">_xlfn.IFS(F904&lt;=10,"0-10",F904&lt;=20,"11-20",TRUE,"20+")</f>
        <v>0-10</v>
      </c>
      <c r="AM904" t="str" cm="1">
        <f t="array" ref="AM904">_xlfn.IFS(S904&lt;=5000,"0-5k",S904&lt;=10000,"5k-10k",S904&lt;=15000,"10k-15k",TRUE,"15k+")</f>
        <v>0-5k</v>
      </c>
      <c r="AN904" t="str" cm="1">
        <f t="array" ref="AN904">_xlfn.IFS(AF904&lt;=10,"0-10",AF904&lt;=20,"10-20",AF904&lt;=30,"20-30",TRUE,"30+")</f>
        <v>0-10</v>
      </c>
      <c r="AO904" t="str" cm="1">
        <f t="array" ref="AO904">_xlfn.IFS(Y904=1,"Poor",Y904=2,"Average",Y904=3,"Good",TRUE,"Excellent")</f>
        <v>Good</v>
      </c>
      <c r="AP904" t="str" cm="1">
        <f t="array" ref="AP904">_xlfn.IFS(Q904=1,"Low",Q904=2,"Medium",Q904=3,"High",TRUE,"Very High")</f>
        <v>High</v>
      </c>
    </row>
    <row r="905" spans="1:42" x14ac:dyDescent="0.25">
      <c r="A905">
        <v>29</v>
      </c>
      <c r="B905" t="s">
        <v>42</v>
      </c>
      <c r="C905" t="s">
        <v>90</v>
      </c>
      <c r="D905">
        <v>1329</v>
      </c>
      <c r="E905" t="s">
        <v>43</v>
      </c>
      <c r="F905">
        <v>7</v>
      </c>
      <c r="G905">
        <v>3</v>
      </c>
      <c r="H905" t="s">
        <v>37</v>
      </c>
      <c r="I905">
        <v>1</v>
      </c>
      <c r="J905">
        <v>1260</v>
      </c>
      <c r="K905">
        <v>3</v>
      </c>
      <c r="L905" t="s">
        <v>44</v>
      </c>
      <c r="M905">
        <v>82</v>
      </c>
      <c r="N905">
        <v>3</v>
      </c>
      <c r="O905">
        <v>2</v>
      </c>
      <c r="P905" t="s">
        <v>52</v>
      </c>
      <c r="Q905">
        <v>4</v>
      </c>
      <c r="R905" t="s">
        <v>50</v>
      </c>
      <c r="S905">
        <v>6623</v>
      </c>
      <c r="T905">
        <v>4204</v>
      </c>
      <c r="U905">
        <v>1</v>
      </c>
      <c r="V905" t="s">
        <v>41</v>
      </c>
      <c r="W905" t="s">
        <v>35</v>
      </c>
      <c r="X905">
        <v>11</v>
      </c>
      <c r="Y905">
        <v>3</v>
      </c>
      <c r="Z905">
        <v>2</v>
      </c>
      <c r="AA905">
        <v>80</v>
      </c>
      <c r="AB905">
        <v>2</v>
      </c>
      <c r="AC905">
        <v>6</v>
      </c>
      <c r="AD905">
        <v>2</v>
      </c>
      <c r="AE905">
        <v>3</v>
      </c>
      <c r="AF905">
        <v>6</v>
      </c>
      <c r="AG905">
        <v>0</v>
      </c>
      <c r="AH905">
        <v>1</v>
      </c>
      <c r="AI905">
        <v>0</v>
      </c>
      <c r="AJ905">
        <f t="shared" si="14"/>
        <v>0</v>
      </c>
      <c r="AK905" t="str" cm="1">
        <f t="array" ref="AK905">_xlfn.IFS(A905&lt;=30,"18-30",A905&lt;=45,"31-45",A905&lt;=60,"46-60",TRUE, "60+")</f>
        <v>18-30</v>
      </c>
      <c r="AL905" t="str" cm="1">
        <f t="array" ref="AL905">_xlfn.IFS(F905&lt;=10,"0-10",F905&lt;=20,"11-20",TRUE,"20+")</f>
        <v>0-10</v>
      </c>
      <c r="AM905" t="str" cm="1">
        <f t="array" ref="AM905">_xlfn.IFS(S905&lt;=5000,"0-5k",S905&lt;=10000,"5k-10k",S905&lt;=15000,"10k-15k",TRUE,"15k+")</f>
        <v>5k-10k</v>
      </c>
      <c r="AN905" t="str" cm="1">
        <f t="array" ref="AN905">_xlfn.IFS(AF905&lt;=10,"0-10",AF905&lt;=20,"10-20",AF905&lt;=30,"20-30",TRUE,"30+")</f>
        <v>0-10</v>
      </c>
      <c r="AO905" t="str" cm="1">
        <f t="array" ref="AO905">_xlfn.IFS(Y905=1,"Poor",Y905=2,"Average",Y905=3,"Good",TRUE,"Excellent")</f>
        <v>Good</v>
      </c>
      <c r="AP905" t="str" cm="1">
        <f t="array" ref="AP905">_xlfn.IFS(Q905=1,"Low",Q905=2,"Medium",Q905=3,"High",TRUE,"Very High")</f>
        <v>Very High</v>
      </c>
    </row>
    <row r="906" spans="1:42" x14ac:dyDescent="0.25">
      <c r="A906">
        <v>48</v>
      </c>
      <c r="B906" t="s">
        <v>42</v>
      </c>
      <c r="C906" t="s">
        <v>90</v>
      </c>
      <c r="D906">
        <v>715</v>
      </c>
      <c r="E906" t="s">
        <v>43</v>
      </c>
      <c r="F906">
        <v>1</v>
      </c>
      <c r="G906">
        <v>3</v>
      </c>
      <c r="H906" t="s">
        <v>37</v>
      </c>
      <c r="I906">
        <v>1</v>
      </c>
      <c r="J906">
        <v>1263</v>
      </c>
      <c r="K906">
        <v>4</v>
      </c>
      <c r="L906" t="s">
        <v>44</v>
      </c>
      <c r="M906">
        <v>76</v>
      </c>
      <c r="N906">
        <v>2</v>
      </c>
      <c r="O906">
        <v>5</v>
      </c>
      <c r="P906" t="s">
        <v>56</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c r="AJ906">
        <f t="shared" si="14"/>
        <v>0</v>
      </c>
      <c r="AK906" t="str" cm="1">
        <f t="array" ref="AK906">_xlfn.IFS(A906&lt;=30,"18-30",A906&lt;=45,"31-45",A906&lt;=60,"46-60",TRUE, "60+")</f>
        <v>46-60</v>
      </c>
      <c r="AL906" t="str" cm="1">
        <f t="array" ref="AL906">_xlfn.IFS(F906&lt;=10,"0-10",F906&lt;=20,"11-20",TRUE,"20+")</f>
        <v>0-10</v>
      </c>
      <c r="AM906" t="str" cm="1">
        <f t="array" ref="AM906">_xlfn.IFS(S906&lt;=5000,"0-5k",S906&lt;=10000,"5k-10k",S906&lt;=15000,"10k-15k",TRUE,"15k+")</f>
        <v>15k+</v>
      </c>
      <c r="AN906" t="str" cm="1">
        <f t="array" ref="AN906">_xlfn.IFS(AF906&lt;=10,"0-10",AF906&lt;=20,"10-20",AF906&lt;=30,"20-30",TRUE,"30+")</f>
        <v>0-10</v>
      </c>
      <c r="AO906" t="str" cm="1">
        <f t="array" ref="AO906">_xlfn.IFS(Y906=1,"Poor",Y906=2,"Average",Y906=3,"Good",TRUE,"Excellent")</f>
        <v>Good</v>
      </c>
      <c r="AP906" t="str" cm="1">
        <f t="array" ref="AP906">_xlfn.IFS(Q906=1,"Low",Q906=2,"Medium",Q906=3,"High",TRUE,"Very High")</f>
        <v>Very High</v>
      </c>
    </row>
    <row r="907" spans="1:42" x14ac:dyDescent="0.25">
      <c r="A907">
        <v>29</v>
      </c>
      <c r="B907" t="s">
        <v>42</v>
      </c>
      <c r="C907" t="s">
        <v>90</v>
      </c>
      <c r="D907">
        <v>694</v>
      </c>
      <c r="E907" t="s">
        <v>43</v>
      </c>
      <c r="F907">
        <v>1</v>
      </c>
      <c r="G907">
        <v>3</v>
      </c>
      <c r="H907" t="s">
        <v>37</v>
      </c>
      <c r="I907">
        <v>1</v>
      </c>
      <c r="J907">
        <v>1264</v>
      </c>
      <c r="K907">
        <v>4</v>
      </c>
      <c r="L907" t="s">
        <v>38</v>
      </c>
      <c r="M907">
        <v>87</v>
      </c>
      <c r="N907">
        <v>2</v>
      </c>
      <c r="O907">
        <v>4</v>
      </c>
      <c r="P907" t="s">
        <v>56</v>
      </c>
      <c r="Q907">
        <v>4</v>
      </c>
      <c r="R907" t="s">
        <v>50</v>
      </c>
      <c r="S907">
        <v>16124</v>
      </c>
      <c r="T907">
        <v>3423</v>
      </c>
      <c r="U907">
        <v>3</v>
      </c>
      <c r="V907" t="s">
        <v>41</v>
      </c>
      <c r="W907" t="s">
        <v>42</v>
      </c>
      <c r="X907">
        <v>14</v>
      </c>
      <c r="Y907">
        <v>3</v>
      </c>
      <c r="Z907">
        <v>2</v>
      </c>
      <c r="AA907">
        <v>80</v>
      </c>
      <c r="AB907">
        <v>2</v>
      </c>
      <c r="AC907">
        <v>9</v>
      </c>
      <c r="AD907">
        <v>2</v>
      </c>
      <c r="AE907">
        <v>2</v>
      </c>
      <c r="AF907">
        <v>7</v>
      </c>
      <c r="AG907">
        <v>7</v>
      </c>
      <c r="AH907">
        <v>1</v>
      </c>
      <c r="AI907">
        <v>7</v>
      </c>
      <c r="AJ907">
        <f t="shared" si="14"/>
        <v>0</v>
      </c>
      <c r="AK907" t="str" cm="1">
        <f t="array" ref="AK907">_xlfn.IFS(A907&lt;=30,"18-30",A907&lt;=45,"31-45",A907&lt;=60,"46-60",TRUE, "60+")</f>
        <v>18-30</v>
      </c>
      <c r="AL907" t="str" cm="1">
        <f t="array" ref="AL907">_xlfn.IFS(F907&lt;=10,"0-10",F907&lt;=20,"11-20",TRUE,"20+")</f>
        <v>0-10</v>
      </c>
      <c r="AM907" t="str" cm="1">
        <f t="array" ref="AM907">_xlfn.IFS(S907&lt;=5000,"0-5k",S907&lt;=10000,"5k-10k",S907&lt;=15000,"10k-15k",TRUE,"15k+")</f>
        <v>15k+</v>
      </c>
      <c r="AN907" t="str" cm="1">
        <f t="array" ref="AN907">_xlfn.IFS(AF907&lt;=10,"0-10",AF907&lt;=20,"10-20",AF907&lt;=30,"20-30",TRUE,"30+")</f>
        <v>0-10</v>
      </c>
      <c r="AO907" t="str" cm="1">
        <f t="array" ref="AO907">_xlfn.IFS(Y907=1,"Poor",Y907=2,"Average",Y907=3,"Good",TRUE,"Excellent")</f>
        <v>Good</v>
      </c>
      <c r="AP907" t="str" cm="1">
        <f t="array" ref="AP907">_xlfn.IFS(Q907=1,"Low",Q907=2,"Medium",Q907=3,"High",TRUE,"Very High")</f>
        <v>Very High</v>
      </c>
    </row>
    <row r="908" spans="1:42" x14ac:dyDescent="0.25">
      <c r="A908">
        <v>34</v>
      </c>
      <c r="B908" t="s">
        <v>42</v>
      </c>
      <c r="C908" t="s">
        <v>90</v>
      </c>
      <c r="D908">
        <v>1320</v>
      </c>
      <c r="E908" t="s">
        <v>43</v>
      </c>
      <c r="F908">
        <v>20</v>
      </c>
      <c r="G908">
        <v>3</v>
      </c>
      <c r="H908" t="s">
        <v>58</v>
      </c>
      <c r="I908">
        <v>1</v>
      </c>
      <c r="J908">
        <v>1265</v>
      </c>
      <c r="K908">
        <v>3</v>
      </c>
      <c r="L908" t="s">
        <v>38</v>
      </c>
      <c r="M908">
        <v>89</v>
      </c>
      <c r="N908">
        <v>4</v>
      </c>
      <c r="O908">
        <v>1</v>
      </c>
      <c r="P908" t="s">
        <v>45</v>
      </c>
      <c r="Q908">
        <v>3</v>
      </c>
      <c r="R908" t="s">
        <v>46</v>
      </c>
      <c r="S908">
        <v>2585</v>
      </c>
      <c r="T908">
        <v>21643</v>
      </c>
      <c r="U908">
        <v>0</v>
      </c>
      <c r="V908" t="s">
        <v>41</v>
      </c>
      <c r="W908" t="s">
        <v>42</v>
      </c>
      <c r="X908">
        <v>17</v>
      </c>
      <c r="Y908">
        <v>3</v>
      </c>
      <c r="Z908">
        <v>4</v>
      </c>
      <c r="AA908">
        <v>80</v>
      </c>
      <c r="AB908">
        <v>0</v>
      </c>
      <c r="AC908">
        <v>2</v>
      </c>
      <c r="AD908">
        <v>5</v>
      </c>
      <c r="AE908">
        <v>2</v>
      </c>
      <c r="AF908">
        <v>1</v>
      </c>
      <c r="AG908">
        <v>0</v>
      </c>
      <c r="AH908">
        <v>0</v>
      </c>
      <c r="AI908">
        <v>0</v>
      </c>
      <c r="AJ908">
        <f t="shared" si="14"/>
        <v>0</v>
      </c>
      <c r="AK908" t="str" cm="1">
        <f t="array" ref="AK908">_xlfn.IFS(A908&lt;=30,"18-30",A908&lt;=45,"31-45",A908&lt;=60,"46-60",TRUE, "60+")</f>
        <v>31-45</v>
      </c>
      <c r="AL908" t="str" cm="1">
        <f t="array" ref="AL908">_xlfn.IFS(F908&lt;=10,"0-10",F908&lt;=20,"11-20",TRUE,"20+")</f>
        <v>11-20</v>
      </c>
      <c r="AM908" t="str" cm="1">
        <f t="array" ref="AM908">_xlfn.IFS(S908&lt;=5000,"0-5k",S908&lt;=10000,"5k-10k",S908&lt;=15000,"10k-15k",TRUE,"15k+")</f>
        <v>0-5k</v>
      </c>
      <c r="AN908" t="str" cm="1">
        <f t="array" ref="AN908">_xlfn.IFS(AF908&lt;=10,"0-10",AF908&lt;=20,"10-20",AF908&lt;=30,"20-30",TRUE,"30+")</f>
        <v>0-10</v>
      </c>
      <c r="AO908" t="str" cm="1">
        <f t="array" ref="AO908">_xlfn.IFS(Y908=1,"Poor",Y908=2,"Average",Y908=3,"Good",TRUE,"Excellent")</f>
        <v>Good</v>
      </c>
      <c r="AP908" t="str" cm="1">
        <f t="array" ref="AP908">_xlfn.IFS(Q908=1,"Low",Q908=2,"Medium",Q908=3,"High",TRUE,"Very High")</f>
        <v>High</v>
      </c>
    </row>
    <row r="909" spans="1:42" x14ac:dyDescent="0.25">
      <c r="A909">
        <v>44</v>
      </c>
      <c r="B909" t="s">
        <v>42</v>
      </c>
      <c r="C909" t="s">
        <v>90</v>
      </c>
      <c r="D909">
        <v>1099</v>
      </c>
      <c r="E909" t="s">
        <v>36</v>
      </c>
      <c r="F909">
        <v>5</v>
      </c>
      <c r="G909">
        <v>3</v>
      </c>
      <c r="H909" t="s">
        <v>57</v>
      </c>
      <c r="I909">
        <v>1</v>
      </c>
      <c r="J909">
        <v>1267</v>
      </c>
      <c r="K909">
        <v>2</v>
      </c>
      <c r="L909" t="s">
        <v>44</v>
      </c>
      <c r="M909">
        <v>88</v>
      </c>
      <c r="N909">
        <v>3</v>
      </c>
      <c r="O909">
        <v>5</v>
      </c>
      <c r="P909" t="s">
        <v>54</v>
      </c>
      <c r="Q909">
        <v>2</v>
      </c>
      <c r="R909" t="s">
        <v>46</v>
      </c>
      <c r="S909">
        <v>18213</v>
      </c>
      <c r="T909">
        <v>8751</v>
      </c>
      <c r="U909">
        <v>7</v>
      </c>
      <c r="V909" t="s">
        <v>41</v>
      </c>
      <c r="W909" t="s">
        <v>42</v>
      </c>
      <c r="X909">
        <v>11</v>
      </c>
      <c r="Y909">
        <v>3</v>
      </c>
      <c r="Z909">
        <v>3</v>
      </c>
      <c r="AA909">
        <v>80</v>
      </c>
      <c r="AB909">
        <v>1</v>
      </c>
      <c r="AC909">
        <v>26</v>
      </c>
      <c r="AD909">
        <v>5</v>
      </c>
      <c r="AE909">
        <v>3</v>
      </c>
      <c r="AF909">
        <v>22</v>
      </c>
      <c r="AG909">
        <v>9</v>
      </c>
      <c r="AH909">
        <v>3</v>
      </c>
      <c r="AI909">
        <v>10</v>
      </c>
      <c r="AJ909">
        <f t="shared" si="14"/>
        <v>0</v>
      </c>
      <c r="AK909" t="str" cm="1">
        <f t="array" ref="AK909">_xlfn.IFS(A909&lt;=30,"18-30",A909&lt;=45,"31-45",A909&lt;=60,"46-60",TRUE, "60+")</f>
        <v>31-45</v>
      </c>
      <c r="AL909" t="str" cm="1">
        <f t="array" ref="AL909">_xlfn.IFS(F909&lt;=10,"0-10",F909&lt;=20,"11-20",TRUE,"20+")</f>
        <v>0-10</v>
      </c>
      <c r="AM909" t="str" cm="1">
        <f t="array" ref="AM909">_xlfn.IFS(S909&lt;=5000,"0-5k",S909&lt;=10000,"5k-10k",S909&lt;=15000,"10k-15k",TRUE,"15k+")</f>
        <v>15k+</v>
      </c>
      <c r="AN909" t="str" cm="1">
        <f t="array" ref="AN909">_xlfn.IFS(AF909&lt;=10,"0-10",AF909&lt;=20,"10-20",AF909&lt;=30,"20-30",TRUE,"30+")</f>
        <v>20-30</v>
      </c>
      <c r="AO909" t="str" cm="1">
        <f t="array" ref="AO909">_xlfn.IFS(Y909=1,"Poor",Y909=2,"Average",Y909=3,"Good",TRUE,"Excellent")</f>
        <v>Good</v>
      </c>
      <c r="AP909" t="str" cm="1">
        <f t="array" ref="AP909">_xlfn.IFS(Q909=1,"Low",Q909=2,"Medium",Q909=3,"High",TRUE,"Very High")</f>
        <v>Medium</v>
      </c>
    </row>
    <row r="910" spans="1:42" x14ac:dyDescent="0.25">
      <c r="A910">
        <v>33</v>
      </c>
      <c r="B910" t="s">
        <v>42</v>
      </c>
      <c r="C910" t="s">
        <v>90</v>
      </c>
      <c r="D910">
        <v>536</v>
      </c>
      <c r="E910" t="s">
        <v>36</v>
      </c>
      <c r="F910">
        <v>10</v>
      </c>
      <c r="G910">
        <v>5</v>
      </c>
      <c r="H910" t="s">
        <v>57</v>
      </c>
      <c r="I910">
        <v>1</v>
      </c>
      <c r="J910">
        <v>1268</v>
      </c>
      <c r="K910">
        <v>4</v>
      </c>
      <c r="L910" t="s">
        <v>44</v>
      </c>
      <c r="M910">
        <v>82</v>
      </c>
      <c r="N910">
        <v>4</v>
      </c>
      <c r="O910">
        <v>3</v>
      </c>
      <c r="P910" t="s">
        <v>39</v>
      </c>
      <c r="Q910">
        <v>3</v>
      </c>
      <c r="R910" t="s">
        <v>50</v>
      </c>
      <c r="S910">
        <v>8380</v>
      </c>
      <c r="T910">
        <v>21708</v>
      </c>
      <c r="U910">
        <v>0</v>
      </c>
      <c r="V910" t="s">
        <v>41</v>
      </c>
      <c r="W910" t="s">
        <v>35</v>
      </c>
      <c r="X910">
        <v>14</v>
      </c>
      <c r="Y910">
        <v>3</v>
      </c>
      <c r="Z910">
        <v>4</v>
      </c>
      <c r="AA910">
        <v>80</v>
      </c>
      <c r="AB910">
        <v>2</v>
      </c>
      <c r="AC910">
        <v>10</v>
      </c>
      <c r="AD910">
        <v>3</v>
      </c>
      <c r="AE910">
        <v>3</v>
      </c>
      <c r="AF910">
        <v>9</v>
      </c>
      <c r="AG910">
        <v>8</v>
      </c>
      <c r="AH910">
        <v>0</v>
      </c>
      <c r="AI910">
        <v>8</v>
      </c>
      <c r="AJ910">
        <f t="shared" si="14"/>
        <v>0</v>
      </c>
      <c r="AK910" t="str" cm="1">
        <f t="array" ref="AK910">_xlfn.IFS(A910&lt;=30,"18-30",A910&lt;=45,"31-45",A910&lt;=60,"46-60",TRUE, "60+")</f>
        <v>31-45</v>
      </c>
      <c r="AL910" t="str" cm="1">
        <f t="array" ref="AL910">_xlfn.IFS(F910&lt;=10,"0-10",F910&lt;=20,"11-20",TRUE,"20+")</f>
        <v>0-10</v>
      </c>
      <c r="AM910" t="str" cm="1">
        <f t="array" ref="AM910">_xlfn.IFS(S910&lt;=5000,"0-5k",S910&lt;=10000,"5k-10k",S910&lt;=15000,"10k-15k",TRUE,"15k+")</f>
        <v>5k-10k</v>
      </c>
      <c r="AN910" t="str" cm="1">
        <f t="array" ref="AN910">_xlfn.IFS(AF910&lt;=10,"0-10",AF910&lt;=20,"10-20",AF910&lt;=30,"20-30",TRUE,"30+")</f>
        <v>0-10</v>
      </c>
      <c r="AO910" t="str" cm="1">
        <f t="array" ref="AO910">_xlfn.IFS(Y910=1,"Poor",Y910=2,"Average",Y910=3,"Good",TRUE,"Excellent")</f>
        <v>Good</v>
      </c>
      <c r="AP910" t="str" cm="1">
        <f t="array" ref="AP910">_xlfn.IFS(Q910=1,"Low",Q910=2,"Medium",Q910=3,"High",TRUE,"Very High")</f>
        <v>High</v>
      </c>
    </row>
    <row r="911" spans="1:42" x14ac:dyDescent="0.25">
      <c r="A911">
        <v>19</v>
      </c>
      <c r="B911" t="s">
        <v>42</v>
      </c>
      <c r="C911" t="s">
        <v>90</v>
      </c>
      <c r="D911">
        <v>265</v>
      </c>
      <c r="E911" t="s">
        <v>43</v>
      </c>
      <c r="F911">
        <v>25</v>
      </c>
      <c r="G911">
        <v>3</v>
      </c>
      <c r="H911" t="s">
        <v>37</v>
      </c>
      <c r="I911">
        <v>1</v>
      </c>
      <c r="J911">
        <v>1269</v>
      </c>
      <c r="K911">
        <v>2</v>
      </c>
      <c r="L911" t="s">
        <v>38</v>
      </c>
      <c r="M911">
        <v>57</v>
      </c>
      <c r="N911">
        <v>4</v>
      </c>
      <c r="O911">
        <v>1</v>
      </c>
      <c r="P911" t="s">
        <v>45</v>
      </c>
      <c r="Q911">
        <v>4</v>
      </c>
      <c r="R911" t="s">
        <v>40</v>
      </c>
      <c r="S911">
        <v>2994</v>
      </c>
      <c r="T911">
        <v>21221</v>
      </c>
      <c r="U911">
        <v>1</v>
      </c>
      <c r="V911" t="s">
        <v>41</v>
      </c>
      <c r="W911" t="s">
        <v>35</v>
      </c>
      <c r="X911">
        <v>12</v>
      </c>
      <c r="Y911">
        <v>3</v>
      </c>
      <c r="Z911">
        <v>4</v>
      </c>
      <c r="AA911">
        <v>80</v>
      </c>
      <c r="AB911">
        <v>0</v>
      </c>
      <c r="AC911">
        <v>1</v>
      </c>
      <c r="AD911">
        <v>2</v>
      </c>
      <c r="AE911">
        <v>3</v>
      </c>
      <c r="AF911">
        <v>1</v>
      </c>
      <c r="AG911">
        <v>0</v>
      </c>
      <c r="AH911">
        <v>0</v>
      </c>
      <c r="AI911">
        <v>1</v>
      </c>
      <c r="AJ911">
        <f t="shared" si="14"/>
        <v>0</v>
      </c>
      <c r="AK911" t="str" cm="1">
        <f t="array" ref="AK911">_xlfn.IFS(A911&lt;=30,"18-30",A911&lt;=45,"31-45",A911&lt;=60,"46-60",TRUE, "60+")</f>
        <v>18-30</v>
      </c>
      <c r="AL911" t="str" cm="1">
        <f t="array" ref="AL911">_xlfn.IFS(F911&lt;=10,"0-10",F911&lt;=20,"11-20",TRUE,"20+")</f>
        <v>20+</v>
      </c>
      <c r="AM911" t="str" cm="1">
        <f t="array" ref="AM911">_xlfn.IFS(S911&lt;=5000,"0-5k",S911&lt;=10000,"5k-10k",S911&lt;=15000,"10k-15k",TRUE,"15k+")</f>
        <v>0-5k</v>
      </c>
      <c r="AN911" t="str" cm="1">
        <f t="array" ref="AN911">_xlfn.IFS(AF911&lt;=10,"0-10",AF911&lt;=20,"10-20",AF911&lt;=30,"20-30",TRUE,"30+")</f>
        <v>0-10</v>
      </c>
      <c r="AO911" t="str" cm="1">
        <f t="array" ref="AO911">_xlfn.IFS(Y911=1,"Poor",Y911=2,"Average",Y911=3,"Good",TRUE,"Excellent")</f>
        <v>Good</v>
      </c>
      <c r="AP911" t="str" cm="1">
        <f t="array" ref="AP911">_xlfn.IFS(Q911=1,"Low",Q911=2,"Medium",Q911=3,"High",TRUE,"Very High")</f>
        <v>Very High</v>
      </c>
    </row>
    <row r="912" spans="1:42" x14ac:dyDescent="0.25">
      <c r="A912">
        <v>23</v>
      </c>
      <c r="B912" t="s">
        <v>42</v>
      </c>
      <c r="C912" t="s">
        <v>90</v>
      </c>
      <c r="D912">
        <v>373</v>
      </c>
      <c r="E912" t="s">
        <v>43</v>
      </c>
      <c r="F912">
        <v>1</v>
      </c>
      <c r="G912">
        <v>2</v>
      </c>
      <c r="H912" t="s">
        <v>37</v>
      </c>
      <c r="I912">
        <v>1</v>
      </c>
      <c r="J912">
        <v>1270</v>
      </c>
      <c r="K912">
        <v>4</v>
      </c>
      <c r="L912" t="s">
        <v>44</v>
      </c>
      <c r="M912">
        <v>47</v>
      </c>
      <c r="N912">
        <v>3</v>
      </c>
      <c r="O912">
        <v>1</v>
      </c>
      <c r="P912" t="s">
        <v>45</v>
      </c>
      <c r="Q912">
        <v>3</v>
      </c>
      <c r="R912" t="s">
        <v>46</v>
      </c>
      <c r="S912">
        <v>1223</v>
      </c>
      <c r="T912">
        <v>16901</v>
      </c>
      <c r="U912">
        <v>1</v>
      </c>
      <c r="V912" t="s">
        <v>41</v>
      </c>
      <c r="W912" t="s">
        <v>42</v>
      </c>
      <c r="X912">
        <v>22</v>
      </c>
      <c r="Y912">
        <v>4</v>
      </c>
      <c r="Z912">
        <v>4</v>
      </c>
      <c r="AA912">
        <v>80</v>
      </c>
      <c r="AB912">
        <v>1</v>
      </c>
      <c r="AC912">
        <v>1</v>
      </c>
      <c r="AD912">
        <v>2</v>
      </c>
      <c r="AE912">
        <v>3</v>
      </c>
      <c r="AF912">
        <v>1</v>
      </c>
      <c r="AG912">
        <v>0</v>
      </c>
      <c r="AH912">
        <v>0</v>
      </c>
      <c r="AI912">
        <v>1</v>
      </c>
      <c r="AJ912">
        <f t="shared" si="14"/>
        <v>0</v>
      </c>
      <c r="AK912" t="str" cm="1">
        <f t="array" ref="AK912">_xlfn.IFS(A912&lt;=30,"18-30",A912&lt;=45,"31-45",A912&lt;=60,"46-60",TRUE, "60+")</f>
        <v>18-30</v>
      </c>
      <c r="AL912" t="str" cm="1">
        <f t="array" ref="AL912">_xlfn.IFS(F912&lt;=10,"0-10",F912&lt;=20,"11-20",TRUE,"20+")</f>
        <v>0-10</v>
      </c>
      <c r="AM912" t="str" cm="1">
        <f t="array" ref="AM912">_xlfn.IFS(S912&lt;=5000,"0-5k",S912&lt;=10000,"5k-10k",S912&lt;=15000,"10k-15k",TRUE,"15k+")</f>
        <v>0-5k</v>
      </c>
      <c r="AN912" t="str" cm="1">
        <f t="array" ref="AN912">_xlfn.IFS(AF912&lt;=10,"0-10",AF912&lt;=20,"10-20",AF912&lt;=30,"20-30",TRUE,"30+")</f>
        <v>0-10</v>
      </c>
      <c r="AO912" t="str" cm="1">
        <f t="array" ref="AO912">_xlfn.IFS(Y912=1,"Poor",Y912=2,"Average",Y912=3,"Good",TRUE,"Excellent")</f>
        <v>Excellent</v>
      </c>
      <c r="AP912" t="str" cm="1">
        <f t="array" ref="AP912">_xlfn.IFS(Q912=1,"Low",Q912=2,"Medium",Q912=3,"High",TRUE,"Very High")</f>
        <v>High</v>
      </c>
    </row>
    <row r="913" spans="1:42" x14ac:dyDescent="0.25">
      <c r="A913">
        <v>25</v>
      </c>
      <c r="B913" t="s">
        <v>35</v>
      </c>
      <c r="C913" t="s">
        <v>91</v>
      </c>
      <c r="D913">
        <v>599</v>
      </c>
      <c r="E913" t="s">
        <v>36</v>
      </c>
      <c r="F913">
        <v>24</v>
      </c>
      <c r="G913">
        <v>1</v>
      </c>
      <c r="H913" t="s">
        <v>37</v>
      </c>
      <c r="I913">
        <v>1</v>
      </c>
      <c r="J913">
        <v>1273</v>
      </c>
      <c r="K913">
        <v>3</v>
      </c>
      <c r="L913" t="s">
        <v>44</v>
      </c>
      <c r="M913">
        <v>73</v>
      </c>
      <c r="N913">
        <v>1</v>
      </c>
      <c r="O913">
        <v>1</v>
      </c>
      <c r="P913" t="s">
        <v>55</v>
      </c>
      <c r="Q913">
        <v>4</v>
      </c>
      <c r="R913" t="s">
        <v>40</v>
      </c>
      <c r="S913">
        <v>1118</v>
      </c>
      <c r="T913">
        <v>8040</v>
      </c>
      <c r="U913">
        <v>1</v>
      </c>
      <c r="V913" t="s">
        <v>41</v>
      </c>
      <c r="W913" t="s">
        <v>35</v>
      </c>
      <c r="X913">
        <v>14</v>
      </c>
      <c r="Y913">
        <v>3</v>
      </c>
      <c r="Z913">
        <v>4</v>
      </c>
      <c r="AA913">
        <v>80</v>
      </c>
      <c r="AB913">
        <v>0</v>
      </c>
      <c r="AC913">
        <v>1</v>
      </c>
      <c r="AD913">
        <v>4</v>
      </c>
      <c r="AE913">
        <v>3</v>
      </c>
      <c r="AF913">
        <v>1</v>
      </c>
      <c r="AG913">
        <v>0</v>
      </c>
      <c r="AH913">
        <v>1</v>
      </c>
      <c r="AI913">
        <v>0</v>
      </c>
      <c r="AJ913">
        <f t="shared" si="14"/>
        <v>1</v>
      </c>
      <c r="AK913" t="str" cm="1">
        <f t="array" ref="AK913">_xlfn.IFS(A913&lt;=30,"18-30",A913&lt;=45,"31-45",A913&lt;=60,"46-60",TRUE, "60+")</f>
        <v>18-30</v>
      </c>
      <c r="AL913" t="str" cm="1">
        <f t="array" ref="AL913">_xlfn.IFS(F913&lt;=10,"0-10",F913&lt;=20,"11-20",TRUE,"20+")</f>
        <v>20+</v>
      </c>
      <c r="AM913" t="str" cm="1">
        <f t="array" ref="AM913">_xlfn.IFS(S913&lt;=5000,"0-5k",S913&lt;=10000,"5k-10k",S913&lt;=15000,"10k-15k",TRUE,"15k+")</f>
        <v>0-5k</v>
      </c>
      <c r="AN913" t="str" cm="1">
        <f t="array" ref="AN913">_xlfn.IFS(AF913&lt;=10,"0-10",AF913&lt;=20,"10-20",AF913&lt;=30,"20-30",TRUE,"30+")</f>
        <v>0-10</v>
      </c>
      <c r="AO913" t="str" cm="1">
        <f t="array" ref="AO913">_xlfn.IFS(Y913=1,"Poor",Y913=2,"Average",Y913=3,"Good",TRUE,"Excellent")</f>
        <v>Good</v>
      </c>
      <c r="AP913" t="str" cm="1">
        <f t="array" ref="AP913">_xlfn.IFS(Q913=1,"Low",Q913=2,"Medium",Q913=3,"High",TRUE,"Very High")</f>
        <v>Very High</v>
      </c>
    </row>
    <row r="914" spans="1:42" x14ac:dyDescent="0.25">
      <c r="A914">
        <v>26</v>
      </c>
      <c r="B914" t="s">
        <v>42</v>
      </c>
      <c r="C914" t="s">
        <v>90</v>
      </c>
      <c r="D914">
        <v>583</v>
      </c>
      <c r="E914" t="s">
        <v>43</v>
      </c>
      <c r="F914">
        <v>4</v>
      </c>
      <c r="G914">
        <v>2</v>
      </c>
      <c r="H914" t="s">
        <v>37</v>
      </c>
      <c r="I914">
        <v>1</v>
      </c>
      <c r="J914">
        <v>1275</v>
      </c>
      <c r="K914">
        <v>3</v>
      </c>
      <c r="L914" t="s">
        <v>44</v>
      </c>
      <c r="M914">
        <v>53</v>
      </c>
      <c r="N914">
        <v>3</v>
      </c>
      <c r="O914">
        <v>1</v>
      </c>
      <c r="P914" t="s">
        <v>45</v>
      </c>
      <c r="Q914">
        <v>4</v>
      </c>
      <c r="R914" t="s">
        <v>40</v>
      </c>
      <c r="S914">
        <v>2875</v>
      </c>
      <c r="T914">
        <v>9973</v>
      </c>
      <c r="U914">
        <v>1</v>
      </c>
      <c r="V914" t="s">
        <v>41</v>
      </c>
      <c r="W914" t="s">
        <v>35</v>
      </c>
      <c r="X914">
        <v>20</v>
      </c>
      <c r="Y914">
        <v>4</v>
      </c>
      <c r="Z914">
        <v>2</v>
      </c>
      <c r="AA914">
        <v>80</v>
      </c>
      <c r="AB914">
        <v>0</v>
      </c>
      <c r="AC914">
        <v>8</v>
      </c>
      <c r="AD914">
        <v>2</v>
      </c>
      <c r="AE914">
        <v>2</v>
      </c>
      <c r="AF914">
        <v>8</v>
      </c>
      <c r="AG914">
        <v>5</v>
      </c>
      <c r="AH914">
        <v>2</v>
      </c>
      <c r="AI914">
        <v>2</v>
      </c>
      <c r="AJ914">
        <f t="shared" si="14"/>
        <v>0</v>
      </c>
      <c r="AK914" t="str" cm="1">
        <f t="array" ref="AK914">_xlfn.IFS(A914&lt;=30,"18-30",A914&lt;=45,"31-45",A914&lt;=60,"46-60",TRUE, "60+")</f>
        <v>18-30</v>
      </c>
      <c r="AL914" t="str" cm="1">
        <f t="array" ref="AL914">_xlfn.IFS(F914&lt;=10,"0-10",F914&lt;=20,"11-20",TRUE,"20+")</f>
        <v>0-10</v>
      </c>
      <c r="AM914" t="str" cm="1">
        <f t="array" ref="AM914">_xlfn.IFS(S914&lt;=5000,"0-5k",S914&lt;=10000,"5k-10k",S914&lt;=15000,"10k-15k",TRUE,"15k+")</f>
        <v>0-5k</v>
      </c>
      <c r="AN914" t="str" cm="1">
        <f t="array" ref="AN914">_xlfn.IFS(AF914&lt;=10,"0-10",AF914&lt;=20,"10-20",AF914&lt;=30,"20-30",TRUE,"30+")</f>
        <v>0-10</v>
      </c>
      <c r="AO914" t="str" cm="1">
        <f t="array" ref="AO914">_xlfn.IFS(Y914=1,"Poor",Y914=2,"Average",Y914=3,"Good",TRUE,"Excellent")</f>
        <v>Excellent</v>
      </c>
      <c r="AP914" t="str" cm="1">
        <f t="array" ref="AP914">_xlfn.IFS(Q914=1,"Low",Q914=2,"Medium",Q914=3,"High",TRUE,"Very High")</f>
        <v>Very High</v>
      </c>
    </row>
    <row r="915" spans="1:42" x14ac:dyDescent="0.25">
      <c r="A915">
        <v>45</v>
      </c>
      <c r="B915" t="s">
        <v>35</v>
      </c>
      <c r="C915" t="s">
        <v>90</v>
      </c>
      <c r="D915">
        <v>1449</v>
      </c>
      <c r="E915" t="s">
        <v>36</v>
      </c>
      <c r="F915">
        <v>2</v>
      </c>
      <c r="G915">
        <v>3</v>
      </c>
      <c r="H915" t="s">
        <v>57</v>
      </c>
      <c r="I915">
        <v>1</v>
      </c>
      <c r="J915">
        <v>1277</v>
      </c>
      <c r="K915">
        <v>1</v>
      </c>
      <c r="L915" t="s">
        <v>38</v>
      </c>
      <c r="M915">
        <v>94</v>
      </c>
      <c r="N915">
        <v>1</v>
      </c>
      <c r="O915">
        <v>5</v>
      </c>
      <c r="P915" t="s">
        <v>54</v>
      </c>
      <c r="Q915">
        <v>2</v>
      </c>
      <c r="R915" t="s">
        <v>40</v>
      </c>
      <c r="S915">
        <v>18824</v>
      </c>
      <c r="T915">
        <v>2493</v>
      </c>
      <c r="U915">
        <v>2</v>
      </c>
      <c r="V915" t="s">
        <v>41</v>
      </c>
      <c r="W915" t="s">
        <v>35</v>
      </c>
      <c r="X915">
        <v>16</v>
      </c>
      <c r="Y915">
        <v>3</v>
      </c>
      <c r="Z915">
        <v>1</v>
      </c>
      <c r="AA915">
        <v>80</v>
      </c>
      <c r="AB915">
        <v>0</v>
      </c>
      <c r="AC915">
        <v>26</v>
      </c>
      <c r="AD915">
        <v>2</v>
      </c>
      <c r="AE915">
        <v>3</v>
      </c>
      <c r="AF915">
        <v>24</v>
      </c>
      <c r="AG915">
        <v>10</v>
      </c>
      <c r="AH915">
        <v>1</v>
      </c>
      <c r="AI915">
        <v>11</v>
      </c>
      <c r="AJ915">
        <f t="shared" si="14"/>
        <v>1</v>
      </c>
      <c r="AK915" t="str" cm="1">
        <f t="array" ref="AK915">_xlfn.IFS(A915&lt;=30,"18-30",A915&lt;=45,"31-45",A915&lt;=60,"46-60",TRUE, "60+")</f>
        <v>31-45</v>
      </c>
      <c r="AL915" t="str" cm="1">
        <f t="array" ref="AL915">_xlfn.IFS(F915&lt;=10,"0-10",F915&lt;=20,"11-20",TRUE,"20+")</f>
        <v>0-10</v>
      </c>
      <c r="AM915" t="str" cm="1">
        <f t="array" ref="AM915">_xlfn.IFS(S915&lt;=5000,"0-5k",S915&lt;=10000,"5k-10k",S915&lt;=15000,"10k-15k",TRUE,"15k+")</f>
        <v>15k+</v>
      </c>
      <c r="AN915" t="str" cm="1">
        <f t="array" ref="AN915">_xlfn.IFS(AF915&lt;=10,"0-10",AF915&lt;=20,"10-20",AF915&lt;=30,"20-30",TRUE,"30+")</f>
        <v>20-30</v>
      </c>
      <c r="AO915" t="str" cm="1">
        <f t="array" ref="AO915">_xlfn.IFS(Y915=1,"Poor",Y915=2,"Average",Y915=3,"Good",TRUE,"Excellent")</f>
        <v>Good</v>
      </c>
      <c r="AP915" t="str" cm="1">
        <f t="array" ref="AP915">_xlfn.IFS(Q915=1,"Low",Q915=2,"Medium",Q915=3,"High",TRUE,"Very High")</f>
        <v>Medium</v>
      </c>
    </row>
    <row r="916" spans="1:42" x14ac:dyDescent="0.25">
      <c r="A916">
        <v>55</v>
      </c>
      <c r="B916" t="s">
        <v>42</v>
      </c>
      <c r="C916" t="s">
        <v>53</v>
      </c>
      <c r="D916">
        <v>177</v>
      </c>
      <c r="E916" t="s">
        <v>43</v>
      </c>
      <c r="F916">
        <v>8</v>
      </c>
      <c r="G916">
        <v>1</v>
      </c>
      <c r="H916" t="s">
        <v>49</v>
      </c>
      <c r="I916">
        <v>1</v>
      </c>
      <c r="J916">
        <v>1278</v>
      </c>
      <c r="K916">
        <v>4</v>
      </c>
      <c r="L916" t="s">
        <v>44</v>
      </c>
      <c r="M916">
        <v>37</v>
      </c>
      <c r="N916">
        <v>2</v>
      </c>
      <c r="O916">
        <v>4</v>
      </c>
      <c r="P916" t="s">
        <v>52</v>
      </c>
      <c r="Q916">
        <v>2</v>
      </c>
      <c r="R916" t="s">
        <v>50</v>
      </c>
      <c r="S916">
        <v>13577</v>
      </c>
      <c r="T916">
        <v>25592</v>
      </c>
      <c r="U916">
        <v>1</v>
      </c>
      <c r="V916" t="s">
        <v>41</v>
      </c>
      <c r="W916" t="s">
        <v>35</v>
      </c>
      <c r="X916">
        <v>15</v>
      </c>
      <c r="Y916">
        <v>3</v>
      </c>
      <c r="Z916">
        <v>4</v>
      </c>
      <c r="AA916">
        <v>80</v>
      </c>
      <c r="AB916">
        <v>1</v>
      </c>
      <c r="AC916">
        <v>34</v>
      </c>
      <c r="AD916">
        <v>3</v>
      </c>
      <c r="AE916">
        <v>3</v>
      </c>
      <c r="AF916">
        <v>33</v>
      </c>
      <c r="AG916">
        <v>9</v>
      </c>
      <c r="AH916">
        <v>15</v>
      </c>
      <c r="AI916">
        <v>0</v>
      </c>
      <c r="AJ916">
        <f t="shared" si="14"/>
        <v>0</v>
      </c>
      <c r="AK916" t="str" cm="1">
        <f t="array" ref="AK916">_xlfn.IFS(A916&lt;=30,"18-30",A916&lt;=45,"31-45",A916&lt;=60,"46-60",TRUE, "60+")</f>
        <v>46-60</v>
      </c>
      <c r="AL916" t="str" cm="1">
        <f t="array" ref="AL916">_xlfn.IFS(F916&lt;=10,"0-10",F916&lt;=20,"11-20",TRUE,"20+")</f>
        <v>0-10</v>
      </c>
      <c r="AM916" t="str" cm="1">
        <f t="array" ref="AM916">_xlfn.IFS(S916&lt;=5000,"0-5k",S916&lt;=10000,"5k-10k",S916&lt;=15000,"10k-15k",TRUE,"15k+")</f>
        <v>10k-15k</v>
      </c>
      <c r="AN916" t="str" cm="1">
        <f t="array" ref="AN916">_xlfn.IFS(AF916&lt;=10,"0-10",AF916&lt;=20,"10-20",AF916&lt;=30,"20-30",TRUE,"30+")</f>
        <v>30+</v>
      </c>
      <c r="AO916" t="str" cm="1">
        <f t="array" ref="AO916">_xlfn.IFS(Y916=1,"Poor",Y916=2,"Average",Y916=3,"Good",TRUE,"Excellent")</f>
        <v>Good</v>
      </c>
      <c r="AP916" t="str" cm="1">
        <f t="array" ref="AP916">_xlfn.IFS(Q916=1,"Low",Q916=2,"Medium",Q916=3,"High",TRUE,"Very High")</f>
        <v>Medium</v>
      </c>
    </row>
    <row r="917" spans="1:42" x14ac:dyDescent="0.25">
      <c r="A917">
        <v>21</v>
      </c>
      <c r="B917" t="s">
        <v>35</v>
      </c>
      <c r="C917" t="s">
        <v>91</v>
      </c>
      <c r="D917">
        <v>251</v>
      </c>
      <c r="E917" t="s">
        <v>43</v>
      </c>
      <c r="F917">
        <v>10</v>
      </c>
      <c r="G917">
        <v>2</v>
      </c>
      <c r="H917" t="s">
        <v>37</v>
      </c>
      <c r="I917">
        <v>1</v>
      </c>
      <c r="J917">
        <v>1279</v>
      </c>
      <c r="K917">
        <v>1</v>
      </c>
      <c r="L917" t="s">
        <v>38</v>
      </c>
      <c r="M917">
        <v>45</v>
      </c>
      <c r="N917">
        <v>2</v>
      </c>
      <c r="O917">
        <v>1</v>
      </c>
      <c r="P917" t="s">
        <v>48</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c r="AJ917">
        <f t="shared" si="14"/>
        <v>1</v>
      </c>
      <c r="AK917" t="str" cm="1">
        <f t="array" ref="AK917">_xlfn.IFS(A917&lt;=30,"18-30",A917&lt;=45,"31-45",A917&lt;=60,"46-60",TRUE, "60+")</f>
        <v>18-30</v>
      </c>
      <c r="AL917" t="str" cm="1">
        <f t="array" ref="AL917">_xlfn.IFS(F917&lt;=10,"0-10",F917&lt;=20,"11-20",TRUE,"20+")</f>
        <v>0-10</v>
      </c>
      <c r="AM917" t="str" cm="1">
        <f t="array" ref="AM917">_xlfn.IFS(S917&lt;=5000,"0-5k",S917&lt;=10000,"5k-10k",S917&lt;=15000,"10k-15k",TRUE,"15k+")</f>
        <v>0-5k</v>
      </c>
      <c r="AN917" t="str" cm="1">
        <f t="array" ref="AN917">_xlfn.IFS(AF917&lt;=10,"0-10",AF917&lt;=20,"10-20",AF917&lt;=30,"20-30",TRUE,"30+")</f>
        <v>0-10</v>
      </c>
      <c r="AO917" t="str" cm="1">
        <f t="array" ref="AO917">_xlfn.IFS(Y917=1,"Poor",Y917=2,"Average",Y917=3,"Good",TRUE,"Excellent")</f>
        <v>Excellent</v>
      </c>
      <c r="AP917" t="str" cm="1">
        <f t="array" ref="AP917">_xlfn.IFS(Q917=1,"Low",Q917=2,"Medium",Q917=3,"High",TRUE,"Very High")</f>
        <v>High</v>
      </c>
    </row>
    <row r="918" spans="1:42" x14ac:dyDescent="0.25">
      <c r="A918">
        <v>46</v>
      </c>
      <c r="B918" t="s">
        <v>42</v>
      </c>
      <c r="C918" t="s">
        <v>90</v>
      </c>
      <c r="D918">
        <v>168</v>
      </c>
      <c r="E918" t="s">
        <v>36</v>
      </c>
      <c r="F918">
        <v>4</v>
      </c>
      <c r="G918">
        <v>2</v>
      </c>
      <c r="H918" t="s">
        <v>57</v>
      </c>
      <c r="I918">
        <v>1</v>
      </c>
      <c r="J918">
        <v>1280</v>
      </c>
      <c r="K918">
        <v>4</v>
      </c>
      <c r="L918" t="s">
        <v>38</v>
      </c>
      <c r="M918">
        <v>33</v>
      </c>
      <c r="N918">
        <v>2</v>
      </c>
      <c r="O918">
        <v>5</v>
      </c>
      <c r="P918" t="s">
        <v>54</v>
      </c>
      <c r="Q918">
        <v>2</v>
      </c>
      <c r="R918" t="s">
        <v>46</v>
      </c>
      <c r="S918">
        <v>18789</v>
      </c>
      <c r="T918">
        <v>9946</v>
      </c>
      <c r="U918">
        <v>2</v>
      </c>
      <c r="V918" t="s">
        <v>41</v>
      </c>
      <c r="W918" t="s">
        <v>42</v>
      </c>
      <c r="X918">
        <v>14</v>
      </c>
      <c r="Y918">
        <v>3</v>
      </c>
      <c r="Z918">
        <v>3</v>
      </c>
      <c r="AA918">
        <v>80</v>
      </c>
      <c r="AB918">
        <v>1</v>
      </c>
      <c r="AC918">
        <v>26</v>
      </c>
      <c r="AD918">
        <v>2</v>
      </c>
      <c r="AE918">
        <v>3</v>
      </c>
      <c r="AF918">
        <v>11</v>
      </c>
      <c r="AG918">
        <v>4</v>
      </c>
      <c r="AH918">
        <v>0</v>
      </c>
      <c r="AI918">
        <v>8</v>
      </c>
      <c r="AJ918">
        <f t="shared" si="14"/>
        <v>0</v>
      </c>
      <c r="AK918" t="str" cm="1">
        <f t="array" ref="AK918">_xlfn.IFS(A918&lt;=30,"18-30",A918&lt;=45,"31-45",A918&lt;=60,"46-60",TRUE, "60+")</f>
        <v>46-60</v>
      </c>
      <c r="AL918" t="str" cm="1">
        <f t="array" ref="AL918">_xlfn.IFS(F918&lt;=10,"0-10",F918&lt;=20,"11-20",TRUE,"20+")</f>
        <v>0-10</v>
      </c>
      <c r="AM918" t="str" cm="1">
        <f t="array" ref="AM918">_xlfn.IFS(S918&lt;=5000,"0-5k",S918&lt;=10000,"5k-10k",S918&lt;=15000,"10k-15k",TRUE,"15k+")</f>
        <v>15k+</v>
      </c>
      <c r="AN918" t="str" cm="1">
        <f t="array" ref="AN918">_xlfn.IFS(AF918&lt;=10,"0-10",AF918&lt;=20,"10-20",AF918&lt;=30,"20-30",TRUE,"30+")</f>
        <v>10-20</v>
      </c>
      <c r="AO918" t="str" cm="1">
        <f t="array" ref="AO918">_xlfn.IFS(Y918=1,"Poor",Y918=2,"Average",Y918=3,"Good",TRUE,"Excellent")</f>
        <v>Good</v>
      </c>
      <c r="AP918" t="str" cm="1">
        <f t="array" ref="AP918">_xlfn.IFS(Q918=1,"Low",Q918=2,"Medium",Q918=3,"High",TRUE,"Very High")</f>
        <v>Medium</v>
      </c>
    </row>
    <row r="919" spans="1:42" x14ac:dyDescent="0.25">
      <c r="A919">
        <v>34</v>
      </c>
      <c r="B919" t="s">
        <v>42</v>
      </c>
      <c r="C919" t="s">
        <v>90</v>
      </c>
      <c r="D919">
        <v>131</v>
      </c>
      <c r="E919" t="s">
        <v>36</v>
      </c>
      <c r="F919">
        <v>2</v>
      </c>
      <c r="G919">
        <v>3</v>
      </c>
      <c r="H919" t="s">
        <v>57</v>
      </c>
      <c r="I919">
        <v>1</v>
      </c>
      <c r="J919">
        <v>1281</v>
      </c>
      <c r="K919">
        <v>3</v>
      </c>
      <c r="L919" t="s">
        <v>38</v>
      </c>
      <c r="M919">
        <v>86</v>
      </c>
      <c r="N919">
        <v>3</v>
      </c>
      <c r="O919">
        <v>2</v>
      </c>
      <c r="P919" t="s">
        <v>39</v>
      </c>
      <c r="Q919">
        <v>1</v>
      </c>
      <c r="R919" t="s">
        <v>40</v>
      </c>
      <c r="S919">
        <v>4538</v>
      </c>
      <c r="T919">
        <v>6039</v>
      </c>
      <c r="U919">
        <v>0</v>
      </c>
      <c r="V919" t="s">
        <v>41</v>
      </c>
      <c r="W919" t="s">
        <v>35</v>
      </c>
      <c r="X919">
        <v>12</v>
      </c>
      <c r="Y919">
        <v>3</v>
      </c>
      <c r="Z919">
        <v>4</v>
      </c>
      <c r="AA919">
        <v>80</v>
      </c>
      <c r="AB919">
        <v>0</v>
      </c>
      <c r="AC919">
        <v>4</v>
      </c>
      <c r="AD919">
        <v>3</v>
      </c>
      <c r="AE919">
        <v>3</v>
      </c>
      <c r="AF919">
        <v>3</v>
      </c>
      <c r="AG919">
        <v>2</v>
      </c>
      <c r="AH919">
        <v>0</v>
      </c>
      <c r="AI919">
        <v>2</v>
      </c>
      <c r="AJ919">
        <f t="shared" si="14"/>
        <v>0</v>
      </c>
      <c r="AK919" t="str" cm="1">
        <f t="array" ref="AK919">_xlfn.IFS(A919&lt;=30,"18-30",A919&lt;=45,"31-45",A919&lt;=60,"46-60",TRUE, "60+")</f>
        <v>31-45</v>
      </c>
      <c r="AL919" t="str" cm="1">
        <f t="array" ref="AL919">_xlfn.IFS(F919&lt;=10,"0-10",F919&lt;=20,"11-20",TRUE,"20+")</f>
        <v>0-10</v>
      </c>
      <c r="AM919" t="str" cm="1">
        <f t="array" ref="AM919">_xlfn.IFS(S919&lt;=5000,"0-5k",S919&lt;=10000,"5k-10k",S919&lt;=15000,"10k-15k",TRUE,"15k+")</f>
        <v>0-5k</v>
      </c>
      <c r="AN919" t="str" cm="1">
        <f t="array" ref="AN919">_xlfn.IFS(AF919&lt;=10,"0-10",AF919&lt;=20,"10-20",AF919&lt;=30,"20-30",TRUE,"30+")</f>
        <v>0-10</v>
      </c>
      <c r="AO919" t="str" cm="1">
        <f t="array" ref="AO919">_xlfn.IFS(Y919=1,"Poor",Y919=2,"Average",Y919=3,"Good",TRUE,"Excellent")</f>
        <v>Good</v>
      </c>
      <c r="AP919" t="str" cm="1">
        <f t="array" ref="AP919">_xlfn.IFS(Q919=1,"Low",Q919=2,"Medium",Q919=3,"High",TRUE,"Very High")</f>
        <v>Low</v>
      </c>
    </row>
    <row r="920" spans="1:42" x14ac:dyDescent="0.25">
      <c r="A920">
        <v>51</v>
      </c>
      <c r="B920" t="s">
        <v>42</v>
      </c>
      <c r="C920" t="s">
        <v>91</v>
      </c>
      <c r="D920">
        <v>237</v>
      </c>
      <c r="E920" t="s">
        <v>36</v>
      </c>
      <c r="F920">
        <v>9</v>
      </c>
      <c r="G920">
        <v>3</v>
      </c>
      <c r="H920" t="s">
        <v>37</v>
      </c>
      <c r="I920">
        <v>1</v>
      </c>
      <c r="J920">
        <v>1282</v>
      </c>
      <c r="K920">
        <v>4</v>
      </c>
      <c r="L920" t="s">
        <v>44</v>
      </c>
      <c r="M920">
        <v>83</v>
      </c>
      <c r="N920">
        <v>3</v>
      </c>
      <c r="O920">
        <v>5</v>
      </c>
      <c r="P920" t="s">
        <v>54</v>
      </c>
      <c r="Q920">
        <v>2</v>
      </c>
      <c r="R920" t="s">
        <v>50</v>
      </c>
      <c r="S920">
        <v>19847</v>
      </c>
      <c r="T920">
        <v>19196</v>
      </c>
      <c r="U920">
        <v>4</v>
      </c>
      <c r="V920" t="s">
        <v>41</v>
      </c>
      <c r="W920" t="s">
        <v>35</v>
      </c>
      <c r="X920">
        <v>24</v>
      </c>
      <c r="Y920">
        <v>4</v>
      </c>
      <c r="Z920">
        <v>1</v>
      </c>
      <c r="AA920">
        <v>80</v>
      </c>
      <c r="AB920">
        <v>1</v>
      </c>
      <c r="AC920">
        <v>31</v>
      </c>
      <c r="AD920">
        <v>5</v>
      </c>
      <c r="AE920">
        <v>2</v>
      </c>
      <c r="AF920">
        <v>29</v>
      </c>
      <c r="AG920">
        <v>10</v>
      </c>
      <c r="AH920">
        <v>11</v>
      </c>
      <c r="AI920">
        <v>10</v>
      </c>
      <c r="AJ920">
        <f t="shared" si="14"/>
        <v>0</v>
      </c>
      <c r="AK920" t="str" cm="1">
        <f t="array" ref="AK920">_xlfn.IFS(A920&lt;=30,"18-30",A920&lt;=45,"31-45",A920&lt;=60,"46-60",TRUE, "60+")</f>
        <v>46-60</v>
      </c>
      <c r="AL920" t="str" cm="1">
        <f t="array" ref="AL920">_xlfn.IFS(F920&lt;=10,"0-10",F920&lt;=20,"11-20",TRUE,"20+")</f>
        <v>0-10</v>
      </c>
      <c r="AM920" t="str" cm="1">
        <f t="array" ref="AM920">_xlfn.IFS(S920&lt;=5000,"0-5k",S920&lt;=10000,"5k-10k",S920&lt;=15000,"10k-15k",TRUE,"15k+")</f>
        <v>15k+</v>
      </c>
      <c r="AN920" t="str" cm="1">
        <f t="array" ref="AN920">_xlfn.IFS(AF920&lt;=10,"0-10",AF920&lt;=20,"10-20",AF920&lt;=30,"20-30",TRUE,"30+")</f>
        <v>20-30</v>
      </c>
      <c r="AO920" t="str" cm="1">
        <f t="array" ref="AO920">_xlfn.IFS(Y920=1,"Poor",Y920=2,"Average",Y920=3,"Good",TRUE,"Excellent")</f>
        <v>Excellent</v>
      </c>
      <c r="AP920" t="str" cm="1">
        <f t="array" ref="AP920">_xlfn.IFS(Q920=1,"Low",Q920=2,"Medium",Q920=3,"High",TRUE,"Very High")</f>
        <v>Medium</v>
      </c>
    </row>
    <row r="921" spans="1:42" x14ac:dyDescent="0.25">
      <c r="A921">
        <v>59</v>
      </c>
      <c r="B921" t="s">
        <v>42</v>
      </c>
      <c r="C921" t="s">
        <v>90</v>
      </c>
      <c r="D921">
        <v>1429</v>
      </c>
      <c r="E921" t="s">
        <v>43</v>
      </c>
      <c r="F921">
        <v>18</v>
      </c>
      <c r="G921">
        <v>4</v>
      </c>
      <c r="H921" t="s">
        <v>49</v>
      </c>
      <c r="I921">
        <v>1</v>
      </c>
      <c r="J921">
        <v>1283</v>
      </c>
      <c r="K921">
        <v>4</v>
      </c>
      <c r="L921" t="s">
        <v>44</v>
      </c>
      <c r="M921">
        <v>67</v>
      </c>
      <c r="N921">
        <v>3</v>
      </c>
      <c r="O921">
        <v>3</v>
      </c>
      <c r="P921" t="s">
        <v>51</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c r="AJ921">
        <f t="shared" si="14"/>
        <v>0</v>
      </c>
      <c r="AK921" t="str" cm="1">
        <f t="array" ref="AK921">_xlfn.IFS(A921&lt;=30,"18-30",A921&lt;=45,"31-45",A921&lt;=60,"46-60",TRUE, "60+")</f>
        <v>46-60</v>
      </c>
      <c r="AL921" t="str" cm="1">
        <f t="array" ref="AL921">_xlfn.IFS(F921&lt;=10,"0-10",F921&lt;=20,"11-20",TRUE,"20+")</f>
        <v>11-20</v>
      </c>
      <c r="AM921" t="str" cm="1">
        <f t="array" ref="AM921">_xlfn.IFS(S921&lt;=5000,"0-5k",S921&lt;=10000,"5k-10k",S921&lt;=15000,"10k-15k",TRUE,"15k+")</f>
        <v>10k-15k</v>
      </c>
      <c r="AN921" t="str" cm="1">
        <f t="array" ref="AN921">_xlfn.IFS(AF921&lt;=10,"0-10",AF921&lt;=20,"10-20",AF921&lt;=30,"20-30",TRUE,"30+")</f>
        <v>0-10</v>
      </c>
      <c r="AO921" t="str" cm="1">
        <f t="array" ref="AO921">_xlfn.IFS(Y921=1,"Poor",Y921=2,"Average",Y921=3,"Good",TRUE,"Excellent")</f>
        <v>Good</v>
      </c>
      <c r="AP921" t="str" cm="1">
        <f t="array" ref="AP921">_xlfn.IFS(Q921=1,"Low",Q921=2,"Medium",Q921=3,"High",TRUE,"Very High")</f>
        <v>Very High</v>
      </c>
    </row>
    <row r="922" spans="1:42" x14ac:dyDescent="0.25">
      <c r="A922">
        <v>34</v>
      </c>
      <c r="B922" t="s">
        <v>42</v>
      </c>
      <c r="C922" t="s">
        <v>91</v>
      </c>
      <c r="D922">
        <v>135</v>
      </c>
      <c r="E922" t="s">
        <v>43</v>
      </c>
      <c r="F922">
        <v>19</v>
      </c>
      <c r="G922">
        <v>3</v>
      </c>
      <c r="H922" t="s">
        <v>49</v>
      </c>
      <c r="I922">
        <v>1</v>
      </c>
      <c r="J922">
        <v>1285</v>
      </c>
      <c r="K922">
        <v>3</v>
      </c>
      <c r="L922" t="s">
        <v>38</v>
      </c>
      <c r="M922">
        <v>46</v>
      </c>
      <c r="N922">
        <v>3</v>
      </c>
      <c r="O922">
        <v>2</v>
      </c>
      <c r="P922" t="s">
        <v>48</v>
      </c>
      <c r="Q922">
        <v>2</v>
      </c>
      <c r="R922" t="s">
        <v>50</v>
      </c>
      <c r="S922">
        <v>4444</v>
      </c>
      <c r="T922">
        <v>22534</v>
      </c>
      <c r="U922">
        <v>4</v>
      </c>
      <c r="V922" t="s">
        <v>41</v>
      </c>
      <c r="W922" t="s">
        <v>42</v>
      </c>
      <c r="X922">
        <v>13</v>
      </c>
      <c r="Y922">
        <v>3</v>
      </c>
      <c r="Z922">
        <v>3</v>
      </c>
      <c r="AA922">
        <v>80</v>
      </c>
      <c r="AB922">
        <v>2</v>
      </c>
      <c r="AC922">
        <v>15</v>
      </c>
      <c r="AD922">
        <v>2</v>
      </c>
      <c r="AE922">
        <v>4</v>
      </c>
      <c r="AF922">
        <v>11</v>
      </c>
      <c r="AG922">
        <v>8</v>
      </c>
      <c r="AH922">
        <v>5</v>
      </c>
      <c r="AI922">
        <v>10</v>
      </c>
      <c r="AJ922">
        <f t="shared" si="14"/>
        <v>0</v>
      </c>
      <c r="AK922" t="str" cm="1">
        <f t="array" ref="AK922">_xlfn.IFS(A922&lt;=30,"18-30",A922&lt;=45,"31-45",A922&lt;=60,"46-60",TRUE, "60+")</f>
        <v>31-45</v>
      </c>
      <c r="AL922" t="str" cm="1">
        <f t="array" ref="AL922">_xlfn.IFS(F922&lt;=10,"0-10",F922&lt;=20,"11-20",TRUE,"20+")</f>
        <v>11-20</v>
      </c>
      <c r="AM922" t="str" cm="1">
        <f t="array" ref="AM922">_xlfn.IFS(S922&lt;=5000,"0-5k",S922&lt;=10000,"5k-10k",S922&lt;=15000,"10k-15k",TRUE,"15k+")</f>
        <v>0-5k</v>
      </c>
      <c r="AN922" t="str" cm="1">
        <f t="array" ref="AN922">_xlfn.IFS(AF922&lt;=10,"0-10",AF922&lt;=20,"10-20",AF922&lt;=30,"20-30",TRUE,"30+")</f>
        <v>10-20</v>
      </c>
      <c r="AO922" t="str" cm="1">
        <f t="array" ref="AO922">_xlfn.IFS(Y922=1,"Poor",Y922=2,"Average",Y922=3,"Good",TRUE,"Excellent")</f>
        <v>Good</v>
      </c>
      <c r="AP922" t="str" cm="1">
        <f t="array" ref="AP922">_xlfn.IFS(Q922=1,"Low",Q922=2,"Medium",Q922=3,"High",TRUE,"Very High")</f>
        <v>Medium</v>
      </c>
    </row>
    <row r="923" spans="1:42" x14ac:dyDescent="0.25">
      <c r="A923">
        <v>28</v>
      </c>
      <c r="B923" t="s">
        <v>42</v>
      </c>
      <c r="C923" t="s">
        <v>91</v>
      </c>
      <c r="D923">
        <v>791</v>
      </c>
      <c r="E923" t="s">
        <v>43</v>
      </c>
      <c r="F923">
        <v>1</v>
      </c>
      <c r="G923">
        <v>4</v>
      </c>
      <c r="H923" t="s">
        <v>49</v>
      </c>
      <c r="I923">
        <v>1</v>
      </c>
      <c r="J923">
        <v>1286</v>
      </c>
      <c r="K923">
        <v>4</v>
      </c>
      <c r="L923" t="s">
        <v>44</v>
      </c>
      <c r="M923">
        <v>44</v>
      </c>
      <c r="N923">
        <v>3</v>
      </c>
      <c r="O923">
        <v>1</v>
      </c>
      <c r="P923" t="s">
        <v>48</v>
      </c>
      <c r="Q923">
        <v>3</v>
      </c>
      <c r="R923" t="s">
        <v>40</v>
      </c>
      <c r="S923">
        <v>2154</v>
      </c>
      <c r="T923">
        <v>6842</v>
      </c>
      <c r="U923">
        <v>0</v>
      </c>
      <c r="V923" t="s">
        <v>41</v>
      </c>
      <c r="W923" t="s">
        <v>35</v>
      </c>
      <c r="X923">
        <v>11</v>
      </c>
      <c r="Y923">
        <v>3</v>
      </c>
      <c r="Z923">
        <v>3</v>
      </c>
      <c r="AA923">
        <v>80</v>
      </c>
      <c r="AB923">
        <v>0</v>
      </c>
      <c r="AC923">
        <v>5</v>
      </c>
      <c r="AD923">
        <v>2</v>
      </c>
      <c r="AE923">
        <v>2</v>
      </c>
      <c r="AF923">
        <v>4</v>
      </c>
      <c r="AG923">
        <v>2</v>
      </c>
      <c r="AH923">
        <v>0</v>
      </c>
      <c r="AI923">
        <v>2</v>
      </c>
      <c r="AJ923">
        <f t="shared" si="14"/>
        <v>0</v>
      </c>
      <c r="AK923" t="str" cm="1">
        <f t="array" ref="AK923">_xlfn.IFS(A923&lt;=30,"18-30",A923&lt;=45,"31-45",A923&lt;=60,"46-60",TRUE, "60+")</f>
        <v>18-30</v>
      </c>
      <c r="AL923" t="str" cm="1">
        <f t="array" ref="AL923">_xlfn.IFS(F923&lt;=10,"0-10",F923&lt;=20,"11-20",TRUE,"20+")</f>
        <v>0-10</v>
      </c>
      <c r="AM923" t="str" cm="1">
        <f t="array" ref="AM923">_xlfn.IFS(S923&lt;=5000,"0-5k",S923&lt;=10000,"5k-10k",S923&lt;=15000,"10k-15k",TRUE,"15k+")</f>
        <v>0-5k</v>
      </c>
      <c r="AN923" t="str" cm="1">
        <f t="array" ref="AN923">_xlfn.IFS(AF923&lt;=10,"0-10",AF923&lt;=20,"10-20",AF923&lt;=30,"20-30",TRUE,"30+")</f>
        <v>0-10</v>
      </c>
      <c r="AO923" t="str" cm="1">
        <f t="array" ref="AO923">_xlfn.IFS(Y923=1,"Poor",Y923=2,"Average",Y923=3,"Good",TRUE,"Excellent")</f>
        <v>Good</v>
      </c>
      <c r="AP923" t="str" cm="1">
        <f t="array" ref="AP923">_xlfn.IFS(Q923=1,"Low",Q923=2,"Medium",Q923=3,"High",TRUE,"Very High")</f>
        <v>High</v>
      </c>
    </row>
    <row r="924" spans="1:42" x14ac:dyDescent="0.25">
      <c r="A924">
        <v>44</v>
      </c>
      <c r="B924" t="s">
        <v>42</v>
      </c>
      <c r="C924" t="s">
        <v>90</v>
      </c>
      <c r="D924">
        <v>1199</v>
      </c>
      <c r="E924" t="s">
        <v>43</v>
      </c>
      <c r="F924">
        <v>4</v>
      </c>
      <c r="G924">
        <v>2</v>
      </c>
      <c r="H924" t="s">
        <v>37</v>
      </c>
      <c r="I924">
        <v>1</v>
      </c>
      <c r="J924">
        <v>1288</v>
      </c>
      <c r="K924">
        <v>3</v>
      </c>
      <c r="L924" t="s">
        <v>44</v>
      </c>
      <c r="M924">
        <v>92</v>
      </c>
      <c r="N924">
        <v>4</v>
      </c>
      <c r="O924">
        <v>5</v>
      </c>
      <c r="P924" t="s">
        <v>54</v>
      </c>
      <c r="Q924">
        <v>1</v>
      </c>
      <c r="R924" t="s">
        <v>50</v>
      </c>
      <c r="S924">
        <v>19190</v>
      </c>
      <c r="T924">
        <v>17477</v>
      </c>
      <c r="U924">
        <v>1</v>
      </c>
      <c r="V924" t="s">
        <v>41</v>
      </c>
      <c r="W924" t="s">
        <v>42</v>
      </c>
      <c r="X924">
        <v>14</v>
      </c>
      <c r="Y924">
        <v>3</v>
      </c>
      <c r="Z924">
        <v>4</v>
      </c>
      <c r="AA924">
        <v>80</v>
      </c>
      <c r="AB924">
        <v>2</v>
      </c>
      <c r="AC924">
        <v>26</v>
      </c>
      <c r="AD924">
        <v>4</v>
      </c>
      <c r="AE924">
        <v>2</v>
      </c>
      <c r="AF924">
        <v>25</v>
      </c>
      <c r="AG924">
        <v>9</v>
      </c>
      <c r="AH924">
        <v>14</v>
      </c>
      <c r="AI924">
        <v>13</v>
      </c>
      <c r="AJ924">
        <f t="shared" si="14"/>
        <v>0</v>
      </c>
      <c r="AK924" t="str" cm="1">
        <f t="array" ref="AK924">_xlfn.IFS(A924&lt;=30,"18-30",A924&lt;=45,"31-45",A924&lt;=60,"46-60",TRUE, "60+")</f>
        <v>31-45</v>
      </c>
      <c r="AL924" t="str" cm="1">
        <f t="array" ref="AL924">_xlfn.IFS(F924&lt;=10,"0-10",F924&lt;=20,"11-20",TRUE,"20+")</f>
        <v>0-10</v>
      </c>
      <c r="AM924" t="str" cm="1">
        <f t="array" ref="AM924">_xlfn.IFS(S924&lt;=5000,"0-5k",S924&lt;=10000,"5k-10k",S924&lt;=15000,"10k-15k",TRUE,"15k+")</f>
        <v>15k+</v>
      </c>
      <c r="AN924" t="str" cm="1">
        <f t="array" ref="AN924">_xlfn.IFS(AF924&lt;=10,"0-10",AF924&lt;=20,"10-20",AF924&lt;=30,"20-30",TRUE,"30+")</f>
        <v>20-30</v>
      </c>
      <c r="AO924" t="str" cm="1">
        <f t="array" ref="AO924">_xlfn.IFS(Y924=1,"Poor",Y924=2,"Average",Y924=3,"Good",TRUE,"Excellent")</f>
        <v>Good</v>
      </c>
      <c r="AP924" t="str" cm="1">
        <f t="array" ref="AP924">_xlfn.IFS(Q924=1,"Low",Q924=2,"Medium",Q924=3,"High",TRUE,"Very High")</f>
        <v>Low</v>
      </c>
    </row>
    <row r="925" spans="1:42" x14ac:dyDescent="0.25">
      <c r="A925">
        <v>34</v>
      </c>
      <c r="B925" t="s">
        <v>42</v>
      </c>
      <c r="C925" t="s">
        <v>91</v>
      </c>
      <c r="D925">
        <v>648</v>
      </c>
      <c r="E925" t="s">
        <v>59</v>
      </c>
      <c r="F925">
        <v>11</v>
      </c>
      <c r="G925">
        <v>3</v>
      </c>
      <c r="H925" t="s">
        <v>37</v>
      </c>
      <c r="I925">
        <v>1</v>
      </c>
      <c r="J925">
        <v>1289</v>
      </c>
      <c r="K925">
        <v>3</v>
      </c>
      <c r="L925" t="s">
        <v>44</v>
      </c>
      <c r="M925">
        <v>56</v>
      </c>
      <c r="N925">
        <v>2</v>
      </c>
      <c r="O925">
        <v>2</v>
      </c>
      <c r="P925" t="s">
        <v>59</v>
      </c>
      <c r="Q925">
        <v>2</v>
      </c>
      <c r="R925" t="s">
        <v>46</v>
      </c>
      <c r="S925">
        <v>4490</v>
      </c>
      <c r="T925">
        <v>21833</v>
      </c>
      <c r="U925">
        <v>4</v>
      </c>
      <c r="V925" t="s">
        <v>41</v>
      </c>
      <c r="W925" t="s">
        <v>42</v>
      </c>
      <c r="X925">
        <v>11</v>
      </c>
      <c r="Y925">
        <v>3</v>
      </c>
      <c r="Z925">
        <v>4</v>
      </c>
      <c r="AA925">
        <v>80</v>
      </c>
      <c r="AB925">
        <v>2</v>
      </c>
      <c r="AC925">
        <v>14</v>
      </c>
      <c r="AD925">
        <v>5</v>
      </c>
      <c r="AE925">
        <v>4</v>
      </c>
      <c r="AF925">
        <v>10</v>
      </c>
      <c r="AG925">
        <v>9</v>
      </c>
      <c r="AH925">
        <v>1</v>
      </c>
      <c r="AI925">
        <v>8</v>
      </c>
      <c r="AJ925">
        <f t="shared" si="14"/>
        <v>0</v>
      </c>
      <c r="AK925" t="str" cm="1">
        <f t="array" ref="AK925">_xlfn.IFS(A925&lt;=30,"18-30",A925&lt;=45,"31-45",A925&lt;=60,"46-60",TRUE, "60+")</f>
        <v>31-45</v>
      </c>
      <c r="AL925" t="str" cm="1">
        <f t="array" ref="AL925">_xlfn.IFS(F925&lt;=10,"0-10",F925&lt;=20,"11-20",TRUE,"20+")</f>
        <v>11-20</v>
      </c>
      <c r="AM925" t="str" cm="1">
        <f t="array" ref="AM925">_xlfn.IFS(S925&lt;=5000,"0-5k",S925&lt;=10000,"5k-10k",S925&lt;=15000,"10k-15k",TRUE,"15k+")</f>
        <v>0-5k</v>
      </c>
      <c r="AN925" t="str" cm="1">
        <f t="array" ref="AN925">_xlfn.IFS(AF925&lt;=10,"0-10",AF925&lt;=20,"10-20",AF925&lt;=30,"20-30",TRUE,"30+")</f>
        <v>0-10</v>
      </c>
      <c r="AO925" t="str" cm="1">
        <f t="array" ref="AO925">_xlfn.IFS(Y925=1,"Poor",Y925=2,"Average",Y925=3,"Good",TRUE,"Excellent")</f>
        <v>Good</v>
      </c>
      <c r="AP925" t="str" cm="1">
        <f t="array" ref="AP925">_xlfn.IFS(Q925=1,"Low",Q925=2,"Medium",Q925=3,"High",TRUE,"Very High")</f>
        <v>Medium</v>
      </c>
    </row>
    <row r="926" spans="1:42" x14ac:dyDescent="0.25">
      <c r="A926">
        <v>35</v>
      </c>
      <c r="B926" t="s">
        <v>42</v>
      </c>
      <c r="C926" t="s">
        <v>90</v>
      </c>
      <c r="D926">
        <v>735</v>
      </c>
      <c r="E926" t="s">
        <v>43</v>
      </c>
      <c r="F926">
        <v>6</v>
      </c>
      <c r="G926">
        <v>1</v>
      </c>
      <c r="H926" t="s">
        <v>37</v>
      </c>
      <c r="I926">
        <v>1</v>
      </c>
      <c r="J926">
        <v>1291</v>
      </c>
      <c r="K926">
        <v>3</v>
      </c>
      <c r="L926" t="s">
        <v>44</v>
      </c>
      <c r="M926">
        <v>66</v>
      </c>
      <c r="N926">
        <v>3</v>
      </c>
      <c r="O926">
        <v>1</v>
      </c>
      <c r="P926" t="s">
        <v>45</v>
      </c>
      <c r="Q926">
        <v>3</v>
      </c>
      <c r="R926" t="s">
        <v>46</v>
      </c>
      <c r="S926">
        <v>3506</v>
      </c>
      <c r="T926">
        <v>6020</v>
      </c>
      <c r="U926">
        <v>0</v>
      </c>
      <c r="V926" t="s">
        <v>41</v>
      </c>
      <c r="W926" t="s">
        <v>35</v>
      </c>
      <c r="X926">
        <v>14</v>
      </c>
      <c r="Y926">
        <v>3</v>
      </c>
      <c r="Z926">
        <v>4</v>
      </c>
      <c r="AA926">
        <v>80</v>
      </c>
      <c r="AB926">
        <v>0</v>
      </c>
      <c r="AC926">
        <v>4</v>
      </c>
      <c r="AD926">
        <v>3</v>
      </c>
      <c r="AE926">
        <v>3</v>
      </c>
      <c r="AF926">
        <v>3</v>
      </c>
      <c r="AG926">
        <v>2</v>
      </c>
      <c r="AH926">
        <v>2</v>
      </c>
      <c r="AI926">
        <v>2</v>
      </c>
      <c r="AJ926">
        <f t="shared" si="14"/>
        <v>0</v>
      </c>
      <c r="AK926" t="str" cm="1">
        <f t="array" ref="AK926">_xlfn.IFS(A926&lt;=30,"18-30",A926&lt;=45,"31-45",A926&lt;=60,"46-60",TRUE, "60+")</f>
        <v>31-45</v>
      </c>
      <c r="AL926" t="str" cm="1">
        <f t="array" ref="AL926">_xlfn.IFS(F926&lt;=10,"0-10",F926&lt;=20,"11-20",TRUE,"20+")</f>
        <v>0-10</v>
      </c>
      <c r="AM926" t="str" cm="1">
        <f t="array" ref="AM926">_xlfn.IFS(S926&lt;=5000,"0-5k",S926&lt;=10000,"5k-10k",S926&lt;=15000,"10k-15k",TRUE,"15k+")</f>
        <v>0-5k</v>
      </c>
      <c r="AN926" t="str" cm="1">
        <f t="array" ref="AN926">_xlfn.IFS(AF926&lt;=10,"0-10",AF926&lt;=20,"10-20",AF926&lt;=30,"20-30",TRUE,"30+")</f>
        <v>0-10</v>
      </c>
      <c r="AO926" t="str" cm="1">
        <f t="array" ref="AO926">_xlfn.IFS(Y926=1,"Poor",Y926=2,"Average",Y926=3,"Good",TRUE,"Excellent")</f>
        <v>Good</v>
      </c>
      <c r="AP926" t="str" cm="1">
        <f t="array" ref="AP926">_xlfn.IFS(Q926=1,"Low",Q926=2,"Medium",Q926=3,"High",TRUE,"Very High")</f>
        <v>High</v>
      </c>
    </row>
    <row r="927" spans="1:42" x14ac:dyDescent="0.25">
      <c r="A927">
        <v>42</v>
      </c>
      <c r="B927" t="s">
        <v>42</v>
      </c>
      <c r="C927" t="s">
        <v>90</v>
      </c>
      <c r="D927">
        <v>603</v>
      </c>
      <c r="E927" t="s">
        <v>43</v>
      </c>
      <c r="F927">
        <v>7</v>
      </c>
      <c r="G927">
        <v>4</v>
      </c>
      <c r="H927" t="s">
        <v>49</v>
      </c>
      <c r="I927">
        <v>1</v>
      </c>
      <c r="J927">
        <v>1292</v>
      </c>
      <c r="K927">
        <v>2</v>
      </c>
      <c r="L927" t="s">
        <v>38</v>
      </c>
      <c r="M927">
        <v>78</v>
      </c>
      <c r="N927">
        <v>4</v>
      </c>
      <c r="O927">
        <v>2</v>
      </c>
      <c r="P927" t="s">
        <v>45</v>
      </c>
      <c r="Q927">
        <v>2</v>
      </c>
      <c r="R927" t="s">
        <v>46</v>
      </c>
      <c r="S927">
        <v>2372</v>
      </c>
      <c r="T927">
        <v>5628</v>
      </c>
      <c r="U927">
        <v>6</v>
      </c>
      <c r="V927" t="s">
        <v>41</v>
      </c>
      <c r="W927" t="s">
        <v>35</v>
      </c>
      <c r="X927">
        <v>16</v>
      </c>
      <c r="Y927">
        <v>3</v>
      </c>
      <c r="Z927">
        <v>4</v>
      </c>
      <c r="AA927">
        <v>80</v>
      </c>
      <c r="AB927">
        <v>0</v>
      </c>
      <c r="AC927">
        <v>18</v>
      </c>
      <c r="AD927">
        <v>2</v>
      </c>
      <c r="AE927">
        <v>3</v>
      </c>
      <c r="AF927">
        <v>1</v>
      </c>
      <c r="AG927">
        <v>0</v>
      </c>
      <c r="AH927">
        <v>0</v>
      </c>
      <c r="AI927">
        <v>0</v>
      </c>
      <c r="AJ927">
        <f t="shared" si="14"/>
        <v>0</v>
      </c>
      <c r="AK927" t="str" cm="1">
        <f t="array" ref="AK927">_xlfn.IFS(A927&lt;=30,"18-30",A927&lt;=45,"31-45",A927&lt;=60,"46-60",TRUE, "60+")</f>
        <v>31-45</v>
      </c>
      <c r="AL927" t="str" cm="1">
        <f t="array" ref="AL927">_xlfn.IFS(F927&lt;=10,"0-10",F927&lt;=20,"11-20",TRUE,"20+")</f>
        <v>0-10</v>
      </c>
      <c r="AM927" t="str" cm="1">
        <f t="array" ref="AM927">_xlfn.IFS(S927&lt;=5000,"0-5k",S927&lt;=10000,"5k-10k",S927&lt;=15000,"10k-15k",TRUE,"15k+")</f>
        <v>0-5k</v>
      </c>
      <c r="AN927" t="str" cm="1">
        <f t="array" ref="AN927">_xlfn.IFS(AF927&lt;=10,"0-10",AF927&lt;=20,"10-20",AF927&lt;=30,"20-30",TRUE,"30+")</f>
        <v>0-10</v>
      </c>
      <c r="AO927" t="str" cm="1">
        <f t="array" ref="AO927">_xlfn.IFS(Y927=1,"Poor",Y927=2,"Average",Y927=3,"Good",TRUE,"Excellent")</f>
        <v>Good</v>
      </c>
      <c r="AP927" t="str" cm="1">
        <f t="array" ref="AP927">_xlfn.IFS(Q927=1,"Low",Q927=2,"Medium",Q927=3,"High",TRUE,"Very High")</f>
        <v>Medium</v>
      </c>
    </row>
    <row r="928" spans="1:42" x14ac:dyDescent="0.25">
      <c r="A928">
        <v>43</v>
      </c>
      <c r="B928" t="s">
        <v>42</v>
      </c>
      <c r="C928" t="s">
        <v>90</v>
      </c>
      <c r="D928">
        <v>531</v>
      </c>
      <c r="E928" t="s">
        <v>36</v>
      </c>
      <c r="F928">
        <v>4</v>
      </c>
      <c r="G928">
        <v>4</v>
      </c>
      <c r="H928" t="s">
        <v>57</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c r="AJ928">
        <f t="shared" si="14"/>
        <v>0</v>
      </c>
      <c r="AK928" t="str" cm="1">
        <f t="array" ref="AK928">_xlfn.IFS(A928&lt;=30,"18-30",A928&lt;=45,"31-45",A928&lt;=60,"46-60",TRUE, "60+")</f>
        <v>31-45</v>
      </c>
      <c r="AL928" t="str" cm="1">
        <f t="array" ref="AL928">_xlfn.IFS(F928&lt;=10,"0-10",F928&lt;=20,"11-20",TRUE,"20+")</f>
        <v>0-10</v>
      </c>
      <c r="AM928" t="str" cm="1">
        <f t="array" ref="AM928">_xlfn.IFS(S928&lt;=5000,"0-5k",S928&lt;=10000,"5k-10k",S928&lt;=15000,"10k-15k",TRUE,"15k+")</f>
        <v>10k-15k</v>
      </c>
      <c r="AN928" t="str" cm="1">
        <f t="array" ref="AN928">_xlfn.IFS(AF928&lt;=10,"0-10",AF928&lt;=20,"10-20",AF928&lt;=30,"20-30",TRUE,"30+")</f>
        <v>20-30</v>
      </c>
      <c r="AO928" t="str" cm="1">
        <f t="array" ref="AO928">_xlfn.IFS(Y928=1,"Poor",Y928=2,"Average",Y928=3,"Good",TRUE,"Excellent")</f>
        <v>Good</v>
      </c>
      <c r="AP928" t="str" cm="1">
        <f t="array" ref="AP928">_xlfn.IFS(Q928=1,"Low",Q928=2,"Medium",Q928=3,"High",TRUE,"Very High")</f>
        <v>Very High</v>
      </c>
    </row>
    <row r="929" spans="1:42" x14ac:dyDescent="0.25">
      <c r="A929">
        <v>36</v>
      </c>
      <c r="B929" t="s">
        <v>42</v>
      </c>
      <c r="C929" t="s">
        <v>90</v>
      </c>
      <c r="D929">
        <v>429</v>
      </c>
      <c r="E929" t="s">
        <v>43</v>
      </c>
      <c r="F929">
        <v>2</v>
      </c>
      <c r="G929">
        <v>4</v>
      </c>
      <c r="H929" t="s">
        <v>37</v>
      </c>
      <c r="I929">
        <v>1</v>
      </c>
      <c r="J929">
        <v>1294</v>
      </c>
      <c r="K929">
        <v>3</v>
      </c>
      <c r="L929" t="s">
        <v>38</v>
      </c>
      <c r="M929">
        <v>53</v>
      </c>
      <c r="N929">
        <v>3</v>
      </c>
      <c r="O929">
        <v>2</v>
      </c>
      <c r="P929" t="s">
        <v>51</v>
      </c>
      <c r="Q929">
        <v>2</v>
      </c>
      <c r="R929" t="s">
        <v>40</v>
      </c>
      <c r="S929">
        <v>5410</v>
      </c>
      <c r="T929">
        <v>2323</v>
      </c>
      <c r="U929">
        <v>9</v>
      </c>
      <c r="V929" t="s">
        <v>41</v>
      </c>
      <c r="W929" t="s">
        <v>35</v>
      </c>
      <c r="X929">
        <v>11</v>
      </c>
      <c r="Y929">
        <v>3</v>
      </c>
      <c r="Z929">
        <v>4</v>
      </c>
      <c r="AA929">
        <v>80</v>
      </c>
      <c r="AB929">
        <v>0</v>
      </c>
      <c r="AC929">
        <v>18</v>
      </c>
      <c r="AD929">
        <v>2</v>
      </c>
      <c r="AE929">
        <v>3</v>
      </c>
      <c r="AF929">
        <v>16</v>
      </c>
      <c r="AG929">
        <v>14</v>
      </c>
      <c r="AH929">
        <v>5</v>
      </c>
      <c r="AI929">
        <v>12</v>
      </c>
      <c r="AJ929">
        <f t="shared" si="14"/>
        <v>0</v>
      </c>
      <c r="AK929" t="str" cm="1">
        <f t="array" ref="AK929">_xlfn.IFS(A929&lt;=30,"18-30",A929&lt;=45,"31-45",A929&lt;=60,"46-60",TRUE, "60+")</f>
        <v>31-45</v>
      </c>
      <c r="AL929" t="str" cm="1">
        <f t="array" ref="AL929">_xlfn.IFS(F929&lt;=10,"0-10",F929&lt;=20,"11-20",TRUE,"20+")</f>
        <v>0-10</v>
      </c>
      <c r="AM929" t="str" cm="1">
        <f t="array" ref="AM929">_xlfn.IFS(S929&lt;=5000,"0-5k",S929&lt;=10000,"5k-10k",S929&lt;=15000,"10k-15k",TRUE,"15k+")</f>
        <v>5k-10k</v>
      </c>
      <c r="AN929" t="str" cm="1">
        <f t="array" ref="AN929">_xlfn.IFS(AF929&lt;=10,"0-10",AF929&lt;=20,"10-20",AF929&lt;=30,"20-30",TRUE,"30+")</f>
        <v>10-20</v>
      </c>
      <c r="AO929" t="str" cm="1">
        <f t="array" ref="AO929">_xlfn.IFS(Y929=1,"Poor",Y929=2,"Average",Y929=3,"Good",TRUE,"Excellent")</f>
        <v>Good</v>
      </c>
      <c r="AP929" t="str" cm="1">
        <f t="array" ref="AP929">_xlfn.IFS(Q929=1,"Low",Q929=2,"Medium",Q929=3,"High",TRUE,"Very High")</f>
        <v>Medium</v>
      </c>
    </row>
    <row r="930" spans="1:42" x14ac:dyDescent="0.25">
      <c r="A930">
        <v>44</v>
      </c>
      <c r="B930" t="s">
        <v>35</v>
      </c>
      <c r="C930" t="s">
        <v>90</v>
      </c>
      <c r="D930">
        <v>621</v>
      </c>
      <c r="E930" t="s">
        <v>43</v>
      </c>
      <c r="F930">
        <v>15</v>
      </c>
      <c r="G930">
        <v>3</v>
      </c>
      <c r="H930" t="s">
        <v>49</v>
      </c>
      <c r="I930">
        <v>1</v>
      </c>
      <c r="J930">
        <v>1295</v>
      </c>
      <c r="K930">
        <v>1</v>
      </c>
      <c r="L930" t="s">
        <v>38</v>
      </c>
      <c r="M930">
        <v>73</v>
      </c>
      <c r="N930">
        <v>3</v>
      </c>
      <c r="O930">
        <v>3</v>
      </c>
      <c r="P930" t="s">
        <v>52</v>
      </c>
      <c r="Q930">
        <v>4</v>
      </c>
      <c r="R930" t="s">
        <v>46</v>
      </c>
      <c r="S930">
        <v>7978</v>
      </c>
      <c r="T930">
        <v>14075</v>
      </c>
      <c r="U930">
        <v>1</v>
      </c>
      <c r="V930" t="s">
        <v>41</v>
      </c>
      <c r="W930" t="s">
        <v>42</v>
      </c>
      <c r="X930">
        <v>11</v>
      </c>
      <c r="Y930">
        <v>3</v>
      </c>
      <c r="Z930">
        <v>4</v>
      </c>
      <c r="AA930">
        <v>80</v>
      </c>
      <c r="AB930">
        <v>1</v>
      </c>
      <c r="AC930">
        <v>10</v>
      </c>
      <c r="AD930">
        <v>2</v>
      </c>
      <c r="AE930">
        <v>3</v>
      </c>
      <c r="AF930">
        <v>10</v>
      </c>
      <c r="AG930">
        <v>7</v>
      </c>
      <c r="AH930">
        <v>0</v>
      </c>
      <c r="AI930">
        <v>5</v>
      </c>
      <c r="AJ930">
        <f t="shared" si="14"/>
        <v>1</v>
      </c>
      <c r="AK930" t="str" cm="1">
        <f t="array" ref="AK930">_xlfn.IFS(A930&lt;=30,"18-30",A930&lt;=45,"31-45",A930&lt;=60,"46-60",TRUE, "60+")</f>
        <v>31-45</v>
      </c>
      <c r="AL930" t="str" cm="1">
        <f t="array" ref="AL930">_xlfn.IFS(F930&lt;=10,"0-10",F930&lt;=20,"11-20",TRUE,"20+")</f>
        <v>11-20</v>
      </c>
      <c r="AM930" t="str" cm="1">
        <f t="array" ref="AM930">_xlfn.IFS(S930&lt;=5000,"0-5k",S930&lt;=10000,"5k-10k",S930&lt;=15000,"10k-15k",TRUE,"15k+")</f>
        <v>5k-10k</v>
      </c>
      <c r="AN930" t="str" cm="1">
        <f t="array" ref="AN930">_xlfn.IFS(AF930&lt;=10,"0-10",AF930&lt;=20,"10-20",AF930&lt;=30,"20-30",TRUE,"30+")</f>
        <v>0-10</v>
      </c>
      <c r="AO930" t="str" cm="1">
        <f t="array" ref="AO930">_xlfn.IFS(Y930=1,"Poor",Y930=2,"Average",Y930=3,"Good",TRUE,"Excellent")</f>
        <v>Good</v>
      </c>
      <c r="AP930" t="str" cm="1">
        <f t="array" ref="AP930">_xlfn.IFS(Q930=1,"Low",Q930=2,"Medium",Q930=3,"High",TRUE,"Very High")</f>
        <v>Very High</v>
      </c>
    </row>
    <row r="931" spans="1:42" x14ac:dyDescent="0.25">
      <c r="A931">
        <v>28</v>
      </c>
      <c r="B931" t="s">
        <v>42</v>
      </c>
      <c r="C931" t="s">
        <v>91</v>
      </c>
      <c r="D931">
        <v>193</v>
      </c>
      <c r="E931" t="s">
        <v>43</v>
      </c>
      <c r="F931">
        <v>2</v>
      </c>
      <c r="G931">
        <v>3</v>
      </c>
      <c r="H931" t="s">
        <v>37</v>
      </c>
      <c r="I931">
        <v>1</v>
      </c>
      <c r="J931">
        <v>1296</v>
      </c>
      <c r="K931">
        <v>4</v>
      </c>
      <c r="L931" t="s">
        <v>44</v>
      </c>
      <c r="M931">
        <v>52</v>
      </c>
      <c r="N931">
        <v>2</v>
      </c>
      <c r="O931">
        <v>1</v>
      </c>
      <c r="P931" t="s">
        <v>48</v>
      </c>
      <c r="Q931">
        <v>4</v>
      </c>
      <c r="R931" t="s">
        <v>46</v>
      </c>
      <c r="S931">
        <v>3867</v>
      </c>
      <c r="T931">
        <v>14222</v>
      </c>
      <c r="U931">
        <v>1</v>
      </c>
      <c r="V931" t="s">
        <v>41</v>
      </c>
      <c r="W931" t="s">
        <v>35</v>
      </c>
      <c r="X931">
        <v>12</v>
      </c>
      <c r="Y931">
        <v>3</v>
      </c>
      <c r="Z931">
        <v>2</v>
      </c>
      <c r="AA931">
        <v>80</v>
      </c>
      <c r="AB931">
        <v>1</v>
      </c>
      <c r="AC931">
        <v>2</v>
      </c>
      <c r="AD931">
        <v>2</v>
      </c>
      <c r="AE931">
        <v>3</v>
      </c>
      <c r="AF931">
        <v>2</v>
      </c>
      <c r="AG931">
        <v>2</v>
      </c>
      <c r="AH931">
        <v>2</v>
      </c>
      <c r="AI931">
        <v>2</v>
      </c>
      <c r="AJ931">
        <f t="shared" si="14"/>
        <v>0</v>
      </c>
      <c r="AK931" t="str" cm="1">
        <f t="array" ref="AK931">_xlfn.IFS(A931&lt;=30,"18-30",A931&lt;=45,"31-45",A931&lt;=60,"46-60",TRUE, "60+")</f>
        <v>18-30</v>
      </c>
      <c r="AL931" t="str" cm="1">
        <f t="array" ref="AL931">_xlfn.IFS(F931&lt;=10,"0-10",F931&lt;=20,"11-20",TRUE,"20+")</f>
        <v>0-10</v>
      </c>
      <c r="AM931" t="str" cm="1">
        <f t="array" ref="AM931">_xlfn.IFS(S931&lt;=5000,"0-5k",S931&lt;=10000,"5k-10k",S931&lt;=15000,"10k-15k",TRUE,"15k+")</f>
        <v>0-5k</v>
      </c>
      <c r="AN931" t="str" cm="1">
        <f t="array" ref="AN931">_xlfn.IFS(AF931&lt;=10,"0-10",AF931&lt;=20,"10-20",AF931&lt;=30,"20-30",TRUE,"30+")</f>
        <v>0-10</v>
      </c>
      <c r="AO931" t="str" cm="1">
        <f t="array" ref="AO931">_xlfn.IFS(Y931=1,"Poor",Y931=2,"Average",Y931=3,"Good",TRUE,"Excellent")</f>
        <v>Good</v>
      </c>
      <c r="AP931" t="str" cm="1">
        <f t="array" ref="AP931">_xlfn.IFS(Q931=1,"Low",Q931=2,"Medium",Q931=3,"High",TRUE,"Very High")</f>
        <v>Very High</v>
      </c>
    </row>
    <row r="932" spans="1:42" x14ac:dyDescent="0.25">
      <c r="A932">
        <v>51</v>
      </c>
      <c r="B932" t="s">
        <v>42</v>
      </c>
      <c r="C932" t="s">
        <v>91</v>
      </c>
      <c r="D932">
        <v>968</v>
      </c>
      <c r="E932" t="s">
        <v>43</v>
      </c>
      <c r="F932">
        <v>6</v>
      </c>
      <c r="G932">
        <v>2</v>
      </c>
      <c r="H932" t="s">
        <v>49</v>
      </c>
      <c r="I932">
        <v>1</v>
      </c>
      <c r="J932">
        <v>1297</v>
      </c>
      <c r="K932">
        <v>2</v>
      </c>
      <c r="L932" t="s">
        <v>38</v>
      </c>
      <c r="M932">
        <v>40</v>
      </c>
      <c r="N932">
        <v>2</v>
      </c>
      <c r="O932">
        <v>1</v>
      </c>
      <c r="P932" t="s">
        <v>48</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c r="AJ932">
        <f t="shared" si="14"/>
        <v>0</v>
      </c>
      <c r="AK932" t="str" cm="1">
        <f t="array" ref="AK932">_xlfn.IFS(A932&lt;=30,"18-30",A932&lt;=45,"31-45",A932&lt;=60,"46-60",TRUE, "60+")</f>
        <v>46-60</v>
      </c>
      <c r="AL932" t="str" cm="1">
        <f t="array" ref="AL932">_xlfn.IFS(F932&lt;=10,"0-10",F932&lt;=20,"11-20",TRUE,"20+")</f>
        <v>0-10</v>
      </c>
      <c r="AM932" t="str" cm="1">
        <f t="array" ref="AM932">_xlfn.IFS(S932&lt;=5000,"0-5k",S932&lt;=10000,"5k-10k",S932&lt;=15000,"10k-15k",TRUE,"15k+")</f>
        <v>0-5k</v>
      </c>
      <c r="AN932" t="str" cm="1">
        <f t="array" ref="AN932">_xlfn.IFS(AF932&lt;=10,"0-10",AF932&lt;=20,"10-20",AF932&lt;=30,"20-30",TRUE,"30+")</f>
        <v>0-10</v>
      </c>
      <c r="AO932" t="str" cm="1">
        <f t="array" ref="AO932">_xlfn.IFS(Y932=1,"Poor",Y932=2,"Average",Y932=3,"Good",TRUE,"Excellent")</f>
        <v>Good</v>
      </c>
      <c r="AP932" t="str" cm="1">
        <f t="array" ref="AP932">_xlfn.IFS(Q932=1,"Low",Q932=2,"Medium",Q932=3,"High",TRUE,"Very High")</f>
        <v>High</v>
      </c>
    </row>
    <row r="933" spans="1:42" x14ac:dyDescent="0.25">
      <c r="A933">
        <v>30</v>
      </c>
      <c r="B933" t="s">
        <v>42</v>
      </c>
      <c r="C933" t="s">
        <v>53</v>
      </c>
      <c r="D933">
        <v>879</v>
      </c>
      <c r="E933" t="s">
        <v>43</v>
      </c>
      <c r="F933">
        <v>9</v>
      </c>
      <c r="G933">
        <v>2</v>
      </c>
      <c r="H933" t="s">
        <v>49</v>
      </c>
      <c r="I933">
        <v>1</v>
      </c>
      <c r="J933">
        <v>1298</v>
      </c>
      <c r="K933">
        <v>3</v>
      </c>
      <c r="L933" t="s">
        <v>38</v>
      </c>
      <c r="M933">
        <v>72</v>
      </c>
      <c r="N933">
        <v>3</v>
      </c>
      <c r="O933">
        <v>2</v>
      </c>
      <c r="P933" t="s">
        <v>51</v>
      </c>
      <c r="Q933">
        <v>3</v>
      </c>
      <c r="R933" t="s">
        <v>40</v>
      </c>
      <c r="S933">
        <v>4695</v>
      </c>
      <c r="T933">
        <v>12858</v>
      </c>
      <c r="U933">
        <v>7</v>
      </c>
      <c r="V933" t="s">
        <v>41</v>
      </c>
      <c r="W933" t="s">
        <v>35</v>
      </c>
      <c r="X933">
        <v>18</v>
      </c>
      <c r="Y933">
        <v>3</v>
      </c>
      <c r="Z933">
        <v>3</v>
      </c>
      <c r="AA933">
        <v>80</v>
      </c>
      <c r="AB933">
        <v>0</v>
      </c>
      <c r="AC933">
        <v>10</v>
      </c>
      <c r="AD933">
        <v>3</v>
      </c>
      <c r="AE933">
        <v>3</v>
      </c>
      <c r="AF933">
        <v>8</v>
      </c>
      <c r="AG933">
        <v>4</v>
      </c>
      <c r="AH933">
        <v>1</v>
      </c>
      <c r="AI933">
        <v>7</v>
      </c>
      <c r="AJ933">
        <f t="shared" si="14"/>
        <v>0</v>
      </c>
      <c r="AK933" t="str" cm="1">
        <f t="array" ref="AK933">_xlfn.IFS(A933&lt;=30,"18-30",A933&lt;=45,"31-45",A933&lt;=60,"46-60",TRUE, "60+")</f>
        <v>18-30</v>
      </c>
      <c r="AL933" t="str" cm="1">
        <f t="array" ref="AL933">_xlfn.IFS(F933&lt;=10,"0-10",F933&lt;=20,"11-20",TRUE,"20+")</f>
        <v>0-10</v>
      </c>
      <c r="AM933" t="str" cm="1">
        <f t="array" ref="AM933">_xlfn.IFS(S933&lt;=5000,"0-5k",S933&lt;=10000,"5k-10k",S933&lt;=15000,"10k-15k",TRUE,"15k+")</f>
        <v>0-5k</v>
      </c>
      <c r="AN933" t="str" cm="1">
        <f t="array" ref="AN933">_xlfn.IFS(AF933&lt;=10,"0-10",AF933&lt;=20,"10-20",AF933&lt;=30,"20-30",TRUE,"30+")</f>
        <v>0-10</v>
      </c>
      <c r="AO933" t="str" cm="1">
        <f t="array" ref="AO933">_xlfn.IFS(Y933=1,"Poor",Y933=2,"Average",Y933=3,"Good",TRUE,"Excellent")</f>
        <v>Good</v>
      </c>
      <c r="AP933" t="str" cm="1">
        <f t="array" ref="AP933">_xlfn.IFS(Q933=1,"Low",Q933=2,"Medium",Q933=3,"High",TRUE,"Very High")</f>
        <v>High</v>
      </c>
    </row>
    <row r="934" spans="1:42" x14ac:dyDescent="0.25">
      <c r="A934">
        <v>29</v>
      </c>
      <c r="B934" t="s">
        <v>35</v>
      </c>
      <c r="C934" t="s">
        <v>90</v>
      </c>
      <c r="D934">
        <v>806</v>
      </c>
      <c r="E934" t="s">
        <v>43</v>
      </c>
      <c r="F934">
        <v>7</v>
      </c>
      <c r="G934">
        <v>3</v>
      </c>
      <c r="H934" t="s">
        <v>58</v>
      </c>
      <c r="I934">
        <v>1</v>
      </c>
      <c r="J934">
        <v>1299</v>
      </c>
      <c r="K934">
        <v>2</v>
      </c>
      <c r="L934" t="s">
        <v>38</v>
      </c>
      <c r="M934">
        <v>39</v>
      </c>
      <c r="N934">
        <v>3</v>
      </c>
      <c r="O934">
        <v>1</v>
      </c>
      <c r="P934" t="s">
        <v>48</v>
      </c>
      <c r="Q934">
        <v>3</v>
      </c>
      <c r="R934" t="s">
        <v>50</v>
      </c>
      <c r="S934">
        <v>3339</v>
      </c>
      <c r="T934">
        <v>17285</v>
      </c>
      <c r="U934">
        <v>3</v>
      </c>
      <c r="V934" t="s">
        <v>41</v>
      </c>
      <c r="W934" t="s">
        <v>35</v>
      </c>
      <c r="X934">
        <v>13</v>
      </c>
      <c r="Y934">
        <v>3</v>
      </c>
      <c r="Z934">
        <v>1</v>
      </c>
      <c r="AA934">
        <v>80</v>
      </c>
      <c r="AB934">
        <v>2</v>
      </c>
      <c r="AC934">
        <v>10</v>
      </c>
      <c r="AD934">
        <v>2</v>
      </c>
      <c r="AE934">
        <v>3</v>
      </c>
      <c r="AF934">
        <v>7</v>
      </c>
      <c r="AG934">
        <v>7</v>
      </c>
      <c r="AH934">
        <v>7</v>
      </c>
      <c r="AI934">
        <v>7</v>
      </c>
      <c r="AJ934">
        <f t="shared" si="14"/>
        <v>1</v>
      </c>
      <c r="AK934" t="str" cm="1">
        <f t="array" ref="AK934">_xlfn.IFS(A934&lt;=30,"18-30",A934&lt;=45,"31-45",A934&lt;=60,"46-60",TRUE, "60+")</f>
        <v>18-30</v>
      </c>
      <c r="AL934" t="str" cm="1">
        <f t="array" ref="AL934">_xlfn.IFS(F934&lt;=10,"0-10",F934&lt;=20,"11-20",TRUE,"20+")</f>
        <v>0-10</v>
      </c>
      <c r="AM934" t="str" cm="1">
        <f t="array" ref="AM934">_xlfn.IFS(S934&lt;=5000,"0-5k",S934&lt;=10000,"5k-10k",S934&lt;=15000,"10k-15k",TRUE,"15k+")</f>
        <v>0-5k</v>
      </c>
      <c r="AN934" t="str" cm="1">
        <f t="array" ref="AN934">_xlfn.IFS(AF934&lt;=10,"0-10",AF934&lt;=20,"10-20",AF934&lt;=30,"20-30",TRUE,"30+")</f>
        <v>0-10</v>
      </c>
      <c r="AO934" t="str" cm="1">
        <f t="array" ref="AO934">_xlfn.IFS(Y934=1,"Poor",Y934=2,"Average",Y934=3,"Good",TRUE,"Excellent")</f>
        <v>Good</v>
      </c>
      <c r="AP934" t="str" cm="1">
        <f t="array" ref="AP934">_xlfn.IFS(Q934=1,"Low",Q934=2,"Medium",Q934=3,"High",TRUE,"Very High")</f>
        <v>High</v>
      </c>
    </row>
    <row r="935" spans="1:42" x14ac:dyDescent="0.25">
      <c r="A935">
        <v>28</v>
      </c>
      <c r="B935" t="s">
        <v>42</v>
      </c>
      <c r="C935" t="s">
        <v>90</v>
      </c>
      <c r="D935">
        <v>640</v>
      </c>
      <c r="E935" t="s">
        <v>43</v>
      </c>
      <c r="F935">
        <v>1</v>
      </c>
      <c r="G935">
        <v>3</v>
      </c>
      <c r="H935" t="s">
        <v>58</v>
      </c>
      <c r="I935">
        <v>1</v>
      </c>
      <c r="J935">
        <v>1301</v>
      </c>
      <c r="K935">
        <v>4</v>
      </c>
      <c r="L935" t="s">
        <v>44</v>
      </c>
      <c r="M935">
        <v>84</v>
      </c>
      <c r="N935">
        <v>3</v>
      </c>
      <c r="O935">
        <v>1</v>
      </c>
      <c r="P935" t="s">
        <v>45</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c r="AJ935">
        <f t="shared" si="14"/>
        <v>0</v>
      </c>
      <c r="AK935" t="str" cm="1">
        <f t="array" ref="AK935">_xlfn.IFS(A935&lt;=30,"18-30",A935&lt;=45,"31-45",A935&lt;=60,"46-60",TRUE, "60+")</f>
        <v>18-30</v>
      </c>
      <c r="AL935" t="str" cm="1">
        <f t="array" ref="AL935">_xlfn.IFS(F935&lt;=10,"0-10",F935&lt;=20,"11-20",TRUE,"20+")</f>
        <v>0-10</v>
      </c>
      <c r="AM935" t="str" cm="1">
        <f t="array" ref="AM935">_xlfn.IFS(S935&lt;=5000,"0-5k",S935&lt;=10000,"5k-10k",S935&lt;=15000,"10k-15k",TRUE,"15k+")</f>
        <v>0-5k</v>
      </c>
      <c r="AN935" t="str" cm="1">
        <f t="array" ref="AN935">_xlfn.IFS(AF935&lt;=10,"0-10",AF935&lt;=20,"10-20",AF935&lt;=30,"20-30",TRUE,"30+")</f>
        <v>0-10</v>
      </c>
      <c r="AO935" t="str" cm="1">
        <f t="array" ref="AO935">_xlfn.IFS(Y935=1,"Poor",Y935=2,"Average",Y935=3,"Good",TRUE,"Excellent")</f>
        <v>Good</v>
      </c>
      <c r="AP935" t="str" cm="1">
        <f t="array" ref="AP935">_xlfn.IFS(Q935=1,"Low",Q935=2,"Medium",Q935=3,"High",TRUE,"Very High")</f>
        <v>Low</v>
      </c>
    </row>
    <row r="936" spans="1:42" x14ac:dyDescent="0.25">
      <c r="A936">
        <v>25</v>
      </c>
      <c r="B936" t="s">
        <v>42</v>
      </c>
      <c r="C936" t="s">
        <v>90</v>
      </c>
      <c r="D936">
        <v>266</v>
      </c>
      <c r="E936" t="s">
        <v>43</v>
      </c>
      <c r="F936">
        <v>1</v>
      </c>
      <c r="G936">
        <v>3</v>
      </c>
      <c r="H936" t="s">
        <v>49</v>
      </c>
      <c r="I936">
        <v>1</v>
      </c>
      <c r="J936">
        <v>1303</v>
      </c>
      <c r="K936">
        <v>4</v>
      </c>
      <c r="L936" t="s">
        <v>38</v>
      </c>
      <c r="M936">
        <v>40</v>
      </c>
      <c r="N936">
        <v>3</v>
      </c>
      <c r="O936">
        <v>1</v>
      </c>
      <c r="P936" t="s">
        <v>45</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c r="AJ936">
        <f t="shared" si="14"/>
        <v>0</v>
      </c>
      <c r="AK936" t="str" cm="1">
        <f t="array" ref="AK936">_xlfn.IFS(A936&lt;=30,"18-30",A936&lt;=45,"31-45",A936&lt;=60,"46-60",TRUE, "60+")</f>
        <v>18-30</v>
      </c>
      <c r="AL936" t="str" cm="1">
        <f t="array" ref="AL936">_xlfn.IFS(F936&lt;=10,"0-10",F936&lt;=20,"11-20",TRUE,"20+")</f>
        <v>0-10</v>
      </c>
      <c r="AM936" t="str" cm="1">
        <f t="array" ref="AM936">_xlfn.IFS(S936&lt;=5000,"0-5k",S936&lt;=10000,"5k-10k",S936&lt;=15000,"10k-15k",TRUE,"15k+")</f>
        <v>0-5k</v>
      </c>
      <c r="AN936" t="str" cm="1">
        <f t="array" ref="AN936">_xlfn.IFS(AF936&lt;=10,"0-10",AF936&lt;=20,"10-20",AF936&lt;=30,"20-30",TRUE,"30+")</f>
        <v>0-10</v>
      </c>
      <c r="AO936" t="str" cm="1">
        <f t="array" ref="AO936">_xlfn.IFS(Y936=1,"Poor",Y936=2,"Average",Y936=3,"Good",TRUE,"Excellent")</f>
        <v>Good</v>
      </c>
      <c r="AP936" t="str" cm="1">
        <f t="array" ref="AP936">_xlfn.IFS(Q936=1,"Low",Q936=2,"Medium",Q936=3,"High",TRUE,"Very High")</f>
        <v>Medium</v>
      </c>
    </row>
    <row r="937" spans="1:42" x14ac:dyDescent="0.25">
      <c r="A937">
        <v>32</v>
      </c>
      <c r="B937" t="s">
        <v>42</v>
      </c>
      <c r="C937" t="s">
        <v>90</v>
      </c>
      <c r="D937">
        <v>604</v>
      </c>
      <c r="E937" t="s">
        <v>36</v>
      </c>
      <c r="F937">
        <v>8</v>
      </c>
      <c r="G937">
        <v>3</v>
      </c>
      <c r="H937" t="s">
        <v>49</v>
      </c>
      <c r="I937">
        <v>1</v>
      </c>
      <c r="J937">
        <v>1304</v>
      </c>
      <c r="K937">
        <v>3</v>
      </c>
      <c r="L937" t="s">
        <v>44</v>
      </c>
      <c r="M937">
        <v>56</v>
      </c>
      <c r="N937">
        <v>4</v>
      </c>
      <c r="O937">
        <v>2</v>
      </c>
      <c r="P937" t="s">
        <v>39</v>
      </c>
      <c r="Q937">
        <v>4</v>
      </c>
      <c r="R937" t="s">
        <v>46</v>
      </c>
      <c r="S937">
        <v>6209</v>
      </c>
      <c r="T937">
        <v>11693</v>
      </c>
      <c r="U937">
        <v>1</v>
      </c>
      <c r="V937" t="s">
        <v>41</v>
      </c>
      <c r="W937" t="s">
        <v>42</v>
      </c>
      <c r="X937">
        <v>15</v>
      </c>
      <c r="Y937">
        <v>3</v>
      </c>
      <c r="Z937">
        <v>3</v>
      </c>
      <c r="AA937">
        <v>80</v>
      </c>
      <c r="AB937">
        <v>2</v>
      </c>
      <c r="AC937">
        <v>10</v>
      </c>
      <c r="AD937">
        <v>4</v>
      </c>
      <c r="AE937">
        <v>4</v>
      </c>
      <c r="AF937">
        <v>10</v>
      </c>
      <c r="AG937">
        <v>7</v>
      </c>
      <c r="AH937">
        <v>0</v>
      </c>
      <c r="AI937">
        <v>8</v>
      </c>
      <c r="AJ937">
        <f t="shared" si="14"/>
        <v>0</v>
      </c>
      <c r="AK937" t="str" cm="1">
        <f t="array" ref="AK937">_xlfn.IFS(A937&lt;=30,"18-30",A937&lt;=45,"31-45",A937&lt;=60,"46-60",TRUE, "60+")</f>
        <v>31-45</v>
      </c>
      <c r="AL937" t="str" cm="1">
        <f t="array" ref="AL937">_xlfn.IFS(F937&lt;=10,"0-10",F937&lt;=20,"11-20",TRUE,"20+")</f>
        <v>0-10</v>
      </c>
      <c r="AM937" t="str" cm="1">
        <f t="array" ref="AM937">_xlfn.IFS(S937&lt;=5000,"0-5k",S937&lt;=10000,"5k-10k",S937&lt;=15000,"10k-15k",TRUE,"15k+")</f>
        <v>5k-10k</v>
      </c>
      <c r="AN937" t="str" cm="1">
        <f t="array" ref="AN937">_xlfn.IFS(AF937&lt;=10,"0-10",AF937&lt;=20,"10-20",AF937&lt;=30,"20-30",TRUE,"30+")</f>
        <v>0-10</v>
      </c>
      <c r="AO937" t="str" cm="1">
        <f t="array" ref="AO937">_xlfn.IFS(Y937=1,"Poor",Y937=2,"Average",Y937=3,"Good",TRUE,"Excellent")</f>
        <v>Good</v>
      </c>
      <c r="AP937" t="str" cm="1">
        <f t="array" ref="AP937">_xlfn.IFS(Q937=1,"Low",Q937=2,"Medium",Q937=3,"High",TRUE,"Very High")</f>
        <v>Very High</v>
      </c>
    </row>
    <row r="938" spans="1:42" x14ac:dyDescent="0.25">
      <c r="A938">
        <v>45</v>
      </c>
      <c r="B938" t="s">
        <v>42</v>
      </c>
      <c r="C938" t="s">
        <v>91</v>
      </c>
      <c r="D938">
        <v>364</v>
      </c>
      <c r="E938" t="s">
        <v>43</v>
      </c>
      <c r="F938">
        <v>25</v>
      </c>
      <c r="G938">
        <v>3</v>
      </c>
      <c r="H938" t="s">
        <v>49</v>
      </c>
      <c r="I938">
        <v>1</v>
      </c>
      <c r="J938">
        <v>1306</v>
      </c>
      <c r="K938">
        <v>2</v>
      </c>
      <c r="L938" t="s">
        <v>38</v>
      </c>
      <c r="M938">
        <v>83</v>
      </c>
      <c r="N938">
        <v>3</v>
      </c>
      <c r="O938">
        <v>5</v>
      </c>
      <c r="P938" t="s">
        <v>54</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c r="AJ938">
        <f t="shared" si="14"/>
        <v>0</v>
      </c>
      <c r="AK938" t="str" cm="1">
        <f t="array" ref="AK938">_xlfn.IFS(A938&lt;=30,"18-30",A938&lt;=45,"31-45",A938&lt;=60,"46-60",TRUE, "60+")</f>
        <v>31-45</v>
      </c>
      <c r="AL938" t="str" cm="1">
        <f t="array" ref="AL938">_xlfn.IFS(F938&lt;=10,"0-10",F938&lt;=20,"11-20",TRUE,"20+")</f>
        <v>20+</v>
      </c>
      <c r="AM938" t="str" cm="1">
        <f t="array" ref="AM938">_xlfn.IFS(S938&lt;=5000,"0-5k",S938&lt;=10000,"5k-10k",S938&lt;=15000,"10k-15k",TRUE,"15k+")</f>
        <v>15k+</v>
      </c>
      <c r="AN938" t="str" cm="1">
        <f t="array" ref="AN938">_xlfn.IFS(AF938&lt;=10,"0-10",AF938&lt;=20,"10-20",AF938&lt;=30,"20-30",TRUE,"30+")</f>
        <v>0-10</v>
      </c>
      <c r="AO938" t="str" cm="1">
        <f t="array" ref="AO938">_xlfn.IFS(Y938=1,"Poor",Y938=2,"Average",Y938=3,"Good",TRUE,"Excellent")</f>
        <v>Excellent</v>
      </c>
      <c r="AP938" t="str" cm="1">
        <f t="array" ref="AP938">_xlfn.IFS(Q938=1,"Low",Q938=2,"Medium",Q938=3,"High",TRUE,"Very High")</f>
        <v>Medium</v>
      </c>
    </row>
    <row r="939" spans="1:42" x14ac:dyDescent="0.25">
      <c r="A939">
        <v>39</v>
      </c>
      <c r="B939" t="s">
        <v>42</v>
      </c>
      <c r="C939" t="s">
        <v>90</v>
      </c>
      <c r="D939">
        <v>412</v>
      </c>
      <c r="E939" t="s">
        <v>43</v>
      </c>
      <c r="F939">
        <v>13</v>
      </c>
      <c r="G939">
        <v>4</v>
      </c>
      <c r="H939" t="s">
        <v>49</v>
      </c>
      <c r="I939">
        <v>1</v>
      </c>
      <c r="J939">
        <v>1307</v>
      </c>
      <c r="K939">
        <v>3</v>
      </c>
      <c r="L939" t="s">
        <v>38</v>
      </c>
      <c r="M939">
        <v>94</v>
      </c>
      <c r="N939">
        <v>2</v>
      </c>
      <c r="O939">
        <v>4</v>
      </c>
      <c r="P939" t="s">
        <v>54</v>
      </c>
      <c r="Q939">
        <v>2</v>
      </c>
      <c r="R939" t="s">
        <v>50</v>
      </c>
      <c r="S939">
        <v>17123</v>
      </c>
      <c r="T939">
        <v>17334</v>
      </c>
      <c r="U939">
        <v>6</v>
      </c>
      <c r="V939" t="s">
        <v>41</v>
      </c>
      <c r="W939" t="s">
        <v>35</v>
      </c>
      <c r="X939">
        <v>13</v>
      </c>
      <c r="Y939">
        <v>3</v>
      </c>
      <c r="Z939">
        <v>4</v>
      </c>
      <c r="AA939">
        <v>80</v>
      </c>
      <c r="AB939">
        <v>2</v>
      </c>
      <c r="AC939">
        <v>21</v>
      </c>
      <c r="AD939">
        <v>4</v>
      </c>
      <c r="AE939">
        <v>3</v>
      </c>
      <c r="AF939">
        <v>19</v>
      </c>
      <c r="AG939">
        <v>9</v>
      </c>
      <c r="AH939">
        <v>15</v>
      </c>
      <c r="AI939">
        <v>2</v>
      </c>
      <c r="AJ939">
        <f t="shared" si="14"/>
        <v>0</v>
      </c>
      <c r="AK939" t="str" cm="1">
        <f t="array" ref="AK939">_xlfn.IFS(A939&lt;=30,"18-30",A939&lt;=45,"31-45",A939&lt;=60,"46-60",TRUE, "60+")</f>
        <v>31-45</v>
      </c>
      <c r="AL939" t="str" cm="1">
        <f t="array" ref="AL939">_xlfn.IFS(F939&lt;=10,"0-10",F939&lt;=20,"11-20",TRUE,"20+")</f>
        <v>11-20</v>
      </c>
      <c r="AM939" t="str" cm="1">
        <f t="array" ref="AM939">_xlfn.IFS(S939&lt;=5000,"0-5k",S939&lt;=10000,"5k-10k",S939&lt;=15000,"10k-15k",TRUE,"15k+")</f>
        <v>15k+</v>
      </c>
      <c r="AN939" t="str" cm="1">
        <f t="array" ref="AN939">_xlfn.IFS(AF939&lt;=10,"0-10",AF939&lt;=20,"10-20",AF939&lt;=30,"20-30",TRUE,"30+")</f>
        <v>10-20</v>
      </c>
      <c r="AO939" t="str" cm="1">
        <f t="array" ref="AO939">_xlfn.IFS(Y939=1,"Poor",Y939=2,"Average",Y939=3,"Good",TRUE,"Excellent")</f>
        <v>Good</v>
      </c>
      <c r="AP939" t="str" cm="1">
        <f t="array" ref="AP939">_xlfn.IFS(Q939=1,"Low",Q939=2,"Medium",Q939=3,"High",TRUE,"Very High")</f>
        <v>Medium</v>
      </c>
    </row>
    <row r="940" spans="1:42" x14ac:dyDescent="0.25">
      <c r="A940">
        <v>58</v>
      </c>
      <c r="B940" t="s">
        <v>42</v>
      </c>
      <c r="C940" t="s">
        <v>90</v>
      </c>
      <c r="D940">
        <v>848</v>
      </c>
      <c r="E940" t="s">
        <v>43</v>
      </c>
      <c r="F940">
        <v>23</v>
      </c>
      <c r="G940">
        <v>4</v>
      </c>
      <c r="H940" t="s">
        <v>37</v>
      </c>
      <c r="I940">
        <v>1</v>
      </c>
      <c r="J940">
        <v>1308</v>
      </c>
      <c r="K940">
        <v>1</v>
      </c>
      <c r="L940" t="s">
        <v>44</v>
      </c>
      <c r="M940">
        <v>88</v>
      </c>
      <c r="N940">
        <v>3</v>
      </c>
      <c r="O940">
        <v>1</v>
      </c>
      <c r="P940" t="s">
        <v>45</v>
      </c>
      <c r="Q940">
        <v>3</v>
      </c>
      <c r="R940" t="s">
        <v>50</v>
      </c>
      <c r="S940">
        <v>2372</v>
      </c>
      <c r="T940">
        <v>26076</v>
      </c>
      <c r="U940">
        <v>1</v>
      </c>
      <c r="V940" t="s">
        <v>41</v>
      </c>
      <c r="W940" t="s">
        <v>42</v>
      </c>
      <c r="X940">
        <v>12</v>
      </c>
      <c r="Y940">
        <v>3</v>
      </c>
      <c r="Z940">
        <v>4</v>
      </c>
      <c r="AA940">
        <v>80</v>
      </c>
      <c r="AB940">
        <v>2</v>
      </c>
      <c r="AC940">
        <v>2</v>
      </c>
      <c r="AD940">
        <v>3</v>
      </c>
      <c r="AE940">
        <v>3</v>
      </c>
      <c r="AF940">
        <v>2</v>
      </c>
      <c r="AG940">
        <v>2</v>
      </c>
      <c r="AH940">
        <v>2</v>
      </c>
      <c r="AI940">
        <v>2</v>
      </c>
      <c r="AJ940">
        <f t="shared" si="14"/>
        <v>0</v>
      </c>
      <c r="AK940" t="str" cm="1">
        <f t="array" ref="AK940">_xlfn.IFS(A940&lt;=30,"18-30",A940&lt;=45,"31-45",A940&lt;=60,"46-60",TRUE, "60+")</f>
        <v>46-60</v>
      </c>
      <c r="AL940" t="str" cm="1">
        <f t="array" ref="AL940">_xlfn.IFS(F940&lt;=10,"0-10",F940&lt;=20,"11-20",TRUE,"20+")</f>
        <v>20+</v>
      </c>
      <c r="AM940" t="str" cm="1">
        <f t="array" ref="AM940">_xlfn.IFS(S940&lt;=5000,"0-5k",S940&lt;=10000,"5k-10k",S940&lt;=15000,"10k-15k",TRUE,"15k+")</f>
        <v>0-5k</v>
      </c>
      <c r="AN940" t="str" cm="1">
        <f t="array" ref="AN940">_xlfn.IFS(AF940&lt;=10,"0-10",AF940&lt;=20,"10-20",AF940&lt;=30,"20-30",TRUE,"30+")</f>
        <v>0-10</v>
      </c>
      <c r="AO940" t="str" cm="1">
        <f t="array" ref="AO940">_xlfn.IFS(Y940=1,"Poor",Y940=2,"Average",Y940=3,"Good",TRUE,"Excellent")</f>
        <v>Good</v>
      </c>
      <c r="AP940" t="str" cm="1">
        <f t="array" ref="AP940">_xlfn.IFS(Q940=1,"Low",Q940=2,"Medium",Q940=3,"High",TRUE,"Very High")</f>
        <v>High</v>
      </c>
    </row>
    <row r="941" spans="1:42" x14ac:dyDescent="0.25">
      <c r="A941">
        <v>32</v>
      </c>
      <c r="B941" t="s">
        <v>35</v>
      </c>
      <c r="C941" t="s">
        <v>90</v>
      </c>
      <c r="D941">
        <v>1089</v>
      </c>
      <c r="E941" t="s">
        <v>43</v>
      </c>
      <c r="F941">
        <v>7</v>
      </c>
      <c r="G941">
        <v>2</v>
      </c>
      <c r="H941" t="s">
        <v>37</v>
      </c>
      <c r="I941">
        <v>1</v>
      </c>
      <c r="J941">
        <v>1309</v>
      </c>
      <c r="K941">
        <v>4</v>
      </c>
      <c r="L941" t="s">
        <v>44</v>
      </c>
      <c r="M941">
        <v>79</v>
      </c>
      <c r="N941">
        <v>3</v>
      </c>
      <c r="O941">
        <v>2</v>
      </c>
      <c r="P941" t="s">
        <v>48</v>
      </c>
      <c r="Q941">
        <v>3</v>
      </c>
      <c r="R941" t="s">
        <v>46</v>
      </c>
      <c r="S941">
        <v>4883</v>
      </c>
      <c r="T941">
        <v>22845</v>
      </c>
      <c r="U941">
        <v>1</v>
      </c>
      <c r="V941" t="s">
        <v>41</v>
      </c>
      <c r="W941" t="s">
        <v>42</v>
      </c>
      <c r="X941">
        <v>18</v>
      </c>
      <c r="Y941">
        <v>3</v>
      </c>
      <c r="Z941">
        <v>1</v>
      </c>
      <c r="AA941">
        <v>80</v>
      </c>
      <c r="AB941">
        <v>1</v>
      </c>
      <c r="AC941">
        <v>10</v>
      </c>
      <c r="AD941">
        <v>3</v>
      </c>
      <c r="AE941">
        <v>3</v>
      </c>
      <c r="AF941">
        <v>10</v>
      </c>
      <c r="AG941">
        <v>4</v>
      </c>
      <c r="AH941">
        <v>1</v>
      </c>
      <c r="AI941">
        <v>1</v>
      </c>
      <c r="AJ941">
        <f t="shared" si="14"/>
        <v>1</v>
      </c>
      <c r="AK941" t="str" cm="1">
        <f t="array" ref="AK941">_xlfn.IFS(A941&lt;=30,"18-30",A941&lt;=45,"31-45",A941&lt;=60,"46-60",TRUE, "60+")</f>
        <v>31-45</v>
      </c>
      <c r="AL941" t="str" cm="1">
        <f t="array" ref="AL941">_xlfn.IFS(F941&lt;=10,"0-10",F941&lt;=20,"11-20",TRUE,"20+")</f>
        <v>0-10</v>
      </c>
      <c r="AM941" t="str" cm="1">
        <f t="array" ref="AM941">_xlfn.IFS(S941&lt;=5000,"0-5k",S941&lt;=10000,"5k-10k",S941&lt;=15000,"10k-15k",TRUE,"15k+")</f>
        <v>0-5k</v>
      </c>
      <c r="AN941" t="str" cm="1">
        <f t="array" ref="AN941">_xlfn.IFS(AF941&lt;=10,"0-10",AF941&lt;=20,"10-20",AF941&lt;=30,"20-30",TRUE,"30+")</f>
        <v>0-10</v>
      </c>
      <c r="AO941" t="str" cm="1">
        <f t="array" ref="AO941">_xlfn.IFS(Y941=1,"Poor",Y941=2,"Average",Y941=3,"Good",TRUE,"Excellent")</f>
        <v>Good</v>
      </c>
      <c r="AP941" t="str" cm="1">
        <f t="array" ref="AP941">_xlfn.IFS(Q941=1,"Low",Q941=2,"Medium",Q941=3,"High",TRUE,"Very High")</f>
        <v>High</v>
      </c>
    </row>
    <row r="942" spans="1:42" x14ac:dyDescent="0.25">
      <c r="A942">
        <v>39</v>
      </c>
      <c r="B942" t="s">
        <v>35</v>
      </c>
      <c r="C942" t="s">
        <v>90</v>
      </c>
      <c r="D942">
        <v>360</v>
      </c>
      <c r="E942" t="s">
        <v>43</v>
      </c>
      <c r="F942">
        <v>23</v>
      </c>
      <c r="G942">
        <v>3</v>
      </c>
      <c r="H942" t="s">
        <v>49</v>
      </c>
      <c r="I942">
        <v>1</v>
      </c>
      <c r="J942">
        <v>1310</v>
      </c>
      <c r="K942">
        <v>3</v>
      </c>
      <c r="L942" t="s">
        <v>44</v>
      </c>
      <c r="M942">
        <v>93</v>
      </c>
      <c r="N942">
        <v>3</v>
      </c>
      <c r="O942">
        <v>1</v>
      </c>
      <c r="P942" t="s">
        <v>45</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c r="AJ942">
        <f t="shared" si="14"/>
        <v>1</v>
      </c>
      <c r="AK942" t="str" cm="1">
        <f t="array" ref="AK942">_xlfn.IFS(A942&lt;=30,"18-30",A942&lt;=45,"31-45",A942&lt;=60,"46-60",TRUE, "60+")</f>
        <v>31-45</v>
      </c>
      <c r="AL942" t="str" cm="1">
        <f t="array" ref="AL942">_xlfn.IFS(F942&lt;=10,"0-10",F942&lt;=20,"11-20",TRUE,"20+")</f>
        <v>20+</v>
      </c>
      <c r="AM942" t="str" cm="1">
        <f t="array" ref="AM942">_xlfn.IFS(S942&lt;=5000,"0-5k",S942&lt;=10000,"5k-10k",S942&lt;=15000,"10k-15k",TRUE,"15k+")</f>
        <v>0-5k</v>
      </c>
      <c r="AN942" t="str" cm="1">
        <f t="array" ref="AN942">_xlfn.IFS(AF942&lt;=10,"0-10",AF942&lt;=20,"10-20",AF942&lt;=30,"20-30",TRUE,"30+")</f>
        <v>0-10</v>
      </c>
      <c r="AO942" t="str" cm="1">
        <f t="array" ref="AO942">_xlfn.IFS(Y942=1,"Poor",Y942=2,"Average",Y942=3,"Good",TRUE,"Excellent")</f>
        <v>Good</v>
      </c>
      <c r="AP942" t="str" cm="1">
        <f t="array" ref="AP942">_xlfn.IFS(Q942=1,"Low",Q942=2,"Medium",Q942=3,"High",TRUE,"Very High")</f>
        <v>Low</v>
      </c>
    </row>
    <row r="943" spans="1:42" x14ac:dyDescent="0.25">
      <c r="A943">
        <v>30</v>
      </c>
      <c r="B943" t="s">
        <v>42</v>
      </c>
      <c r="C943" t="s">
        <v>90</v>
      </c>
      <c r="D943">
        <v>1138</v>
      </c>
      <c r="E943" t="s">
        <v>43</v>
      </c>
      <c r="F943">
        <v>6</v>
      </c>
      <c r="G943">
        <v>3</v>
      </c>
      <c r="H943" t="s">
        <v>58</v>
      </c>
      <c r="I943">
        <v>1</v>
      </c>
      <c r="J943">
        <v>1311</v>
      </c>
      <c r="K943">
        <v>1</v>
      </c>
      <c r="L943" t="s">
        <v>38</v>
      </c>
      <c r="M943">
        <v>48</v>
      </c>
      <c r="N943">
        <v>2</v>
      </c>
      <c r="O943">
        <v>2</v>
      </c>
      <c r="P943" t="s">
        <v>48</v>
      </c>
      <c r="Q943">
        <v>4</v>
      </c>
      <c r="R943" t="s">
        <v>46</v>
      </c>
      <c r="S943">
        <v>4627</v>
      </c>
      <c r="T943">
        <v>23631</v>
      </c>
      <c r="U943">
        <v>0</v>
      </c>
      <c r="V943" t="s">
        <v>41</v>
      </c>
      <c r="W943" t="s">
        <v>42</v>
      </c>
      <c r="X943">
        <v>12</v>
      </c>
      <c r="Y943">
        <v>3</v>
      </c>
      <c r="Z943">
        <v>1</v>
      </c>
      <c r="AA943">
        <v>80</v>
      </c>
      <c r="AB943">
        <v>1</v>
      </c>
      <c r="AC943">
        <v>10</v>
      </c>
      <c r="AD943">
        <v>6</v>
      </c>
      <c r="AE943">
        <v>3</v>
      </c>
      <c r="AF943">
        <v>9</v>
      </c>
      <c r="AG943">
        <v>2</v>
      </c>
      <c r="AH943">
        <v>6</v>
      </c>
      <c r="AI943">
        <v>7</v>
      </c>
      <c r="AJ943">
        <f t="shared" si="14"/>
        <v>0</v>
      </c>
      <c r="AK943" t="str" cm="1">
        <f t="array" ref="AK943">_xlfn.IFS(A943&lt;=30,"18-30",A943&lt;=45,"31-45",A943&lt;=60,"46-60",TRUE, "60+")</f>
        <v>18-30</v>
      </c>
      <c r="AL943" t="str" cm="1">
        <f t="array" ref="AL943">_xlfn.IFS(F943&lt;=10,"0-10",F943&lt;=20,"11-20",TRUE,"20+")</f>
        <v>0-10</v>
      </c>
      <c r="AM943" t="str" cm="1">
        <f t="array" ref="AM943">_xlfn.IFS(S943&lt;=5000,"0-5k",S943&lt;=10000,"5k-10k",S943&lt;=15000,"10k-15k",TRUE,"15k+")</f>
        <v>0-5k</v>
      </c>
      <c r="AN943" t="str" cm="1">
        <f t="array" ref="AN943">_xlfn.IFS(AF943&lt;=10,"0-10",AF943&lt;=20,"10-20",AF943&lt;=30,"20-30",TRUE,"30+")</f>
        <v>0-10</v>
      </c>
      <c r="AO943" t="str" cm="1">
        <f t="array" ref="AO943">_xlfn.IFS(Y943=1,"Poor",Y943=2,"Average",Y943=3,"Good",TRUE,"Excellent")</f>
        <v>Good</v>
      </c>
      <c r="AP943" t="str" cm="1">
        <f t="array" ref="AP943">_xlfn.IFS(Q943=1,"Low",Q943=2,"Medium",Q943=3,"High",TRUE,"Very High")</f>
        <v>Very High</v>
      </c>
    </row>
    <row r="944" spans="1:42" x14ac:dyDescent="0.25">
      <c r="A944">
        <v>36</v>
      </c>
      <c r="B944" t="s">
        <v>42</v>
      </c>
      <c r="C944" t="s">
        <v>90</v>
      </c>
      <c r="D944">
        <v>325</v>
      </c>
      <c r="E944" t="s">
        <v>43</v>
      </c>
      <c r="F944">
        <v>10</v>
      </c>
      <c r="G944">
        <v>4</v>
      </c>
      <c r="H944" t="s">
        <v>58</v>
      </c>
      <c r="I944">
        <v>1</v>
      </c>
      <c r="J944">
        <v>1312</v>
      </c>
      <c r="K944">
        <v>4</v>
      </c>
      <c r="L944" t="s">
        <v>38</v>
      </c>
      <c r="M944">
        <v>63</v>
      </c>
      <c r="N944">
        <v>3</v>
      </c>
      <c r="O944">
        <v>3</v>
      </c>
      <c r="P944" t="s">
        <v>52</v>
      </c>
      <c r="Q944">
        <v>3</v>
      </c>
      <c r="R944" t="s">
        <v>46</v>
      </c>
      <c r="S944">
        <v>7094</v>
      </c>
      <c r="T944">
        <v>5747</v>
      </c>
      <c r="U944">
        <v>3</v>
      </c>
      <c r="V944" t="s">
        <v>41</v>
      </c>
      <c r="W944" t="s">
        <v>42</v>
      </c>
      <c r="X944">
        <v>12</v>
      </c>
      <c r="Y944">
        <v>3</v>
      </c>
      <c r="Z944">
        <v>1</v>
      </c>
      <c r="AA944">
        <v>80</v>
      </c>
      <c r="AB944">
        <v>0</v>
      </c>
      <c r="AC944">
        <v>10</v>
      </c>
      <c r="AD944">
        <v>0</v>
      </c>
      <c r="AE944">
        <v>3</v>
      </c>
      <c r="AF944">
        <v>7</v>
      </c>
      <c r="AG944">
        <v>7</v>
      </c>
      <c r="AH944">
        <v>1</v>
      </c>
      <c r="AI944">
        <v>7</v>
      </c>
      <c r="AJ944">
        <f t="shared" si="14"/>
        <v>0</v>
      </c>
      <c r="AK944" t="str" cm="1">
        <f t="array" ref="AK944">_xlfn.IFS(A944&lt;=30,"18-30",A944&lt;=45,"31-45",A944&lt;=60,"46-60",TRUE, "60+")</f>
        <v>31-45</v>
      </c>
      <c r="AL944" t="str" cm="1">
        <f t="array" ref="AL944">_xlfn.IFS(F944&lt;=10,"0-10",F944&lt;=20,"11-20",TRUE,"20+")</f>
        <v>0-10</v>
      </c>
      <c r="AM944" t="str" cm="1">
        <f t="array" ref="AM944">_xlfn.IFS(S944&lt;=5000,"0-5k",S944&lt;=10000,"5k-10k",S944&lt;=15000,"10k-15k",TRUE,"15k+")</f>
        <v>5k-10k</v>
      </c>
      <c r="AN944" t="str" cm="1">
        <f t="array" ref="AN944">_xlfn.IFS(AF944&lt;=10,"0-10",AF944&lt;=20,"10-20",AF944&lt;=30,"20-30",TRUE,"30+")</f>
        <v>0-10</v>
      </c>
      <c r="AO944" t="str" cm="1">
        <f t="array" ref="AO944">_xlfn.IFS(Y944=1,"Poor",Y944=2,"Average",Y944=3,"Good",TRUE,"Excellent")</f>
        <v>Good</v>
      </c>
      <c r="AP944" t="str" cm="1">
        <f t="array" ref="AP944">_xlfn.IFS(Q944=1,"Low",Q944=2,"Medium",Q944=3,"High",TRUE,"Very High")</f>
        <v>High</v>
      </c>
    </row>
    <row r="945" spans="1:42" x14ac:dyDescent="0.25">
      <c r="A945">
        <v>46</v>
      </c>
      <c r="B945" t="s">
        <v>42</v>
      </c>
      <c r="C945" t="s">
        <v>90</v>
      </c>
      <c r="D945">
        <v>991</v>
      </c>
      <c r="E945" t="s">
        <v>59</v>
      </c>
      <c r="F945">
        <v>1</v>
      </c>
      <c r="G945">
        <v>2</v>
      </c>
      <c r="H945" t="s">
        <v>37</v>
      </c>
      <c r="I945">
        <v>1</v>
      </c>
      <c r="J945">
        <v>1314</v>
      </c>
      <c r="K945">
        <v>4</v>
      </c>
      <c r="L945" t="s">
        <v>38</v>
      </c>
      <c r="M945">
        <v>44</v>
      </c>
      <c r="N945">
        <v>3</v>
      </c>
      <c r="O945">
        <v>1</v>
      </c>
      <c r="P945" t="s">
        <v>59</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c r="AJ945">
        <f t="shared" si="14"/>
        <v>0</v>
      </c>
      <c r="AK945" t="str" cm="1">
        <f t="array" ref="AK945">_xlfn.IFS(A945&lt;=30,"18-30",A945&lt;=45,"31-45",A945&lt;=60,"46-60",TRUE, "60+")</f>
        <v>46-60</v>
      </c>
      <c r="AL945" t="str" cm="1">
        <f t="array" ref="AL945">_xlfn.IFS(F945&lt;=10,"0-10",F945&lt;=20,"11-20",TRUE,"20+")</f>
        <v>0-10</v>
      </c>
      <c r="AM945" t="str" cm="1">
        <f t="array" ref="AM945">_xlfn.IFS(S945&lt;=5000,"0-5k",S945&lt;=10000,"5k-10k",S945&lt;=15000,"10k-15k",TRUE,"15k+")</f>
        <v>0-5k</v>
      </c>
      <c r="AN945" t="str" cm="1">
        <f t="array" ref="AN945">_xlfn.IFS(AF945&lt;=10,"0-10",AF945&lt;=20,"10-20",AF945&lt;=30,"20-30",TRUE,"30+")</f>
        <v>0-10</v>
      </c>
      <c r="AO945" t="str" cm="1">
        <f t="array" ref="AO945">_xlfn.IFS(Y945=1,"Poor",Y945=2,"Average",Y945=3,"Good",TRUE,"Excellent")</f>
        <v>Good</v>
      </c>
      <c r="AP945" t="str" cm="1">
        <f t="array" ref="AP945">_xlfn.IFS(Q945=1,"Low",Q945=2,"Medium",Q945=3,"High",TRUE,"Very High")</f>
        <v>Low</v>
      </c>
    </row>
    <row r="946" spans="1:42" x14ac:dyDescent="0.25">
      <c r="A946">
        <v>28</v>
      </c>
      <c r="B946" t="s">
        <v>42</v>
      </c>
      <c r="C946" t="s">
        <v>53</v>
      </c>
      <c r="D946">
        <v>1476</v>
      </c>
      <c r="E946" t="s">
        <v>43</v>
      </c>
      <c r="F946">
        <v>1</v>
      </c>
      <c r="G946">
        <v>3</v>
      </c>
      <c r="H946" t="s">
        <v>37</v>
      </c>
      <c r="I946">
        <v>1</v>
      </c>
      <c r="J946">
        <v>1315</v>
      </c>
      <c r="K946">
        <v>3</v>
      </c>
      <c r="L946" t="s">
        <v>38</v>
      </c>
      <c r="M946">
        <v>55</v>
      </c>
      <c r="N946">
        <v>1</v>
      </c>
      <c r="O946">
        <v>2</v>
      </c>
      <c r="P946" t="s">
        <v>48</v>
      </c>
      <c r="Q946">
        <v>4</v>
      </c>
      <c r="R946" t="s">
        <v>46</v>
      </c>
      <c r="S946">
        <v>6674</v>
      </c>
      <c r="T946">
        <v>16392</v>
      </c>
      <c r="U946">
        <v>0</v>
      </c>
      <c r="V946" t="s">
        <v>41</v>
      </c>
      <c r="W946" t="s">
        <v>42</v>
      </c>
      <c r="X946">
        <v>11</v>
      </c>
      <c r="Y946">
        <v>3</v>
      </c>
      <c r="Z946">
        <v>1</v>
      </c>
      <c r="AA946">
        <v>80</v>
      </c>
      <c r="AB946">
        <v>3</v>
      </c>
      <c r="AC946">
        <v>10</v>
      </c>
      <c r="AD946">
        <v>6</v>
      </c>
      <c r="AE946">
        <v>3</v>
      </c>
      <c r="AF946">
        <v>9</v>
      </c>
      <c r="AG946">
        <v>8</v>
      </c>
      <c r="AH946">
        <v>7</v>
      </c>
      <c r="AI946">
        <v>5</v>
      </c>
      <c r="AJ946">
        <f t="shared" si="14"/>
        <v>0</v>
      </c>
      <c r="AK946" t="str" cm="1">
        <f t="array" ref="AK946">_xlfn.IFS(A946&lt;=30,"18-30",A946&lt;=45,"31-45",A946&lt;=60,"46-60",TRUE, "60+")</f>
        <v>18-30</v>
      </c>
      <c r="AL946" t="str" cm="1">
        <f t="array" ref="AL946">_xlfn.IFS(F946&lt;=10,"0-10",F946&lt;=20,"11-20",TRUE,"20+")</f>
        <v>0-10</v>
      </c>
      <c r="AM946" t="str" cm="1">
        <f t="array" ref="AM946">_xlfn.IFS(S946&lt;=5000,"0-5k",S946&lt;=10000,"5k-10k",S946&lt;=15000,"10k-15k",TRUE,"15k+")</f>
        <v>5k-10k</v>
      </c>
      <c r="AN946" t="str" cm="1">
        <f t="array" ref="AN946">_xlfn.IFS(AF946&lt;=10,"0-10",AF946&lt;=20,"10-20",AF946&lt;=30,"20-30",TRUE,"30+")</f>
        <v>0-10</v>
      </c>
      <c r="AO946" t="str" cm="1">
        <f t="array" ref="AO946">_xlfn.IFS(Y946=1,"Poor",Y946=2,"Average",Y946=3,"Good",TRUE,"Excellent")</f>
        <v>Good</v>
      </c>
      <c r="AP946" t="str" cm="1">
        <f t="array" ref="AP946">_xlfn.IFS(Q946=1,"Low",Q946=2,"Medium",Q946=3,"High",TRUE,"Very High")</f>
        <v>Very High</v>
      </c>
    </row>
    <row r="947" spans="1:42" x14ac:dyDescent="0.25">
      <c r="A947">
        <v>50</v>
      </c>
      <c r="B947" t="s">
        <v>42</v>
      </c>
      <c r="C947" t="s">
        <v>90</v>
      </c>
      <c r="D947">
        <v>1322</v>
      </c>
      <c r="E947" t="s">
        <v>43</v>
      </c>
      <c r="F947">
        <v>28</v>
      </c>
      <c r="G947">
        <v>3</v>
      </c>
      <c r="H947" t="s">
        <v>37</v>
      </c>
      <c r="I947">
        <v>1</v>
      </c>
      <c r="J947">
        <v>1317</v>
      </c>
      <c r="K947">
        <v>4</v>
      </c>
      <c r="L947" t="s">
        <v>38</v>
      </c>
      <c r="M947">
        <v>43</v>
      </c>
      <c r="N947">
        <v>3</v>
      </c>
      <c r="O947">
        <v>4</v>
      </c>
      <c r="P947" t="s">
        <v>56</v>
      </c>
      <c r="Q947">
        <v>1</v>
      </c>
      <c r="R947" t="s">
        <v>46</v>
      </c>
      <c r="S947">
        <v>16880</v>
      </c>
      <c r="T947">
        <v>22422</v>
      </c>
      <c r="U947">
        <v>4</v>
      </c>
      <c r="V947" t="s">
        <v>41</v>
      </c>
      <c r="W947" t="s">
        <v>35</v>
      </c>
      <c r="X947">
        <v>11</v>
      </c>
      <c r="Y947">
        <v>3</v>
      </c>
      <c r="Z947">
        <v>2</v>
      </c>
      <c r="AA947">
        <v>80</v>
      </c>
      <c r="AB947">
        <v>0</v>
      </c>
      <c r="AC947">
        <v>25</v>
      </c>
      <c r="AD947">
        <v>2</v>
      </c>
      <c r="AE947">
        <v>3</v>
      </c>
      <c r="AF947">
        <v>3</v>
      </c>
      <c r="AG947">
        <v>2</v>
      </c>
      <c r="AH947">
        <v>1</v>
      </c>
      <c r="AI947">
        <v>2</v>
      </c>
      <c r="AJ947">
        <f t="shared" si="14"/>
        <v>0</v>
      </c>
      <c r="AK947" t="str" cm="1">
        <f t="array" ref="AK947">_xlfn.IFS(A947&lt;=30,"18-30",A947&lt;=45,"31-45",A947&lt;=60,"46-60",TRUE, "60+")</f>
        <v>46-60</v>
      </c>
      <c r="AL947" t="str" cm="1">
        <f t="array" ref="AL947">_xlfn.IFS(F947&lt;=10,"0-10",F947&lt;=20,"11-20",TRUE,"20+")</f>
        <v>20+</v>
      </c>
      <c r="AM947" t="str" cm="1">
        <f t="array" ref="AM947">_xlfn.IFS(S947&lt;=5000,"0-5k",S947&lt;=10000,"5k-10k",S947&lt;=15000,"10k-15k",TRUE,"15k+")</f>
        <v>15k+</v>
      </c>
      <c r="AN947" t="str" cm="1">
        <f t="array" ref="AN947">_xlfn.IFS(AF947&lt;=10,"0-10",AF947&lt;=20,"10-20",AF947&lt;=30,"20-30",TRUE,"30+")</f>
        <v>0-10</v>
      </c>
      <c r="AO947" t="str" cm="1">
        <f t="array" ref="AO947">_xlfn.IFS(Y947=1,"Poor",Y947=2,"Average",Y947=3,"Good",TRUE,"Excellent")</f>
        <v>Good</v>
      </c>
      <c r="AP947" t="str" cm="1">
        <f t="array" ref="AP947">_xlfn.IFS(Q947=1,"Low",Q947=2,"Medium",Q947=3,"High",TRUE,"Very High")</f>
        <v>Low</v>
      </c>
    </row>
    <row r="948" spans="1:42" x14ac:dyDescent="0.25">
      <c r="A948">
        <v>40</v>
      </c>
      <c r="B948" t="s">
        <v>35</v>
      </c>
      <c r="C948" t="s">
        <v>90</v>
      </c>
      <c r="D948">
        <v>299</v>
      </c>
      <c r="E948" t="s">
        <v>36</v>
      </c>
      <c r="F948">
        <v>25</v>
      </c>
      <c r="G948">
        <v>4</v>
      </c>
      <c r="H948" t="s">
        <v>57</v>
      </c>
      <c r="I948">
        <v>1</v>
      </c>
      <c r="J948">
        <v>1318</v>
      </c>
      <c r="K948">
        <v>4</v>
      </c>
      <c r="L948" t="s">
        <v>44</v>
      </c>
      <c r="M948">
        <v>57</v>
      </c>
      <c r="N948">
        <v>2</v>
      </c>
      <c r="O948">
        <v>3</v>
      </c>
      <c r="P948" t="s">
        <v>39</v>
      </c>
      <c r="Q948">
        <v>2</v>
      </c>
      <c r="R948" t="s">
        <v>40</v>
      </c>
      <c r="S948">
        <v>9094</v>
      </c>
      <c r="T948">
        <v>17235</v>
      </c>
      <c r="U948">
        <v>2</v>
      </c>
      <c r="V948" t="s">
        <v>41</v>
      </c>
      <c r="W948" t="s">
        <v>35</v>
      </c>
      <c r="X948">
        <v>12</v>
      </c>
      <c r="Y948">
        <v>3</v>
      </c>
      <c r="Z948">
        <v>3</v>
      </c>
      <c r="AA948">
        <v>80</v>
      </c>
      <c r="AB948">
        <v>0</v>
      </c>
      <c r="AC948">
        <v>9</v>
      </c>
      <c r="AD948">
        <v>2</v>
      </c>
      <c r="AE948">
        <v>3</v>
      </c>
      <c r="AF948">
        <v>5</v>
      </c>
      <c r="AG948">
        <v>4</v>
      </c>
      <c r="AH948">
        <v>1</v>
      </c>
      <c r="AI948">
        <v>0</v>
      </c>
      <c r="AJ948">
        <f t="shared" si="14"/>
        <v>1</v>
      </c>
      <c r="AK948" t="str" cm="1">
        <f t="array" ref="AK948">_xlfn.IFS(A948&lt;=30,"18-30",A948&lt;=45,"31-45",A948&lt;=60,"46-60",TRUE, "60+")</f>
        <v>31-45</v>
      </c>
      <c r="AL948" t="str" cm="1">
        <f t="array" ref="AL948">_xlfn.IFS(F948&lt;=10,"0-10",F948&lt;=20,"11-20",TRUE,"20+")</f>
        <v>20+</v>
      </c>
      <c r="AM948" t="str" cm="1">
        <f t="array" ref="AM948">_xlfn.IFS(S948&lt;=5000,"0-5k",S948&lt;=10000,"5k-10k",S948&lt;=15000,"10k-15k",TRUE,"15k+")</f>
        <v>5k-10k</v>
      </c>
      <c r="AN948" t="str" cm="1">
        <f t="array" ref="AN948">_xlfn.IFS(AF948&lt;=10,"0-10",AF948&lt;=20,"10-20",AF948&lt;=30,"20-30",TRUE,"30+")</f>
        <v>0-10</v>
      </c>
      <c r="AO948" t="str" cm="1">
        <f t="array" ref="AO948">_xlfn.IFS(Y948=1,"Poor",Y948=2,"Average",Y948=3,"Good",TRUE,"Excellent")</f>
        <v>Good</v>
      </c>
      <c r="AP948" t="str" cm="1">
        <f t="array" ref="AP948">_xlfn.IFS(Q948=1,"Low",Q948=2,"Medium",Q948=3,"High",TRUE,"Very High")</f>
        <v>Medium</v>
      </c>
    </row>
    <row r="949" spans="1:42" x14ac:dyDescent="0.25">
      <c r="A949">
        <v>52</v>
      </c>
      <c r="B949" t="s">
        <v>35</v>
      </c>
      <c r="C949" t="s">
        <v>90</v>
      </c>
      <c r="D949">
        <v>1030</v>
      </c>
      <c r="E949" t="s">
        <v>36</v>
      </c>
      <c r="F949">
        <v>5</v>
      </c>
      <c r="G949">
        <v>3</v>
      </c>
      <c r="H949" t="s">
        <v>37</v>
      </c>
      <c r="I949">
        <v>1</v>
      </c>
      <c r="J949">
        <v>1319</v>
      </c>
      <c r="K949">
        <v>2</v>
      </c>
      <c r="L949" t="s">
        <v>44</v>
      </c>
      <c r="M949">
        <v>64</v>
      </c>
      <c r="N949">
        <v>3</v>
      </c>
      <c r="O949">
        <v>3</v>
      </c>
      <c r="P949" t="s">
        <v>39</v>
      </c>
      <c r="Q949">
        <v>2</v>
      </c>
      <c r="R949" t="s">
        <v>40</v>
      </c>
      <c r="S949">
        <v>8446</v>
      </c>
      <c r="T949">
        <v>21534</v>
      </c>
      <c r="U949">
        <v>9</v>
      </c>
      <c r="V949" t="s">
        <v>41</v>
      </c>
      <c r="W949" t="s">
        <v>35</v>
      </c>
      <c r="X949">
        <v>19</v>
      </c>
      <c r="Y949">
        <v>3</v>
      </c>
      <c r="Z949">
        <v>3</v>
      </c>
      <c r="AA949">
        <v>80</v>
      </c>
      <c r="AB949">
        <v>0</v>
      </c>
      <c r="AC949">
        <v>10</v>
      </c>
      <c r="AD949">
        <v>2</v>
      </c>
      <c r="AE949">
        <v>2</v>
      </c>
      <c r="AF949">
        <v>8</v>
      </c>
      <c r="AG949">
        <v>7</v>
      </c>
      <c r="AH949">
        <v>7</v>
      </c>
      <c r="AI949">
        <v>7</v>
      </c>
      <c r="AJ949">
        <f t="shared" si="14"/>
        <v>1</v>
      </c>
      <c r="AK949" t="str" cm="1">
        <f t="array" ref="AK949">_xlfn.IFS(A949&lt;=30,"18-30",A949&lt;=45,"31-45",A949&lt;=60,"46-60",TRUE, "60+")</f>
        <v>46-60</v>
      </c>
      <c r="AL949" t="str" cm="1">
        <f t="array" ref="AL949">_xlfn.IFS(F949&lt;=10,"0-10",F949&lt;=20,"11-20",TRUE,"20+")</f>
        <v>0-10</v>
      </c>
      <c r="AM949" t="str" cm="1">
        <f t="array" ref="AM949">_xlfn.IFS(S949&lt;=5000,"0-5k",S949&lt;=10000,"5k-10k",S949&lt;=15000,"10k-15k",TRUE,"15k+")</f>
        <v>5k-10k</v>
      </c>
      <c r="AN949" t="str" cm="1">
        <f t="array" ref="AN949">_xlfn.IFS(AF949&lt;=10,"0-10",AF949&lt;=20,"10-20",AF949&lt;=30,"20-30",TRUE,"30+")</f>
        <v>0-10</v>
      </c>
      <c r="AO949" t="str" cm="1">
        <f t="array" ref="AO949">_xlfn.IFS(Y949=1,"Poor",Y949=2,"Average",Y949=3,"Good",TRUE,"Excellent")</f>
        <v>Good</v>
      </c>
      <c r="AP949" t="str" cm="1">
        <f t="array" ref="AP949">_xlfn.IFS(Q949=1,"Low",Q949=2,"Medium",Q949=3,"High",TRUE,"Very High")</f>
        <v>Medium</v>
      </c>
    </row>
    <row r="950" spans="1:42" x14ac:dyDescent="0.25">
      <c r="A950">
        <v>30</v>
      </c>
      <c r="B950" t="s">
        <v>42</v>
      </c>
      <c r="C950" t="s">
        <v>90</v>
      </c>
      <c r="D950">
        <v>634</v>
      </c>
      <c r="E950" t="s">
        <v>43</v>
      </c>
      <c r="F950">
        <v>17</v>
      </c>
      <c r="G950">
        <v>4</v>
      </c>
      <c r="H950" t="s">
        <v>49</v>
      </c>
      <c r="I950">
        <v>1</v>
      </c>
      <c r="J950">
        <v>1321</v>
      </c>
      <c r="K950">
        <v>2</v>
      </c>
      <c r="L950" t="s">
        <v>38</v>
      </c>
      <c r="M950">
        <v>95</v>
      </c>
      <c r="N950">
        <v>3</v>
      </c>
      <c r="O950">
        <v>3</v>
      </c>
      <c r="P950" t="s">
        <v>54</v>
      </c>
      <c r="Q950">
        <v>1</v>
      </c>
      <c r="R950" t="s">
        <v>46</v>
      </c>
      <c r="S950">
        <v>11916</v>
      </c>
      <c r="T950">
        <v>25927</v>
      </c>
      <c r="U950">
        <v>1</v>
      </c>
      <c r="V950" t="s">
        <v>41</v>
      </c>
      <c r="W950" t="s">
        <v>35</v>
      </c>
      <c r="X950">
        <v>23</v>
      </c>
      <c r="Y950">
        <v>4</v>
      </c>
      <c r="Z950">
        <v>4</v>
      </c>
      <c r="AA950">
        <v>80</v>
      </c>
      <c r="AB950">
        <v>2</v>
      </c>
      <c r="AC950">
        <v>9</v>
      </c>
      <c r="AD950">
        <v>2</v>
      </c>
      <c r="AE950">
        <v>3</v>
      </c>
      <c r="AF950">
        <v>9</v>
      </c>
      <c r="AG950">
        <v>1</v>
      </c>
      <c r="AH950">
        <v>0</v>
      </c>
      <c r="AI950">
        <v>8</v>
      </c>
      <c r="AJ950">
        <f t="shared" si="14"/>
        <v>0</v>
      </c>
      <c r="AK950" t="str" cm="1">
        <f t="array" ref="AK950">_xlfn.IFS(A950&lt;=30,"18-30",A950&lt;=45,"31-45",A950&lt;=60,"46-60",TRUE, "60+")</f>
        <v>18-30</v>
      </c>
      <c r="AL950" t="str" cm="1">
        <f t="array" ref="AL950">_xlfn.IFS(F950&lt;=10,"0-10",F950&lt;=20,"11-20",TRUE,"20+")</f>
        <v>11-20</v>
      </c>
      <c r="AM950" t="str" cm="1">
        <f t="array" ref="AM950">_xlfn.IFS(S950&lt;=5000,"0-5k",S950&lt;=10000,"5k-10k",S950&lt;=15000,"10k-15k",TRUE,"15k+")</f>
        <v>10k-15k</v>
      </c>
      <c r="AN950" t="str" cm="1">
        <f t="array" ref="AN950">_xlfn.IFS(AF950&lt;=10,"0-10",AF950&lt;=20,"10-20",AF950&lt;=30,"20-30",TRUE,"30+")</f>
        <v>0-10</v>
      </c>
      <c r="AO950" t="str" cm="1">
        <f t="array" ref="AO950">_xlfn.IFS(Y950=1,"Poor",Y950=2,"Average",Y950=3,"Good",TRUE,"Excellent")</f>
        <v>Excellent</v>
      </c>
      <c r="AP950" t="str" cm="1">
        <f t="array" ref="AP950">_xlfn.IFS(Q950=1,"Low",Q950=2,"Medium",Q950=3,"High",TRUE,"Very High")</f>
        <v>Low</v>
      </c>
    </row>
    <row r="951" spans="1:42" x14ac:dyDescent="0.25">
      <c r="A951">
        <v>39</v>
      </c>
      <c r="B951" t="s">
        <v>42</v>
      </c>
      <c r="C951" t="s">
        <v>90</v>
      </c>
      <c r="D951">
        <v>524</v>
      </c>
      <c r="E951" t="s">
        <v>43</v>
      </c>
      <c r="F951">
        <v>18</v>
      </c>
      <c r="G951">
        <v>2</v>
      </c>
      <c r="H951" t="s">
        <v>37</v>
      </c>
      <c r="I951">
        <v>1</v>
      </c>
      <c r="J951">
        <v>1322</v>
      </c>
      <c r="K951">
        <v>1</v>
      </c>
      <c r="L951" t="s">
        <v>44</v>
      </c>
      <c r="M951">
        <v>32</v>
      </c>
      <c r="N951">
        <v>3</v>
      </c>
      <c r="O951">
        <v>2</v>
      </c>
      <c r="P951" t="s">
        <v>51</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c r="AJ951">
        <f t="shared" si="14"/>
        <v>0</v>
      </c>
      <c r="AK951" t="str" cm="1">
        <f t="array" ref="AK951">_xlfn.IFS(A951&lt;=30,"18-30",A951&lt;=45,"31-45",A951&lt;=60,"46-60",TRUE, "60+")</f>
        <v>31-45</v>
      </c>
      <c r="AL951" t="str" cm="1">
        <f t="array" ref="AL951">_xlfn.IFS(F951&lt;=10,"0-10",F951&lt;=20,"11-20",TRUE,"20+")</f>
        <v>11-20</v>
      </c>
      <c r="AM951" t="str" cm="1">
        <f t="array" ref="AM951">_xlfn.IFS(S951&lt;=5000,"0-5k",S951&lt;=10000,"5k-10k",S951&lt;=15000,"10k-15k",TRUE,"15k+")</f>
        <v>0-5k</v>
      </c>
      <c r="AN951" t="str" cm="1">
        <f t="array" ref="AN951">_xlfn.IFS(AF951&lt;=10,"0-10",AF951&lt;=20,"10-20",AF951&lt;=30,"20-30",TRUE,"30+")</f>
        <v>0-10</v>
      </c>
      <c r="AO951" t="str" cm="1">
        <f t="array" ref="AO951">_xlfn.IFS(Y951=1,"Poor",Y951=2,"Average",Y951=3,"Good",TRUE,"Excellent")</f>
        <v>Good</v>
      </c>
      <c r="AP951" t="str" cm="1">
        <f t="array" ref="AP951">_xlfn.IFS(Q951=1,"Low",Q951=2,"Medium",Q951=3,"High",TRUE,"Very High")</f>
        <v>High</v>
      </c>
    </row>
    <row r="952" spans="1:42" x14ac:dyDescent="0.25">
      <c r="A952">
        <v>31</v>
      </c>
      <c r="B952" t="s">
        <v>42</v>
      </c>
      <c r="C952" t="s">
        <v>53</v>
      </c>
      <c r="D952">
        <v>587</v>
      </c>
      <c r="E952" t="s">
        <v>36</v>
      </c>
      <c r="F952">
        <v>2</v>
      </c>
      <c r="G952">
        <v>4</v>
      </c>
      <c r="H952" t="s">
        <v>37</v>
      </c>
      <c r="I952">
        <v>1</v>
      </c>
      <c r="J952">
        <v>1324</v>
      </c>
      <c r="K952">
        <v>4</v>
      </c>
      <c r="L952" t="s">
        <v>38</v>
      </c>
      <c r="M952">
        <v>57</v>
      </c>
      <c r="N952">
        <v>3</v>
      </c>
      <c r="O952">
        <v>3</v>
      </c>
      <c r="P952" t="s">
        <v>39</v>
      </c>
      <c r="Q952">
        <v>3</v>
      </c>
      <c r="R952" t="s">
        <v>50</v>
      </c>
      <c r="S952">
        <v>9852</v>
      </c>
      <c r="T952">
        <v>8935</v>
      </c>
      <c r="U952">
        <v>1</v>
      </c>
      <c r="V952" t="s">
        <v>41</v>
      </c>
      <c r="W952" t="s">
        <v>35</v>
      </c>
      <c r="X952">
        <v>19</v>
      </c>
      <c r="Y952">
        <v>3</v>
      </c>
      <c r="Z952">
        <v>1</v>
      </c>
      <c r="AA952">
        <v>80</v>
      </c>
      <c r="AB952">
        <v>1</v>
      </c>
      <c r="AC952">
        <v>10</v>
      </c>
      <c r="AD952">
        <v>5</v>
      </c>
      <c r="AE952">
        <v>2</v>
      </c>
      <c r="AF952">
        <v>10</v>
      </c>
      <c r="AG952">
        <v>8</v>
      </c>
      <c r="AH952">
        <v>9</v>
      </c>
      <c r="AI952">
        <v>6</v>
      </c>
      <c r="AJ952">
        <f t="shared" si="14"/>
        <v>0</v>
      </c>
      <c r="AK952" t="str" cm="1">
        <f t="array" ref="AK952">_xlfn.IFS(A952&lt;=30,"18-30",A952&lt;=45,"31-45",A952&lt;=60,"46-60",TRUE, "60+")</f>
        <v>31-45</v>
      </c>
      <c r="AL952" t="str" cm="1">
        <f t="array" ref="AL952">_xlfn.IFS(F952&lt;=10,"0-10",F952&lt;=20,"11-20",TRUE,"20+")</f>
        <v>0-10</v>
      </c>
      <c r="AM952" t="str" cm="1">
        <f t="array" ref="AM952">_xlfn.IFS(S952&lt;=5000,"0-5k",S952&lt;=10000,"5k-10k",S952&lt;=15000,"10k-15k",TRUE,"15k+")</f>
        <v>5k-10k</v>
      </c>
      <c r="AN952" t="str" cm="1">
        <f t="array" ref="AN952">_xlfn.IFS(AF952&lt;=10,"0-10",AF952&lt;=20,"10-20",AF952&lt;=30,"20-30",TRUE,"30+")</f>
        <v>0-10</v>
      </c>
      <c r="AO952" t="str" cm="1">
        <f t="array" ref="AO952">_xlfn.IFS(Y952=1,"Poor",Y952=2,"Average",Y952=3,"Good",TRUE,"Excellent")</f>
        <v>Good</v>
      </c>
      <c r="AP952" t="str" cm="1">
        <f t="array" ref="AP952">_xlfn.IFS(Q952=1,"Low",Q952=2,"Medium",Q952=3,"High",TRUE,"Very High")</f>
        <v>High</v>
      </c>
    </row>
    <row r="953" spans="1:42" x14ac:dyDescent="0.25">
      <c r="A953">
        <v>41</v>
      </c>
      <c r="B953" t="s">
        <v>42</v>
      </c>
      <c r="C953" t="s">
        <v>53</v>
      </c>
      <c r="D953">
        <v>256</v>
      </c>
      <c r="E953" t="s">
        <v>36</v>
      </c>
      <c r="F953">
        <v>10</v>
      </c>
      <c r="G953">
        <v>2</v>
      </c>
      <c r="H953" t="s">
        <v>49</v>
      </c>
      <c r="I953">
        <v>1</v>
      </c>
      <c r="J953">
        <v>1329</v>
      </c>
      <c r="K953">
        <v>3</v>
      </c>
      <c r="L953" t="s">
        <v>44</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c r="AJ953">
        <f t="shared" si="14"/>
        <v>0</v>
      </c>
      <c r="AK953" t="str" cm="1">
        <f t="array" ref="AK953">_xlfn.IFS(A953&lt;=30,"18-30",A953&lt;=45,"31-45",A953&lt;=60,"46-60",TRUE, "60+")</f>
        <v>31-45</v>
      </c>
      <c r="AL953" t="str" cm="1">
        <f t="array" ref="AL953">_xlfn.IFS(F953&lt;=10,"0-10",F953&lt;=20,"11-20",TRUE,"20+")</f>
        <v>0-10</v>
      </c>
      <c r="AM953" t="str" cm="1">
        <f t="array" ref="AM953">_xlfn.IFS(S953&lt;=5000,"0-5k",S953&lt;=10000,"5k-10k",S953&lt;=15000,"10k-15k",TRUE,"15k+")</f>
        <v>5k-10k</v>
      </c>
      <c r="AN953" t="str" cm="1">
        <f t="array" ref="AN953">_xlfn.IFS(AF953&lt;=10,"0-10",AF953&lt;=20,"10-20",AF953&lt;=30,"20-30",TRUE,"30+")</f>
        <v>10-20</v>
      </c>
      <c r="AO953" t="str" cm="1">
        <f t="array" ref="AO953">_xlfn.IFS(Y953=1,"Poor",Y953=2,"Average",Y953=3,"Good",TRUE,"Excellent")</f>
        <v>Good</v>
      </c>
      <c r="AP953" t="str" cm="1">
        <f t="array" ref="AP953">_xlfn.IFS(Q953=1,"Low",Q953=2,"Medium",Q953=3,"High",TRUE,"Very High")</f>
        <v>Medium</v>
      </c>
    </row>
    <row r="954" spans="1:42" x14ac:dyDescent="0.25">
      <c r="A954">
        <v>31</v>
      </c>
      <c r="B954" t="s">
        <v>35</v>
      </c>
      <c r="C954" t="s">
        <v>91</v>
      </c>
      <c r="D954">
        <v>1060</v>
      </c>
      <c r="E954" t="s">
        <v>36</v>
      </c>
      <c r="F954">
        <v>1</v>
      </c>
      <c r="G954">
        <v>3</v>
      </c>
      <c r="H954" t="s">
        <v>37</v>
      </c>
      <c r="I954">
        <v>1</v>
      </c>
      <c r="J954">
        <v>1331</v>
      </c>
      <c r="K954">
        <v>4</v>
      </c>
      <c r="L954" t="s">
        <v>38</v>
      </c>
      <c r="M954">
        <v>54</v>
      </c>
      <c r="N954">
        <v>3</v>
      </c>
      <c r="O954">
        <v>1</v>
      </c>
      <c r="P954" t="s">
        <v>55</v>
      </c>
      <c r="Q954">
        <v>2</v>
      </c>
      <c r="R954" t="s">
        <v>40</v>
      </c>
      <c r="S954">
        <v>2302</v>
      </c>
      <c r="T954">
        <v>8319</v>
      </c>
      <c r="U954">
        <v>1</v>
      </c>
      <c r="V954" t="s">
        <v>41</v>
      </c>
      <c r="W954" t="s">
        <v>35</v>
      </c>
      <c r="X954">
        <v>11</v>
      </c>
      <c r="Y954">
        <v>3</v>
      </c>
      <c r="Z954">
        <v>1</v>
      </c>
      <c r="AA954">
        <v>80</v>
      </c>
      <c r="AB954">
        <v>0</v>
      </c>
      <c r="AC954">
        <v>3</v>
      </c>
      <c r="AD954">
        <v>2</v>
      </c>
      <c r="AE954">
        <v>4</v>
      </c>
      <c r="AF954">
        <v>3</v>
      </c>
      <c r="AG954">
        <v>2</v>
      </c>
      <c r="AH954">
        <v>2</v>
      </c>
      <c r="AI954">
        <v>2</v>
      </c>
      <c r="AJ954">
        <f t="shared" si="14"/>
        <v>1</v>
      </c>
      <c r="AK954" t="str" cm="1">
        <f t="array" ref="AK954">_xlfn.IFS(A954&lt;=30,"18-30",A954&lt;=45,"31-45",A954&lt;=60,"46-60",TRUE, "60+")</f>
        <v>31-45</v>
      </c>
      <c r="AL954" t="str" cm="1">
        <f t="array" ref="AL954">_xlfn.IFS(F954&lt;=10,"0-10",F954&lt;=20,"11-20",TRUE,"20+")</f>
        <v>0-10</v>
      </c>
      <c r="AM954" t="str" cm="1">
        <f t="array" ref="AM954">_xlfn.IFS(S954&lt;=5000,"0-5k",S954&lt;=10000,"5k-10k",S954&lt;=15000,"10k-15k",TRUE,"15k+")</f>
        <v>0-5k</v>
      </c>
      <c r="AN954" t="str" cm="1">
        <f t="array" ref="AN954">_xlfn.IFS(AF954&lt;=10,"0-10",AF954&lt;=20,"10-20",AF954&lt;=30,"20-30",TRUE,"30+")</f>
        <v>0-10</v>
      </c>
      <c r="AO954" t="str" cm="1">
        <f t="array" ref="AO954">_xlfn.IFS(Y954=1,"Poor",Y954=2,"Average",Y954=3,"Good",TRUE,"Excellent")</f>
        <v>Good</v>
      </c>
      <c r="AP954" t="str" cm="1">
        <f t="array" ref="AP954">_xlfn.IFS(Q954=1,"Low",Q954=2,"Medium",Q954=3,"High",TRUE,"Very High")</f>
        <v>Medium</v>
      </c>
    </row>
    <row r="955" spans="1:42" x14ac:dyDescent="0.25">
      <c r="A955">
        <v>44</v>
      </c>
      <c r="B955" t="s">
        <v>35</v>
      </c>
      <c r="C955" t="s">
        <v>90</v>
      </c>
      <c r="D955">
        <v>935</v>
      </c>
      <c r="E955" t="s">
        <v>43</v>
      </c>
      <c r="F955">
        <v>3</v>
      </c>
      <c r="G955">
        <v>3</v>
      </c>
      <c r="H955" t="s">
        <v>37</v>
      </c>
      <c r="I955">
        <v>1</v>
      </c>
      <c r="J955">
        <v>1333</v>
      </c>
      <c r="K955">
        <v>1</v>
      </c>
      <c r="L955" t="s">
        <v>44</v>
      </c>
      <c r="M955">
        <v>89</v>
      </c>
      <c r="N955">
        <v>3</v>
      </c>
      <c r="O955">
        <v>1</v>
      </c>
      <c r="P955" t="s">
        <v>48</v>
      </c>
      <c r="Q955">
        <v>1</v>
      </c>
      <c r="R955" t="s">
        <v>46</v>
      </c>
      <c r="S955">
        <v>2362</v>
      </c>
      <c r="T955">
        <v>14669</v>
      </c>
      <c r="U955">
        <v>4</v>
      </c>
      <c r="V955" t="s">
        <v>41</v>
      </c>
      <c r="W955" t="s">
        <v>42</v>
      </c>
      <c r="X955">
        <v>12</v>
      </c>
      <c r="Y955">
        <v>3</v>
      </c>
      <c r="Z955">
        <v>3</v>
      </c>
      <c r="AA955">
        <v>80</v>
      </c>
      <c r="AB955">
        <v>0</v>
      </c>
      <c r="AC955">
        <v>10</v>
      </c>
      <c r="AD955">
        <v>4</v>
      </c>
      <c r="AE955">
        <v>4</v>
      </c>
      <c r="AF955">
        <v>3</v>
      </c>
      <c r="AG955">
        <v>2</v>
      </c>
      <c r="AH955">
        <v>1</v>
      </c>
      <c r="AI955">
        <v>2</v>
      </c>
      <c r="AJ955">
        <f t="shared" si="14"/>
        <v>1</v>
      </c>
      <c r="AK955" t="str" cm="1">
        <f t="array" ref="AK955">_xlfn.IFS(A955&lt;=30,"18-30",A955&lt;=45,"31-45",A955&lt;=60,"46-60",TRUE, "60+")</f>
        <v>31-45</v>
      </c>
      <c r="AL955" t="str" cm="1">
        <f t="array" ref="AL955">_xlfn.IFS(F955&lt;=10,"0-10",F955&lt;=20,"11-20",TRUE,"20+")</f>
        <v>0-10</v>
      </c>
      <c r="AM955" t="str" cm="1">
        <f t="array" ref="AM955">_xlfn.IFS(S955&lt;=5000,"0-5k",S955&lt;=10000,"5k-10k",S955&lt;=15000,"10k-15k",TRUE,"15k+")</f>
        <v>0-5k</v>
      </c>
      <c r="AN955" t="str" cm="1">
        <f t="array" ref="AN955">_xlfn.IFS(AF955&lt;=10,"0-10",AF955&lt;=20,"10-20",AF955&lt;=30,"20-30",TRUE,"30+")</f>
        <v>0-10</v>
      </c>
      <c r="AO955" t="str" cm="1">
        <f t="array" ref="AO955">_xlfn.IFS(Y955=1,"Poor",Y955=2,"Average",Y955=3,"Good",TRUE,"Excellent")</f>
        <v>Good</v>
      </c>
      <c r="AP955" t="str" cm="1">
        <f t="array" ref="AP955">_xlfn.IFS(Q955=1,"Low",Q955=2,"Medium",Q955=3,"High",TRUE,"Very High")</f>
        <v>Low</v>
      </c>
    </row>
    <row r="956" spans="1:42" x14ac:dyDescent="0.25">
      <c r="A956">
        <v>42</v>
      </c>
      <c r="B956" t="s">
        <v>42</v>
      </c>
      <c r="C956" t="s">
        <v>53</v>
      </c>
      <c r="D956">
        <v>495</v>
      </c>
      <c r="E956" t="s">
        <v>43</v>
      </c>
      <c r="F956">
        <v>2</v>
      </c>
      <c r="G956">
        <v>1</v>
      </c>
      <c r="H956" t="s">
        <v>37</v>
      </c>
      <c r="I956">
        <v>1</v>
      </c>
      <c r="J956">
        <v>1334</v>
      </c>
      <c r="K956">
        <v>3</v>
      </c>
      <c r="L956" t="s">
        <v>44</v>
      </c>
      <c r="M956">
        <v>37</v>
      </c>
      <c r="N956">
        <v>3</v>
      </c>
      <c r="O956">
        <v>4</v>
      </c>
      <c r="P956" t="s">
        <v>54</v>
      </c>
      <c r="Q956">
        <v>3</v>
      </c>
      <c r="R956" t="s">
        <v>46</v>
      </c>
      <c r="S956">
        <v>17861</v>
      </c>
      <c r="T956">
        <v>26582</v>
      </c>
      <c r="U956">
        <v>0</v>
      </c>
      <c r="V956" t="s">
        <v>41</v>
      </c>
      <c r="W956" t="s">
        <v>35</v>
      </c>
      <c r="X956">
        <v>13</v>
      </c>
      <c r="Y956">
        <v>3</v>
      </c>
      <c r="Z956">
        <v>4</v>
      </c>
      <c r="AA956">
        <v>80</v>
      </c>
      <c r="AB956">
        <v>0</v>
      </c>
      <c r="AC956">
        <v>21</v>
      </c>
      <c r="AD956">
        <v>3</v>
      </c>
      <c r="AE956">
        <v>2</v>
      </c>
      <c r="AF956">
        <v>20</v>
      </c>
      <c r="AG956">
        <v>8</v>
      </c>
      <c r="AH956">
        <v>2</v>
      </c>
      <c r="AI956">
        <v>10</v>
      </c>
      <c r="AJ956">
        <f t="shared" si="14"/>
        <v>0</v>
      </c>
      <c r="AK956" t="str" cm="1">
        <f t="array" ref="AK956">_xlfn.IFS(A956&lt;=30,"18-30",A956&lt;=45,"31-45",A956&lt;=60,"46-60",TRUE, "60+")</f>
        <v>31-45</v>
      </c>
      <c r="AL956" t="str" cm="1">
        <f t="array" ref="AL956">_xlfn.IFS(F956&lt;=10,"0-10",F956&lt;=20,"11-20",TRUE,"20+")</f>
        <v>0-10</v>
      </c>
      <c r="AM956" t="str" cm="1">
        <f t="array" ref="AM956">_xlfn.IFS(S956&lt;=5000,"0-5k",S956&lt;=10000,"5k-10k",S956&lt;=15000,"10k-15k",TRUE,"15k+")</f>
        <v>15k+</v>
      </c>
      <c r="AN956" t="str" cm="1">
        <f t="array" ref="AN956">_xlfn.IFS(AF956&lt;=10,"0-10",AF956&lt;=20,"10-20",AF956&lt;=30,"20-30",TRUE,"30+")</f>
        <v>10-20</v>
      </c>
      <c r="AO956" t="str" cm="1">
        <f t="array" ref="AO956">_xlfn.IFS(Y956=1,"Poor",Y956=2,"Average",Y956=3,"Good",TRUE,"Excellent")</f>
        <v>Good</v>
      </c>
      <c r="AP956" t="str" cm="1">
        <f t="array" ref="AP956">_xlfn.IFS(Q956=1,"Low",Q956=2,"Medium",Q956=3,"High",TRUE,"Very High")</f>
        <v>High</v>
      </c>
    </row>
    <row r="957" spans="1:42" x14ac:dyDescent="0.25">
      <c r="A957">
        <v>55</v>
      </c>
      <c r="B957" t="s">
        <v>42</v>
      </c>
      <c r="C957" t="s">
        <v>90</v>
      </c>
      <c r="D957">
        <v>282</v>
      </c>
      <c r="E957" t="s">
        <v>43</v>
      </c>
      <c r="F957">
        <v>2</v>
      </c>
      <c r="G957">
        <v>2</v>
      </c>
      <c r="H957" t="s">
        <v>49</v>
      </c>
      <c r="I957">
        <v>1</v>
      </c>
      <c r="J957">
        <v>1336</v>
      </c>
      <c r="K957">
        <v>4</v>
      </c>
      <c r="L957" t="s">
        <v>38</v>
      </c>
      <c r="M957">
        <v>58</v>
      </c>
      <c r="N957">
        <v>1</v>
      </c>
      <c r="O957">
        <v>5</v>
      </c>
      <c r="P957" t="s">
        <v>54</v>
      </c>
      <c r="Q957">
        <v>3</v>
      </c>
      <c r="R957" t="s">
        <v>46</v>
      </c>
      <c r="S957">
        <v>19187</v>
      </c>
      <c r="T957">
        <v>6992</v>
      </c>
      <c r="U957">
        <v>4</v>
      </c>
      <c r="V957" t="s">
        <v>41</v>
      </c>
      <c r="W957" t="s">
        <v>42</v>
      </c>
      <c r="X957">
        <v>14</v>
      </c>
      <c r="Y957">
        <v>3</v>
      </c>
      <c r="Z957">
        <v>4</v>
      </c>
      <c r="AA957">
        <v>80</v>
      </c>
      <c r="AB957">
        <v>1</v>
      </c>
      <c r="AC957">
        <v>23</v>
      </c>
      <c r="AD957">
        <v>5</v>
      </c>
      <c r="AE957">
        <v>3</v>
      </c>
      <c r="AF957">
        <v>19</v>
      </c>
      <c r="AG957">
        <v>9</v>
      </c>
      <c r="AH957">
        <v>9</v>
      </c>
      <c r="AI957">
        <v>11</v>
      </c>
      <c r="AJ957">
        <f t="shared" si="14"/>
        <v>0</v>
      </c>
      <c r="AK957" t="str" cm="1">
        <f t="array" ref="AK957">_xlfn.IFS(A957&lt;=30,"18-30",A957&lt;=45,"31-45",A957&lt;=60,"46-60",TRUE, "60+")</f>
        <v>46-60</v>
      </c>
      <c r="AL957" t="str" cm="1">
        <f t="array" ref="AL957">_xlfn.IFS(F957&lt;=10,"0-10",F957&lt;=20,"11-20",TRUE,"20+")</f>
        <v>0-10</v>
      </c>
      <c r="AM957" t="str" cm="1">
        <f t="array" ref="AM957">_xlfn.IFS(S957&lt;=5000,"0-5k",S957&lt;=10000,"5k-10k",S957&lt;=15000,"10k-15k",TRUE,"15k+")</f>
        <v>15k+</v>
      </c>
      <c r="AN957" t="str" cm="1">
        <f t="array" ref="AN957">_xlfn.IFS(AF957&lt;=10,"0-10",AF957&lt;=20,"10-20",AF957&lt;=30,"20-30",TRUE,"30+")</f>
        <v>10-20</v>
      </c>
      <c r="AO957" t="str" cm="1">
        <f t="array" ref="AO957">_xlfn.IFS(Y957=1,"Poor",Y957=2,"Average",Y957=3,"Good",TRUE,"Excellent")</f>
        <v>Good</v>
      </c>
      <c r="AP957" t="str" cm="1">
        <f t="array" ref="AP957">_xlfn.IFS(Q957=1,"Low",Q957=2,"Medium",Q957=3,"High",TRUE,"Very High")</f>
        <v>High</v>
      </c>
    </row>
    <row r="958" spans="1:42" x14ac:dyDescent="0.25">
      <c r="A958">
        <v>56</v>
      </c>
      <c r="B958" t="s">
        <v>42</v>
      </c>
      <c r="C958" t="s">
        <v>90</v>
      </c>
      <c r="D958">
        <v>206</v>
      </c>
      <c r="E958" t="s">
        <v>59</v>
      </c>
      <c r="F958">
        <v>8</v>
      </c>
      <c r="G958">
        <v>4</v>
      </c>
      <c r="H958" t="s">
        <v>37</v>
      </c>
      <c r="I958">
        <v>1</v>
      </c>
      <c r="J958">
        <v>1338</v>
      </c>
      <c r="K958">
        <v>4</v>
      </c>
      <c r="L958" t="s">
        <v>44</v>
      </c>
      <c r="M958">
        <v>99</v>
      </c>
      <c r="N958">
        <v>3</v>
      </c>
      <c r="O958">
        <v>5</v>
      </c>
      <c r="P958" t="s">
        <v>54</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c r="AJ958">
        <f t="shared" si="14"/>
        <v>0</v>
      </c>
      <c r="AK958" t="str" cm="1">
        <f t="array" ref="AK958">_xlfn.IFS(A958&lt;=30,"18-30",A958&lt;=45,"31-45",A958&lt;=60,"46-60",TRUE, "60+")</f>
        <v>46-60</v>
      </c>
      <c r="AL958" t="str" cm="1">
        <f t="array" ref="AL958">_xlfn.IFS(F958&lt;=10,"0-10",F958&lt;=20,"11-20",TRUE,"20+")</f>
        <v>0-10</v>
      </c>
      <c r="AM958" t="str" cm="1">
        <f t="array" ref="AM958">_xlfn.IFS(S958&lt;=5000,"0-5k",S958&lt;=10000,"5k-10k",S958&lt;=15000,"10k-15k",TRUE,"15k+")</f>
        <v>15k+</v>
      </c>
      <c r="AN958" t="str" cm="1">
        <f t="array" ref="AN958">_xlfn.IFS(AF958&lt;=10,"0-10",AF958&lt;=20,"10-20",AF958&lt;=30,"20-30",TRUE,"30+")</f>
        <v>0-10</v>
      </c>
      <c r="AO958" t="str" cm="1">
        <f t="array" ref="AO958">_xlfn.IFS(Y958=1,"Poor",Y958=2,"Average",Y958=3,"Good",TRUE,"Excellent")</f>
        <v>Good</v>
      </c>
      <c r="AP958" t="str" cm="1">
        <f t="array" ref="AP958">_xlfn.IFS(Q958=1,"Low",Q958=2,"Medium",Q958=3,"High",TRUE,"Very High")</f>
        <v>Medium</v>
      </c>
    </row>
    <row r="959" spans="1:42" x14ac:dyDescent="0.25">
      <c r="A959">
        <v>40</v>
      </c>
      <c r="B959" t="s">
        <v>42</v>
      </c>
      <c r="C959" t="s">
        <v>53</v>
      </c>
      <c r="D959">
        <v>458</v>
      </c>
      <c r="E959" t="s">
        <v>43</v>
      </c>
      <c r="F959">
        <v>16</v>
      </c>
      <c r="G959">
        <v>2</v>
      </c>
      <c r="H959" t="s">
        <v>37</v>
      </c>
      <c r="I959">
        <v>1</v>
      </c>
      <c r="J959">
        <v>1340</v>
      </c>
      <c r="K959">
        <v>3</v>
      </c>
      <c r="L959" t="s">
        <v>44</v>
      </c>
      <c r="M959">
        <v>74</v>
      </c>
      <c r="N959">
        <v>3</v>
      </c>
      <c r="O959">
        <v>1</v>
      </c>
      <c r="P959" t="s">
        <v>45</v>
      </c>
      <c r="Q959">
        <v>3</v>
      </c>
      <c r="R959" t="s">
        <v>50</v>
      </c>
      <c r="S959">
        <v>3544</v>
      </c>
      <c r="T959">
        <v>8532</v>
      </c>
      <c r="U959">
        <v>9</v>
      </c>
      <c r="V959" t="s">
        <v>41</v>
      </c>
      <c r="W959" t="s">
        <v>42</v>
      </c>
      <c r="X959">
        <v>16</v>
      </c>
      <c r="Y959">
        <v>3</v>
      </c>
      <c r="Z959">
        <v>2</v>
      </c>
      <c r="AA959">
        <v>80</v>
      </c>
      <c r="AB959">
        <v>1</v>
      </c>
      <c r="AC959">
        <v>6</v>
      </c>
      <c r="AD959">
        <v>0</v>
      </c>
      <c r="AE959">
        <v>3</v>
      </c>
      <c r="AF959">
        <v>4</v>
      </c>
      <c r="AG959">
        <v>2</v>
      </c>
      <c r="AH959">
        <v>0</v>
      </c>
      <c r="AI959">
        <v>0</v>
      </c>
      <c r="AJ959">
        <f t="shared" si="14"/>
        <v>0</v>
      </c>
      <c r="AK959" t="str" cm="1">
        <f t="array" ref="AK959">_xlfn.IFS(A959&lt;=30,"18-30",A959&lt;=45,"31-45",A959&lt;=60,"46-60",TRUE, "60+")</f>
        <v>31-45</v>
      </c>
      <c r="AL959" t="str" cm="1">
        <f t="array" ref="AL959">_xlfn.IFS(F959&lt;=10,"0-10",F959&lt;=20,"11-20",TRUE,"20+")</f>
        <v>11-20</v>
      </c>
      <c r="AM959" t="str" cm="1">
        <f t="array" ref="AM959">_xlfn.IFS(S959&lt;=5000,"0-5k",S959&lt;=10000,"5k-10k",S959&lt;=15000,"10k-15k",TRUE,"15k+")</f>
        <v>0-5k</v>
      </c>
      <c r="AN959" t="str" cm="1">
        <f t="array" ref="AN959">_xlfn.IFS(AF959&lt;=10,"0-10",AF959&lt;=20,"10-20",AF959&lt;=30,"20-30",TRUE,"30+")</f>
        <v>0-10</v>
      </c>
      <c r="AO959" t="str" cm="1">
        <f t="array" ref="AO959">_xlfn.IFS(Y959=1,"Poor",Y959=2,"Average",Y959=3,"Good",TRUE,"Excellent")</f>
        <v>Good</v>
      </c>
      <c r="AP959" t="str" cm="1">
        <f t="array" ref="AP959">_xlfn.IFS(Q959=1,"Low",Q959=2,"Medium",Q959=3,"High",TRUE,"Very High")</f>
        <v>High</v>
      </c>
    </row>
    <row r="960" spans="1:42" x14ac:dyDescent="0.25">
      <c r="A960">
        <v>34</v>
      </c>
      <c r="B960" t="s">
        <v>42</v>
      </c>
      <c r="C960" t="s">
        <v>90</v>
      </c>
      <c r="D960">
        <v>943</v>
      </c>
      <c r="E960" t="s">
        <v>43</v>
      </c>
      <c r="F960">
        <v>9</v>
      </c>
      <c r="G960">
        <v>3</v>
      </c>
      <c r="H960" t="s">
        <v>37</v>
      </c>
      <c r="I960">
        <v>1</v>
      </c>
      <c r="J960">
        <v>1344</v>
      </c>
      <c r="K960">
        <v>4</v>
      </c>
      <c r="L960" t="s">
        <v>44</v>
      </c>
      <c r="M960">
        <v>86</v>
      </c>
      <c r="N960">
        <v>3</v>
      </c>
      <c r="O960">
        <v>3</v>
      </c>
      <c r="P960" t="s">
        <v>52</v>
      </c>
      <c r="Q960">
        <v>4</v>
      </c>
      <c r="R960" t="s">
        <v>50</v>
      </c>
      <c r="S960">
        <v>8500</v>
      </c>
      <c r="T960">
        <v>5494</v>
      </c>
      <c r="U960">
        <v>0</v>
      </c>
      <c r="V960" t="s">
        <v>41</v>
      </c>
      <c r="W960" t="s">
        <v>42</v>
      </c>
      <c r="X960">
        <v>11</v>
      </c>
      <c r="Y960">
        <v>3</v>
      </c>
      <c r="Z960">
        <v>4</v>
      </c>
      <c r="AA960">
        <v>80</v>
      </c>
      <c r="AB960">
        <v>1</v>
      </c>
      <c r="AC960">
        <v>10</v>
      </c>
      <c r="AD960">
        <v>0</v>
      </c>
      <c r="AE960">
        <v>2</v>
      </c>
      <c r="AF960">
        <v>9</v>
      </c>
      <c r="AG960">
        <v>7</v>
      </c>
      <c r="AH960">
        <v>1</v>
      </c>
      <c r="AI960">
        <v>6</v>
      </c>
      <c r="AJ960">
        <f t="shared" si="14"/>
        <v>0</v>
      </c>
      <c r="AK960" t="str" cm="1">
        <f t="array" ref="AK960">_xlfn.IFS(A960&lt;=30,"18-30",A960&lt;=45,"31-45",A960&lt;=60,"46-60",TRUE, "60+")</f>
        <v>31-45</v>
      </c>
      <c r="AL960" t="str" cm="1">
        <f t="array" ref="AL960">_xlfn.IFS(F960&lt;=10,"0-10",F960&lt;=20,"11-20",TRUE,"20+")</f>
        <v>0-10</v>
      </c>
      <c r="AM960" t="str" cm="1">
        <f t="array" ref="AM960">_xlfn.IFS(S960&lt;=5000,"0-5k",S960&lt;=10000,"5k-10k",S960&lt;=15000,"10k-15k",TRUE,"15k+")</f>
        <v>5k-10k</v>
      </c>
      <c r="AN960" t="str" cm="1">
        <f t="array" ref="AN960">_xlfn.IFS(AF960&lt;=10,"0-10",AF960&lt;=20,"10-20",AF960&lt;=30,"20-30",TRUE,"30+")</f>
        <v>0-10</v>
      </c>
      <c r="AO960" t="str" cm="1">
        <f t="array" ref="AO960">_xlfn.IFS(Y960=1,"Poor",Y960=2,"Average",Y960=3,"Good",TRUE,"Excellent")</f>
        <v>Good</v>
      </c>
      <c r="AP960" t="str" cm="1">
        <f t="array" ref="AP960">_xlfn.IFS(Q960=1,"Low",Q960=2,"Medium",Q960=3,"High",TRUE,"Very High")</f>
        <v>Very High</v>
      </c>
    </row>
    <row r="961" spans="1:42" x14ac:dyDescent="0.25">
      <c r="A961">
        <v>40</v>
      </c>
      <c r="B961" t="s">
        <v>42</v>
      </c>
      <c r="C961" t="s">
        <v>90</v>
      </c>
      <c r="D961">
        <v>523</v>
      </c>
      <c r="E961" t="s">
        <v>43</v>
      </c>
      <c r="F961">
        <v>2</v>
      </c>
      <c r="G961">
        <v>3</v>
      </c>
      <c r="H961" t="s">
        <v>37</v>
      </c>
      <c r="I961">
        <v>1</v>
      </c>
      <c r="J961">
        <v>1346</v>
      </c>
      <c r="K961">
        <v>3</v>
      </c>
      <c r="L961" t="s">
        <v>44</v>
      </c>
      <c r="M961">
        <v>98</v>
      </c>
      <c r="N961">
        <v>3</v>
      </c>
      <c r="O961">
        <v>2</v>
      </c>
      <c r="P961" t="s">
        <v>45</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c r="AJ961">
        <f t="shared" si="14"/>
        <v>0</v>
      </c>
      <c r="AK961" t="str" cm="1">
        <f t="array" ref="AK961">_xlfn.IFS(A961&lt;=30,"18-30",A961&lt;=45,"31-45",A961&lt;=60,"46-60",TRUE, "60+")</f>
        <v>31-45</v>
      </c>
      <c r="AL961" t="str" cm="1">
        <f t="array" ref="AL961">_xlfn.IFS(F961&lt;=10,"0-10",F961&lt;=20,"11-20",TRUE,"20+")</f>
        <v>0-10</v>
      </c>
      <c r="AM961" t="str" cm="1">
        <f t="array" ref="AM961">_xlfn.IFS(S961&lt;=5000,"0-5k",S961&lt;=10000,"5k-10k",S961&lt;=15000,"10k-15k",TRUE,"15k+")</f>
        <v>0-5k</v>
      </c>
      <c r="AN961" t="str" cm="1">
        <f t="array" ref="AN961">_xlfn.IFS(AF961&lt;=10,"0-10",AF961&lt;=20,"10-20",AF961&lt;=30,"20-30",TRUE,"30+")</f>
        <v>0-10</v>
      </c>
      <c r="AO961" t="str" cm="1">
        <f t="array" ref="AO961">_xlfn.IFS(Y961=1,"Poor",Y961=2,"Average",Y961=3,"Good",TRUE,"Excellent")</f>
        <v>Good</v>
      </c>
      <c r="AP961" t="str" cm="1">
        <f t="array" ref="AP961">_xlfn.IFS(Q961=1,"Low",Q961=2,"Medium",Q961=3,"High",TRUE,"Very High")</f>
        <v>Very High</v>
      </c>
    </row>
    <row r="962" spans="1:42" x14ac:dyDescent="0.25">
      <c r="A962">
        <v>41</v>
      </c>
      <c r="B962" t="s">
        <v>42</v>
      </c>
      <c r="C962" t="s">
        <v>91</v>
      </c>
      <c r="D962">
        <v>1018</v>
      </c>
      <c r="E962" t="s">
        <v>36</v>
      </c>
      <c r="F962">
        <v>1</v>
      </c>
      <c r="G962">
        <v>3</v>
      </c>
      <c r="H962" t="s">
        <v>57</v>
      </c>
      <c r="I962">
        <v>1</v>
      </c>
      <c r="J962">
        <v>1349</v>
      </c>
      <c r="K962">
        <v>3</v>
      </c>
      <c r="L962" t="s">
        <v>38</v>
      </c>
      <c r="M962">
        <v>66</v>
      </c>
      <c r="N962">
        <v>3</v>
      </c>
      <c r="O962">
        <v>2</v>
      </c>
      <c r="P962" t="s">
        <v>39</v>
      </c>
      <c r="Q962">
        <v>1</v>
      </c>
      <c r="R962" t="s">
        <v>50</v>
      </c>
      <c r="S962">
        <v>4103</v>
      </c>
      <c r="T962">
        <v>4297</v>
      </c>
      <c r="U962">
        <v>0</v>
      </c>
      <c r="V962" t="s">
        <v>41</v>
      </c>
      <c r="W962" t="s">
        <v>42</v>
      </c>
      <c r="X962">
        <v>17</v>
      </c>
      <c r="Y962">
        <v>3</v>
      </c>
      <c r="Z962">
        <v>4</v>
      </c>
      <c r="AA962">
        <v>80</v>
      </c>
      <c r="AB962">
        <v>1</v>
      </c>
      <c r="AC962">
        <v>10</v>
      </c>
      <c r="AD962">
        <v>2</v>
      </c>
      <c r="AE962">
        <v>3</v>
      </c>
      <c r="AF962">
        <v>9</v>
      </c>
      <c r="AG962">
        <v>3</v>
      </c>
      <c r="AH962">
        <v>1</v>
      </c>
      <c r="AI962">
        <v>7</v>
      </c>
      <c r="AJ962">
        <f t="shared" ref="AJ962:AJ1025" si="15">IF(B962="yes",1,0)</f>
        <v>0</v>
      </c>
      <c r="AK962" t="str" cm="1">
        <f t="array" ref="AK962">_xlfn.IFS(A962&lt;=30,"18-30",A962&lt;=45,"31-45",A962&lt;=60,"46-60",TRUE, "60+")</f>
        <v>31-45</v>
      </c>
      <c r="AL962" t="str" cm="1">
        <f t="array" ref="AL962">_xlfn.IFS(F962&lt;=10,"0-10",F962&lt;=20,"11-20",TRUE,"20+")</f>
        <v>0-10</v>
      </c>
      <c r="AM962" t="str" cm="1">
        <f t="array" ref="AM962">_xlfn.IFS(S962&lt;=5000,"0-5k",S962&lt;=10000,"5k-10k",S962&lt;=15000,"10k-15k",TRUE,"15k+")</f>
        <v>0-5k</v>
      </c>
      <c r="AN962" t="str" cm="1">
        <f t="array" ref="AN962">_xlfn.IFS(AF962&lt;=10,"0-10",AF962&lt;=20,"10-20",AF962&lt;=30,"20-30",TRUE,"30+")</f>
        <v>0-10</v>
      </c>
      <c r="AO962" t="str" cm="1">
        <f t="array" ref="AO962">_xlfn.IFS(Y962=1,"Poor",Y962=2,"Average",Y962=3,"Good",TRUE,"Excellent")</f>
        <v>Good</v>
      </c>
      <c r="AP962" t="str" cm="1">
        <f t="array" ref="AP962">_xlfn.IFS(Q962=1,"Low",Q962=2,"Medium",Q962=3,"High",TRUE,"Very High")</f>
        <v>Low</v>
      </c>
    </row>
    <row r="963" spans="1:42" x14ac:dyDescent="0.25">
      <c r="A963">
        <v>35</v>
      </c>
      <c r="B963" t="s">
        <v>42</v>
      </c>
      <c r="C963" t="s">
        <v>91</v>
      </c>
      <c r="D963">
        <v>482</v>
      </c>
      <c r="E963" t="s">
        <v>43</v>
      </c>
      <c r="F963">
        <v>4</v>
      </c>
      <c r="G963">
        <v>4</v>
      </c>
      <c r="H963" t="s">
        <v>37</v>
      </c>
      <c r="I963">
        <v>1</v>
      </c>
      <c r="J963">
        <v>1350</v>
      </c>
      <c r="K963">
        <v>3</v>
      </c>
      <c r="L963" t="s">
        <v>44</v>
      </c>
      <c r="M963">
        <v>87</v>
      </c>
      <c r="N963">
        <v>3</v>
      </c>
      <c r="O963">
        <v>2</v>
      </c>
      <c r="P963" t="s">
        <v>45</v>
      </c>
      <c r="Q963">
        <v>3</v>
      </c>
      <c r="R963" t="s">
        <v>40</v>
      </c>
      <c r="S963">
        <v>4249</v>
      </c>
      <c r="T963">
        <v>2690</v>
      </c>
      <c r="U963">
        <v>1</v>
      </c>
      <c r="V963" t="s">
        <v>41</v>
      </c>
      <c r="W963" t="s">
        <v>35</v>
      </c>
      <c r="X963">
        <v>11</v>
      </c>
      <c r="Y963">
        <v>3</v>
      </c>
      <c r="Z963">
        <v>2</v>
      </c>
      <c r="AA963">
        <v>80</v>
      </c>
      <c r="AB963">
        <v>0</v>
      </c>
      <c r="AC963">
        <v>9</v>
      </c>
      <c r="AD963">
        <v>3</v>
      </c>
      <c r="AE963">
        <v>3</v>
      </c>
      <c r="AF963">
        <v>9</v>
      </c>
      <c r="AG963">
        <v>6</v>
      </c>
      <c r="AH963">
        <v>1</v>
      </c>
      <c r="AI963">
        <v>1</v>
      </c>
      <c r="AJ963">
        <f t="shared" si="15"/>
        <v>0</v>
      </c>
      <c r="AK963" t="str" cm="1">
        <f t="array" ref="AK963">_xlfn.IFS(A963&lt;=30,"18-30",A963&lt;=45,"31-45",A963&lt;=60,"46-60",TRUE, "60+")</f>
        <v>31-45</v>
      </c>
      <c r="AL963" t="str" cm="1">
        <f t="array" ref="AL963">_xlfn.IFS(F963&lt;=10,"0-10",F963&lt;=20,"11-20",TRUE,"20+")</f>
        <v>0-10</v>
      </c>
      <c r="AM963" t="str" cm="1">
        <f t="array" ref="AM963">_xlfn.IFS(S963&lt;=5000,"0-5k",S963&lt;=10000,"5k-10k",S963&lt;=15000,"10k-15k",TRUE,"15k+")</f>
        <v>0-5k</v>
      </c>
      <c r="AN963" t="str" cm="1">
        <f t="array" ref="AN963">_xlfn.IFS(AF963&lt;=10,"0-10",AF963&lt;=20,"10-20",AF963&lt;=30,"20-30",TRUE,"30+")</f>
        <v>0-10</v>
      </c>
      <c r="AO963" t="str" cm="1">
        <f t="array" ref="AO963">_xlfn.IFS(Y963=1,"Poor",Y963=2,"Average",Y963=3,"Good",TRUE,"Excellent")</f>
        <v>Good</v>
      </c>
      <c r="AP963" t="str" cm="1">
        <f t="array" ref="AP963">_xlfn.IFS(Q963=1,"Low",Q963=2,"Medium",Q963=3,"High",TRUE,"Very High")</f>
        <v>High</v>
      </c>
    </row>
    <row r="964" spans="1:42" x14ac:dyDescent="0.25">
      <c r="A964">
        <v>51</v>
      </c>
      <c r="B964" t="s">
        <v>42</v>
      </c>
      <c r="C964" t="s">
        <v>90</v>
      </c>
      <c r="D964">
        <v>770</v>
      </c>
      <c r="E964" t="s">
        <v>59</v>
      </c>
      <c r="F964">
        <v>5</v>
      </c>
      <c r="G964">
        <v>3</v>
      </c>
      <c r="H964" t="s">
        <v>37</v>
      </c>
      <c r="I964">
        <v>1</v>
      </c>
      <c r="J964">
        <v>1352</v>
      </c>
      <c r="K964">
        <v>3</v>
      </c>
      <c r="L964" t="s">
        <v>44</v>
      </c>
      <c r="M964">
        <v>84</v>
      </c>
      <c r="N964">
        <v>3</v>
      </c>
      <c r="O964">
        <v>4</v>
      </c>
      <c r="P964" t="s">
        <v>54</v>
      </c>
      <c r="Q964">
        <v>2</v>
      </c>
      <c r="R964" t="s">
        <v>50</v>
      </c>
      <c r="S964">
        <v>14026</v>
      </c>
      <c r="T964">
        <v>17588</v>
      </c>
      <c r="U964">
        <v>1</v>
      </c>
      <c r="V964" t="s">
        <v>41</v>
      </c>
      <c r="W964" t="s">
        <v>35</v>
      </c>
      <c r="X964">
        <v>11</v>
      </c>
      <c r="Y964">
        <v>3</v>
      </c>
      <c r="Z964">
        <v>2</v>
      </c>
      <c r="AA964">
        <v>80</v>
      </c>
      <c r="AB964">
        <v>1</v>
      </c>
      <c r="AC964">
        <v>33</v>
      </c>
      <c r="AD964">
        <v>2</v>
      </c>
      <c r="AE964">
        <v>3</v>
      </c>
      <c r="AF964">
        <v>33</v>
      </c>
      <c r="AG964">
        <v>9</v>
      </c>
      <c r="AH964">
        <v>0</v>
      </c>
      <c r="AI964">
        <v>10</v>
      </c>
      <c r="AJ964">
        <f t="shared" si="15"/>
        <v>0</v>
      </c>
      <c r="AK964" t="str" cm="1">
        <f t="array" ref="AK964">_xlfn.IFS(A964&lt;=30,"18-30",A964&lt;=45,"31-45",A964&lt;=60,"46-60",TRUE, "60+")</f>
        <v>46-60</v>
      </c>
      <c r="AL964" t="str" cm="1">
        <f t="array" ref="AL964">_xlfn.IFS(F964&lt;=10,"0-10",F964&lt;=20,"11-20",TRUE,"20+")</f>
        <v>0-10</v>
      </c>
      <c r="AM964" t="str" cm="1">
        <f t="array" ref="AM964">_xlfn.IFS(S964&lt;=5000,"0-5k",S964&lt;=10000,"5k-10k",S964&lt;=15000,"10k-15k",TRUE,"15k+")</f>
        <v>10k-15k</v>
      </c>
      <c r="AN964" t="str" cm="1">
        <f t="array" ref="AN964">_xlfn.IFS(AF964&lt;=10,"0-10",AF964&lt;=20,"10-20",AF964&lt;=30,"20-30",TRUE,"30+")</f>
        <v>30+</v>
      </c>
      <c r="AO964" t="str" cm="1">
        <f t="array" ref="AO964">_xlfn.IFS(Y964=1,"Poor",Y964=2,"Average",Y964=3,"Good",TRUE,"Excellent")</f>
        <v>Good</v>
      </c>
      <c r="AP964" t="str" cm="1">
        <f t="array" ref="AP964">_xlfn.IFS(Q964=1,"Low",Q964=2,"Medium",Q964=3,"High",TRUE,"Very High")</f>
        <v>Medium</v>
      </c>
    </row>
    <row r="965" spans="1:42" x14ac:dyDescent="0.25">
      <c r="A965">
        <v>38</v>
      </c>
      <c r="B965" t="s">
        <v>42</v>
      </c>
      <c r="C965" t="s">
        <v>90</v>
      </c>
      <c r="D965">
        <v>1009</v>
      </c>
      <c r="E965" t="s">
        <v>36</v>
      </c>
      <c r="F965">
        <v>2</v>
      </c>
      <c r="G965">
        <v>2</v>
      </c>
      <c r="H965" t="s">
        <v>37</v>
      </c>
      <c r="I965">
        <v>1</v>
      </c>
      <c r="J965">
        <v>1355</v>
      </c>
      <c r="K965">
        <v>2</v>
      </c>
      <c r="L965" t="s">
        <v>38</v>
      </c>
      <c r="M965">
        <v>31</v>
      </c>
      <c r="N965">
        <v>3</v>
      </c>
      <c r="O965">
        <v>2</v>
      </c>
      <c r="P965" t="s">
        <v>39</v>
      </c>
      <c r="Q965">
        <v>1</v>
      </c>
      <c r="R965" t="s">
        <v>50</v>
      </c>
      <c r="S965">
        <v>6893</v>
      </c>
      <c r="T965">
        <v>19461</v>
      </c>
      <c r="U965">
        <v>3</v>
      </c>
      <c r="V965" t="s">
        <v>41</v>
      </c>
      <c r="W965" t="s">
        <v>42</v>
      </c>
      <c r="X965">
        <v>15</v>
      </c>
      <c r="Y965">
        <v>3</v>
      </c>
      <c r="Z965">
        <v>4</v>
      </c>
      <c r="AA965">
        <v>80</v>
      </c>
      <c r="AB965">
        <v>1</v>
      </c>
      <c r="AC965">
        <v>11</v>
      </c>
      <c r="AD965">
        <v>3</v>
      </c>
      <c r="AE965">
        <v>3</v>
      </c>
      <c r="AF965">
        <v>7</v>
      </c>
      <c r="AG965">
        <v>7</v>
      </c>
      <c r="AH965">
        <v>1</v>
      </c>
      <c r="AI965">
        <v>7</v>
      </c>
      <c r="AJ965">
        <f t="shared" si="15"/>
        <v>0</v>
      </c>
      <c r="AK965" t="str" cm="1">
        <f t="array" ref="AK965">_xlfn.IFS(A965&lt;=30,"18-30",A965&lt;=45,"31-45",A965&lt;=60,"46-60",TRUE, "60+")</f>
        <v>31-45</v>
      </c>
      <c r="AL965" t="str" cm="1">
        <f t="array" ref="AL965">_xlfn.IFS(F965&lt;=10,"0-10",F965&lt;=20,"11-20",TRUE,"20+")</f>
        <v>0-10</v>
      </c>
      <c r="AM965" t="str" cm="1">
        <f t="array" ref="AM965">_xlfn.IFS(S965&lt;=5000,"0-5k",S965&lt;=10000,"5k-10k",S965&lt;=15000,"10k-15k",TRUE,"15k+")</f>
        <v>5k-10k</v>
      </c>
      <c r="AN965" t="str" cm="1">
        <f t="array" ref="AN965">_xlfn.IFS(AF965&lt;=10,"0-10",AF965&lt;=20,"10-20",AF965&lt;=30,"20-30",TRUE,"30+")</f>
        <v>0-10</v>
      </c>
      <c r="AO965" t="str" cm="1">
        <f t="array" ref="AO965">_xlfn.IFS(Y965=1,"Poor",Y965=2,"Average",Y965=3,"Good",TRUE,"Excellent")</f>
        <v>Good</v>
      </c>
      <c r="AP965" t="str" cm="1">
        <f t="array" ref="AP965">_xlfn.IFS(Q965=1,"Low",Q965=2,"Medium",Q965=3,"High",TRUE,"Very High")</f>
        <v>Low</v>
      </c>
    </row>
    <row r="966" spans="1:42" x14ac:dyDescent="0.25">
      <c r="A966">
        <v>34</v>
      </c>
      <c r="B966" t="s">
        <v>42</v>
      </c>
      <c r="C966" t="s">
        <v>90</v>
      </c>
      <c r="D966">
        <v>507</v>
      </c>
      <c r="E966" t="s">
        <v>36</v>
      </c>
      <c r="F966">
        <v>15</v>
      </c>
      <c r="G966">
        <v>2</v>
      </c>
      <c r="H966" t="s">
        <v>49</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c r="AJ966">
        <f t="shared" si="15"/>
        <v>0</v>
      </c>
      <c r="AK966" t="str" cm="1">
        <f t="array" ref="AK966">_xlfn.IFS(A966&lt;=30,"18-30",A966&lt;=45,"31-45",A966&lt;=60,"46-60",TRUE, "60+")</f>
        <v>31-45</v>
      </c>
      <c r="AL966" t="str" cm="1">
        <f t="array" ref="AL966">_xlfn.IFS(F966&lt;=10,"0-10",F966&lt;=20,"11-20",TRUE,"20+")</f>
        <v>11-20</v>
      </c>
      <c r="AM966" t="str" cm="1">
        <f t="array" ref="AM966">_xlfn.IFS(S966&lt;=5000,"0-5k",S966&lt;=10000,"5k-10k",S966&lt;=15000,"10k-15k",TRUE,"15k+")</f>
        <v>5k-10k</v>
      </c>
      <c r="AN966" t="str" cm="1">
        <f t="array" ref="AN966">_xlfn.IFS(AF966&lt;=10,"0-10",AF966&lt;=20,"10-20",AF966&lt;=30,"20-30",TRUE,"30+")</f>
        <v>0-10</v>
      </c>
      <c r="AO966" t="str" cm="1">
        <f t="array" ref="AO966">_xlfn.IFS(Y966=1,"Poor",Y966=2,"Average",Y966=3,"Good",TRUE,"Excellent")</f>
        <v>Good</v>
      </c>
      <c r="AP966" t="str" cm="1">
        <f t="array" ref="AP966">_xlfn.IFS(Q966=1,"Low",Q966=2,"Medium",Q966=3,"High",TRUE,"Very High")</f>
        <v>Low</v>
      </c>
    </row>
    <row r="967" spans="1:42" x14ac:dyDescent="0.25">
      <c r="A967">
        <v>25</v>
      </c>
      <c r="B967" t="s">
        <v>42</v>
      </c>
      <c r="C967" t="s">
        <v>90</v>
      </c>
      <c r="D967">
        <v>882</v>
      </c>
      <c r="E967" t="s">
        <v>43</v>
      </c>
      <c r="F967">
        <v>19</v>
      </c>
      <c r="G967">
        <v>1</v>
      </c>
      <c r="H967" t="s">
        <v>49</v>
      </c>
      <c r="I967">
        <v>1</v>
      </c>
      <c r="J967">
        <v>1358</v>
      </c>
      <c r="K967">
        <v>4</v>
      </c>
      <c r="L967" t="s">
        <v>44</v>
      </c>
      <c r="M967">
        <v>67</v>
      </c>
      <c r="N967">
        <v>3</v>
      </c>
      <c r="O967">
        <v>1</v>
      </c>
      <c r="P967" t="s">
        <v>48</v>
      </c>
      <c r="Q967">
        <v>4</v>
      </c>
      <c r="R967" t="s">
        <v>46</v>
      </c>
      <c r="S967">
        <v>3669</v>
      </c>
      <c r="T967">
        <v>9075</v>
      </c>
      <c r="U967">
        <v>3</v>
      </c>
      <c r="V967" t="s">
        <v>41</v>
      </c>
      <c r="W967" t="s">
        <v>42</v>
      </c>
      <c r="X967">
        <v>11</v>
      </c>
      <c r="Y967">
        <v>3</v>
      </c>
      <c r="Z967">
        <v>3</v>
      </c>
      <c r="AA967">
        <v>80</v>
      </c>
      <c r="AB967">
        <v>3</v>
      </c>
      <c r="AC967">
        <v>7</v>
      </c>
      <c r="AD967">
        <v>6</v>
      </c>
      <c r="AE967">
        <v>2</v>
      </c>
      <c r="AF967">
        <v>3</v>
      </c>
      <c r="AG967">
        <v>2</v>
      </c>
      <c r="AH967">
        <v>1</v>
      </c>
      <c r="AI967">
        <v>2</v>
      </c>
      <c r="AJ967">
        <f t="shared" si="15"/>
        <v>0</v>
      </c>
      <c r="AK967" t="str" cm="1">
        <f t="array" ref="AK967">_xlfn.IFS(A967&lt;=30,"18-30",A967&lt;=45,"31-45",A967&lt;=60,"46-60",TRUE, "60+")</f>
        <v>18-30</v>
      </c>
      <c r="AL967" t="str" cm="1">
        <f t="array" ref="AL967">_xlfn.IFS(F967&lt;=10,"0-10",F967&lt;=20,"11-20",TRUE,"20+")</f>
        <v>11-20</v>
      </c>
      <c r="AM967" t="str" cm="1">
        <f t="array" ref="AM967">_xlfn.IFS(S967&lt;=5000,"0-5k",S967&lt;=10000,"5k-10k",S967&lt;=15000,"10k-15k",TRUE,"15k+")</f>
        <v>0-5k</v>
      </c>
      <c r="AN967" t="str" cm="1">
        <f t="array" ref="AN967">_xlfn.IFS(AF967&lt;=10,"0-10",AF967&lt;=20,"10-20",AF967&lt;=30,"20-30",TRUE,"30+")</f>
        <v>0-10</v>
      </c>
      <c r="AO967" t="str" cm="1">
        <f t="array" ref="AO967">_xlfn.IFS(Y967=1,"Poor",Y967=2,"Average",Y967=3,"Good",TRUE,"Excellent")</f>
        <v>Good</v>
      </c>
      <c r="AP967" t="str" cm="1">
        <f t="array" ref="AP967">_xlfn.IFS(Q967=1,"Low",Q967=2,"Medium",Q967=3,"High",TRUE,"Very High")</f>
        <v>Very High</v>
      </c>
    </row>
    <row r="968" spans="1:42" x14ac:dyDescent="0.25">
      <c r="A968">
        <v>58</v>
      </c>
      <c r="B968" t="s">
        <v>35</v>
      </c>
      <c r="C968" t="s">
        <v>90</v>
      </c>
      <c r="D968">
        <v>601</v>
      </c>
      <c r="E968" t="s">
        <v>43</v>
      </c>
      <c r="F968">
        <v>7</v>
      </c>
      <c r="G968">
        <v>4</v>
      </c>
      <c r="H968" t="s">
        <v>49</v>
      </c>
      <c r="I968">
        <v>1</v>
      </c>
      <c r="J968">
        <v>1360</v>
      </c>
      <c r="K968">
        <v>3</v>
      </c>
      <c r="L968" t="s">
        <v>38</v>
      </c>
      <c r="M968">
        <v>53</v>
      </c>
      <c r="N968">
        <v>2</v>
      </c>
      <c r="O968">
        <v>3</v>
      </c>
      <c r="P968" t="s">
        <v>51</v>
      </c>
      <c r="Q968">
        <v>1</v>
      </c>
      <c r="R968" t="s">
        <v>46</v>
      </c>
      <c r="S968">
        <v>10008</v>
      </c>
      <c r="T968">
        <v>12023</v>
      </c>
      <c r="U968">
        <v>7</v>
      </c>
      <c r="V968" t="s">
        <v>41</v>
      </c>
      <c r="W968" t="s">
        <v>35</v>
      </c>
      <c r="X968">
        <v>14</v>
      </c>
      <c r="Y968">
        <v>3</v>
      </c>
      <c r="Z968">
        <v>4</v>
      </c>
      <c r="AA968">
        <v>80</v>
      </c>
      <c r="AB968">
        <v>0</v>
      </c>
      <c r="AC968">
        <v>31</v>
      </c>
      <c r="AD968">
        <v>0</v>
      </c>
      <c r="AE968">
        <v>2</v>
      </c>
      <c r="AF968">
        <v>10</v>
      </c>
      <c r="AG968">
        <v>9</v>
      </c>
      <c r="AH968">
        <v>5</v>
      </c>
      <c r="AI968">
        <v>9</v>
      </c>
      <c r="AJ968">
        <f t="shared" si="15"/>
        <v>1</v>
      </c>
      <c r="AK968" t="str" cm="1">
        <f t="array" ref="AK968">_xlfn.IFS(A968&lt;=30,"18-30",A968&lt;=45,"31-45",A968&lt;=60,"46-60",TRUE, "60+")</f>
        <v>46-60</v>
      </c>
      <c r="AL968" t="str" cm="1">
        <f t="array" ref="AL968">_xlfn.IFS(F968&lt;=10,"0-10",F968&lt;=20,"11-20",TRUE,"20+")</f>
        <v>0-10</v>
      </c>
      <c r="AM968" t="str" cm="1">
        <f t="array" ref="AM968">_xlfn.IFS(S968&lt;=5000,"0-5k",S968&lt;=10000,"5k-10k",S968&lt;=15000,"10k-15k",TRUE,"15k+")</f>
        <v>10k-15k</v>
      </c>
      <c r="AN968" t="str" cm="1">
        <f t="array" ref="AN968">_xlfn.IFS(AF968&lt;=10,"0-10",AF968&lt;=20,"10-20",AF968&lt;=30,"20-30",TRUE,"30+")</f>
        <v>0-10</v>
      </c>
      <c r="AO968" t="str" cm="1">
        <f t="array" ref="AO968">_xlfn.IFS(Y968=1,"Poor",Y968=2,"Average",Y968=3,"Good",TRUE,"Excellent")</f>
        <v>Good</v>
      </c>
      <c r="AP968" t="str" cm="1">
        <f t="array" ref="AP968">_xlfn.IFS(Q968=1,"Low",Q968=2,"Medium",Q968=3,"High",TRUE,"Very High")</f>
        <v>Low</v>
      </c>
    </row>
    <row r="969" spans="1:42" x14ac:dyDescent="0.25">
      <c r="A969">
        <v>40</v>
      </c>
      <c r="B969" t="s">
        <v>42</v>
      </c>
      <c r="C969" t="s">
        <v>90</v>
      </c>
      <c r="D969">
        <v>329</v>
      </c>
      <c r="E969" t="s">
        <v>43</v>
      </c>
      <c r="F969">
        <v>1</v>
      </c>
      <c r="G969">
        <v>4</v>
      </c>
      <c r="H969" t="s">
        <v>37</v>
      </c>
      <c r="I969">
        <v>1</v>
      </c>
      <c r="J969">
        <v>1361</v>
      </c>
      <c r="K969">
        <v>2</v>
      </c>
      <c r="L969" t="s">
        <v>44</v>
      </c>
      <c r="M969">
        <v>88</v>
      </c>
      <c r="N969">
        <v>3</v>
      </c>
      <c r="O969">
        <v>1</v>
      </c>
      <c r="P969" t="s">
        <v>48</v>
      </c>
      <c r="Q969">
        <v>2</v>
      </c>
      <c r="R969" t="s">
        <v>46</v>
      </c>
      <c r="S969">
        <v>2387</v>
      </c>
      <c r="T969">
        <v>6762</v>
      </c>
      <c r="U969">
        <v>3</v>
      </c>
      <c r="V969" t="s">
        <v>41</v>
      </c>
      <c r="W969" t="s">
        <v>42</v>
      </c>
      <c r="X969">
        <v>22</v>
      </c>
      <c r="Y969">
        <v>4</v>
      </c>
      <c r="Z969">
        <v>3</v>
      </c>
      <c r="AA969">
        <v>80</v>
      </c>
      <c r="AB969">
        <v>1</v>
      </c>
      <c r="AC969">
        <v>7</v>
      </c>
      <c r="AD969">
        <v>3</v>
      </c>
      <c r="AE969">
        <v>3</v>
      </c>
      <c r="AF969">
        <v>4</v>
      </c>
      <c r="AG969">
        <v>2</v>
      </c>
      <c r="AH969">
        <v>0</v>
      </c>
      <c r="AI969">
        <v>3</v>
      </c>
      <c r="AJ969">
        <f t="shared" si="15"/>
        <v>0</v>
      </c>
      <c r="AK969" t="str" cm="1">
        <f t="array" ref="AK969">_xlfn.IFS(A969&lt;=30,"18-30",A969&lt;=45,"31-45",A969&lt;=60,"46-60",TRUE, "60+")</f>
        <v>31-45</v>
      </c>
      <c r="AL969" t="str" cm="1">
        <f t="array" ref="AL969">_xlfn.IFS(F969&lt;=10,"0-10",F969&lt;=20,"11-20",TRUE,"20+")</f>
        <v>0-10</v>
      </c>
      <c r="AM969" t="str" cm="1">
        <f t="array" ref="AM969">_xlfn.IFS(S969&lt;=5000,"0-5k",S969&lt;=10000,"5k-10k",S969&lt;=15000,"10k-15k",TRUE,"15k+")</f>
        <v>0-5k</v>
      </c>
      <c r="AN969" t="str" cm="1">
        <f t="array" ref="AN969">_xlfn.IFS(AF969&lt;=10,"0-10",AF969&lt;=20,"10-20",AF969&lt;=30,"20-30",TRUE,"30+")</f>
        <v>0-10</v>
      </c>
      <c r="AO969" t="str" cm="1">
        <f t="array" ref="AO969">_xlfn.IFS(Y969=1,"Poor",Y969=2,"Average",Y969=3,"Good",TRUE,"Excellent")</f>
        <v>Excellent</v>
      </c>
      <c r="AP969" t="str" cm="1">
        <f t="array" ref="AP969">_xlfn.IFS(Q969=1,"Low",Q969=2,"Medium",Q969=3,"High",TRUE,"Very High")</f>
        <v>Medium</v>
      </c>
    </row>
    <row r="970" spans="1:42" x14ac:dyDescent="0.25">
      <c r="A970">
        <v>36</v>
      </c>
      <c r="B970" t="s">
        <v>42</v>
      </c>
      <c r="C970" t="s">
        <v>91</v>
      </c>
      <c r="D970">
        <v>607</v>
      </c>
      <c r="E970" t="s">
        <v>36</v>
      </c>
      <c r="F970">
        <v>7</v>
      </c>
      <c r="G970">
        <v>3</v>
      </c>
      <c r="H970" t="s">
        <v>57</v>
      </c>
      <c r="I970">
        <v>1</v>
      </c>
      <c r="J970">
        <v>1362</v>
      </c>
      <c r="K970">
        <v>1</v>
      </c>
      <c r="L970" t="s">
        <v>38</v>
      </c>
      <c r="M970">
        <v>83</v>
      </c>
      <c r="N970">
        <v>4</v>
      </c>
      <c r="O970">
        <v>2</v>
      </c>
      <c r="P970" t="s">
        <v>39</v>
      </c>
      <c r="Q970">
        <v>1</v>
      </c>
      <c r="R970" t="s">
        <v>46</v>
      </c>
      <c r="S970">
        <v>4639</v>
      </c>
      <c r="T970">
        <v>2261</v>
      </c>
      <c r="U970">
        <v>2</v>
      </c>
      <c r="V970" t="s">
        <v>41</v>
      </c>
      <c r="W970" t="s">
        <v>42</v>
      </c>
      <c r="X970">
        <v>16</v>
      </c>
      <c r="Y970">
        <v>3</v>
      </c>
      <c r="Z970">
        <v>4</v>
      </c>
      <c r="AA970">
        <v>80</v>
      </c>
      <c r="AB970">
        <v>1</v>
      </c>
      <c r="AC970">
        <v>17</v>
      </c>
      <c r="AD970">
        <v>2</v>
      </c>
      <c r="AE970">
        <v>2</v>
      </c>
      <c r="AF970">
        <v>15</v>
      </c>
      <c r="AG970">
        <v>7</v>
      </c>
      <c r="AH970">
        <v>6</v>
      </c>
      <c r="AI970">
        <v>13</v>
      </c>
      <c r="AJ970">
        <f t="shared" si="15"/>
        <v>0</v>
      </c>
      <c r="AK970" t="str" cm="1">
        <f t="array" ref="AK970">_xlfn.IFS(A970&lt;=30,"18-30",A970&lt;=45,"31-45",A970&lt;=60,"46-60",TRUE, "60+")</f>
        <v>31-45</v>
      </c>
      <c r="AL970" t="str" cm="1">
        <f t="array" ref="AL970">_xlfn.IFS(F970&lt;=10,"0-10",F970&lt;=20,"11-20",TRUE,"20+")</f>
        <v>0-10</v>
      </c>
      <c r="AM970" t="str" cm="1">
        <f t="array" ref="AM970">_xlfn.IFS(S970&lt;=5000,"0-5k",S970&lt;=10000,"5k-10k",S970&lt;=15000,"10k-15k",TRUE,"15k+")</f>
        <v>0-5k</v>
      </c>
      <c r="AN970" t="str" cm="1">
        <f t="array" ref="AN970">_xlfn.IFS(AF970&lt;=10,"0-10",AF970&lt;=20,"10-20",AF970&lt;=30,"20-30",TRUE,"30+")</f>
        <v>10-20</v>
      </c>
      <c r="AO970" t="str" cm="1">
        <f t="array" ref="AO970">_xlfn.IFS(Y970=1,"Poor",Y970=2,"Average",Y970=3,"Good",TRUE,"Excellent")</f>
        <v>Good</v>
      </c>
      <c r="AP970" t="str" cm="1">
        <f t="array" ref="AP970">_xlfn.IFS(Q970=1,"Low",Q970=2,"Medium",Q970=3,"High",TRUE,"Very High")</f>
        <v>Low</v>
      </c>
    </row>
    <row r="971" spans="1:42" x14ac:dyDescent="0.25">
      <c r="A971">
        <v>48</v>
      </c>
      <c r="B971" t="s">
        <v>42</v>
      </c>
      <c r="C971" t="s">
        <v>90</v>
      </c>
      <c r="D971">
        <v>855</v>
      </c>
      <c r="E971" t="s">
        <v>43</v>
      </c>
      <c r="F971">
        <v>4</v>
      </c>
      <c r="G971">
        <v>3</v>
      </c>
      <c r="H971" t="s">
        <v>37</v>
      </c>
      <c r="I971">
        <v>1</v>
      </c>
      <c r="J971">
        <v>1363</v>
      </c>
      <c r="K971">
        <v>4</v>
      </c>
      <c r="L971" t="s">
        <v>44</v>
      </c>
      <c r="M971">
        <v>54</v>
      </c>
      <c r="N971">
        <v>3</v>
      </c>
      <c r="O971">
        <v>3</v>
      </c>
      <c r="P971" t="s">
        <v>51</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c r="AJ971">
        <f t="shared" si="15"/>
        <v>0</v>
      </c>
      <c r="AK971" t="str" cm="1">
        <f t="array" ref="AK971">_xlfn.IFS(A971&lt;=30,"18-30",A971&lt;=45,"31-45",A971&lt;=60,"46-60",TRUE, "60+")</f>
        <v>46-60</v>
      </c>
      <c r="AL971" t="str" cm="1">
        <f t="array" ref="AL971">_xlfn.IFS(F971&lt;=10,"0-10",F971&lt;=20,"11-20",TRUE,"20+")</f>
        <v>0-10</v>
      </c>
      <c r="AM971" t="str" cm="1">
        <f t="array" ref="AM971">_xlfn.IFS(S971&lt;=5000,"0-5k",S971&lt;=10000,"5k-10k",S971&lt;=15000,"10k-15k",TRUE,"15k+")</f>
        <v>5k-10k</v>
      </c>
      <c r="AN971" t="str" cm="1">
        <f t="array" ref="AN971">_xlfn.IFS(AF971&lt;=10,"0-10",AF971&lt;=20,"10-20",AF971&lt;=30,"20-30",TRUE,"30+")</f>
        <v>0-10</v>
      </c>
      <c r="AO971" t="str" cm="1">
        <f t="array" ref="AO971">_xlfn.IFS(Y971=1,"Poor",Y971=2,"Average",Y971=3,"Good",TRUE,"Excellent")</f>
        <v>Good</v>
      </c>
      <c r="AP971" t="str" cm="1">
        <f t="array" ref="AP971">_xlfn.IFS(Q971=1,"Low",Q971=2,"Medium",Q971=3,"High",TRUE,"Very High")</f>
        <v>Very High</v>
      </c>
    </row>
    <row r="972" spans="1:42" x14ac:dyDescent="0.25">
      <c r="A972">
        <v>27</v>
      </c>
      <c r="B972" t="s">
        <v>42</v>
      </c>
      <c r="C972" t="s">
        <v>90</v>
      </c>
      <c r="D972">
        <v>1291</v>
      </c>
      <c r="E972" t="s">
        <v>36</v>
      </c>
      <c r="F972">
        <v>11</v>
      </c>
      <c r="G972">
        <v>3</v>
      </c>
      <c r="H972" t="s">
        <v>49</v>
      </c>
      <c r="I972">
        <v>1</v>
      </c>
      <c r="J972">
        <v>1364</v>
      </c>
      <c r="K972">
        <v>3</v>
      </c>
      <c r="L972" t="s">
        <v>38</v>
      </c>
      <c r="M972">
        <v>98</v>
      </c>
      <c r="N972">
        <v>4</v>
      </c>
      <c r="O972">
        <v>1</v>
      </c>
      <c r="P972" t="s">
        <v>55</v>
      </c>
      <c r="Q972">
        <v>4</v>
      </c>
      <c r="R972" t="s">
        <v>46</v>
      </c>
      <c r="S972">
        <v>2534</v>
      </c>
      <c r="T972">
        <v>6527</v>
      </c>
      <c r="U972">
        <v>8</v>
      </c>
      <c r="V972" t="s">
        <v>41</v>
      </c>
      <c r="W972" t="s">
        <v>42</v>
      </c>
      <c r="X972">
        <v>14</v>
      </c>
      <c r="Y972">
        <v>3</v>
      </c>
      <c r="Z972">
        <v>2</v>
      </c>
      <c r="AA972">
        <v>80</v>
      </c>
      <c r="AB972">
        <v>1</v>
      </c>
      <c r="AC972">
        <v>5</v>
      </c>
      <c r="AD972">
        <v>4</v>
      </c>
      <c r="AE972">
        <v>3</v>
      </c>
      <c r="AF972">
        <v>1</v>
      </c>
      <c r="AG972">
        <v>0</v>
      </c>
      <c r="AH972">
        <v>0</v>
      </c>
      <c r="AI972">
        <v>0</v>
      </c>
      <c r="AJ972">
        <f t="shared" si="15"/>
        <v>0</v>
      </c>
      <c r="AK972" t="str" cm="1">
        <f t="array" ref="AK972">_xlfn.IFS(A972&lt;=30,"18-30",A972&lt;=45,"31-45",A972&lt;=60,"46-60",TRUE, "60+")</f>
        <v>18-30</v>
      </c>
      <c r="AL972" t="str" cm="1">
        <f t="array" ref="AL972">_xlfn.IFS(F972&lt;=10,"0-10",F972&lt;=20,"11-20",TRUE,"20+")</f>
        <v>11-20</v>
      </c>
      <c r="AM972" t="str" cm="1">
        <f t="array" ref="AM972">_xlfn.IFS(S972&lt;=5000,"0-5k",S972&lt;=10000,"5k-10k",S972&lt;=15000,"10k-15k",TRUE,"15k+")</f>
        <v>0-5k</v>
      </c>
      <c r="AN972" t="str" cm="1">
        <f t="array" ref="AN972">_xlfn.IFS(AF972&lt;=10,"0-10",AF972&lt;=20,"10-20",AF972&lt;=30,"20-30",TRUE,"30+")</f>
        <v>0-10</v>
      </c>
      <c r="AO972" t="str" cm="1">
        <f t="array" ref="AO972">_xlfn.IFS(Y972=1,"Poor",Y972=2,"Average",Y972=3,"Good",TRUE,"Excellent")</f>
        <v>Good</v>
      </c>
      <c r="AP972" t="str" cm="1">
        <f t="array" ref="AP972">_xlfn.IFS(Q972=1,"Low",Q972=2,"Medium",Q972=3,"High",TRUE,"Very High")</f>
        <v>Very High</v>
      </c>
    </row>
    <row r="973" spans="1:42" x14ac:dyDescent="0.25">
      <c r="A973">
        <v>51</v>
      </c>
      <c r="B973" t="s">
        <v>42</v>
      </c>
      <c r="C973" t="s">
        <v>90</v>
      </c>
      <c r="D973">
        <v>1405</v>
      </c>
      <c r="E973" t="s">
        <v>43</v>
      </c>
      <c r="F973">
        <v>11</v>
      </c>
      <c r="G973">
        <v>2</v>
      </c>
      <c r="H973" t="s">
        <v>58</v>
      </c>
      <c r="I973">
        <v>1</v>
      </c>
      <c r="J973">
        <v>1367</v>
      </c>
      <c r="K973">
        <v>4</v>
      </c>
      <c r="L973" t="s">
        <v>38</v>
      </c>
      <c r="M973">
        <v>82</v>
      </c>
      <c r="N973">
        <v>2</v>
      </c>
      <c r="O973">
        <v>4</v>
      </c>
      <c r="P973" t="s">
        <v>51</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c r="AJ973">
        <f t="shared" si="15"/>
        <v>0</v>
      </c>
      <c r="AK973" t="str" cm="1">
        <f t="array" ref="AK973">_xlfn.IFS(A973&lt;=30,"18-30",A973&lt;=45,"31-45",A973&lt;=60,"46-60",TRUE, "60+")</f>
        <v>46-60</v>
      </c>
      <c r="AL973" t="str" cm="1">
        <f t="array" ref="AL973">_xlfn.IFS(F973&lt;=10,"0-10",F973&lt;=20,"11-20",TRUE,"20+")</f>
        <v>11-20</v>
      </c>
      <c r="AM973" t="str" cm="1">
        <f t="array" ref="AM973">_xlfn.IFS(S973&lt;=5000,"0-5k",S973&lt;=10000,"5k-10k",S973&lt;=15000,"10k-15k",TRUE,"15k+")</f>
        <v>10k-15k</v>
      </c>
      <c r="AN973" t="str" cm="1">
        <f t="array" ref="AN973">_xlfn.IFS(AF973&lt;=10,"0-10",AF973&lt;=20,"10-20",AF973&lt;=30,"20-30",TRUE,"30+")</f>
        <v>0-10</v>
      </c>
      <c r="AO973" t="str" cm="1">
        <f t="array" ref="AO973">_xlfn.IFS(Y973=1,"Poor",Y973=2,"Average",Y973=3,"Good",TRUE,"Excellent")</f>
        <v>Good</v>
      </c>
      <c r="AP973" t="str" cm="1">
        <f t="array" ref="AP973">_xlfn.IFS(Q973=1,"Low",Q973=2,"Medium",Q973=3,"High",TRUE,"Very High")</f>
        <v>Medium</v>
      </c>
    </row>
    <row r="974" spans="1:42" x14ac:dyDescent="0.25">
      <c r="A974">
        <v>18</v>
      </c>
      <c r="B974" t="s">
        <v>42</v>
      </c>
      <c r="C974" t="s">
        <v>53</v>
      </c>
      <c r="D974">
        <v>1124</v>
      </c>
      <c r="E974" t="s">
        <v>43</v>
      </c>
      <c r="F974">
        <v>1</v>
      </c>
      <c r="G974">
        <v>3</v>
      </c>
      <c r="H974" t="s">
        <v>37</v>
      </c>
      <c r="I974">
        <v>1</v>
      </c>
      <c r="J974">
        <v>1368</v>
      </c>
      <c r="K974">
        <v>4</v>
      </c>
      <c r="L974" t="s">
        <v>38</v>
      </c>
      <c r="M974">
        <v>97</v>
      </c>
      <c r="N974">
        <v>3</v>
      </c>
      <c r="O974">
        <v>1</v>
      </c>
      <c r="P974" t="s">
        <v>48</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c r="AJ974">
        <f t="shared" si="15"/>
        <v>0</v>
      </c>
      <c r="AK974" t="str" cm="1">
        <f t="array" ref="AK974">_xlfn.IFS(A974&lt;=30,"18-30",A974&lt;=45,"31-45",A974&lt;=60,"46-60",TRUE, "60+")</f>
        <v>18-30</v>
      </c>
      <c r="AL974" t="str" cm="1">
        <f t="array" ref="AL974">_xlfn.IFS(F974&lt;=10,"0-10",F974&lt;=20,"11-20",TRUE,"20+")</f>
        <v>0-10</v>
      </c>
      <c r="AM974" t="str" cm="1">
        <f t="array" ref="AM974">_xlfn.IFS(S974&lt;=5000,"0-5k",S974&lt;=10000,"5k-10k",S974&lt;=15000,"10k-15k",TRUE,"15k+")</f>
        <v>0-5k</v>
      </c>
      <c r="AN974" t="str" cm="1">
        <f t="array" ref="AN974">_xlfn.IFS(AF974&lt;=10,"0-10",AF974&lt;=20,"10-20",AF974&lt;=30,"20-30",TRUE,"30+")</f>
        <v>0-10</v>
      </c>
      <c r="AO974" t="str" cm="1">
        <f t="array" ref="AO974">_xlfn.IFS(Y974=1,"Poor",Y974=2,"Average",Y974=3,"Good",TRUE,"Excellent")</f>
        <v>Good</v>
      </c>
      <c r="AP974" t="str" cm="1">
        <f t="array" ref="AP974">_xlfn.IFS(Q974=1,"Low",Q974=2,"Medium",Q974=3,"High",TRUE,"Very High")</f>
        <v>Very High</v>
      </c>
    </row>
    <row r="975" spans="1:42" x14ac:dyDescent="0.25">
      <c r="A975">
        <v>35</v>
      </c>
      <c r="B975" t="s">
        <v>42</v>
      </c>
      <c r="C975" t="s">
        <v>90</v>
      </c>
      <c r="D975">
        <v>817</v>
      </c>
      <c r="E975" t="s">
        <v>43</v>
      </c>
      <c r="F975">
        <v>1</v>
      </c>
      <c r="G975">
        <v>3</v>
      </c>
      <c r="H975" t="s">
        <v>49</v>
      </c>
      <c r="I975">
        <v>1</v>
      </c>
      <c r="J975">
        <v>1369</v>
      </c>
      <c r="K975">
        <v>4</v>
      </c>
      <c r="L975" t="s">
        <v>38</v>
      </c>
      <c r="M975">
        <v>60</v>
      </c>
      <c r="N975">
        <v>2</v>
      </c>
      <c r="O975">
        <v>2</v>
      </c>
      <c r="P975" t="s">
        <v>48</v>
      </c>
      <c r="Q975">
        <v>4</v>
      </c>
      <c r="R975" t="s">
        <v>46</v>
      </c>
      <c r="S975">
        <v>5363</v>
      </c>
      <c r="T975">
        <v>10846</v>
      </c>
      <c r="U975">
        <v>0</v>
      </c>
      <c r="V975" t="s">
        <v>41</v>
      </c>
      <c r="W975" t="s">
        <v>42</v>
      </c>
      <c r="X975">
        <v>12</v>
      </c>
      <c r="Y975">
        <v>3</v>
      </c>
      <c r="Z975">
        <v>2</v>
      </c>
      <c r="AA975">
        <v>80</v>
      </c>
      <c r="AB975">
        <v>1</v>
      </c>
      <c r="AC975">
        <v>10</v>
      </c>
      <c r="AD975">
        <v>0</v>
      </c>
      <c r="AE975">
        <v>3</v>
      </c>
      <c r="AF975">
        <v>9</v>
      </c>
      <c r="AG975">
        <v>7</v>
      </c>
      <c r="AH975">
        <v>0</v>
      </c>
      <c r="AI975">
        <v>0</v>
      </c>
      <c r="AJ975">
        <f t="shared" si="15"/>
        <v>0</v>
      </c>
      <c r="AK975" t="str" cm="1">
        <f t="array" ref="AK975">_xlfn.IFS(A975&lt;=30,"18-30",A975&lt;=45,"31-45",A975&lt;=60,"46-60",TRUE, "60+")</f>
        <v>31-45</v>
      </c>
      <c r="AL975" t="str" cm="1">
        <f t="array" ref="AL975">_xlfn.IFS(F975&lt;=10,"0-10",F975&lt;=20,"11-20",TRUE,"20+")</f>
        <v>0-10</v>
      </c>
      <c r="AM975" t="str" cm="1">
        <f t="array" ref="AM975">_xlfn.IFS(S975&lt;=5000,"0-5k",S975&lt;=10000,"5k-10k",S975&lt;=15000,"10k-15k",TRUE,"15k+")</f>
        <v>5k-10k</v>
      </c>
      <c r="AN975" t="str" cm="1">
        <f t="array" ref="AN975">_xlfn.IFS(AF975&lt;=10,"0-10",AF975&lt;=20,"10-20",AF975&lt;=30,"20-30",TRUE,"30+")</f>
        <v>0-10</v>
      </c>
      <c r="AO975" t="str" cm="1">
        <f t="array" ref="AO975">_xlfn.IFS(Y975=1,"Poor",Y975=2,"Average",Y975=3,"Good",TRUE,"Excellent")</f>
        <v>Good</v>
      </c>
      <c r="AP975" t="str" cm="1">
        <f t="array" ref="AP975">_xlfn.IFS(Q975=1,"Low",Q975=2,"Medium",Q975=3,"High",TRUE,"Very High")</f>
        <v>Very High</v>
      </c>
    </row>
    <row r="976" spans="1:42" x14ac:dyDescent="0.25">
      <c r="A976">
        <v>27</v>
      </c>
      <c r="B976" t="s">
        <v>42</v>
      </c>
      <c r="C976" t="s">
        <v>91</v>
      </c>
      <c r="D976">
        <v>793</v>
      </c>
      <c r="E976" t="s">
        <v>36</v>
      </c>
      <c r="F976">
        <v>2</v>
      </c>
      <c r="G976">
        <v>1</v>
      </c>
      <c r="H976" t="s">
        <v>37</v>
      </c>
      <c r="I976">
        <v>1</v>
      </c>
      <c r="J976">
        <v>1371</v>
      </c>
      <c r="K976">
        <v>4</v>
      </c>
      <c r="L976" t="s">
        <v>44</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c r="AJ976">
        <f t="shared" si="15"/>
        <v>0</v>
      </c>
      <c r="AK976" t="str" cm="1">
        <f t="array" ref="AK976">_xlfn.IFS(A976&lt;=30,"18-30",A976&lt;=45,"31-45",A976&lt;=60,"46-60",TRUE, "60+")</f>
        <v>18-30</v>
      </c>
      <c r="AL976" t="str" cm="1">
        <f t="array" ref="AL976">_xlfn.IFS(F976&lt;=10,"0-10",F976&lt;=20,"11-20",TRUE,"20+")</f>
        <v>0-10</v>
      </c>
      <c r="AM976" t="str" cm="1">
        <f t="array" ref="AM976">_xlfn.IFS(S976&lt;=5000,"0-5k",S976&lt;=10000,"5k-10k",S976&lt;=15000,"10k-15k",TRUE,"15k+")</f>
        <v>5k-10k</v>
      </c>
      <c r="AN976" t="str" cm="1">
        <f t="array" ref="AN976">_xlfn.IFS(AF976&lt;=10,"0-10",AF976&lt;=20,"10-20",AF976&lt;=30,"20-30",TRUE,"30+")</f>
        <v>0-10</v>
      </c>
      <c r="AO976" t="str" cm="1">
        <f t="array" ref="AO976">_xlfn.IFS(Y976=1,"Poor",Y976=2,"Average",Y976=3,"Good",TRUE,"Excellent")</f>
        <v>Excellent</v>
      </c>
      <c r="AP976" t="str" cm="1">
        <f t="array" ref="AP976">_xlfn.IFS(Q976=1,"Low",Q976=2,"Medium",Q976=3,"High",TRUE,"Very High")</f>
        <v>Very High</v>
      </c>
    </row>
    <row r="977" spans="1:42" x14ac:dyDescent="0.25">
      <c r="A977">
        <v>55</v>
      </c>
      <c r="B977" t="s">
        <v>35</v>
      </c>
      <c r="C977" t="s">
        <v>90</v>
      </c>
      <c r="D977">
        <v>267</v>
      </c>
      <c r="E977" t="s">
        <v>36</v>
      </c>
      <c r="F977">
        <v>13</v>
      </c>
      <c r="G977">
        <v>4</v>
      </c>
      <c r="H977" t="s">
        <v>57</v>
      </c>
      <c r="I977">
        <v>1</v>
      </c>
      <c r="J977">
        <v>1372</v>
      </c>
      <c r="K977">
        <v>1</v>
      </c>
      <c r="L977" t="s">
        <v>44</v>
      </c>
      <c r="M977">
        <v>85</v>
      </c>
      <c r="N977">
        <v>4</v>
      </c>
      <c r="O977">
        <v>4</v>
      </c>
      <c r="P977" t="s">
        <v>39</v>
      </c>
      <c r="Q977">
        <v>3</v>
      </c>
      <c r="R977" t="s">
        <v>40</v>
      </c>
      <c r="S977">
        <v>13695</v>
      </c>
      <c r="T977">
        <v>9277</v>
      </c>
      <c r="U977">
        <v>6</v>
      </c>
      <c r="V977" t="s">
        <v>41</v>
      </c>
      <c r="W977" t="s">
        <v>35</v>
      </c>
      <c r="X977">
        <v>17</v>
      </c>
      <c r="Y977">
        <v>3</v>
      </c>
      <c r="Z977">
        <v>3</v>
      </c>
      <c r="AA977">
        <v>80</v>
      </c>
      <c r="AB977">
        <v>0</v>
      </c>
      <c r="AC977">
        <v>24</v>
      </c>
      <c r="AD977">
        <v>2</v>
      </c>
      <c r="AE977">
        <v>2</v>
      </c>
      <c r="AF977">
        <v>19</v>
      </c>
      <c r="AG977">
        <v>7</v>
      </c>
      <c r="AH977">
        <v>3</v>
      </c>
      <c r="AI977">
        <v>8</v>
      </c>
      <c r="AJ977">
        <f t="shared" si="15"/>
        <v>1</v>
      </c>
      <c r="AK977" t="str" cm="1">
        <f t="array" ref="AK977">_xlfn.IFS(A977&lt;=30,"18-30",A977&lt;=45,"31-45",A977&lt;=60,"46-60",TRUE, "60+")</f>
        <v>46-60</v>
      </c>
      <c r="AL977" t="str" cm="1">
        <f t="array" ref="AL977">_xlfn.IFS(F977&lt;=10,"0-10",F977&lt;=20,"11-20",TRUE,"20+")</f>
        <v>11-20</v>
      </c>
      <c r="AM977" t="str" cm="1">
        <f t="array" ref="AM977">_xlfn.IFS(S977&lt;=5000,"0-5k",S977&lt;=10000,"5k-10k",S977&lt;=15000,"10k-15k",TRUE,"15k+")</f>
        <v>10k-15k</v>
      </c>
      <c r="AN977" t="str" cm="1">
        <f t="array" ref="AN977">_xlfn.IFS(AF977&lt;=10,"0-10",AF977&lt;=20,"10-20",AF977&lt;=30,"20-30",TRUE,"30+")</f>
        <v>10-20</v>
      </c>
      <c r="AO977" t="str" cm="1">
        <f t="array" ref="AO977">_xlfn.IFS(Y977=1,"Poor",Y977=2,"Average",Y977=3,"Good",TRUE,"Excellent")</f>
        <v>Good</v>
      </c>
      <c r="AP977" t="str" cm="1">
        <f t="array" ref="AP977">_xlfn.IFS(Q977=1,"Low",Q977=2,"Medium",Q977=3,"High",TRUE,"Very High")</f>
        <v>High</v>
      </c>
    </row>
    <row r="978" spans="1:42" x14ac:dyDescent="0.25">
      <c r="A978">
        <v>56</v>
      </c>
      <c r="B978" t="s">
        <v>42</v>
      </c>
      <c r="C978" t="s">
        <v>90</v>
      </c>
      <c r="D978">
        <v>1369</v>
      </c>
      <c r="E978" t="s">
        <v>43</v>
      </c>
      <c r="F978">
        <v>23</v>
      </c>
      <c r="G978">
        <v>3</v>
      </c>
      <c r="H978" t="s">
        <v>37</v>
      </c>
      <c r="I978">
        <v>1</v>
      </c>
      <c r="J978">
        <v>1373</v>
      </c>
      <c r="K978">
        <v>4</v>
      </c>
      <c r="L978" t="s">
        <v>44</v>
      </c>
      <c r="M978">
        <v>68</v>
      </c>
      <c r="N978">
        <v>3</v>
      </c>
      <c r="O978">
        <v>4</v>
      </c>
      <c r="P978" t="s">
        <v>51</v>
      </c>
      <c r="Q978">
        <v>2</v>
      </c>
      <c r="R978" t="s">
        <v>46</v>
      </c>
      <c r="S978">
        <v>13402</v>
      </c>
      <c r="T978">
        <v>18235</v>
      </c>
      <c r="U978">
        <v>4</v>
      </c>
      <c r="V978" t="s">
        <v>41</v>
      </c>
      <c r="W978" t="s">
        <v>35</v>
      </c>
      <c r="X978">
        <v>12</v>
      </c>
      <c r="Y978">
        <v>3</v>
      </c>
      <c r="Z978">
        <v>1</v>
      </c>
      <c r="AA978">
        <v>80</v>
      </c>
      <c r="AB978">
        <v>1</v>
      </c>
      <c r="AC978">
        <v>33</v>
      </c>
      <c r="AD978">
        <v>0</v>
      </c>
      <c r="AE978">
        <v>3</v>
      </c>
      <c r="AF978">
        <v>19</v>
      </c>
      <c r="AG978">
        <v>16</v>
      </c>
      <c r="AH978">
        <v>15</v>
      </c>
      <c r="AI978">
        <v>9</v>
      </c>
      <c r="AJ978">
        <f t="shared" si="15"/>
        <v>0</v>
      </c>
      <c r="AK978" t="str" cm="1">
        <f t="array" ref="AK978">_xlfn.IFS(A978&lt;=30,"18-30",A978&lt;=45,"31-45",A978&lt;=60,"46-60",TRUE, "60+")</f>
        <v>46-60</v>
      </c>
      <c r="AL978" t="str" cm="1">
        <f t="array" ref="AL978">_xlfn.IFS(F978&lt;=10,"0-10",F978&lt;=20,"11-20",TRUE,"20+")</f>
        <v>20+</v>
      </c>
      <c r="AM978" t="str" cm="1">
        <f t="array" ref="AM978">_xlfn.IFS(S978&lt;=5000,"0-5k",S978&lt;=10000,"5k-10k",S978&lt;=15000,"10k-15k",TRUE,"15k+")</f>
        <v>10k-15k</v>
      </c>
      <c r="AN978" t="str" cm="1">
        <f t="array" ref="AN978">_xlfn.IFS(AF978&lt;=10,"0-10",AF978&lt;=20,"10-20",AF978&lt;=30,"20-30",TRUE,"30+")</f>
        <v>10-20</v>
      </c>
      <c r="AO978" t="str" cm="1">
        <f t="array" ref="AO978">_xlfn.IFS(Y978=1,"Poor",Y978=2,"Average",Y978=3,"Good",TRUE,"Excellent")</f>
        <v>Good</v>
      </c>
      <c r="AP978" t="str" cm="1">
        <f t="array" ref="AP978">_xlfn.IFS(Q978=1,"Low",Q978=2,"Medium",Q978=3,"High",TRUE,"Very High")</f>
        <v>Medium</v>
      </c>
    </row>
    <row r="979" spans="1:42" x14ac:dyDescent="0.25">
      <c r="A979">
        <v>34</v>
      </c>
      <c r="B979" t="s">
        <v>42</v>
      </c>
      <c r="C979" t="s">
        <v>53</v>
      </c>
      <c r="D979">
        <v>999</v>
      </c>
      <c r="E979" t="s">
        <v>43</v>
      </c>
      <c r="F979">
        <v>26</v>
      </c>
      <c r="G979">
        <v>1</v>
      </c>
      <c r="H979" t="s">
        <v>58</v>
      </c>
      <c r="I979">
        <v>1</v>
      </c>
      <c r="J979">
        <v>1374</v>
      </c>
      <c r="K979">
        <v>1</v>
      </c>
      <c r="L979" t="s">
        <v>38</v>
      </c>
      <c r="M979">
        <v>92</v>
      </c>
      <c r="N979">
        <v>2</v>
      </c>
      <c r="O979">
        <v>1</v>
      </c>
      <c r="P979" t="s">
        <v>45</v>
      </c>
      <c r="Q979">
        <v>3</v>
      </c>
      <c r="R979" t="s">
        <v>50</v>
      </c>
      <c r="S979">
        <v>2029</v>
      </c>
      <c r="T979">
        <v>15891</v>
      </c>
      <c r="U979">
        <v>1</v>
      </c>
      <c r="V979" t="s">
        <v>41</v>
      </c>
      <c r="W979" t="s">
        <v>42</v>
      </c>
      <c r="X979">
        <v>20</v>
      </c>
      <c r="Y979">
        <v>4</v>
      </c>
      <c r="Z979">
        <v>3</v>
      </c>
      <c r="AA979">
        <v>80</v>
      </c>
      <c r="AB979">
        <v>3</v>
      </c>
      <c r="AC979">
        <v>5</v>
      </c>
      <c r="AD979">
        <v>2</v>
      </c>
      <c r="AE979">
        <v>3</v>
      </c>
      <c r="AF979">
        <v>5</v>
      </c>
      <c r="AG979">
        <v>4</v>
      </c>
      <c r="AH979">
        <v>0</v>
      </c>
      <c r="AI979">
        <v>0</v>
      </c>
      <c r="AJ979">
        <f t="shared" si="15"/>
        <v>0</v>
      </c>
      <c r="AK979" t="str" cm="1">
        <f t="array" ref="AK979">_xlfn.IFS(A979&lt;=30,"18-30",A979&lt;=45,"31-45",A979&lt;=60,"46-60",TRUE, "60+")</f>
        <v>31-45</v>
      </c>
      <c r="AL979" t="str" cm="1">
        <f t="array" ref="AL979">_xlfn.IFS(F979&lt;=10,"0-10",F979&lt;=20,"11-20",TRUE,"20+")</f>
        <v>20+</v>
      </c>
      <c r="AM979" t="str" cm="1">
        <f t="array" ref="AM979">_xlfn.IFS(S979&lt;=5000,"0-5k",S979&lt;=10000,"5k-10k",S979&lt;=15000,"10k-15k",TRUE,"15k+")</f>
        <v>0-5k</v>
      </c>
      <c r="AN979" t="str" cm="1">
        <f t="array" ref="AN979">_xlfn.IFS(AF979&lt;=10,"0-10",AF979&lt;=20,"10-20",AF979&lt;=30,"20-30",TRUE,"30+")</f>
        <v>0-10</v>
      </c>
      <c r="AO979" t="str" cm="1">
        <f t="array" ref="AO979">_xlfn.IFS(Y979=1,"Poor",Y979=2,"Average",Y979=3,"Good",TRUE,"Excellent")</f>
        <v>Excellent</v>
      </c>
      <c r="AP979" t="str" cm="1">
        <f t="array" ref="AP979">_xlfn.IFS(Q979=1,"Low",Q979=2,"Medium",Q979=3,"High",TRUE,"Very High")</f>
        <v>High</v>
      </c>
    </row>
    <row r="980" spans="1:42" x14ac:dyDescent="0.25">
      <c r="A980">
        <v>40</v>
      </c>
      <c r="B980" t="s">
        <v>42</v>
      </c>
      <c r="C980" t="s">
        <v>90</v>
      </c>
      <c r="D980">
        <v>1202</v>
      </c>
      <c r="E980" t="s">
        <v>43</v>
      </c>
      <c r="F980">
        <v>2</v>
      </c>
      <c r="G980">
        <v>1</v>
      </c>
      <c r="H980" t="s">
        <v>49</v>
      </c>
      <c r="I980">
        <v>1</v>
      </c>
      <c r="J980">
        <v>1375</v>
      </c>
      <c r="K980">
        <v>2</v>
      </c>
      <c r="L980" t="s">
        <v>38</v>
      </c>
      <c r="M980">
        <v>89</v>
      </c>
      <c r="N980">
        <v>4</v>
      </c>
      <c r="O980">
        <v>2</v>
      </c>
      <c r="P980" t="s">
        <v>52</v>
      </c>
      <c r="Q980">
        <v>3</v>
      </c>
      <c r="R980" t="s">
        <v>50</v>
      </c>
      <c r="S980">
        <v>6377</v>
      </c>
      <c r="T980">
        <v>13888</v>
      </c>
      <c r="U980">
        <v>5</v>
      </c>
      <c r="V980" t="s">
        <v>41</v>
      </c>
      <c r="W980" t="s">
        <v>42</v>
      </c>
      <c r="X980">
        <v>20</v>
      </c>
      <c r="Y980">
        <v>4</v>
      </c>
      <c r="Z980">
        <v>2</v>
      </c>
      <c r="AA980">
        <v>80</v>
      </c>
      <c r="AB980">
        <v>3</v>
      </c>
      <c r="AC980">
        <v>15</v>
      </c>
      <c r="AD980">
        <v>0</v>
      </c>
      <c r="AE980">
        <v>3</v>
      </c>
      <c r="AF980">
        <v>12</v>
      </c>
      <c r="AG980">
        <v>11</v>
      </c>
      <c r="AH980">
        <v>11</v>
      </c>
      <c r="AI980">
        <v>8</v>
      </c>
      <c r="AJ980">
        <f t="shared" si="15"/>
        <v>0</v>
      </c>
      <c r="AK980" t="str" cm="1">
        <f t="array" ref="AK980">_xlfn.IFS(A980&lt;=30,"18-30",A980&lt;=45,"31-45",A980&lt;=60,"46-60",TRUE, "60+")</f>
        <v>31-45</v>
      </c>
      <c r="AL980" t="str" cm="1">
        <f t="array" ref="AL980">_xlfn.IFS(F980&lt;=10,"0-10",F980&lt;=20,"11-20",TRUE,"20+")</f>
        <v>0-10</v>
      </c>
      <c r="AM980" t="str" cm="1">
        <f t="array" ref="AM980">_xlfn.IFS(S980&lt;=5000,"0-5k",S980&lt;=10000,"5k-10k",S980&lt;=15000,"10k-15k",TRUE,"15k+")</f>
        <v>5k-10k</v>
      </c>
      <c r="AN980" t="str" cm="1">
        <f t="array" ref="AN980">_xlfn.IFS(AF980&lt;=10,"0-10",AF980&lt;=20,"10-20",AF980&lt;=30,"20-30",TRUE,"30+")</f>
        <v>10-20</v>
      </c>
      <c r="AO980" t="str" cm="1">
        <f t="array" ref="AO980">_xlfn.IFS(Y980=1,"Poor",Y980=2,"Average",Y980=3,"Good",TRUE,"Excellent")</f>
        <v>Excellent</v>
      </c>
      <c r="AP980" t="str" cm="1">
        <f t="array" ref="AP980">_xlfn.IFS(Q980=1,"Low",Q980=2,"Medium",Q980=3,"High",TRUE,"Very High")</f>
        <v>High</v>
      </c>
    </row>
    <row r="981" spans="1:42" x14ac:dyDescent="0.25">
      <c r="A981">
        <v>34</v>
      </c>
      <c r="B981" t="s">
        <v>42</v>
      </c>
      <c r="C981" t="s">
        <v>90</v>
      </c>
      <c r="D981">
        <v>285</v>
      </c>
      <c r="E981" t="s">
        <v>43</v>
      </c>
      <c r="F981">
        <v>29</v>
      </c>
      <c r="G981">
        <v>3</v>
      </c>
      <c r="H981" t="s">
        <v>49</v>
      </c>
      <c r="I981">
        <v>1</v>
      </c>
      <c r="J981">
        <v>1377</v>
      </c>
      <c r="K981">
        <v>2</v>
      </c>
      <c r="L981" t="s">
        <v>44</v>
      </c>
      <c r="M981">
        <v>86</v>
      </c>
      <c r="N981">
        <v>3</v>
      </c>
      <c r="O981">
        <v>2</v>
      </c>
      <c r="P981" t="s">
        <v>48</v>
      </c>
      <c r="Q981">
        <v>3</v>
      </c>
      <c r="R981" t="s">
        <v>46</v>
      </c>
      <c r="S981">
        <v>5429</v>
      </c>
      <c r="T981">
        <v>17491</v>
      </c>
      <c r="U981">
        <v>4</v>
      </c>
      <c r="V981" t="s">
        <v>41</v>
      </c>
      <c r="W981" t="s">
        <v>42</v>
      </c>
      <c r="X981">
        <v>13</v>
      </c>
      <c r="Y981">
        <v>3</v>
      </c>
      <c r="Z981">
        <v>1</v>
      </c>
      <c r="AA981">
        <v>80</v>
      </c>
      <c r="AB981">
        <v>2</v>
      </c>
      <c r="AC981">
        <v>10</v>
      </c>
      <c r="AD981">
        <v>1</v>
      </c>
      <c r="AE981">
        <v>3</v>
      </c>
      <c r="AF981">
        <v>8</v>
      </c>
      <c r="AG981">
        <v>7</v>
      </c>
      <c r="AH981">
        <v>7</v>
      </c>
      <c r="AI981">
        <v>7</v>
      </c>
      <c r="AJ981">
        <f t="shared" si="15"/>
        <v>0</v>
      </c>
      <c r="AK981" t="str" cm="1">
        <f t="array" ref="AK981">_xlfn.IFS(A981&lt;=30,"18-30",A981&lt;=45,"31-45",A981&lt;=60,"46-60",TRUE, "60+")</f>
        <v>31-45</v>
      </c>
      <c r="AL981" t="str" cm="1">
        <f t="array" ref="AL981">_xlfn.IFS(F981&lt;=10,"0-10",F981&lt;=20,"11-20",TRUE,"20+")</f>
        <v>20+</v>
      </c>
      <c r="AM981" t="str" cm="1">
        <f t="array" ref="AM981">_xlfn.IFS(S981&lt;=5000,"0-5k",S981&lt;=10000,"5k-10k",S981&lt;=15000,"10k-15k",TRUE,"15k+")</f>
        <v>5k-10k</v>
      </c>
      <c r="AN981" t="str" cm="1">
        <f t="array" ref="AN981">_xlfn.IFS(AF981&lt;=10,"0-10",AF981&lt;=20,"10-20",AF981&lt;=30,"20-30",TRUE,"30+")</f>
        <v>0-10</v>
      </c>
      <c r="AO981" t="str" cm="1">
        <f t="array" ref="AO981">_xlfn.IFS(Y981=1,"Poor",Y981=2,"Average",Y981=3,"Good",TRUE,"Excellent")</f>
        <v>Good</v>
      </c>
      <c r="AP981" t="str" cm="1">
        <f t="array" ref="AP981">_xlfn.IFS(Q981=1,"Low",Q981=2,"Medium",Q981=3,"High",TRUE,"Very High")</f>
        <v>High</v>
      </c>
    </row>
    <row r="982" spans="1:42" x14ac:dyDescent="0.25">
      <c r="A982">
        <v>31</v>
      </c>
      <c r="B982" t="s">
        <v>35</v>
      </c>
      <c r="C982" t="s">
        <v>91</v>
      </c>
      <c r="D982">
        <v>703</v>
      </c>
      <c r="E982" t="s">
        <v>36</v>
      </c>
      <c r="F982">
        <v>2</v>
      </c>
      <c r="G982">
        <v>3</v>
      </c>
      <c r="H982" t="s">
        <v>37</v>
      </c>
      <c r="I982">
        <v>1</v>
      </c>
      <c r="J982">
        <v>1379</v>
      </c>
      <c r="K982">
        <v>3</v>
      </c>
      <c r="L982" t="s">
        <v>38</v>
      </c>
      <c r="M982">
        <v>90</v>
      </c>
      <c r="N982">
        <v>2</v>
      </c>
      <c r="O982">
        <v>1</v>
      </c>
      <c r="P982" t="s">
        <v>55</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c r="AJ982">
        <f t="shared" si="15"/>
        <v>1</v>
      </c>
      <c r="AK982" t="str" cm="1">
        <f t="array" ref="AK982">_xlfn.IFS(A982&lt;=30,"18-30",A982&lt;=45,"31-45",A982&lt;=60,"46-60",TRUE, "60+")</f>
        <v>31-45</v>
      </c>
      <c r="AL982" t="str" cm="1">
        <f t="array" ref="AL982">_xlfn.IFS(F982&lt;=10,"0-10",F982&lt;=20,"11-20",TRUE,"20+")</f>
        <v>0-10</v>
      </c>
      <c r="AM982" t="str" cm="1">
        <f t="array" ref="AM982">_xlfn.IFS(S982&lt;=5000,"0-5k",S982&lt;=10000,"5k-10k",S982&lt;=15000,"10k-15k",TRUE,"15k+")</f>
        <v>0-5k</v>
      </c>
      <c r="AN982" t="str" cm="1">
        <f t="array" ref="AN982">_xlfn.IFS(AF982&lt;=10,"0-10",AF982&lt;=20,"10-20",AF982&lt;=30,"20-30",TRUE,"30+")</f>
        <v>0-10</v>
      </c>
      <c r="AO982" t="str" cm="1">
        <f t="array" ref="AO982">_xlfn.IFS(Y982=1,"Poor",Y982=2,"Average",Y982=3,"Good",TRUE,"Excellent")</f>
        <v>Good</v>
      </c>
      <c r="AP982" t="str" cm="1">
        <f t="array" ref="AP982">_xlfn.IFS(Q982=1,"Low",Q982=2,"Medium",Q982=3,"High",TRUE,"Very High")</f>
        <v>Very High</v>
      </c>
    </row>
    <row r="983" spans="1:42" x14ac:dyDescent="0.25">
      <c r="A983">
        <v>35</v>
      </c>
      <c r="B983" t="s">
        <v>35</v>
      </c>
      <c r="C983" t="s">
        <v>91</v>
      </c>
      <c r="D983">
        <v>662</v>
      </c>
      <c r="E983" t="s">
        <v>36</v>
      </c>
      <c r="F983">
        <v>18</v>
      </c>
      <c r="G983">
        <v>4</v>
      </c>
      <c r="H983" t="s">
        <v>57</v>
      </c>
      <c r="I983">
        <v>1</v>
      </c>
      <c r="J983">
        <v>1380</v>
      </c>
      <c r="K983">
        <v>4</v>
      </c>
      <c r="L983" t="s">
        <v>38</v>
      </c>
      <c r="M983">
        <v>67</v>
      </c>
      <c r="N983">
        <v>3</v>
      </c>
      <c r="O983">
        <v>2</v>
      </c>
      <c r="P983" t="s">
        <v>39</v>
      </c>
      <c r="Q983">
        <v>3</v>
      </c>
      <c r="R983" t="s">
        <v>46</v>
      </c>
      <c r="S983">
        <v>4614</v>
      </c>
      <c r="T983">
        <v>23288</v>
      </c>
      <c r="U983">
        <v>0</v>
      </c>
      <c r="V983" t="s">
        <v>41</v>
      </c>
      <c r="W983" t="s">
        <v>35</v>
      </c>
      <c r="X983">
        <v>18</v>
      </c>
      <c r="Y983">
        <v>3</v>
      </c>
      <c r="Z983">
        <v>3</v>
      </c>
      <c r="AA983">
        <v>80</v>
      </c>
      <c r="AB983">
        <v>1</v>
      </c>
      <c r="AC983">
        <v>5</v>
      </c>
      <c r="AD983">
        <v>0</v>
      </c>
      <c r="AE983">
        <v>2</v>
      </c>
      <c r="AF983">
        <v>4</v>
      </c>
      <c r="AG983">
        <v>2</v>
      </c>
      <c r="AH983">
        <v>3</v>
      </c>
      <c r="AI983">
        <v>2</v>
      </c>
      <c r="AJ983">
        <f t="shared" si="15"/>
        <v>1</v>
      </c>
      <c r="AK983" t="str" cm="1">
        <f t="array" ref="AK983">_xlfn.IFS(A983&lt;=30,"18-30",A983&lt;=45,"31-45",A983&lt;=60,"46-60",TRUE, "60+")</f>
        <v>31-45</v>
      </c>
      <c r="AL983" t="str" cm="1">
        <f t="array" ref="AL983">_xlfn.IFS(F983&lt;=10,"0-10",F983&lt;=20,"11-20",TRUE,"20+")</f>
        <v>11-20</v>
      </c>
      <c r="AM983" t="str" cm="1">
        <f t="array" ref="AM983">_xlfn.IFS(S983&lt;=5000,"0-5k",S983&lt;=10000,"5k-10k",S983&lt;=15000,"10k-15k",TRUE,"15k+")</f>
        <v>0-5k</v>
      </c>
      <c r="AN983" t="str" cm="1">
        <f t="array" ref="AN983">_xlfn.IFS(AF983&lt;=10,"0-10",AF983&lt;=20,"10-20",AF983&lt;=30,"20-30",TRUE,"30+")</f>
        <v>0-10</v>
      </c>
      <c r="AO983" t="str" cm="1">
        <f t="array" ref="AO983">_xlfn.IFS(Y983=1,"Poor",Y983=2,"Average",Y983=3,"Good",TRUE,"Excellent")</f>
        <v>Good</v>
      </c>
      <c r="AP983" t="str" cm="1">
        <f t="array" ref="AP983">_xlfn.IFS(Q983=1,"Low",Q983=2,"Medium",Q983=3,"High",TRUE,"Very High")</f>
        <v>High</v>
      </c>
    </row>
    <row r="984" spans="1:42" x14ac:dyDescent="0.25">
      <c r="A984">
        <v>38</v>
      </c>
      <c r="B984" t="s">
        <v>42</v>
      </c>
      <c r="C984" t="s">
        <v>91</v>
      </c>
      <c r="D984">
        <v>693</v>
      </c>
      <c r="E984" t="s">
        <v>43</v>
      </c>
      <c r="F984">
        <v>7</v>
      </c>
      <c r="G984">
        <v>3</v>
      </c>
      <c r="H984" t="s">
        <v>37</v>
      </c>
      <c r="I984">
        <v>1</v>
      </c>
      <c r="J984">
        <v>1382</v>
      </c>
      <c r="K984">
        <v>4</v>
      </c>
      <c r="L984" t="s">
        <v>44</v>
      </c>
      <c r="M984">
        <v>57</v>
      </c>
      <c r="N984">
        <v>4</v>
      </c>
      <c r="O984">
        <v>1</v>
      </c>
      <c r="P984" t="s">
        <v>45</v>
      </c>
      <c r="Q984">
        <v>3</v>
      </c>
      <c r="R984" t="s">
        <v>50</v>
      </c>
      <c r="S984">
        <v>2610</v>
      </c>
      <c r="T984">
        <v>15748</v>
      </c>
      <c r="U984">
        <v>1</v>
      </c>
      <c r="V984" t="s">
        <v>41</v>
      </c>
      <c r="W984" t="s">
        <v>42</v>
      </c>
      <c r="X984">
        <v>11</v>
      </c>
      <c r="Y984">
        <v>3</v>
      </c>
      <c r="Z984">
        <v>4</v>
      </c>
      <c r="AA984">
        <v>80</v>
      </c>
      <c r="AB984">
        <v>3</v>
      </c>
      <c r="AC984">
        <v>4</v>
      </c>
      <c r="AD984">
        <v>2</v>
      </c>
      <c r="AE984">
        <v>3</v>
      </c>
      <c r="AF984">
        <v>4</v>
      </c>
      <c r="AG984">
        <v>2</v>
      </c>
      <c r="AH984">
        <v>0</v>
      </c>
      <c r="AI984">
        <v>3</v>
      </c>
      <c r="AJ984">
        <f t="shared" si="15"/>
        <v>0</v>
      </c>
      <c r="AK984" t="str" cm="1">
        <f t="array" ref="AK984">_xlfn.IFS(A984&lt;=30,"18-30",A984&lt;=45,"31-45",A984&lt;=60,"46-60",TRUE, "60+")</f>
        <v>31-45</v>
      </c>
      <c r="AL984" t="str" cm="1">
        <f t="array" ref="AL984">_xlfn.IFS(F984&lt;=10,"0-10",F984&lt;=20,"11-20",TRUE,"20+")</f>
        <v>0-10</v>
      </c>
      <c r="AM984" t="str" cm="1">
        <f t="array" ref="AM984">_xlfn.IFS(S984&lt;=5000,"0-5k",S984&lt;=10000,"5k-10k",S984&lt;=15000,"10k-15k",TRUE,"15k+")</f>
        <v>0-5k</v>
      </c>
      <c r="AN984" t="str" cm="1">
        <f t="array" ref="AN984">_xlfn.IFS(AF984&lt;=10,"0-10",AF984&lt;=20,"10-20",AF984&lt;=30,"20-30",TRUE,"30+")</f>
        <v>0-10</v>
      </c>
      <c r="AO984" t="str" cm="1">
        <f t="array" ref="AO984">_xlfn.IFS(Y984=1,"Poor",Y984=2,"Average",Y984=3,"Good",TRUE,"Excellent")</f>
        <v>Good</v>
      </c>
      <c r="AP984" t="str" cm="1">
        <f t="array" ref="AP984">_xlfn.IFS(Q984=1,"Low",Q984=2,"Medium",Q984=3,"High",TRUE,"Very High")</f>
        <v>High</v>
      </c>
    </row>
    <row r="985" spans="1:42" x14ac:dyDescent="0.25">
      <c r="A985">
        <v>34</v>
      </c>
      <c r="B985" t="s">
        <v>42</v>
      </c>
      <c r="C985" t="s">
        <v>90</v>
      </c>
      <c r="D985">
        <v>404</v>
      </c>
      <c r="E985" t="s">
        <v>43</v>
      </c>
      <c r="F985">
        <v>2</v>
      </c>
      <c r="G985">
        <v>4</v>
      </c>
      <c r="H985" t="s">
        <v>58</v>
      </c>
      <c r="I985">
        <v>1</v>
      </c>
      <c r="J985">
        <v>1383</v>
      </c>
      <c r="K985">
        <v>3</v>
      </c>
      <c r="L985" t="s">
        <v>38</v>
      </c>
      <c r="M985">
        <v>98</v>
      </c>
      <c r="N985">
        <v>3</v>
      </c>
      <c r="O985">
        <v>2</v>
      </c>
      <c r="P985" t="s">
        <v>52</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c r="AJ985">
        <f t="shared" si="15"/>
        <v>0</v>
      </c>
      <c r="AK985" t="str" cm="1">
        <f t="array" ref="AK985">_xlfn.IFS(A985&lt;=30,"18-30",A985&lt;=45,"31-45",A985&lt;=60,"46-60",TRUE, "60+")</f>
        <v>31-45</v>
      </c>
      <c r="AL985" t="str" cm="1">
        <f t="array" ref="AL985">_xlfn.IFS(F985&lt;=10,"0-10",F985&lt;=20,"11-20",TRUE,"20+")</f>
        <v>0-10</v>
      </c>
      <c r="AM985" t="str" cm="1">
        <f t="array" ref="AM985">_xlfn.IFS(S985&lt;=5000,"0-5k",S985&lt;=10000,"5k-10k",S985&lt;=15000,"10k-15k",TRUE,"15k+")</f>
        <v>5k-10k</v>
      </c>
      <c r="AN985" t="str" cm="1">
        <f t="array" ref="AN985">_xlfn.IFS(AF985&lt;=10,"0-10",AF985&lt;=20,"10-20",AF985&lt;=30,"20-30",TRUE,"30+")</f>
        <v>10-20</v>
      </c>
      <c r="AO985" t="str" cm="1">
        <f t="array" ref="AO985">_xlfn.IFS(Y985=1,"Poor",Y985=2,"Average",Y985=3,"Good",TRUE,"Excellent")</f>
        <v>Good</v>
      </c>
      <c r="AP985" t="str" cm="1">
        <f t="array" ref="AP985">_xlfn.IFS(Q985=1,"Low",Q985=2,"Medium",Q985=3,"High",TRUE,"Very High")</f>
        <v>Very High</v>
      </c>
    </row>
    <row r="986" spans="1:42" x14ac:dyDescent="0.25">
      <c r="A986">
        <v>28</v>
      </c>
      <c r="B986" t="s">
        <v>42</v>
      </c>
      <c r="C986" t="s">
        <v>90</v>
      </c>
      <c r="D986">
        <v>736</v>
      </c>
      <c r="E986" t="s">
        <v>36</v>
      </c>
      <c r="F986">
        <v>26</v>
      </c>
      <c r="G986">
        <v>3</v>
      </c>
      <c r="H986" t="s">
        <v>37</v>
      </c>
      <c r="I986">
        <v>1</v>
      </c>
      <c r="J986">
        <v>1387</v>
      </c>
      <c r="K986">
        <v>3</v>
      </c>
      <c r="L986" t="s">
        <v>44</v>
      </c>
      <c r="M986">
        <v>48</v>
      </c>
      <c r="N986">
        <v>2</v>
      </c>
      <c r="O986">
        <v>2</v>
      </c>
      <c r="P986" t="s">
        <v>39</v>
      </c>
      <c r="Q986">
        <v>1</v>
      </c>
      <c r="R986" t="s">
        <v>46</v>
      </c>
      <c r="S986">
        <v>4724</v>
      </c>
      <c r="T986">
        <v>24232</v>
      </c>
      <c r="U986">
        <v>1</v>
      </c>
      <c r="V986" t="s">
        <v>41</v>
      </c>
      <c r="W986" t="s">
        <v>42</v>
      </c>
      <c r="X986">
        <v>11</v>
      </c>
      <c r="Y986">
        <v>3</v>
      </c>
      <c r="Z986">
        <v>3</v>
      </c>
      <c r="AA986">
        <v>80</v>
      </c>
      <c r="AB986">
        <v>1</v>
      </c>
      <c r="AC986">
        <v>5</v>
      </c>
      <c r="AD986">
        <v>0</v>
      </c>
      <c r="AE986">
        <v>3</v>
      </c>
      <c r="AF986">
        <v>5</v>
      </c>
      <c r="AG986">
        <v>3</v>
      </c>
      <c r="AH986">
        <v>0</v>
      </c>
      <c r="AI986">
        <v>4</v>
      </c>
      <c r="AJ986">
        <f t="shared" si="15"/>
        <v>0</v>
      </c>
      <c r="AK986" t="str" cm="1">
        <f t="array" ref="AK986">_xlfn.IFS(A986&lt;=30,"18-30",A986&lt;=45,"31-45",A986&lt;=60,"46-60",TRUE, "60+")</f>
        <v>18-30</v>
      </c>
      <c r="AL986" t="str" cm="1">
        <f t="array" ref="AL986">_xlfn.IFS(F986&lt;=10,"0-10",F986&lt;=20,"11-20",TRUE,"20+")</f>
        <v>20+</v>
      </c>
      <c r="AM986" t="str" cm="1">
        <f t="array" ref="AM986">_xlfn.IFS(S986&lt;=5000,"0-5k",S986&lt;=10000,"5k-10k",S986&lt;=15000,"10k-15k",TRUE,"15k+")</f>
        <v>0-5k</v>
      </c>
      <c r="AN986" t="str" cm="1">
        <f t="array" ref="AN986">_xlfn.IFS(AF986&lt;=10,"0-10",AF986&lt;=20,"10-20",AF986&lt;=30,"20-30",TRUE,"30+")</f>
        <v>0-10</v>
      </c>
      <c r="AO986" t="str" cm="1">
        <f t="array" ref="AO986">_xlfn.IFS(Y986=1,"Poor",Y986=2,"Average",Y986=3,"Good",TRUE,"Excellent")</f>
        <v>Good</v>
      </c>
      <c r="AP986" t="str" cm="1">
        <f t="array" ref="AP986">_xlfn.IFS(Q986=1,"Low",Q986=2,"Medium",Q986=3,"High",TRUE,"Very High")</f>
        <v>Low</v>
      </c>
    </row>
    <row r="987" spans="1:42" x14ac:dyDescent="0.25">
      <c r="A987">
        <v>31</v>
      </c>
      <c r="B987" t="s">
        <v>35</v>
      </c>
      <c r="C987" t="s">
        <v>90</v>
      </c>
      <c r="D987">
        <v>330</v>
      </c>
      <c r="E987" t="s">
        <v>43</v>
      </c>
      <c r="F987">
        <v>22</v>
      </c>
      <c r="G987">
        <v>4</v>
      </c>
      <c r="H987" t="s">
        <v>49</v>
      </c>
      <c r="I987">
        <v>1</v>
      </c>
      <c r="J987">
        <v>1389</v>
      </c>
      <c r="K987">
        <v>4</v>
      </c>
      <c r="L987" t="s">
        <v>44</v>
      </c>
      <c r="M987">
        <v>98</v>
      </c>
      <c r="N987">
        <v>3</v>
      </c>
      <c r="O987">
        <v>2</v>
      </c>
      <c r="P987" t="s">
        <v>51</v>
      </c>
      <c r="Q987">
        <v>3</v>
      </c>
      <c r="R987" t="s">
        <v>46</v>
      </c>
      <c r="S987">
        <v>6179</v>
      </c>
      <c r="T987">
        <v>21057</v>
      </c>
      <c r="U987">
        <v>1</v>
      </c>
      <c r="V987" t="s">
        <v>41</v>
      </c>
      <c r="W987" t="s">
        <v>35</v>
      </c>
      <c r="X987">
        <v>15</v>
      </c>
      <c r="Y987">
        <v>3</v>
      </c>
      <c r="Z987">
        <v>4</v>
      </c>
      <c r="AA987">
        <v>80</v>
      </c>
      <c r="AB987">
        <v>2</v>
      </c>
      <c r="AC987">
        <v>10</v>
      </c>
      <c r="AD987">
        <v>3</v>
      </c>
      <c r="AE987">
        <v>2</v>
      </c>
      <c r="AF987">
        <v>10</v>
      </c>
      <c r="AG987">
        <v>2</v>
      </c>
      <c r="AH987">
        <v>6</v>
      </c>
      <c r="AI987">
        <v>7</v>
      </c>
      <c r="AJ987">
        <f t="shared" si="15"/>
        <v>1</v>
      </c>
      <c r="AK987" t="str" cm="1">
        <f t="array" ref="AK987">_xlfn.IFS(A987&lt;=30,"18-30",A987&lt;=45,"31-45",A987&lt;=60,"46-60",TRUE, "60+")</f>
        <v>31-45</v>
      </c>
      <c r="AL987" t="str" cm="1">
        <f t="array" ref="AL987">_xlfn.IFS(F987&lt;=10,"0-10",F987&lt;=20,"11-20",TRUE,"20+")</f>
        <v>20+</v>
      </c>
      <c r="AM987" t="str" cm="1">
        <f t="array" ref="AM987">_xlfn.IFS(S987&lt;=5000,"0-5k",S987&lt;=10000,"5k-10k",S987&lt;=15000,"10k-15k",TRUE,"15k+")</f>
        <v>5k-10k</v>
      </c>
      <c r="AN987" t="str" cm="1">
        <f t="array" ref="AN987">_xlfn.IFS(AF987&lt;=10,"0-10",AF987&lt;=20,"10-20",AF987&lt;=30,"20-30",TRUE,"30+")</f>
        <v>0-10</v>
      </c>
      <c r="AO987" t="str" cm="1">
        <f t="array" ref="AO987">_xlfn.IFS(Y987=1,"Poor",Y987=2,"Average",Y987=3,"Good",TRUE,"Excellent")</f>
        <v>Good</v>
      </c>
      <c r="AP987" t="str" cm="1">
        <f t="array" ref="AP987">_xlfn.IFS(Q987=1,"Low",Q987=2,"Medium",Q987=3,"High",TRUE,"Very High")</f>
        <v>High</v>
      </c>
    </row>
    <row r="988" spans="1:42" x14ac:dyDescent="0.25">
      <c r="A988">
        <v>39</v>
      </c>
      <c r="B988" t="s">
        <v>42</v>
      </c>
      <c r="C988" t="s">
        <v>90</v>
      </c>
      <c r="D988">
        <v>1498</v>
      </c>
      <c r="E988" t="s">
        <v>36</v>
      </c>
      <c r="F988">
        <v>21</v>
      </c>
      <c r="G988">
        <v>4</v>
      </c>
      <c r="H988" t="s">
        <v>37</v>
      </c>
      <c r="I988">
        <v>1</v>
      </c>
      <c r="J988">
        <v>1390</v>
      </c>
      <c r="K988">
        <v>1</v>
      </c>
      <c r="L988" t="s">
        <v>44</v>
      </c>
      <c r="M988">
        <v>44</v>
      </c>
      <c r="N988">
        <v>2</v>
      </c>
      <c r="O988">
        <v>2</v>
      </c>
      <c r="P988" t="s">
        <v>39</v>
      </c>
      <c r="Q988">
        <v>4</v>
      </c>
      <c r="R988" t="s">
        <v>46</v>
      </c>
      <c r="S988">
        <v>6120</v>
      </c>
      <c r="T988">
        <v>3567</v>
      </c>
      <c r="U988">
        <v>3</v>
      </c>
      <c r="V988" t="s">
        <v>41</v>
      </c>
      <c r="W988" t="s">
        <v>35</v>
      </c>
      <c r="X988">
        <v>12</v>
      </c>
      <c r="Y988">
        <v>3</v>
      </c>
      <c r="Z988">
        <v>4</v>
      </c>
      <c r="AA988">
        <v>80</v>
      </c>
      <c r="AB988">
        <v>2</v>
      </c>
      <c r="AC988">
        <v>8</v>
      </c>
      <c r="AD988">
        <v>2</v>
      </c>
      <c r="AE988">
        <v>4</v>
      </c>
      <c r="AF988">
        <v>5</v>
      </c>
      <c r="AG988">
        <v>4</v>
      </c>
      <c r="AH988">
        <v>1</v>
      </c>
      <c r="AI988">
        <v>4</v>
      </c>
      <c r="AJ988">
        <f t="shared" si="15"/>
        <v>0</v>
      </c>
      <c r="AK988" t="str" cm="1">
        <f t="array" ref="AK988">_xlfn.IFS(A988&lt;=30,"18-30",A988&lt;=45,"31-45",A988&lt;=60,"46-60",TRUE, "60+")</f>
        <v>31-45</v>
      </c>
      <c r="AL988" t="str" cm="1">
        <f t="array" ref="AL988">_xlfn.IFS(F988&lt;=10,"0-10",F988&lt;=20,"11-20",TRUE,"20+")</f>
        <v>20+</v>
      </c>
      <c r="AM988" t="str" cm="1">
        <f t="array" ref="AM988">_xlfn.IFS(S988&lt;=5000,"0-5k",S988&lt;=10000,"5k-10k",S988&lt;=15000,"10k-15k",TRUE,"15k+")</f>
        <v>5k-10k</v>
      </c>
      <c r="AN988" t="str" cm="1">
        <f t="array" ref="AN988">_xlfn.IFS(AF988&lt;=10,"0-10",AF988&lt;=20,"10-20",AF988&lt;=30,"20-30",TRUE,"30+")</f>
        <v>0-10</v>
      </c>
      <c r="AO988" t="str" cm="1">
        <f t="array" ref="AO988">_xlfn.IFS(Y988=1,"Poor",Y988=2,"Average",Y988=3,"Good",TRUE,"Excellent")</f>
        <v>Good</v>
      </c>
      <c r="AP988" t="str" cm="1">
        <f t="array" ref="AP988">_xlfn.IFS(Q988=1,"Low",Q988=2,"Medium",Q988=3,"High",TRUE,"Very High")</f>
        <v>Very High</v>
      </c>
    </row>
    <row r="989" spans="1:42" x14ac:dyDescent="0.25">
      <c r="A989">
        <v>51</v>
      </c>
      <c r="B989" t="s">
        <v>42</v>
      </c>
      <c r="C989" t="s">
        <v>91</v>
      </c>
      <c r="D989">
        <v>541</v>
      </c>
      <c r="E989" t="s">
        <v>36</v>
      </c>
      <c r="F989">
        <v>2</v>
      </c>
      <c r="G989">
        <v>3</v>
      </c>
      <c r="H989" t="s">
        <v>57</v>
      </c>
      <c r="I989">
        <v>1</v>
      </c>
      <c r="J989">
        <v>1391</v>
      </c>
      <c r="K989">
        <v>2</v>
      </c>
      <c r="L989" t="s">
        <v>44</v>
      </c>
      <c r="M989">
        <v>52</v>
      </c>
      <c r="N989">
        <v>3</v>
      </c>
      <c r="O989">
        <v>3</v>
      </c>
      <c r="P989" t="s">
        <v>39</v>
      </c>
      <c r="Q989">
        <v>2</v>
      </c>
      <c r="R989" t="s">
        <v>46</v>
      </c>
      <c r="S989">
        <v>10596</v>
      </c>
      <c r="T989">
        <v>15395</v>
      </c>
      <c r="U989">
        <v>2</v>
      </c>
      <c r="V989" t="s">
        <v>41</v>
      </c>
      <c r="W989" t="s">
        <v>42</v>
      </c>
      <c r="X989">
        <v>11</v>
      </c>
      <c r="Y989">
        <v>3</v>
      </c>
      <c r="Z989">
        <v>2</v>
      </c>
      <c r="AA989">
        <v>80</v>
      </c>
      <c r="AB989">
        <v>0</v>
      </c>
      <c r="AC989">
        <v>14</v>
      </c>
      <c r="AD989">
        <v>5</v>
      </c>
      <c r="AE989">
        <v>3</v>
      </c>
      <c r="AF989">
        <v>4</v>
      </c>
      <c r="AG989">
        <v>2</v>
      </c>
      <c r="AH989">
        <v>3</v>
      </c>
      <c r="AI989">
        <v>2</v>
      </c>
      <c r="AJ989">
        <f t="shared" si="15"/>
        <v>0</v>
      </c>
      <c r="AK989" t="str" cm="1">
        <f t="array" ref="AK989">_xlfn.IFS(A989&lt;=30,"18-30",A989&lt;=45,"31-45",A989&lt;=60,"46-60",TRUE, "60+")</f>
        <v>46-60</v>
      </c>
      <c r="AL989" t="str" cm="1">
        <f t="array" ref="AL989">_xlfn.IFS(F989&lt;=10,"0-10",F989&lt;=20,"11-20",TRUE,"20+")</f>
        <v>0-10</v>
      </c>
      <c r="AM989" t="str" cm="1">
        <f t="array" ref="AM989">_xlfn.IFS(S989&lt;=5000,"0-5k",S989&lt;=10000,"5k-10k",S989&lt;=15000,"10k-15k",TRUE,"15k+")</f>
        <v>10k-15k</v>
      </c>
      <c r="AN989" t="str" cm="1">
        <f t="array" ref="AN989">_xlfn.IFS(AF989&lt;=10,"0-10",AF989&lt;=20,"10-20",AF989&lt;=30,"20-30",TRUE,"30+")</f>
        <v>0-10</v>
      </c>
      <c r="AO989" t="str" cm="1">
        <f t="array" ref="AO989">_xlfn.IFS(Y989=1,"Poor",Y989=2,"Average",Y989=3,"Good",TRUE,"Excellent")</f>
        <v>Good</v>
      </c>
      <c r="AP989" t="str" cm="1">
        <f t="array" ref="AP989">_xlfn.IFS(Q989=1,"Low",Q989=2,"Medium",Q989=3,"High",TRUE,"Very High")</f>
        <v>Medium</v>
      </c>
    </row>
    <row r="990" spans="1:42" x14ac:dyDescent="0.25">
      <c r="A990">
        <v>41</v>
      </c>
      <c r="B990" t="s">
        <v>42</v>
      </c>
      <c r="C990" t="s">
        <v>91</v>
      </c>
      <c r="D990">
        <v>1200</v>
      </c>
      <c r="E990" t="s">
        <v>43</v>
      </c>
      <c r="F990">
        <v>22</v>
      </c>
      <c r="G990">
        <v>3</v>
      </c>
      <c r="H990" t="s">
        <v>37</v>
      </c>
      <c r="I990">
        <v>1</v>
      </c>
      <c r="J990">
        <v>1392</v>
      </c>
      <c r="K990">
        <v>4</v>
      </c>
      <c r="L990" t="s">
        <v>38</v>
      </c>
      <c r="M990">
        <v>75</v>
      </c>
      <c r="N990">
        <v>3</v>
      </c>
      <c r="O990">
        <v>2</v>
      </c>
      <c r="P990" t="s">
        <v>45</v>
      </c>
      <c r="Q990">
        <v>4</v>
      </c>
      <c r="R990" t="s">
        <v>50</v>
      </c>
      <c r="S990">
        <v>5467</v>
      </c>
      <c r="T990">
        <v>13953</v>
      </c>
      <c r="U990">
        <v>3</v>
      </c>
      <c r="V990" t="s">
        <v>41</v>
      </c>
      <c r="W990" t="s">
        <v>35</v>
      </c>
      <c r="X990">
        <v>14</v>
      </c>
      <c r="Y990">
        <v>3</v>
      </c>
      <c r="Z990">
        <v>1</v>
      </c>
      <c r="AA990">
        <v>80</v>
      </c>
      <c r="AB990">
        <v>2</v>
      </c>
      <c r="AC990">
        <v>12</v>
      </c>
      <c r="AD990">
        <v>4</v>
      </c>
      <c r="AE990">
        <v>2</v>
      </c>
      <c r="AF990">
        <v>6</v>
      </c>
      <c r="AG990">
        <v>2</v>
      </c>
      <c r="AH990">
        <v>3</v>
      </c>
      <c r="AI990">
        <v>3</v>
      </c>
      <c r="AJ990">
        <f t="shared" si="15"/>
        <v>0</v>
      </c>
      <c r="AK990" t="str" cm="1">
        <f t="array" ref="AK990">_xlfn.IFS(A990&lt;=30,"18-30",A990&lt;=45,"31-45",A990&lt;=60,"46-60",TRUE, "60+")</f>
        <v>31-45</v>
      </c>
      <c r="AL990" t="str" cm="1">
        <f t="array" ref="AL990">_xlfn.IFS(F990&lt;=10,"0-10",F990&lt;=20,"11-20",TRUE,"20+")</f>
        <v>20+</v>
      </c>
      <c r="AM990" t="str" cm="1">
        <f t="array" ref="AM990">_xlfn.IFS(S990&lt;=5000,"0-5k",S990&lt;=10000,"5k-10k",S990&lt;=15000,"10k-15k",TRUE,"15k+")</f>
        <v>5k-10k</v>
      </c>
      <c r="AN990" t="str" cm="1">
        <f t="array" ref="AN990">_xlfn.IFS(AF990&lt;=10,"0-10",AF990&lt;=20,"10-20",AF990&lt;=30,"20-30",TRUE,"30+")</f>
        <v>0-10</v>
      </c>
      <c r="AO990" t="str" cm="1">
        <f t="array" ref="AO990">_xlfn.IFS(Y990=1,"Poor",Y990=2,"Average",Y990=3,"Good",TRUE,"Excellent")</f>
        <v>Good</v>
      </c>
      <c r="AP990" t="str" cm="1">
        <f t="array" ref="AP990">_xlfn.IFS(Q990=1,"Low",Q990=2,"Medium",Q990=3,"High",TRUE,"Very High")</f>
        <v>Very High</v>
      </c>
    </row>
    <row r="991" spans="1:42" x14ac:dyDescent="0.25">
      <c r="A991">
        <v>37</v>
      </c>
      <c r="B991" t="s">
        <v>42</v>
      </c>
      <c r="C991" t="s">
        <v>90</v>
      </c>
      <c r="D991">
        <v>1439</v>
      </c>
      <c r="E991" t="s">
        <v>43</v>
      </c>
      <c r="F991">
        <v>4</v>
      </c>
      <c r="G991">
        <v>1</v>
      </c>
      <c r="H991" t="s">
        <v>37</v>
      </c>
      <c r="I991">
        <v>1</v>
      </c>
      <c r="J991">
        <v>1394</v>
      </c>
      <c r="K991">
        <v>3</v>
      </c>
      <c r="L991" t="s">
        <v>44</v>
      </c>
      <c r="M991">
        <v>54</v>
      </c>
      <c r="N991">
        <v>3</v>
      </c>
      <c r="O991">
        <v>1</v>
      </c>
      <c r="P991" t="s">
        <v>45</v>
      </c>
      <c r="Q991">
        <v>3</v>
      </c>
      <c r="R991" t="s">
        <v>46</v>
      </c>
      <c r="S991">
        <v>2996</v>
      </c>
      <c r="T991">
        <v>5182</v>
      </c>
      <c r="U991">
        <v>7</v>
      </c>
      <c r="V991" t="s">
        <v>41</v>
      </c>
      <c r="W991" t="s">
        <v>35</v>
      </c>
      <c r="X991">
        <v>15</v>
      </c>
      <c r="Y991">
        <v>3</v>
      </c>
      <c r="Z991">
        <v>4</v>
      </c>
      <c r="AA991">
        <v>80</v>
      </c>
      <c r="AB991">
        <v>0</v>
      </c>
      <c r="AC991">
        <v>8</v>
      </c>
      <c r="AD991">
        <v>2</v>
      </c>
      <c r="AE991">
        <v>3</v>
      </c>
      <c r="AF991">
        <v>6</v>
      </c>
      <c r="AG991">
        <v>4</v>
      </c>
      <c r="AH991">
        <v>1</v>
      </c>
      <c r="AI991">
        <v>3</v>
      </c>
      <c r="AJ991">
        <f t="shared" si="15"/>
        <v>0</v>
      </c>
      <c r="AK991" t="str" cm="1">
        <f t="array" ref="AK991">_xlfn.IFS(A991&lt;=30,"18-30",A991&lt;=45,"31-45",A991&lt;=60,"46-60",TRUE, "60+")</f>
        <v>31-45</v>
      </c>
      <c r="AL991" t="str" cm="1">
        <f t="array" ref="AL991">_xlfn.IFS(F991&lt;=10,"0-10",F991&lt;=20,"11-20",TRUE,"20+")</f>
        <v>0-10</v>
      </c>
      <c r="AM991" t="str" cm="1">
        <f t="array" ref="AM991">_xlfn.IFS(S991&lt;=5000,"0-5k",S991&lt;=10000,"5k-10k",S991&lt;=15000,"10k-15k",TRUE,"15k+")</f>
        <v>0-5k</v>
      </c>
      <c r="AN991" t="str" cm="1">
        <f t="array" ref="AN991">_xlfn.IFS(AF991&lt;=10,"0-10",AF991&lt;=20,"10-20",AF991&lt;=30,"20-30",TRUE,"30+")</f>
        <v>0-10</v>
      </c>
      <c r="AO991" t="str" cm="1">
        <f t="array" ref="AO991">_xlfn.IFS(Y991=1,"Poor",Y991=2,"Average",Y991=3,"Good",TRUE,"Excellent")</f>
        <v>Good</v>
      </c>
      <c r="AP991" t="str" cm="1">
        <f t="array" ref="AP991">_xlfn.IFS(Q991=1,"Low",Q991=2,"Medium",Q991=3,"High",TRUE,"Very High")</f>
        <v>High</v>
      </c>
    </row>
    <row r="992" spans="1:42" x14ac:dyDescent="0.25">
      <c r="A992">
        <v>33</v>
      </c>
      <c r="B992" t="s">
        <v>42</v>
      </c>
      <c r="C992" t="s">
        <v>91</v>
      </c>
      <c r="D992">
        <v>1111</v>
      </c>
      <c r="E992" t="s">
        <v>36</v>
      </c>
      <c r="F992">
        <v>5</v>
      </c>
      <c r="G992">
        <v>1</v>
      </c>
      <c r="H992" t="s">
        <v>37</v>
      </c>
      <c r="I992">
        <v>1</v>
      </c>
      <c r="J992">
        <v>1395</v>
      </c>
      <c r="K992">
        <v>2</v>
      </c>
      <c r="L992" t="s">
        <v>44</v>
      </c>
      <c r="M992">
        <v>61</v>
      </c>
      <c r="N992">
        <v>3</v>
      </c>
      <c r="O992">
        <v>2</v>
      </c>
      <c r="P992" t="s">
        <v>39</v>
      </c>
      <c r="Q992">
        <v>4</v>
      </c>
      <c r="R992" t="s">
        <v>46</v>
      </c>
      <c r="S992">
        <v>9998</v>
      </c>
      <c r="T992">
        <v>19293</v>
      </c>
      <c r="U992">
        <v>6</v>
      </c>
      <c r="V992" t="s">
        <v>41</v>
      </c>
      <c r="W992" t="s">
        <v>42</v>
      </c>
      <c r="X992">
        <v>13</v>
      </c>
      <c r="Y992">
        <v>3</v>
      </c>
      <c r="Z992">
        <v>1</v>
      </c>
      <c r="AA992">
        <v>80</v>
      </c>
      <c r="AB992">
        <v>0</v>
      </c>
      <c r="AC992">
        <v>8</v>
      </c>
      <c r="AD992">
        <v>2</v>
      </c>
      <c r="AE992">
        <v>4</v>
      </c>
      <c r="AF992">
        <v>5</v>
      </c>
      <c r="AG992">
        <v>4</v>
      </c>
      <c r="AH992">
        <v>1</v>
      </c>
      <c r="AI992">
        <v>2</v>
      </c>
      <c r="AJ992">
        <f t="shared" si="15"/>
        <v>0</v>
      </c>
      <c r="AK992" t="str" cm="1">
        <f t="array" ref="AK992">_xlfn.IFS(A992&lt;=30,"18-30",A992&lt;=45,"31-45",A992&lt;=60,"46-60",TRUE, "60+")</f>
        <v>31-45</v>
      </c>
      <c r="AL992" t="str" cm="1">
        <f t="array" ref="AL992">_xlfn.IFS(F992&lt;=10,"0-10",F992&lt;=20,"11-20",TRUE,"20+")</f>
        <v>0-10</v>
      </c>
      <c r="AM992" t="str" cm="1">
        <f t="array" ref="AM992">_xlfn.IFS(S992&lt;=5000,"0-5k",S992&lt;=10000,"5k-10k",S992&lt;=15000,"10k-15k",TRUE,"15k+")</f>
        <v>5k-10k</v>
      </c>
      <c r="AN992" t="str" cm="1">
        <f t="array" ref="AN992">_xlfn.IFS(AF992&lt;=10,"0-10",AF992&lt;=20,"10-20",AF992&lt;=30,"20-30",TRUE,"30+")</f>
        <v>0-10</v>
      </c>
      <c r="AO992" t="str" cm="1">
        <f t="array" ref="AO992">_xlfn.IFS(Y992=1,"Poor",Y992=2,"Average",Y992=3,"Good",TRUE,"Excellent")</f>
        <v>Good</v>
      </c>
      <c r="AP992" t="str" cm="1">
        <f t="array" ref="AP992">_xlfn.IFS(Q992=1,"Low",Q992=2,"Medium",Q992=3,"High",TRUE,"Very High")</f>
        <v>Very High</v>
      </c>
    </row>
    <row r="993" spans="1:42" x14ac:dyDescent="0.25">
      <c r="A993">
        <v>32</v>
      </c>
      <c r="B993" t="s">
        <v>42</v>
      </c>
      <c r="C993" t="s">
        <v>90</v>
      </c>
      <c r="D993">
        <v>499</v>
      </c>
      <c r="E993" t="s">
        <v>36</v>
      </c>
      <c r="F993">
        <v>2</v>
      </c>
      <c r="G993">
        <v>1</v>
      </c>
      <c r="H993" t="s">
        <v>57</v>
      </c>
      <c r="I993">
        <v>1</v>
      </c>
      <c r="J993">
        <v>1396</v>
      </c>
      <c r="K993">
        <v>3</v>
      </c>
      <c r="L993" t="s">
        <v>44</v>
      </c>
      <c r="M993">
        <v>36</v>
      </c>
      <c r="N993">
        <v>3</v>
      </c>
      <c r="O993">
        <v>2</v>
      </c>
      <c r="P993" t="s">
        <v>39</v>
      </c>
      <c r="Q993">
        <v>2</v>
      </c>
      <c r="R993" t="s">
        <v>46</v>
      </c>
      <c r="S993">
        <v>4078</v>
      </c>
      <c r="T993">
        <v>20497</v>
      </c>
      <c r="U993">
        <v>0</v>
      </c>
      <c r="V993" t="s">
        <v>41</v>
      </c>
      <c r="W993" t="s">
        <v>35</v>
      </c>
      <c r="X993">
        <v>13</v>
      </c>
      <c r="Y993">
        <v>3</v>
      </c>
      <c r="Z993">
        <v>1</v>
      </c>
      <c r="AA993">
        <v>80</v>
      </c>
      <c r="AB993">
        <v>3</v>
      </c>
      <c r="AC993">
        <v>4</v>
      </c>
      <c r="AD993">
        <v>3</v>
      </c>
      <c r="AE993">
        <v>2</v>
      </c>
      <c r="AF993">
        <v>3</v>
      </c>
      <c r="AG993">
        <v>2</v>
      </c>
      <c r="AH993">
        <v>1</v>
      </c>
      <c r="AI993">
        <v>2</v>
      </c>
      <c r="AJ993">
        <f t="shared" si="15"/>
        <v>0</v>
      </c>
      <c r="AK993" t="str" cm="1">
        <f t="array" ref="AK993">_xlfn.IFS(A993&lt;=30,"18-30",A993&lt;=45,"31-45",A993&lt;=60,"46-60",TRUE, "60+")</f>
        <v>31-45</v>
      </c>
      <c r="AL993" t="str" cm="1">
        <f t="array" ref="AL993">_xlfn.IFS(F993&lt;=10,"0-10",F993&lt;=20,"11-20",TRUE,"20+")</f>
        <v>0-10</v>
      </c>
      <c r="AM993" t="str" cm="1">
        <f t="array" ref="AM993">_xlfn.IFS(S993&lt;=5000,"0-5k",S993&lt;=10000,"5k-10k",S993&lt;=15000,"10k-15k",TRUE,"15k+")</f>
        <v>0-5k</v>
      </c>
      <c r="AN993" t="str" cm="1">
        <f t="array" ref="AN993">_xlfn.IFS(AF993&lt;=10,"0-10",AF993&lt;=20,"10-20",AF993&lt;=30,"20-30",TRUE,"30+")</f>
        <v>0-10</v>
      </c>
      <c r="AO993" t="str" cm="1">
        <f t="array" ref="AO993">_xlfn.IFS(Y993=1,"Poor",Y993=2,"Average",Y993=3,"Good",TRUE,"Excellent")</f>
        <v>Good</v>
      </c>
      <c r="AP993" t="str" cm="1">
        <f t="array" ref="AP993">_xlfn.IFS(Q993=1,"Low",Q993=2,"Medium",Q993=3,"High",TRUE,"Very High")</f>
        <v>Medium</v>
      </c>
    </row>
    <row r="994" spans="1:42" x14ac:dyDescent="0.25">
      <c r="A994">
        <v>39</v>
      </c>
      <c r="B994" t="s">
        <v>42</v>
      </c>
      <c r="C994" t="s">
        <v>53</v>
      </c>
      <c r="D994">
        <v>1485</v>
      </c>
      <c r="E994" t="s">
        <v>43</v>
      </c>
      <c r="F994">
        <v>25</v>
      </c>
      <c r="G994">
        <v>2</v>
      </c>
      <c r="H994" t="s">
        <v>37</v>
      </c>
      <c r="I994">
        <v>1</v>
      </c>
      <c r="J994">
        <v>1397</v>
      </c>
      <c r="K994">
        <v>3</v>
      </c>
      <c r="L994" t="s">
        <v>44</v>
      </c>
      <c r="M994">
        <v>71</v>
      </c>
      <c r="N994">
        <v>3</v>
      </c>
      <c r="O994">
        <v>3</v>
      </c>
      <c r="P994" t="s">
        <v>52</v>
      </c>
      <c r="Q994">
        <v>3</v>
      </c>
      <c r="R994" t="s">
        <v>46</v>
      </c>
      <c r="S994">
        <v>10920</v>
      </c>
      <c r="T994">
        <v>3449</v>
      </c>
      <c r="U994">
        <v>3</v>
      </c>
      <c r="V994" t="s">
        <v>41</v>
      </c>
      <c r="W994" t="s">
        <v>42</v>
      </c>
      <c r="X994">
        <v>21</v>
      </c>
      <c r="Y994">
        <v>4</v>
      </c>
      <c r="Z994">
        <v>2</v>
      </c>
      <c r="AA994">
        <v>80</v>
      </c>
      <c r="AB994">
        <v>1</v>
      </c>
      <c r="AC994">
        <v>13</v>
      </c>
      <c r="AD994">
        <v>2</v>
      </c>
      <c r="AE994">
        <v>3</v>
      </c>
      <c r="AF994">
        <v>6</v>
      </c>
      <c r="AG994">
        <v>4</v>
      </c>
      <c r="AH994">
        <v>0</v>
      </c>
      <c r="AI994">
        <v>5</v>
      </c>
      <c r="AJ994">
        <f t="shared" si="15"/>
        <v>0</v>
      </c>
      <c r="AK994" t="str" cm="1">
        <f t="array" ref="AK994">_xlfn.IFS(A994&lt;=30,"18-30",A994&lt;=45,"31-45",A994&lt;=60,"46-60",TRUE, "60+")</f>
        <v>31-45</v>
      </c>
      <c r="AL994" t="str" cm="1">
        <f t="array" ref="AL994">_xlfn.IFS(F994&lt;=10,"0-10",F994&lt;=20,"11-20",TRUE,"20+")</f>
        <v>20+</v>
      </c>
      <c r="AM994" t="str" cm="1">
        <f t="array" ref="AM994">_xlfn.IFS(S994&lt;=5000,"0-5k",S994&lt;=10000,"5k-10k",S994&lt;=15000,"10k-15k",TRUE,"15k+")</f>
        <v>10k-15k</v>
      </c>
      <c r="AN994" t="str" cm="1">
        <f t="array" ref="AN994">_xlfn.IFS(AF994&lt;=10,"0-10",AF994&lt;=20,"10-20",AF994&lt;=30,"20-30",TRUE,"30+")</f>
        <v>0-10</v>
      </c>
      <c r="AO994" t="str" cm="1">
        <f t="array" ref="AO994">_xlfn.IFS(Y994=1,"Poor",Y994=2,"Average",Y994=3,"Good",TRUE,"Excellent")</f>
        <v>Excellent</v>
      </c>
      <c r="AP994" t="str" cm="1">
        <f t="array" ref="AP994">_xlfn.IFS(Q994=1,"Low",Q994=2,"Medium",Q994=3,"High",TRUE,"Very High")</f>
        <v>High</v>
      </c>
    </row>
    <row r="995" spans="1:42" x14ac:dyDescent="0.25">
      <c r="A995">
        <v>25</v>
      </c>
      <c r="B995" t="s">
        <v>42</v>
      </c>
      <c r="C995" t="s">
        <v>90</v>
      </c>
      <c r="D995">
        <v>1372</v>
      </c>
      <c r="E995" t="s">
        <v>36</v>
      </c>
      <c r="F995">
        <v>18</v>
      </c>
      <c r="G995">
        <v>1</v>
      </c>
      <c r="H995" t="s">
        <v>37</v>
      </c>
      <c r="I995">
        <v>1</v>
      </c>
      <c r="J995">
        <v>1399</v>
      </c>
      <c r="K995">
        <v>1</v>
      </c>
      <c r="L995" t="s">
        <v>44</v>
      </c>
      <c r="M995">
        <v>93</v>
      </c>
      <c r="N995">
        <v>4</v>
      </c>
      <c r="O995">
        <v>2</v>
      </c>
      <c r="P995" t="s">
        <v>39</v>
      </c>
      <c r="Q995">
        <v>3</v>
      </c>
      <c r="R995" t="s">
        <v>46</v>
      </c>
      <c r="S995">
        <v>6232</v>
      </c>
      <c r="T995">
        <v>12477</v>
      </c>
      <c r="U995">
        <v>2</v>
      </c>
      <c r="V995" t="s">
        <v>41</v>
      </c>
      <c r="W995" t="s">
        <v>42</v>
      </c>
      <c r="X995">
        <v>11</v>
      </c>
      <c r="Y995">
        <v>3</v>
      </c>
      <c r="Z995">
        <v>2</v>
      </c>
      <c r="AA995">
        <v>80</v>
      </c>
      <c r="AB995">
        <v>0</v>
      </c>
      <c r="AC995">
        <v>6</v>
      </c>
      <c r="AD995">
        <v>3</v>
      </c>
      <c r="AE995">
        <v>2</v>
      </c>
      <c r="AF995">
        <v>3</v>
      </c>
      <c r="AG995">
        <v>2</v>
      </c>
      <c r="AH995">
        <v>1</v>
      </c>
      <c r="AI995">
        <v>2</v>
      </c>
      <c r="AJ995">
        <f t="shared" si="15"/>
        <v>0</v>
      </c>
      <c r="AK995" t="str" cm="1">
        <f t="array" ref="AK995">_xlfn.IFS(A995&lt;=30,"18-30",A995&lt;=45,"31-45",A995&lt;=60,"46-60",TRUE, "60+")</f>
        <v>18-30</v>
      </c>
      <c r="AL995" t="str" cm="1">
        <f t="array" ref="AL995">_xlfn.IFS(F995&lt;=10,"0-10",F995&lt;=20,"11-20",TRUE,"20+")</f>
        <v>11-20</v>
      </c>
      <c r="AM995" t="str" cm="1">
        <f t="array" ref="AM995">_xlfn.IFS(S995&lt;=5000,"0-5k",S995&lt;=10000,"5k-10k",S995&lt;=15000,"10k-15k",TRUE,"15k+")</f>
        <v>5k-10k</v>
      </c>
      <c r="AN995" t="str" cm="1">
        <f t="array" ref="AN995">_xlfn.IFS(AF995&lt;=10,"0-10",AF995&lt;=20,"10-20",AF995&lt;=30,"20-30",TRUE,"30+")</f>
        <v>0-10</v>
      </c>
      <c r="AO995" t="str" cm="1">
        <f t="array" ref="AO995">_xlfn.IFS(Y995=1,"Poor",Y995=2,"Average",Y995=3,"Good",TRUE,"Excellent")</f>
        <v>Good</v>
      </c>
      <c r="AP995" t="str" cm="1">
        <f t="array" ref="AP995">_xlfn.IFS(Q995=1,"Low",Q995=2,"Medium",Q995=3,"High",TRUE,"Very High")</f>
        <v>High</v>
      </c>
    </row>
    <row r="996" spans="1:42" x14ac:dyDescent="0.25">
      <c r="A996">
        <v>52</v>
      </c>
      <c r="B996" t="s">
        <v>42</v>
      </c>
      <c r="C996" t="s">
        <v>91</v>
      </c>
      <c r="D996">
        <v>322</v>
      </c>
      <c r="E996" t="s">
        <v>43</v>
      </c>
      <c r="F996">
        <v>28</v>
      </c>
      <c r="G996">
        <v>2</v>
      </c>
      <c r="H996" t="s">
        <v>49</v>
      </c>
      <c r="I996">
        <v>1</v>
      </c>
      <c r="J996">
        <v>1401</v>
      </c>
      <c r="K996">
        <v>4</v>
      </c>
      <c r="L996" t="s">
        <v>38</v>
      </c>
      <c r="M996">
        <v>59</v>
      </c>
      <c r="N996">
        <v>4</v>
      </c>
      <c r="O996">
        <v>4</v>
      </c>
      <c r="P996" t="s">
        <v>51</v>
      </c>
      <c r="Q996">
        <v>3</v>
      </c>
      <c r="R996" t="s">
        <v>46</v>
      </c>
      <c r="S996">
        <v>13247</v>
      </c>
      <c r="T996">
        <v>9731</v>
      </c>
      <c r="U996">
        <v>2</v>
      </c>
      <c r="V996" t="s">
        <v>41</v>
      </c>
      <c r="W996" t="s">
        <v>35</v>
      </c>
      <c r="X996">
        <v>11</v>
      </c>
      <c r="Y996">
        <v>3</v>
      </c>
      <c r="Z996">
        <v>2</v>
      </c>
      <c r="AA996">
        <v>80</v>
      </c>
      <c r="AB996">
        <v>1</v>
      </c>
      <c r="AC996">
        <v>24</v>
      </c>
      <c r="AD996">
        <v>3</v>
      </c>
      <c r="AE996">
        <v>2</v>
      </c>
      <c r="AF996">
        <v>5</v>
      </c>
      <c r="AG996">
        <v>3</v>
      </c>
      <c r="AH996">
        <v>0</v>
      </c>
      <c r="AI996">
        <v>2</v>
      </c>
      <c r="AJ996">
        <f t="shared" si="15"/>
        <v>0</v>
      </c>
      <c r="AK996" t="str" cm="1">
        <f t="array" ref="AK996">_xlfn.IFS(A996&lt;=30,"18-30",A996&lt;=45,"31-45",A996&lt;=60,"46-60",TRUE, "60+")</f>
        <v>46-60</v>
      </c>
      <c r="AL996" t="str" cm="1">
        <f t="array" ref="AL996">_xlfn.IFS(F996&lt;=10,"0-10",F996&lt;=20,"11-20",TRUE,"20+")</f>
        <v>20+</v>
      </c>
      <c r="AM996" t="str" cm="1">
        <f t="array" ref="AM996">_xlfn.IFS(S996&lt;=5000,"0-5k",S996&lt;=10000,"5k-10k",S996&lt;=15000,"10k-15k",TRUE,"15k+")</f>
        <v>10k-15k</v>
      </c>
      <c r="AN996" t="str" cm="1">
        <f t="array" ref="AN996">_xlfn.IFS(AF996&lt;=10,"0-10",AF996&lt;=20,"10-20",AF996&lt;=30,"20-30",TRUE,"30+")</f>
        <v>0-10</v>
      </c>
      <c r="AO996" t="str" cm="1">
        <f t="array" ref="AO996">_xlfn.IFS(Y996=1,"Poor",Y996=2,"Average",Y996=3,"Good",TRUE,"Excellent")</f>
        <v>Good</v>
      </c>
      <c r="AP996" t="str" cm="1">
        <f t="array" ref="AP996">_xlfn.IFS(Q996=1,"Low",Q996=2,"Medium",Q996=3,"High",TRUE,"Very High")</f>
        <v>High</v>
      </c>
    </row>
    <row r="997" spans="1:42" x14ac:dyDescent="0.25">
      <c r="A997">
        <v>43</v>
      </c>
      <c r="B997" t="s">
        <v>42</v>
      </c>
      <c r="C997" t="s">
        <v>90</v>
      </c>
      <c r="D997">
        <v>930</v>
      </c>
      <c r="E997" t="s">
        <v>43</v>
      </c>
      <c r="F997">
        <v>6</v>
      </c>
      <c r="G997">
        <v>3</v>
      </c>
      <c r="H997" t="s">
        <v>49</v>
      </c>
      <c r="I997">
        <v>1</v>
      </c>
      <c r="J997">
        <v>1402</v>
      </c>
      <c r="K997">
        <v>1</v>
      </c>
      <c r="L997" t="s">
        <v>38</v>
      </c>
      <c r="M997">
        <v>73</v>
      </c>
      <c r="N997">
        <v>2</v>
      </c>
      <c r="O997">
        <v>2</v>
      </c>
      <c r="P997" t="s">
        <v>45</v>
      </c>
      <c r="Q997">
        <v>3</v>
      </c>
      <c r="R997" t="s">
        <v>40</v>
      </c>
      <c r="S997">
        <v>4081</v>
      </c>
      <c r="T997">
        <v>20003</v>
      </c>
      <c r="U997">
        <v>1</v>
      </c>
      <c r="V997" t="s">
        <v>41</v>
      </c>
      <c r="W997" t="s">
        <v>35</v>
      </c>
      <c r="X997">
        <v>14</v>
      </c>
      <c r="Y997">
        <v>3</v>
      </c>
      <c r="Z997">
        <v>1</v>
      </c>
      <c r="AA997">
        <v>80</v>
      </c>
      <c r="AB997">
        <v>0</v>
      </c>
      <c r="AC997">
        <v>20</v>
      </c>
      <c r="AD997">
        <v>3</v>
      </c>
      <c r="AE997">
        <v>1</v>
      </c>
      <c r="AF997">
        <v>20</v>
      </c>
      <c r="AG997">
        <v>7</v>
      </c>
      <c r="AH997">
        <v>1</v>
      </c>
      <c r="AI997">
        <v>8</v>
      </c>
      <c r="AJ997">
        <f t="shared" si="15"/>
        <v>0</v>
      </c>
      <c r="AK997" t="str" cm="1">
        <f t="array" ref="AK997">_xlfn.IFS(A997&lt;=30,"18-30",A997&lt;=45,"31-45",A997&lt;=60,"46-60",TRUE, "60+")</f>
        <v>31-45</v>
      </c>
      <c r="AL997" t="str" cm="1">
        <f t="array" ref="AL997">_xlfn.IFS(F997&lt;=10,"0-10",F997&lt;=20,"11-20",TRUE,"20+")</f>
        <v>0-10</v>
      </c>
      <c r="AM997" t="str" cm="1">
        <f t="array" ref="AM997">_xlfn.IFS(S997&lt;=5000,"0-5k",S997&lt;=10000,"5k-10k",S997&lt;=15000,"10k-15k",TRUE,"15k+")</f>
        <v>0-5k</v>
      </c>
      <c r="AN997" t="str" cm="1">
        <f t="array" ref="AN997">_xlfn.IFS(AF997&lt;=10,"0-10",AF997&lt;=20,"10-20",AF997&lt;=30,"20-30",TRUE,"30+")</f>
        <v>10-20</v>
      </c>
      <c r="AO997" t="str" cm="1">
        <f t="array" ref="AO997">_xlfn.IFS(Y997=1,"Poor",Y997=2,"Average",Y997=3,"Good",TRUE,"Excellent")</f>
        <v>Good</v>
      </c>
      <c r="AP997" t="str" cm="1">
        <f t="array" ref="AP997">_xlfn.IFS(Q997=1,"Low",Q997=2,"Medium",Q997=3,"High",TRUE,"Very High")</f>
        <v>High</v>
      </c>
    </row>
    <row r="998" spans="1:42" x14ac:dyDescent="0.25">
      <c r="A998">
        <v>27</v>
      </c>
      <c r="B998" t="s">
        <v>42</v>
      </c>
      <c r="C998" t="s">
        <v>90</v>
      </c>
      <c r="D998">
        <v>205</v>
      </c>
      <c r="E998" t="s">
        <v>36</v>
      </c>
      <c r="F998">
        <v>10</v>
      </c>
      <c r="G998">
        <v>3</v>
      </c>
      <c r="H998" t="s">
        <v>57</v>
      </c>
      <c r="I998">
        <v>1</v>
      </c>
      <c r="J998">
        <v>1403</v>
      </c>
      <c r="K998">
        <v>4</v>
      </c>
      <c r="L998" t="s">
        <v>38</v>
      </c>
      <c r="M998">
        <v>98</v>
      </c>
      <c r="N998">
        <v>2</v>
      </c>
      <c r="O998">
        <v>2</v>
      </c>
      <c r="P998" t="s">
        <v>39</v>
      </c>
      <c r="Q998">
        <v>4</v>
      </c>
      <c r="R998" t="s">
        <v>46</v>
      </c>
      <c r="S998">
        <v>5769</v>
      </c>
      <c r="T998">
        <v>7100</v>
      </c>
      <c r="U998">
        <v>1</v>
      </c>
      <c r="V998" t="s">
        <v>41</v>
      </c>
      <c r="W998" t="s">
        <v>35</v>
      </c>
      <c r="X998">
        <v>11</v>
      </c>
      <c r="Y998">
        <v>3</v>
      </c>
      <c r="Z998">
        <v>4</v>
      </c>
      <c r="AA998">
        <v>80</v>
      </c>
      <c r="AB998">
        <v>0</v>
      </c>
      <c r="AC998">
        <v>6</v>
      </c>
      <c r="AD998">
        <v>3</v>
      </c>
      <c r="AE998">
        <v>3</v>
      </c>
      <c r="AF998">
        <v>6</v>
      </c>
      <c r="AG998">
        <v>2</v>
      </c>
      <c r="AH998">
        <v>4</v>
      </c>
      <c r="AI998">
        <v>4</v>
      </c>
      <c r="AJ998">
        <f t="shared" si="15"/>
        <v>0</v>
      </c>
      <c r="AK998" t="str" cm="1">
        <f t="array" ref="AK998">_xlfn.IFS(A998&lt;=30,"18-30",A998&lt;=45,"31-45",A998&lt;=60,"46-60",TRUE, "60+")</f>
        <v>18-30</v>
      </c>
      <c r="AL998" t="str" cm="1">
        <f t="array" ref="AL998">_xlfn.IFS(F998&lt;=10,"0-10",F998&lt;=20,"11-20",TRUE,"20+")</f>
        <v>0-10</v>
      </c>
      <c r="AM998" t="str" cm="1">
        <f t="array" ref="AM998">_xlfn.IFS(S998&lt;=5000,"0-5k",S998&lt;=10000,"5k-10k",S998&lt;=15000,"10k-15k",TRUE,"15k+")</f>
        <v>5k-10k</v>
      </c>
      <c r="AN998" t="str" cm="1">
        <f t="array" ref="AN998">_xlfn.IFS(AF998&lt;=10,"0-10",AF998&lt;=20,"10-20",AF998&lt;=30,"20-30",TRUE,"30+")</f>
        <v>0-10</v>
      </c>
      <c r="AO998" t="str" cm="1">
        <f t="array" ref="AO998">_xlfn.IFS(Y998=1,"Poor",Y998=2,"Average",Y998=3,"Good",TRUE,"Excellent")</f>
        <v>Good</v>
      </c>
      <c r="AP998" t="str" cm="1">
        <f t="array" ref="AP998">_xlfn.IFS(Q998=1,"Low",Q998=2,"Medium",Q998=3,"High",TRUE,"Very High")</f>
        <v>Very High</v>
      </c>
    </row>
    <row r="999" spans="1:42" x14ac:dyDescent="0.25">
      <c r="A999">
        <v>27</v>
      </c>
      <c r="B999" t="s">
        <v>35</v>
      </c>
      <c r="C999" t="s">
        <v>90</v>
      </c>
      <c r="D999">
        <v>135</v>
      </c>
      <c r="E999" t="s">
        <v>43</v>
      </c>
      <c r="F999">
        <v>17</v>
      </c>
      <c r="G999">
        <v>4</v>
      </c>
      <c r="H999" t="s">
        <v>37</v>
      </c>
      <c r="I999">
        <v>1</v>
      </c>
      <c r="J999">
        <v>1405</v>
      </c>
      <c r="K999">
        <v>4</v>
      </c>
      <c r="L999" t="s">
        <v>38</v>
      </c>
      <c r="M999">
        <v>51</v>
      </c>
      <c r="N999">
        <v>3</v>
      </c>
      <c r="O999">
        <v>1</v>
      </c>
      <c r="P999" t="s">
        <v>45</v>
      </c>
      <c r="Q999">
        <v>3</v>
      </c>
      <c r="R999" t="s">
        <v>40</v>
      </c>
      <c r="S999">
        <v>2394</v>
      </c>
      <c r="T999">
        <v>25681</v>
      </c>
      <c r="U999">
        <v>1</v>
      </c>
      <c r="V999" t="s">
        <v>41</v>
      </c>
      <c r="W999" t="s">
        <v>35</v>
      </c>
      <c r="X999">
        <v>13</v>
      </c>
      <c r="Y999">
        <v>3</v>
      </c>
      <c r="Z999">
        <v>4</v>
      </c>
      <c r="AA999">
        <v>80</v>
      </c>
      <c r="AB999">
        <v>0</v>
      </c>
      <c r="AC999">
        <v>8</v>
      </c>
      <c r="AD999">
        <v>2</v>
      </c>
      <c r="AE999">
        <v>3</v>
      </c>
      <c r="AF999">
        <v>8</v>
      </c>
      <c r="AG999">
        <v>2</v>
      </c>
      <c r="AH999">
        <v>7</v>
      </c>
      <c r="AI999">
        <v>7</v>
      </c>
      <c r="AJ999">
        <f t="shared" si="15"/>
        <v>1</v>
      </c>
      <c r="AK999" t="str" cm="1">
        <f t="array" ref="AK999">_xlfn.IFS(A999&lt;=30,"18-30",A999&lt;=45,"31-45",A999&lt;=60,"46-60",TRUE, "60+")</f>
        <v>18-30</v>
      </c>
      <c r="AL999" t="str" cm="1">
        <f t="array" ref="AL999">_xlfn.IFS(F999&lt;=10,"0-10",F999&lt;=20,"11-20",TRUE,"20+")</f>
        <v>11-20</v>
      </c>
      <c r="AM999" t="str" cm="1">
        <f t="array" ref="AM999">_xlfn.IFS(S999&lt;=5000,"0-5k",S999&lt;=10000,"5k-10k",S999&lt;=15000,"10k-15k",TRUE,"15k+")</f>
        <v>0-5k</v>
      </c>
      <c r="AN999" t="str" cm="1">
        <f t="array" ref="AN999">_xlfn.IFS(AF999&lt;=10,"0-10",AF999&lt;=20,"10-20",AF999&lt;=30,"20-30",TRUE,"30+")</f>
        <v>0-10</v>
      </c>
      <c r="AO999" t="str" cm="1">
        <f t="array" ref="AO999">_xlfn.IFS(Y999=1,"Poor",Y999=2,"Average",Y999=3,"Good",TRUE,"Excellent")</f>
        <v>Good</v>
      </c>
      <c r="AP999" t="str" cm="1">
        <f t="array" ref="AP999">_xlfn.IFS(Q999=1,"Low",Q999=2,"Medium",Q999=3,"High",TRUE,"Very High")</f>
        <v>High</v>
      </c>
    </row>
    <row r="1000" spans="1:42" x14ac:dyDescent="0.25">
      <c r="A1000">
        <v>26</v>
      </c>
      <c r="B1000" t="s">
        <v>42</v>
      </c>
      <c r="C1000" t="s">
        <v>90</v>
      </c>
      <c r="D1000">
        <v>683</v>
      </c>
      <c r="E1000" t="s">
        <v>43</v>
      </c>
      <c r="F1000">
        <v>2</v>
      </c>
      <c r="G1000">
        <v>1</v>
      </c>
      <c r="H1000" t="s">
        <v>49</v>
      </c>
      <c r="I1000">
        <v>1</v>
      </c>
      <c r="J1000">
        <v>1407</v>
      </c>
      <c r="K1000">
        <v>1</v>
      </c>
      <c r="L1000" t="s">
        <v>44</v>
      </c>
      <c r="M1000">
        <v>36</v>
      </c>
      <c r="N1000">
        <v>2</v>
      </c>
      <c r="O1000">
        <v>1</v>
      </c>
      <c r="P1000" t="s">
        <v>45</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c r="AJ1000">
        <f t="shared" si="15"/>
        <v>0</v>
      </c>
      <c r="AK1000" t="str" cm="1">
        <f t="array" ref="AK1000">_xlfn.IFS(A1000&lt;=30,"18-30",A1000&lt;=45,"31-45",A1000&lt;=60,"46-60",TRUE, "60+")</f>
        <v>18-30</v>
      </c>
      <c r="AL1000" t="str" cm="1">
        <f t="array" ref="AL1000">_xlfn.IFS(F1000&lt;=10,"0-10",F1000&lt;=20,"11-20",TRUE,"20+")</f>
        <v>0-10</v>
      </c>
      <c r="AM1000" t="str" cm="1">
        <f t="array" ref="AM1000">_xlfn.IFS(S1000&lt;=5000,"0-5k",S1000&lt;=10000,"5k-10k",S1000&lt;=15000,"10k-15k",TRUE,"15k+")</f>
        <v>0-5k</v>
      </c>
      <c r="AN1000" t="str" cm="1">
        <f t="array" ref="AN1000">_xlfn.IFS(AF1000&lt;=10,"0-10",AF1000&lt;=20,"10-20",AF1000&lt;=30,"20-30",TRUE,"30+")</f>
        <v>0-10</v>
      </c>
      <c r="AO1000" t="str" cm="1">
        <f t="array" ref="AO1000">_xlfn.IFS(Y1000=1,"Poor",Y1000=2,"Average",Y1000=3,"Good",TRUE,"Excellent")</f>
        <v>Good</v>
      </c>
      <c r="AP1000" t="str" cm="1">
        <f t="array" ref="AP1000">_xlfn.IFS(Q1000=1,"Low",Q1000=2,"Medium",Q1000=3,"High",TRUE,"Very High")</f>
        <v>Very High</v>
      </c>
    </row>
    <row r="1001" spans="1:42" x14ac:dyDescent="0.25">
      <c r="A1001">
        <v>42</v>
      </c>
      <c r="B1001" t="s">
        <v>42</v>
      </c>
      <c r="C1001" t="s">
        <v>90</v>
      </c>
      <c r="D1001">
        <v>1147</v>
      </c>
      <c r="E1001" t="s">
        <v>59</v>
      </c>
      <c r="F1001">
        <v>10</v>
      </c>
      <c r="G1001">
        <v>3</v>
      </c>
      <c r="H1001" t="s">
        <v>59</v>
      </c>
      <c r="I1001">
        <v>1</v>
      </c>
      <c r="J1001">
        <v>1408</v>
      </c>
      <c r="K1001">
        <v>3</v>
      </c>
      <c r="L1001" t="s">
        <v>38</v>
      </c>
      <c r="M1001">
        <v>31</v>
      </c>
      <c r="N1001">
        <v>3</v>
      </c>
      <c r="O1001">
        <v>4</v>
      </c>
      <c r="P1001" t="s">
        <v>54</v>
      </c>
      <c r="Q1001">
        <v>1</v>
      </c>
      <c r="R1001" t="s">
        <v>46</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c r="AJ1001">
        <f t="shared" si="15"/>
        <v>0</v>
      </c>
      <c r="AK1001" t="str" cm="1">
        <f t="array" ref="AK1001">_xlfn.IFS(A1001&lt;=30,"18-30",A1001&lt;=45,"31-45",A1001&lt;=60,"46-60",TRUE, "60+")</f>
        <v>31-45</v>
      </c>
      <c r="AL1001" t="str" cm="1">
        <f t="array" ref="AL1001">_xlfn.IFS(F1001&lt;=10,"0-10",F1001&lt;=20,"11-20",TRUE,"20+")</f>
        <v>0-10</v>
      </c>
      <c r="AM1001" t="str" cm="1">
        <f t="array" ref="AM1001">_xlfn.IFS(S1001&lt;=5000,"0-5k",S1001&lt;=10000,"5k-10k",S1001&lt;=15000,"10k-15k",TRUE,"15k+")</f>
        <v>15k+</v>
      </c>
      <c r="AN1001" t="str" cm="1">
        <f t="array" ref="AN1001">_xlfn.IFS(AF1001&lt;=10,"0-10",AF1001&lt;=20,"10-20",AF1001&lt;=30,"20-30",TRUE,"30+")</f>
        <v>10-20</v>
      </c>
      <c r="AO1001" t="str" cm="1">
        <f t="array" ref="AO1001">_xlfn.IFS(Y1001=1,"Poor",Y1001=2,"Average",Y1001=3,"Good",TRUE,"Excellent")</f>
        <v>Good</v>
      </c>
      <c r="AP1001" t="str" cm="1">
        <f t="array" ref="AP1001">_xlfn.IFS(Q1001=1,"Low",Q1001=2,"Medium",Q1001=3,"High",TRUE,"Very High")</f>
        <v>Low</v>
      </c>
    </row>
    <row r="1002" spans="1:42" x14ac:dyDescent="0.25">
      <c r="A1002">
        <v>52</v>
      </c>
      <c r="B1002" t="s">
        <v>42</v>
      </c>
      <c r="C1002" t="s">
        <v>90</v>
      </c>
      <c r="D1002">
        <v>258</v>
      </c>
      <c r="E1002" t="s">
        <v>43</v>
      </c>
      <c r="F1002">
        <v>8</v>
      </c>
      <c r="G1002">
        <v>4</v>
      </c>
      <c r="H1002" t="s">
        <v>47</v>
      </c>
      <c r="I1002">
        <v>1</v>
      </c>
      <c r="J1002">
        <v>1409</v>
      </c>
      <c r="K1002">
        <v>3</v>
      </c>
      <c r="L1002" t="s">
        <v>38</v>
      </c>
      <c r="M1002">
        <v>54</v>
      </c>
      <c r="N1002">
        <v>3</v>
      </c>
      <c r="O1002">
        <v>1</v>
      </c>
      <c r="P1002" t="s">
        <v>48</v>
      </c>
      <c r="Q1002">
        <v>1</v>
      </c>
      <c r="R1002" t="s">
        <v>46</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c r="AJ1002">
        <f t="shared" si="15"/>
        <v>0</v>
      </c>
      <c r="AK1002" t="str" cm="1">
        <f t="array" ref="AK1002">_xlfn.IFS(A1002&lt;=30,"18-30",A1002&lt;=45,"31-45",A1002&lt;=60,"46-60",TRUE, "60+")</f>
        <v>46-60</v>
      </c>
      <c r="AL1002" t="str" cm="1">
        <f t="array" ref="AL1002">_xlfn.IFS(F1002&lt;=10,"0-10",F1002&lt;=20,"11-20",TRUE,"20+")</f>
        <v>0-10</v>
      </c>
      <c r="AM1002" t="str" cm="1">
        <f t="array" ref="AM1002">_xlfn.IFS(S1002&lt;=5000,"0-5k",S1002&lt;=10000,"5k-10k",S1002&lt;=15000,"10k-15k",TRUE,"15k+")</f>
        <v>0-5k</v>
      </c>
      <c r="AN1002" t="str" cm="1">
        <f t="array" ref="AN1002">_xlfn.IFS(AF1002&lt;=10,"0-10",AF1002&lt;=20,"10-20",AF1002&lt;=30,"20-30",TRUE,"30+")</f>
        <v>0-10</v>
      </c>
      <c r="AO1002" t="str" cm="1">
        <f t="array" ref="AO1002">_xlfn.IFS(Y1002=1,"Poor",Y1002=2,"Average",Y1002=3,"Good",TRUE,"Excellent")</f>
        <v>Good</v>
      </c>
      <c r="AP1002" t="str" cm="1">
        <f t="array" ref="AP1002">_xlfn.IFS(Q1002=1,"Low",Q1002=2,"Medium",Q1002=3,"High",TRUE,"Very High")</f>
        <v>Low</v>
      </c>
    </row>
    <row r="1003" spans="1:42" x14ac:dyDescent="0.25">
      <c r="A1003">
        <v>37</v>
      </c>
      <c r="B1003" t="s">
        <v>42</v>
      </c>
      <c r="C1003" t="s">
        <v>90</v>
      </c>
      <c r="D1003">
        <v>1462</v>
      </c>
      <c r="E1003" t="s">
        <v>43</v>
      </c>
      <c r="F1003">
        <v>11</v>
      </c>
      <c r="G1003">
        <v>3</v>
      </c>
      <c r="H1003" t="s">
        <v>49</v>
      </c>
      <c r="I1003">
        <v>1</v>
      </c>
      <c r="J1003">
        <v>1411</v>
      </c>
      <c r="K1003">
        <v>1</v>
      </c>
      <c r="L1003" t="s">
        <v>38</v>
      </c>
      <c r="M1003">
        <v>94</v>
      </c>
      <c r="N1003">
        <v>3</v>
      </c>
      <c r="O1003">
        <v>1</v>
      </c>
      <c r="P1003" t="s">
        <v>48</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c r="AJ1003">
        <f t="shared" si="15"/>
        <v>0</v>
      </c>
      <c r="AK1003" t="str" cm="1">
        <f t="array" ref="AK1003">_xlfn.IFS(A1003&lt;=30,"18-30",A1003&lt;=45,"31-45",A1003&lt;=60,"46-60",TRUE, "60+")</f>
        <v>31-45</v>
      </c>
      <c r="AL1003" t="str" cm="1">
        <f t="array" ref="AL1003">_xlfn.IFS(F1003&lt;=10,"0-10",F1003&lt;=20,"11-20",TRUE,"20+")</f>
        <v>11-20</v>
      </c>
      <c r="AM1003" t="str" cm="1">
        <f t="array" ref="AM1003">_xlfn.IFS(S1003&lt;=5000,"0-5k",S1003&lt;=10000,"5k-10k",S1003&lt;=15000,"10k-15k",TRUE,"15k+")</f>
        <v>0-5k</v>
      </c>
      <c r="AN1003" t="str" cm="1">
        <f t="array" ref="AN1003">_xlfn.IFS(AF1003&lt;=10,"0-10",AF1003&lt;=20,"10-20",AF1003&lt;=30,"20-30",TRUE,"30+")</f>
        <v>0-10</v>
      </c>
      <c r="AO1003" t="str" cm="1">
        <f t="array" ref="AO1003">_xlfn.IFS(Y1003=1,"Poor",Y1003=2,"Average",Y1003=3,"Good",TRUE,"Excellent")</f>
        <v>Good</v>
      </c>
      <c r="AP1003" t="str" cm="1">
        <f t="array" ref="AP1003">_xlfn.IFS(Q1003=1,"Low",Q1003=2,"Medium",Q1003=3,"High",TRUE,"Very High")</f>
        <v>High</v>
      </c>
    </row>
    <row r="1004" spans="1:42" x14ac:dyDescent="0.25">
      <c r="A1004">
        <v>35</v>
      </c>
      <c r="B1004" t="s">
        <v>42</v>
      </c>
      <c r="C1004" t="s">
        <v>91</v>
      </c>
      <c r="D1004">
        <v>200</v>
      </c>
      <c r="E1004" t="s">
        <v>43</v>
      </c>
      <c r="F1004">
        <v>18</v>
      </c>
      <c r="G1004">
        <v>2</v>
      </c>
      <c r="H1004" t="s">
        <v>37</v>
      </c>
      <c r="I1004">
        <v>1</v>
      </c>
      <c r="J1004">
        <v>1412</v>
      </c>
      <c r="K1004">
        <v>3</v>
      </c>
      <c r="L1004" t="s">
        <v>44</v>
      </c>
      <c r="M1004">
        <v>60</v>
      </c>
      <c r="N1004">
        <v>3</v>
      </c>
      <c r="O1004">
        <v>3</v>
      </c>
      <c r="P1004" t="s">
        <v>51</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c r="AJ1004">
        <f t="shared" si="15"/>
        <v>0</v>
      </c>
      <c r="AK1004" t="str" cm="1">
        <f t="array" ref="AK1004">_xlfn.IFS(A1004&lt;=30,"18-30",A1004&lt;=45,"31-45",A1004&lt;=60,"46-60",TRUE, "60+")</f>
        <v>31-45</v>
      </c>
      <c r="AL1004" t="str" cm="1">
        <f t="array" ref="AL1004">_xlfn.IFS(F1004&lt;=10,"0-10",F1004&lt;=20,"11-20",TRUE,"20+")</f>
        <v>11-20</v>
      </c>
      <c r="AM1004" t="str" cm="1">
        <f t="array" ref="AM1004">_xlfn.IFS(S1004&lt;=5000,"0-5k",S1004&lt;=10000,"5k-10k",S1004&lt;=15000,"10k-15k",TRUE,"15k+")</f>
        <v>5k-10k</v>
      </c>
      <c r="AN1004" t="str" cm="1">
        <f t="array" ref="AN1004">_xlfn.IFS(AF1004&lt;=10,"0-10",AF1004&lt;=20,"10-20",AF1004&lt;=30,"20-30",TRUE,"30+")</f>
        <v>0-10</v>
      </c>
      <c r="AO1004" t="str" cm="1">
        <f t="array" ref="AO1004">_xlfn.IFS(Y1004=1,"Poor",Y1004=2,"Average",Y1004=3,"Good",TRUE,"Excellent")</f>
        <v>Good</v>
      </c>
      <c r="AP1004" t="str" cm="1">
        <f t="array" ref="AP1004">_xlfn.IFS(Q1004=1,"Low",Q1004=2,"Medium",Q1004=3,"High",TRUE,"Very High")</f>
        <v>Very High</v>
      </c>
    </row>
    <row r="1005" spans="1:42" x14ac:dyDescent="0.25">
      <c r="A1005">
        <v>25</v>
      </c>
      <c r="B1005" t="s">
        <v>42</v>
      </c>
      <c r="C1005" t="s">
        <v>90</v>
      </c>
      <c r="D1005">
        <v>949</v>
      </c>
      <c r="E1005" t="s">
        <v>43</v>
      </c>
      <c r="F1005">
        <v>1</v>
      </c>
      <c r="G1005">
        <v>3</v>
      </c>
      <c r="H1005" t="s">
        <v>58</v>
      </c>
      <c r="I1005">
        <v>1</v>
      </c>
      <c r="J1005">
        <v>1415</v>
      </c>
      <c r="K1005">
        <v>1</v>
      </c>
      <c r="L1005" t="s">
        <v>44</v>
      </c>
      <c r="M1005">
        <v>81</v>
      </c>
      <c r="N1005">
        <v>3</v>
      </c>
      <c r="O1005">
        <v>1</v>
      </c>
      <c r="P1005" t="s">
        <v>48</v>
      </c>
      <c r="Q1005">
        <v>4</v>
      </c>
      <c r="R1005" t="s">
        <v>46</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c r="AJ1005">
        <f t="shared" si="15"/>
        <v>0</v>
      </c>
      <c r="AK1005" t="str" cm="1">
        <f t="array" ref="AK1005">_xlfn.IFS(A1005&lt;=30,"18-30",A1005&lt;=45,"31-45",A1005&lt;=60,"46-60",TRUE, "60+")</f>
        <v>18-30</v>
      </c>
      <c r="AL1005" t="str" cm="1">
        <f t="array" ref="AL1005">_xlfn.IFS(F1005&lt;=10,"0-10",F1005&lt;=20,"11-20",TRUE,"20+")</f>
        <v>0-10</v>
      </c>
      <c r="AM1005" t="str" cm="1">
        <f t="array" ref="AM1005">_xlfn.IFS(S1005&lt;=5000,"0-5k",S1005&lt;=10000,"5k-10k",S1005&lt;=15000,"10k-15k",TRUE,"15k+")</f>
        <v>0-5k</v>
      </c>
      <c r="AN1005" t="str" cm="1">
        <f t="array" ref="AN1005">_xlfn.IFS(AF1005&lt;=10,"0-10",AF1005&lt;=20,"10-20",AF1005&lt;=30,"20-30",TRUE,"30+")</f>
        <v>0-10</v>
      </c>
      <c r="AO1005" t="str" cm="1">
        <f t="array" ref="AO1005">_xlfn.IFS(Y1005=1,"Poor",Y1005=2,"Average",Y1005=3,"Good",TRUE,"Excellent")</f>
        <v>Good</v>
      </c>
      <c r="AP1005" t="str" cm="1">
        <f t="array" ref="AP1005">_xlfn.IFS(Q1005=1,"Low",Q1005=2,"Medium",Q1005=3,"High",TRUE,"Very High")</f>
        <v>Very High</v>
      </c>
    </row>
    <row r="1006" spans="1:42" x14ac:dyDescent="0.25">
      <c r="A1006">
        <v>26</v>
      </c>
      <c r="B1006" t="s">
        <v>42</v>
      </c>
      <c r="C1006" t="s">
        <v>90</v>
      </c>
      <c r="D1006">
        <v>652</v>
      </c>
      <c r="E1006" t="s">
        <v>43</v>
      </c>
      <c r="F1006">
        <v>7</v>
      </c>
      <c r="G1006">
        <v>3</v>
      </c>
      <c r="H1006" t="s">
        <v>47</v>
      </c>
      <c r="I1006">
        <v>1</v>
      </c>
      <c r="J1006">
        <v>1417</v>
      </c>
      <c r="K1006">
        <v>3</v>
      </c>
      <c r="L1006" t="s">
        <v>44</v>
      </c>
      <c r="M1006">
        <v>100</v>
      </c>
      <c r="N1006">
        <v>4</v>
      </c>
      <c r="O1006">
        <v>1</v>
      </c>
      <c r="P1006" t="s">
        <v>48</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c r="AJ1006">
        <f t="shared" si="15"/>
        <v>0</v>
      </c>
      <c r="AK1006" t="str" cm="1">
        <f t="array" ref="AK1006">_xlfn.IFS(A1006&lt;=30,"18-30",A1006&lt;=45,"31-45",A1006&lt;=60,"46-60",TRUE, "60+")</f>
        <v>18-30</v>
      </c>
      <c r="AL1006" t="str" cm="1">
        <f t="array" ref="AL1006">_xlfn.IFS(F1006&lt;=10,"0-10",F1006&lt;=20,"11-20",TRUE,"20+")</f>
        <v>0-10</v>
      </c>
      <c r="AM1006" t="str" cm="1">
        <f t="array" ref="AM1006">_xlfn.IFS(S1006&lt;=5000,"0-5k",S1006&lt;=10000,"5k-10k",S1006&lt;=15000,"10k-15k",TRUE,"15k+")</f>
        <v>0-5k</v>
      </c>
      <c r="AN1006" t="str" cm="1">
        <f t="array" ref="AN1006">_xlfn.IFS(AF1006&lt;=10,"0-10",AF1006&lt;=20,"10-20",AF1006&lt;=30,"20-30",TRUE,"30+")</f>
        <v>0-10</v>
      </c>
      <c r="AO1006" t="str" cm="1">
        <f t="array" ref="AO1006">_xlfn.IFS(Y1006=1,"Poor",Y1006=2,"Average",Y1006=3,"Good",TRUE,"Excellent")</f>
        <v>Good</v>
      </c>
      <c r="AP1006" t="str" cm="1">
        <f t="array" ref="AP1006">_xlfn.IFS(Q1006=1,"Low",Q1006=2,"Medium",Q1006=3,"High",TRUE,"Very High")</f>
        <v>Low</v>
      </c>
    </row>
    <row r="1007" spans="1:42" x14ac:dyDescent="0.25">
      <c r="A1007">
        <v>29</v>
      </c>
      <c r="B1007" t="s">
        <v>42</v>
      </c>
      <c r="C1007" t="s">
        <v>90</v>
      </c>
      <c r="D1007">
        <v>332</v>
      </c>
      <c r="E1007" t="s">
        <v>59</v>
      </c>
      <c r="F1007">
        <v>17</v>
      </c>
      <c r="G1007">
        <v>3</v>
      </c>
      <c r="H1007" t="s">
        <v>47</v>
      </c>
      <c r="I1007">
        <v>1</v>
      </c>
      <c r="J1007">
        <v>1419</v>
      </c>
      <c r="K1007">
        <v>2</v>
      </c>
      <c r="L1007" t="s">
        <v>44</v>
      </c>
      <c r="M1007">
        <v>51</v>
      </c>
      <c r="N1007">
        <v>2</v>
      </c>
      <c r="O1007">
        <v>3</v>
      </c>
      <c r="P1007" t="s">
        <v>59</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c r="AJ1007">
        <f t="shared" si="15"/>
        <v>0</v>
      </c>
      <c r="AK1007" t="str" cm="1">
        <f t="array" ref="AK1007">_xlfn.IFS(A1007&lt;=30,"18-30",A1007&lt;=45,"31-45",A1007&lt;=60,"46-60",TRUE, "60+")</f>
        <v>18-30</v>
      </c>
      <c r="AL1007" t="str" cm="1">
        <f t="array" ref="AL1007">_xlfn.IFS(F1007&lt;=10,"0-10",F1007&lt;=20,"11-20",TRUE,"20+")</f>
        <v>11-20</v>
      </c>
      <c r="AM1007" t="str" cm="1">
        <f t="array" ref="AM1007">_xlfn.IFS(S1007&lt;=5000,"0-5k",S1007&lt;=10000,"5k-10k",S1007&lt;=15000,"10k-15k",TRUE,"15k+")</f>
        <v>5k-10k</v>
      </c>
      <c r="AN1007" t="str" cm="1">
        <f t="array" ref="AN1007">_xlfn.IFS(AF1007&lt;=10,"0-10",AF1007&lt;=20,"10-20",AF1007&lt;=30,"20-30",TRUE,"30+")</f>
        <v>0-10</v>
      </c>
      <c r="AO1007" t="str" cm="1">
        <f t="array" ref="AO1007">_xlfn.IFS(Y1007=1,"Poor",Y1007=2,"Average",Y1007=3,"Good",TRUE,"Excellent")</f>
        <v>Good</v>
      </c>
      <c r="AP1007" t="str" cm="1">
        <f t="array" ref="AP1007">_xlfn.IFS(Q1007=1,"Low",Q1007=2,"Medium",Q1007=3,"High",TRUE,"Very High")</f>
        <v>Low</v>
      </c>
    </row>
    <row r="1008" spans="1:42" x14ac:dyDescent="0.25">
      <c r="A1008">
        <v>49</v>
      </c>
      <c r="B1008" t="s">
        <v>35</v>
      </c>
      <c r="C1008" t="s">
        <v>91</v>
      </c>
      <c r="D1008">
        <v>1475</v>
      </c>
      <c r="E1008" t="s">
        <v>43</v>
      </c>
      <c r="F1008">
        <v>28</v>
      </c>
      <c r="G1008">
        <v>2</v>
      </c>
      <c r="H1008" t="s">
        <v>37</v>
      </c>
      <c r="I1008">
        <v>1</v>
      </c>
      <c r="J1008">
        <v>1420</v>
      </c>
      <c r="K1008">
        <v>1</v>
      </c>
      <c r="L1008" t="s">
        <v>44</v>
      </c>
      <c r="M1008">
        <v>97</v>
      </c>
      <c r="N1008">
        <v>2</v>
      </c>
      <c r="O1008">
        <v>2</v>
      </c>
      <c r="P1008" t="s">
        <v>48</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c r="AJ1008">
        <f t="shared" si="15"/>
        <v>1</v>
      </c>
      <c r="AK1008" t="str" cm="1">
        <f t="array" ref="AK1008">_xlfn.IFS(A1008&lt;=30,"18-30",A1008&lt;=45,"31-45",A1008&lt;=60,"46-60",TRUE, "60+")</f>
        <v>46-60</v>
      </c>
      <c r="AL1008" t="str" cm="1">
        <f t="array" ref="AL1008">_xlfn.IFS(F1008&lt;=10,"0-10",F1008&lt;=20,"11-20",TRUE,"20+")</f>
        <v>20+</v>
      </c>
      <c r="AM1008" t="str" cm="1">
        <f t="array" ref="AM1008">_xlfn.IFS(S1008&lt;=5000,"0-5k",S1008&lt;=10000,"5k-10k",S1008&lt;=15000,"10k-15k",TRUE,"15k+")</f>
        <v>0-5k</v>
      </c>
      <c r="AN1008" t="str" cm="1">
        <f t="array" ref="AN1008">_xlfn.IFS(AF1008&lt;=10,"0-10",AF1008&lt;=20,"10-20",AF1008&lt;=30,"20-30",TRUE,"30+")</f>
        <v>0-10</v>
      </c>
      <c r="AO1008" t="str" cm="1">
        <f t="array" ref="AO1008">_xlfn.IFS(Y1008=1,"Poor",Y1008=2,"Average",Y1008=3,"Good",TRUE,"Excellent")</f>
        <v>Excellent</v>
      </c>
      <c r="AP1008" t="str" cm="1">
        <f t="array" ref="AP1008">_xlfn.IFS(Q1008=1,"Low",Q1008=2,"Medium",Q1008=3,"High",TRUE,"Very High")</f>
        <v>Low</v>
      </c>
    </row>
    <row r="1009" spans="1:42" x14ac:dyDescent="0.25">
      <c r="A1009">
        <v>29</v>
      </c>
      <c r="B1009" t="s">
        <v>35</v>
      </c>
      <c r="C1009" t="s">
        <v>91</v>
      </c>
      <c r="D1009">
        <v>337</v>
      </c>
      <c r="E1009" t="s">
        <v>43</v>
      </c>
      <c r="F1009">
        <v>14</v>
      </c>
      <c r="G1009">
        <v>1</v>
      </c>
      <c r="H1009" t="s">
        <v>47</v>
      </c>
      <c r="I1009">
        <v>1</v>
      </c>
      <c r="J1009">
        <v>1421</v>
      </c>
      <c r="K1009">
        <v>3</v>
      </c>
      <c r="L1009" t="s">
        <v>38</v>
      </c>
      <c r="M1009">
        <v>84</v>
      </c>
      <c r="N1009">
        <v>3</v>
      </c>
      <c r="O1009">
        <v>3</v>
      </c>
      <c r="P1009" t="s">
        <v>52</v>
      </c>
      <c r="Q1009">
        <v>4</v>
      </c>
      <c r="R1009" t="s">
        <v>40</v>
      </c>
      <c r="S1009">
        <v>7553</v>
      </c>
      <c r="T1009">
        <v>22930</v>
      </c>
      <c r="U1009">
        <v>0</v>
      </c>
      <c r="V1009" t="s">
        <v>41</v>
      </c>
      <c r="W1009" t="s">
        <v>35</v>
      </c>
      <c r="X1009">
        <v>12</v>
      </c>
      <c r="Y1009">
        <v>3</v>
      </c>
      <c r="Z1009">
        <v>1</v>
      </c>
      <c r="AA1009">
        <v>80</v>
      </c>
      <c r="AB1009">
        <v>0</v>
      </c>
      <c r="AC1009">
        <v>9</v>
      </c>
      <c r="AD1009">
        <v>1</v>
      </c>
      <c r="AE1009">
        <v>3</v>
      </c>
      <c r="AF1009">
        <v>8</v>
      </c>
      <c r="AG1009">
        <v>7</v>
      </c>
      <c r="AH1009">
        <v>7</v>
      </c>
      <c r="AI1009">
        <v>7</v>
      </c>
      <c r="AJ1009">
        <f t="shared" si="15"/>
        <v>1</v>
      </c>
      <c r="AK1009" t="str" cm="1">
        <f t="array" ref="AK1009">_xlfn.IFS(A1009&lt;=30,"18-30",A1009&lt;=45,"31-45",A1009&lt;=60,"46-60",TRUE, "60+")</f>
        <v>18-30</v>
      </c>
      <c r="AL1009" t="str" cm="1">
        <f t="array" ref="AL1009">_xlfn.IFS(F1009&lt;=10,"0-10",F1009&lt;=20,"11-20",TRUE,"20+")</f>
        <v>11-20</v>
      </c>
      <c r="AM1009" t="str" cm="1">
        <f t="array" ref="AM1009">_xlfn.IFS(S1009&lt;=5000,"0-5k",S1009&lt;=10000,"5k-10k",S1009&lt;=15000,"10k-15k",TRUE,"15k+")</f>
        <v>5k-10k</v>
      </c>
      <c r="AN1009" t="str" cm="1">
        <f t="array" ref="AN1009">_xlfn.IFS(AF1009&lt;=10,"0-10",AF1009&lt;=20,"10-20",AF1009&lt;=30,"20-30",TRUE,"30+")</f>
        <v>0-10</v>
      </c>
      <c r="AO1009" t="str" cm="1">
        <f t="array" ref="AO1009">_xlfn.IFS(Y1009=1,"Poor",Y1009=2,"Average",Y1009=3,"Good",TRUE,"Excellent")</f>
        <v>Good</v>
      </c>
      <c r="AP1009" t="str" cm="1">
        <f t="array" ref="AP1009">_xlfn.IFS(Q1009=1,"Low",Q1009=2,"Medium",Q1009=3,"High",TRUE,"Very High")</f>
        <v>Very High</v>
      </c>
    </row>
    <row r="1010" spans="1:42" x14ac:dyDescent="0.25">
      <c r="A1010">
        <v>54</v>
      </c>
      <c r="B1010" t="s">
        <v>42</v>
      </c>
      <c r="C1010" t="s">
        <v>90</v>
      </c>
      <c r="D1010">
        <v>971</v>
      </c>
      <c r="E1010" t="s">
        <v>43</v>
      </c>
      <c r="F1010">
        <v>1</v>
      </c>
      <c r="G1010">
        <v>3</v>
      </c>
      <c r="H1010" t="s">
        <v>49</v>
      </c>
      <c r="I1010">
        <v>1</v>
      </c>
      <c r="J1010">
        <v>1422</v>
      </c>
      <c r="K1010">
        <v>4</v>
      </c>
      <c r="L1010" t="s">
        <v>38</v>
      </c>
      <c r="M1010">
        <v>54</v>
      </c>
      <c r="N1010">
        <v>3</v>
      </c>
      <c r="O1010">
        <v>4</v>
      </c>
      <c r="P1010" t="s">
        <v>56</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c r="AJ1010">
        <f t="shared" si="15"/>
        <v>0</v>
      </c>
      <c r="AK1010" t="str" cm="1">
        <f t="array" ref="AK1010">_xlfn.IFS(A1010&lt;=30,"18-30",A1010&lt;=45,"31-45",A1010&lt;=60,"46-60",TRUE, "60+")</f>
        <v>46-60</v>
      </c>
      <c r="AL1010" t="str" cm="1">
        <f t="array" ref="AL1010">_xlfn.IFS(F1010&lt;=10,"0-10",F1010&lt;=20,"11-20",TRUE,"20+")</f>
        <v>0-10</v>
      </c>
      <c r="AM1010" t="str" cm="1">
        <f t="array" ref="AM1010">_xlfn.IFS(S1010&lt;=5000,"0-5k",S1010&lt;=10000,"5k-10k",S1010&lt;=15000,"10k-15k",TRUE,"15k+")</f>
        <v>15k+</v>
      </c>
      <c r="AN1010" t="str" cm="1">
        <f t="array" ref="AN1010">_xlfn.IFS(AF1010&lt;=10,"0-10",AF1010&lt;=20,"10-20",AF1010&lt;=30,"20-30",TRUE,"30+")</f>
        <v>10-20</v>
      </c>
      <c r="AO1010" t="str" cm="1">
        <f t="array" ref="AO1010">_xlfn.IFS(Y1010=1,"Poor",Y1010=2,"Average",Y1010=3,"Good",TRUE,"Excellent")</f>
        <v>Good</v>
      </c>
      <c r="AP1010" t="str" cm="1">
        <f t="array" ref="AP1010">_xlfn.IFS(Q1010=1,"Low",Q1010=2,"Medium",Q1010=3,"High",TRUE,"Very High")</f>
        <v>Very High</v>
      </c>
    </row>
    <row r="1011" spans="1:42" x14ac:dyDescent="0.25">
      <c r="A1011">
        <v>58</v>
      </c>
      <c r="B1011" t="s">
        <v>42</v>
      </c>
      <c r="C1011" t="s">
        <v>90</v>
      </c>
      <c r="D1011">
        <v>1055</v>
      </c>
      <c r="E1011" t="s">
        <v>43</v>
      </c>
      <c r="F1011">
        <v>1</v>
      </c>
      <c r="G1011">
        <v>3</v>
      </c>
      <c r="H1011" t="s">
        <v>49</v>
      </c>
      <c r="I1011">
        <v>1</v>
      </c>
      <c r="J1011">
        <v>1423</v>
      </c>
      <c r="K1011">
        <v>4</v>
      </c>
      <c r="L1011" t="s">
        <v>38</v>
      </c>
      <c r="M1011">
        <v>76</v>
      </c>
      <c r="N1011">
        <v>3</v>
      </c>
      <c r="O1011">
        <v>5</v>
      </c>
      <c r="P1011" t="s">
        <v>56</v>
      </c>
      <c r="Q1011">
        <v>1</v>
      </c>
      <c r="R1011" t="s">
        <v>46</v>
      </c>
      <c r="S1011">
        <v>19701</v>
      </c>
      <c r="T1011">
        <v>22456</v>
      </c>
      <c r="U1011">
        <v>3</v>
      </c>
      <c r="V1011" t="s">
        <v>41</v>
      </c>
      <c r="W1011" t="s">
        <v>35</v>
      </c>
      <c r="X1011">
        <v>21</v>
      </c>
      <c r="Y1011">
        <v>4</v>
      </c>
      <c r="Z1011">
        <v>3</v>
      </c>
      <c r="AA1011">
        <v>80</v>
      </c>
      <c r="AB1011">
        <v>1</v>
      </c>
      <c r="AC1011">
        <v>32</v>
      </c>
      <c r="AD1011">
        <v>3</v>
      </c>
      <c r="AE1011">
        <v>3</v>
      </c>
      <c r="AF1011">
        <v>9</v>
      </c>
      <c r="AG1011">
        <v>8</v>
      </c>
      <c r="AH1011">
        <v>1</v>
      </c>
      <c r="AI1011">
        <v>5</v>
      </c>
      <c r="AJ1011">
        <f t="shared" si="15"/>
        <v>0</v>
      </c>
      <c r="AK1011" t="str" cm="1">
        <f t="array" ref="AK1011">_xlfn.IFS(A1011&lt;=30,"18-30",A1011&lt;=45,"31-45",A1011&lt;=60,"46-60",TRUE, "60+")</f>
        <v>46-60</v>
      </c>
      <c r="AL1011" t="str" cm="1">
        <f t="array" ref="AL1011">_xlfn.IFS(F1011&lt;=10,"0-10",F1011&lt;=20,"11-20",TRUE,"20+")</f>
        <v>0-10</v>
      </c>
      <c r="AM1011" t="str" cm="1">
        <f t="array" ref="AM1011">_xlfn.IFS(S1011&lt;=5000,"0-5k",S1011&lt;=10000,"5k-10k",S1011&lt;=15000,"10k-15k",TRUE,"15k+")</f>
        <v>15k+</v>
      </c>
      <c r="AN1011" t="str" cm="1">
        <f t="array" ref="AN1011">_xlfn.IFS(AF1011&lt;=10,"0-10",AF1011&lt;=20,"10-20",AF1011&lt;=30,"20-30",TRUE,"30+")</f>
        <v>0-10</v>
      </c>
      <c r="AO1011" t="str" cm="1">
        <f t="array" ref="AO1011">_xlfn.IFS(Y1011=1,"Poor",Y1011=2,"Average",Y1011=3,"Good",TRUE,"Excellent")</f>
        <v>Excellent</v>
      </c>
      <c r="AP1011" t="str" cm="1">
        <f t="array" ref="AP1011">_xlfn.IFS(Q1011=1,"Low",Q1011=2,"Medium",Q1011=3,"High",TRUE,"Very High")</f>
        <v>Low</v>
      </c>
    </row>
    <row r="1012" spans="1:42" x14ac:dyDescent="0.25">
      <c r="A1012">
        <v>55</v>
      </c>
      <c r="B1012" t="s">
        <v>42</v>
      </c>
      <c r="C1012" t="s">
        <v>90</v>
      </c>
      <c r="D1012">
        <v>1136</v>
      </c>
      <c r="E1012" t="s">
        <v>43</v>
      </c>
      <c r="F1012">
        <v>1</v>
      </c>
      <c r="G1012">
        <v>4</v>
      </c>
      <c r="H1012" t="s">
        <v>49</v>
      </c>
      <c r="I1012">
        <v>1</v>
      </c>
      <c r="J1012">
        <v>1424</v>
      </c>
      <c r="K1012">
        <v>2</v>
      </c>
      <c r="L1012" t="s">
        <v>44</v>
      </c>
      <c r="M1012">
        <v>81</v>
      </c>
      <c r="N1012">
        <v>4</v>
      </c>
      <c r="O1012">
        <v>4</v>
      </c>
      <c r="P1012" t="s">
        <v>56</v>
      </c>
      <c r="Q1012">
        <v>4</v>
      </c>
      <c r="R1012" t="s">
        <v>50</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c r="AJ1012">
        <f t="shared" si="15"/>
        <v>0</v>
      </c>
      <c r="AK1012" t="str" cm="1">
        <f t="array" ref="AK1012">_xlfn.IFS(A1012&lt;=30,"18-30",A1012&lt;=45,"31-45",A1012&lt;=60,"46-60",TRUE, "60+")</f>
        <v>46-60</v>
      </c>
      <c r="AL1012" t="str" cm="1">
        <f t="array" ref="AL1012">_xlfn.IFS(F1012&lt;=10,"0-10",F1012&lt;=20,"11-20",TRUE,"20+")</f>
        <v>0-10</v>
      </c>
      <c r="AM1012" t="str" cm="1">
        <f t="array" ref="AM1012">_xlfn.IFS(S1012&lt;=5000,"0-5k",S1012&lt;=10000,"5k-10k",S1012&lt;=15000,"10k-15k",TRUE,"15k+")</f>
        <v>10k-15k</v>
      </c>
      <c r="AN1012" t="str" cm="1">
        <f t="array" ref="AN1012">_xlfn.IFS(AF1012&lt;=10,"0-10",AF1012&lt;=20,"10-20",AF1012&lt;=30,"20-30",TRUE,"30+")</f>
        <v>0-10</v>
      </c>
      <c r="AO1012" t="str" cm="1">
        <f t="array" ref="AO1012">_xlfn.IFS(Y1012=1,"Poor",Y1012=2,"Average",Y1012=3,"Good",TRUE,"Excellent")</f>
        <v>Good</v>
      </c>
      <c r="AP1012" t="str" cm="1">
        <f t="array" ref="AP1012">_xlfn.IFS(Q1012=1,"Low",Q1012=2,"Medium",Q1012=3,"High",TRUE,"Very High")</f>
        <v>Very High</v>
      </c>
    </row>
    <row r="1013" spans="1:42" x14ac:dyDescent="0.25">
      <c r="A1013">
        <v>36</v>
      </c>
      <c r="B1013" t="s">
        <v>42</v>
      </c>
      <c r="C1013" t="s">
        <v>90</v>
      </c>
      <c r="D1013">
        <v>1174</v>
      </c>
      <c r="E1013" t="s">
        <v>36</v>
      </c>
      <c r="F1013">
        <v>3</v>
      </c>
      <c r="G1013">
        <v>4</v>
      </c>
      <c r="H1013" t="s">
        <v>57</v>
      </c>
      <c r="I1013">
        <v>1</v>
      </c>
      <c r="J1013">
        <v>1425</v>
      </c>
      <c r="K1013">
        <v>1</v>
      </c>
      <c r="L1013" t="s">
        <v>38</v>
      </c>
      <c r="M1013">
        <v>99</v>
      </c>
      <c r="N1013">
        <v>3</v>
      </c>
      <c r="O1013">
        <v>2</v>
      </c>
      <c r="P1013" t="s">
        <v>39</v>
      </c>
      <c r="Q1013">
        <v>2</v>
      </c>
      <c r="R1013" t="s">
        <v>40</v>
      </c>
      <c r="S1013">
        <v>9278</v>
      </c>
      <c r="T1013">
        <v>20763</v>
      </c>
      <c r="U1013">
        <v>3</v>
      </c>
      <c r="V1013" t="s">
        <v>41</v>
      </c>
      <c r="W1013" t="s">
        <v>35</v>
      </c>
      <c r="X1013">
        <v>16</v>
      </c>
      <c r="Y1013">
        <v>3</v>
      </c>
      <c r="Z1013">
        <v>4</v>
      </c>
      <c r="AA1013">
        <v>80</v>
      </c>
      <c r="AB1013">
        <v>0</v>
      </c>
      <c r="AC1013">
        <v>15</v>
      </c>
      <c r="AD1013">
        <v>3</v>
      </c>
      <c r="AE1013">
        <v>3</v>
      </c>
      <c r="AF1013">
        <v>5</v>
      </c>
      <c r="AG1013">
        <v>4</v>
      </c>
      <c r="AH1013">
        <v>0</v>
      </c>
      <c r="AI1013">
        <v>1</v>
      </c>
      <c r="AJ1013">
        <f t="shared" si="15"/>
        <v>0</v>
      </c>
      <c r="AK1013" t="str" cm="1">
        <f t="array" ref="AK1013">_xlfn.IFS(A1013&lt;=30,"18-30",A1013&lt;=45,"31-45",A1013&lt;=60,"46-60",TRUE, "60+")</f>
        <v>31-45</v>
      </c>
      <c r="AL1013" t="str" cm="1">
        <f t="array" ref="AL1013">_xlfn.IFS(F1013&lt;=10,"0-10",F1013&lt;=20,"11-20",TRUE,"20+")</f>
        <v>0-10</v>
      </c>
      <c r="AM1013" t="str" cm="1">
        <f t="array" ref="AM1013">_xlfn.IFS(S1013&lt;=5000,"0-5k",S1013&lt;=10000,"5k-10k",S1013&lt;=15000,"10k-15k",TRUE,"15k+")</f>
        <v>5k-10k</v>
      </c>
      <c r="AN1013" t="str" cm="1">
        <f t="array" ref="AN1013">_xlfn.IFS(AF1013&lt;=10,"0-10",AF1013&lt;=20,"10-20",AF1013&lt;=30,"20-30",TRUE,"30+")</f>
        <v>0-10</v>
      </c>
      <c r="AO1013" t="str" cm="1">
        <f t="array" ref="AO1013">_xlfn.IFS(Y1013=1,"Poor",Y1013=2,"Average",Y1013=3,"Good",TRUE,"Excellent")</f>
        <v>Good</v>
      </c>
      <c r="AP1013" t="str" cm="1">
        <f t="array" ref="AP1013">_xlfn.IFS(Q1013=1,"Low",Q1013=2,"Medium",Q1013=3,"High",TRUE,"Very High")</f>
        <v>Medium</v>
      </c>
    </row>
    <row r="1014" spans="1:42" x14ac:dyDescent="0.25">
      <c r="A1014">
        <v>31</v>
      </c>
      <c r="B1014" t="s">
        <v>35</v>
      </c>
      <c r="C1014" t="s">
        <v>91</v>
      </c>
      <c r="D1014">
        <v>667</v>
      </c>
      <c r="E1014" t="s">
        <v>36</v>
      </c>
      <c r="F1014">
        <v>1</v>
      </c>
      <c r="G1014">
        <v>4</v>
      </c>
      <c r="H1014" t="s">
        <v>37</v>
      </c>
      <c r="I1014">
        <v>1</v>
      </c>
      <c r="J1014">
        <v>1427</v>
      </c>
      <c r="K1014">
        <v>2</v>
      </c>
      <c r="L1014" t="s">
        <v>38</v>
      </c>
      <c r="M1014">
        <v>50</v>
      </c>
      <c r="N1014">
        <v>1</v>
      </c>
      <c r="O1014">
        <v>1</v>
      </c>
      <c r="P1014" t="s">
        <v>55</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c r="AJ1014">
        <f t="shared" si="15"/>
        <v>1</v>
      </c>
      <c r="AK1014" t="str" cm="1">
        <f t="array" ref="AK1014">_xlfn.IFS(A1014&lt;=30,"18-30",A1014&lt;=45,"31-45",A1014&lt;=60,"46-60",TRUE, "60+")</f>
        <v>31-45</v>
      </c>
      <c r="AL1014" t="str" cm="1">
        <f t="array" ref="AL1014">_xlfn.IFS(F1014&lt;=10,"0-10",F1014&lt;=20,"11-20",TRUE,"20+")</f>
        <v>0-10</v>
      </c>
      <c r="AM1014" t="str" cm="1">
        <f t="array" ref="AM1014">_xlfn.IFS(S1014&lt;=5000,"0-5k",S1014&lt;=10000,"5k-10k",S1014&lt;=15000,"10k-15k",TRUE,"15k+")</f>
        <v>0-5k</v>
      </c>
      <c r="AN1014" t="str" cm="1">
        <f t="array" ref="AN1014">_xlfn.IFS(AF1014&lt;=10,"0-10",AF1014&lt;=20,"10-20",AF1014&lt;=30,"20-30",TRUE,"30+")</f>
        <v>0-10</v>
      </c>
      <c r="AO1014" t="str" cm="1">
        <f t="array" ref="AO1014">_xlfn.IFS(Y1014=1,"Poor",Y1014=2,"Average",Y1014=3,"Good",TRUE,"Excellent")</f>
        <v>Good</v>
      </c>
      <c r="AP1014" t="str" cm="1">
        <f t="array" ref="AP1014">_xlfn.IFS(Q1014=1,"Low",Q1014=2,"Medium",Q1014=3,"High",TRUE,"Very High")</f>
        <v>High</v>
      </c>
    </row>
    <row r="1015" spans="1:42" x14ac:dyDescent="0.25">
      <c r="A1015">
        <v>30</v>
      </c>
      <c r="B1015" t="s">
        <v>42</v>
      </c>
      <c r="C1015" t="s">
        <v>90</v>
      </c>
      <c r="D1015">
        <v>855</v>
      </c>
      <c r="E1015" t="s">
        <v>36</v>
      </c>
      <c r="F1015">
        <v>7</v>
      </c>
      <c r="G1015">
        <v>4</v>
      </c>
      <c r="H1015" t="s">
        <v>57</v>
      </c>
      <c r="I1015">
        <v>1</v>
      </c>
      <c r="J1015">
        <v>1428</v>
      </c>
      <c r="K1015">
        <v>4</v>
      </c>
      <c r="L1015" t="s">
        <v>38</v>
      </c>
      <c r="M1015">
        <v>73</v>
      </c>
      <c r="N1015">
        <v>3</v>
      </c>
      <c r="O1015">
        <v>2</v>
      </c>
      <c r="P1015" t="s">
        <v>39</v>
      </c>
      <c r="Q1015">
        <v>1</v>
      </c>
      <c r="R1015" t="s">
        <v>50</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c r="AJ1015">
        <f t="shared" si="15"/>
        <v>0</v>
      </c>
      <c r="AK1015" t="str" cm="1">
        <f t="array" ref="AK1015">_xlfn.IFS(A1015&lt;=30,"18-30",A1015&lt;=45,"31-45",A1015&lt;=60,"46-60",TRUE, "60+")</f>
        <v>18-30</v>
      </c>
      <c r="AL1015" t="str" cm="1">
        <f t="array" ref="AL1015">_xlfn.IFS(F1015&lt;=10,"0-10",F1015&lt;=20,"11-20",TRUE,"20+")</f>
        <v>0-10</v>
      </c>
      <c r="AM1015" t="str" cm="1">
        <f t="array" ref="AM1015">_xlfn.IFS(S1015&lt;=5000,"0-5k",S1015&lt;=10000,"5k-10k",S1015&lt;=15000,"10k-15k",TRUE,"15k+")</f>
        <v>0-5k</v>
      </c>
      <c r="AN1015" t="str" cm="1">
        <f t="array" ref="AN1015">_xlfn.IFS(AF1015&lt;=10,"0-10",AF1015&lt;=20,"10-20",AF1015&lt;=30,"20-30",TRUE,"30+")</f>
        <v>0-10</v>
      </c>
      <c r="AO1015" t="str" cm="1">
        <f t="array" ref="AO1015">_xlfn.IFS(Y1015=1,"Poor",Y1015=2,"Average",Y1015=3,"Good",TRUE,"Excellent")</f>
        <v>Good</v>
      </c>
      <c r="AP1015" t="str" cm="1">
        <f t="array" ref="AP1015">_xlfn.IFS(Q1015=1,"Low",Q1015=2,"Medium",Q1015=3,"High",TRUE,"Very High")</f>
        <v>Low</v>
      </c>
    </row>
    <row r="1016" spans="1:42" x14ac:dyDescent="0.25">
      <c r="A1016">
        <v>31</v>
      </c>
      <c r="B1016" t="s">
        <v>42</v>
      </c>
      <c r="C1016" t="s">
        <v>90</v>
      </c>
      <c r="D1016">
        <v>182</v>
      </c>
      <c r="E1016" t="s">
        <v>43</v>
      </c>
      <c r="F1016">
        <v>8</v>
      </c>
      <c r="G1016">
        <v>5</v>
      </c>
      <c r="H1016" t="s">
        <v>37</v>
      </c>
      <c r="I1016">
        <v>1</v>
      </c>
      <c r="J1016">
        <v>1430</v>
      </c>
      <c r="K1016">
        <v>1</v>
      </c>
      <c r="L1016" t="s">
        <v>38</v>
      </c>
      <c r="M1016">
        <v>93</v>
      </c>
      <c r="N1016">
        <v>3</v>
      </c>
      <c r="O1016">
        <v>4</v>
      </c>
      <c r="P1016" t="s">
        <v>56</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c r="AJ1016">
        <f t="shared" si="15"/>
        <v>0</v>
      </c>
      <c r="AK1016" t="str" cm="1">
        <f t="array" ref="AK1016">_xlfn.IFS(A1016&lt;=30,"18-30",A1016&lt;=45,"31-45",A1016&lt;=60,"46-60",TRUE, "60+")</f>
        <v>31-45</v>
      </c>
      <c r="AL1016" t="str" cm="1">
        <f t="array" ref="AL1016">_xlfn.IFS(F1016&lt;=10,"0-10",F1016&lt;=20,"11-20",TRUE,"20+")</f>
        <v>0-10</v>
      </c>
      <c r="AM1016" t="str" cm="1">
        <f t="array" ref="AM1016">_xlfn.IFS(S1016&lt;=5000,"0-5k",S1016&lt;=10000,"5k-10k",S1016&lt;=15000,"10k-15k",TRUE,"15k+")</f>
        <v>15k+</v>
      </c>
      <c r="AN1016" t="str" cm="1">
        <f t="array" ref="AN1016">_xlfn.IFS(AF1016&lt;=10,"0-10",AF1016&lt;=20,"10-20",AF1016&lt;=30,"20-30",TRUE,"30+")</f>
        <v>0-10</v>
      </c>
      <c r="AO1016" t="str" cm="1">
        <f t="array" ref="AO1016">_xlfn.IFS(Y1016=1,"Poor",Y1016=2,"Average",Y1016=3,"Good",TRUE,"Excellent")</f>
        <v>Good</v>
      </c>
      <c r="AP1016" t="str" cm="1">
        <f t="array" ref="AP1016">_xlfn.IFS(Q1016=1,"Low",Q1016=2,"Medium",Q1016=3,"High",TRUE,"Very High")</f>
        <v>Medium</v>
      </c>
    </row>
    <row r="1017" spans="1:42" x14ac:dyDescent="0.25">
      <c r="A1017">
        <v>34</v>
      </c>
      <c r="B1017" t="s">
        <v>42</v>
      </c>
      <c r="C1017" t="s">
        <v>91</v>
      </c>
      <c r="D1017">
        <v>560</v>
      </c>
      <c r="E1017" t="s">
        <v>43</v>
      </c>
      <c r="F1017">
        <v>1</v>
      </c>
      <c r="G1017">
        <v>4</v>
      </c>
      <c r="H1017" t="s">
        <v>47</v>
      </c>
      <c r="I1017">
        <v>1</v>
      </c>
      <c r="J1017">
        <v>1431</v>
      </c>
      <c r="K1017">
        <v>4</v>
      </c>
      <c r="L1017" t="s">
        <v>44</v>
      </c>
      <c r="M1017">
        <v>91</v>
      </c>
      <c r="N1017">
        <v>3</v>
      </c>
      <c r="O1017">
        <v>1</v>
      </c>
      <c r="P1017" t="s">
        <v>45</v>
      </c>
      <c r="Q1017">
        <v>1</v>
      </c>
      <c r="R1017" t="s">
        <v>50</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c r="AJ1017">
        <f t="shared" si="15"/>
        <v>0</v>
      </c>
      <c r="AK1017" t="str" cm="1">
        <f t="array" ref="AK1017">_xlfn.IFS(A1017&lt;=30,"18-30",A1017&lt;=45,"31-45",A1017&lt;=60,"46-60",TRUE, "60+")</f>
        <v>31-45</v>
      </c>
      <c r="AL1017" t="str" cm="1">
        <f t="array" ref="AL1017">_xlfn.IFS(F1017&lt;=10,"0-10",F1017&lt;=20,"11-20",TRUE,"20+")</f>
        <v>0-10</v>
      </c>
      <c r="AM1017" t="str" cm="1">
        <f t="array" ref="AM1017">_xlfn.IFS(S1017&lt;=5000,"0-5k",S1017&lt;=10000,"5k-10k",S1017&lt;=15000,"10k-15k",TRUE,"15k+")</f>
        <v>0-5k</v>
      </c>
      <c r="AN1017" t="str" cm="1">
        <f t="array" ref="AN1017">_xlfn.IFS(AF1017&lt;=10,"0-10",AF1017&lt;=20,"10-20",AF1017&lt;=30,"20-30",TRUE,"30+")</f>
        <v>0-10</v>
      </c>
      <c r="AO1017" t="str" cm="1">
        <f t="array" ref="AO1017">_xlfn.IFS(Y1017=1,"Poor",Y1017=2,"Average",Y1017=3,"Good",TRUE,"Excellent")</f>
        <v>Good</v>
      </c>
      <c r="AP1017" t="str" cm="1">
        <f t="array" ref="AP1017">_xlfn.IFS(Q1017=1,"Low",Q1017=2,"Medium",Q1017=3,"High",TRUE,"Very High")</f>
        <v>Low</v>
      </c>
    </row>
    <row r="1018" spans="1:42" x14ac:dyDescent="0.25">
      <c r="A1018">
        <v>31</v>
      </c>
      <c r="B1018" t="s">
        <v>35</v>
      </c>
      <c r="C1018" t="s">
        <v>90</v>
      </c>
      <c r="D1018">
        <v>202</v>
      </c>
      <c r="E1018" t="s">
        <v>43</v>
      </c>
      <c r="F1018">
        <v>8</v>
      </c>
      <c r="G1018">
        <v>3</v>
      </c>
      <c r="H1018" t="s">
        <v>37</v>
      </c>
      <c r="I1018">
        <v>1</v>
      </c>
      <c r="J1018">
        <v>1433</v>
      </c>
      <c r="K1018">
        <v>1</v>
      </c>
      <c r="L1018" t="s">
        <v>38</v>
      </c>
      <c r="M1018">
        <v>34</v>
      </c>
      <c r="N1018">
        <v>2</v>
      </c>
      <c r="O1018">
        <v>1</v>
      </c>
      <c r="P1018" t="s">
        <v>45</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c r="AJ1018">
        <f t="shared" si="15"/>
        <v>1</v>
      </c>
      <c r="AK1018" t="str" cm="1">
        <f t="array" ref="AK1018">_xlfn.IFS(A1018&lt;=30,"18-30",A1018&lt;=45,"31-45",A1018&lt;=60,"46-60",TRUE, "60+")</f>
        <v>31-45</v>
      </c>
      <c r="AL1018" t="str" cm="1">
        <f t="array" ref="AL1018">_xlfn.IFS(F1018&lt;=10,"0-10",F1018&lt;=20,"11-20",TRUE,"20+")</f>
        <v>0-10</v>
      </c>
      <c r="AM1018" t="str" cm="1">
        <f t="array" ref="AM1018">_xlfn.IFS(S1018&lt;=5000,"0-5k",S1018&lt;=10000,"5k-10k",S1018&lt;=15000,"10k-15k",TRUE,"15k+")</f>
        <v>0-5k</v>
      </c>
      <c r="AN1018" t="str" cm="1">
        <f t="array" ref="AN1018">_xlfn.IFS(AF1018&lt;=10,"0-10",AF1018&lt;=20,"10-20",AF1018&lt;=30,"20-30",TRUE,"30+")</f>
        <v>0-10</v>
      </c>
      <c r="AO1018" t="str" cm="1">
        <f t="array" ref="AO1018">_xlfn.IFS(Y1018=1,"Poor",Y1018=2,"Average",Y1018=3,"Good",TRUE,"Excellent")</f>
        <v>Good</v>
      </c>
      <c r="AP1018" t="str" cm="1">
        <f t="array" ref="AP1018">_xlfn.IFS(Q1018=1,"Low",Q1018=2,"Medium",Q1018=3,"High",TRUE,"Very High")</f>
        <v>Medium</v>
      </c>
    </row>
    <row r="1019" spans="1:42" x14ac:dyDescent="0.25">
      <c r="A1019">
        <v>27</v>
      </c>
      <c r="B1019" t="s">
        <v>42</v>
      </c>
      <c r="C1019" t="s">
        <v>90</v>
      </c>
      <c r="D1019">
        <v>1377</v>
      </c>
      <c r="E1019" t="s">
        <v>43</v>
      </c>
      <c r="F1019">
        <v>11</v>
      </c>
      <c r="G1019">
        <v>1</v>
      </c>
      <c r="H1019" t="s">
        <v>37</v>
      </c>
      <c r="I1019">
        <v>1</v>
      </c>
      <c r="J1019">
        <v>1434</v>
      </c>
      <c r="K1019">
        <v>2</v>
      </c>
      <c r="L1019" t="s">
        <v>44</v>
      </c>
      <c r="M1019">
        <v>91</v>
      </c>
      <c r="N1019">
        <v>3</v>
      </c>
      <c r="O1019">
        <v>1</v>
      </c>
      <c r="P1019" t="s">
        <v>48</v>
      </c>
      <c r="Q1019">
        <v>1</v>
      </c>
      <c r="R1019" t="s">
        <v>46</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c r="AJ1019">
        <f t="shared" si="15"/>
        <v>0</v>
      </c>
      <c r="AK1019" t="str" cm="1">
        <f t="array" ref="AK1019">_xlfn.IFS(A1019&lt;=30,"18-30",A1019&lt;=45,"31-45",A1019&lt;=60,"46-60",TRUE, "60+")</f>
        <v>18-30</v>
      </c>
      <c r="AL1019" t="str" cm="1">
        <f t="array" ref="AL1019">_xlfn.IFS(F1019&lt;=10,"0-10",F1019&lt;=20,"11-20",TRUE,"20+")</f>
        <v>11-20</v>
      </c>
      <c r="AM1019" t="str" cm="1">
        <f t="array" ref="AM1019">_xlfn.IFS(S1019&lt;=5000,"0-5k",S1019&lt;=10000,"5k-10k",S1019&lt;=15000,"10k-15k",TRUE,"15k+")</f>
        <v>0-5k</v>
      </c>
      <c r="AN1019" t="str" cm="1">
        <f t="array" ref="AN1019">_xlfn.IFS(AF1019&lt;=10,"0-10",AF1019&lt;=20,"10-20",AF1019&lt;=30,"20-30",TRUE,"30+")</f>
        <v>0-10</v>
      </c>
      <c r="AO1019" t="str" cm="1">
        <f t="array" ref="AO1019">_xlfn.IFS(Y1019=1,"Poor",Y1019=2,"Average",Y1019=3,"Good",TRUE,"Excellent")</f>
        <v>Good</v>
      </c>
      <c r="AP1019" t="str" cm="1">
        <f t="array" ref="AP1019">_xlfn.IFS(Q1019=1,"Low",Q1019=2,"Medium",Q1019=3,"High",TRUE,"Very High")</f>
        <v>Low</v>
      </c>
    </row>
    <row r="1020" spans="1:42" x14ac:dyDescent="0.25">
      <c r="A1020">
        <v>36</v>
      </c>
      <c r="B1020" t="s">
        <v>42</v>
      </c>
      <c r="C1020" t="s">
        <v>90</v>
      </c>
      <c r="D1020">
        <v>172</v>
      </c>
      <c r="E1020" t="s">
        <v>43</v>
      </c>
      <c r="F1020">
        <v>4</v>
      </c>
      <c r="G1020">
        <v>4</v>
      </c>
      <c r="H1020" t="s">
        <v>37</v>
      </c>
      <c r="I1020">
        <v>1</v>
      </c>
      <c r="J1020">
        <v>1435</v>
      </c>
      <c r="K1020">
        <v>1</v>
      </c>
      <c r="L1020" t="s">
        <v>44</v>
      </c>
      <c r="M1020">
        <v>37</v>
      </c>
      <c r="N1020">
        <v>2</v>
      </c>
      <c r="O1020">
        <v>2</v>
      </c>
      <c r="P1020" t="s">
        <v>48</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c r="AJ1020">
        <f t="shared" si="15"/>
        <v>0</v>
      </c>
      <c r="AK1020" t="str" cm="1">
        <f t="array" ref="AK1020">_xlfn.IFS(A1020&lt;=30,"18-30",A1020&lt;=45,"31-45",A1020&lt;=60,"46-60",TRUE, "60+")</f>
        <v>31-45</v>
      </c>
      <c r="AL1020" t="str" cm="1">
        <f t="array" ref="AL1020">_xlfn.IFS(F1020&lt;=10,"0-10",F1020&lt;=20,"11-20",TRUE,"20+")</f>
        <v>0-10</v>
      </c>
      <c r="AM1020" t="str" cm="1">
        <f t="array" ref="AM1020">_xlfn.IFS(S1020&lt;=5000,"0-5k",S1020&lt;=10000,"5k-10k",S1020&lt;=15000,"10k-15k",TRUE,"15k+")</f>
        <v>5k-10k</v>
      </c>
      <c r="AN1020" t="str" cm="1">
        <f t="array" ref="AN1020">_xlfn.IFS(AF1020&lt;=10,"0-10",AF1020&lt;=20,"10-20",AF1020&lt;=30,"20-30",TRUE,"30+")</f>
        <v>0-10</v>
      </c>
      <c r="AO1020" t="str" cm="1">
        <f t="array" ref="AO1020">_xlfn.IFS(Y1020=1,"Poor",Y1020=2,"Average",Y1020=3,"Good",TRUE,"Excellent")</f>
        <v>Good</v>
      </c>
      <c r="AP1020" t="str" cm="1">
        <f t="array" ref="AP1020">_xlfn.IFS(Q1020=1,"Low",Q1020=2,"Medium",Q1020=3,"High",TRUE,"Very High")</f>
        <v>Very High</v>
      </c>
    </row>
    <row r="1021" spans="1:42" x14ac:dyDescent="0.25">
      <c r="A1021">
        <v>36</v>
      </c>
      <c r="B1021" t="s">
        <v>42</v>
      </c>
      <c r="C1021" t="s">
        <v>90</v>
      </c>
      <c r="D1021">
        <v>329</v>
      </c>
      <c r="E1021" t="s">
        <v>36</v>
      </c>
      <c r="F1021">
        <v>16</v>
      </c>
      <c r="G1021">
        <v>4</v>
      </c>
      <c r="H1021" t="s">
        <v>57</v>
      </c>
      <c r="I1021">
        <v>1</v>
      </c>
      <c r="J1021">
        <v>1436</v>
      </c>
      <c r="K1021">
        <v>3</v>
      </c>
      <c r="L1021" t="s">
        <v>38</v>
      </c>
      <c r="M1021">
        <v>98</v>
      </c>
      <c r="N1021">
        <v>2</v>
      </c>
      <c r="O1021">
        <v>2</v>
      </c>
      <c r="P1021" t="s">
        <v>39</v>
      </c>
      <c r="Q1021">
        <v>1</v>
      </c>
      <c r="R1021" t="s">
        <v>46</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c r="AJ1021">
        <f t="shared" si="15"/>
        <v>0</v>
      </c>
      <c r="AK1021" t="str" cm="1">
        <f t="array" ref="AK1021">_xlfn.IFS(A1021&lt;=30,"18-30",A1021&lt;=45,"31-45",A1021&lt;=60,"46-60",TRUE, "60+")</f>
        <v>31-45</v>
      </c>
      <c r="AL1021" t="str" cm="1">
        <f t="array" ref="AL1021">_xlfn.IFS(F1021&lt;=10,"0-10",F1021&lt;=20,"11-20",TRUE,"20+")</f>
        <v>11-20</v>
      </c>
      <c r="AM1021" t="str" cm="1">
        <f t="array" ref="AM1021">_xlfn.IFS(S1021&lt;=5000,"0-5k",S1021&lt;=10000,"5k-10k",S1021&lt;=15000,"10k-15k",TRUE,"15k+")</f>
        <v>5k-10k</v>
      </c>
      <c r="AN1021" t="str" cm="1">
        <f t="array" ref="AN1021">_xlfn.IFS(AF1021&lt;=10,"0-10",AF1021&lt;=20,"10-20",AF1021&lt;=30,"20-30",TRUE,"30+")</f>
        <v>0-10</v>
      </c>
      <c r="AO1021" t="str" cm="1">
        <f t="array" ref="AO1021">_xlfn.IFS(Y1021=1,"Poor",Y1021=2,"Average",Y1021=3,"Good",TRUE,"Excellent")</f>
        <v>Good</v>
      </c>
      <c r="AP1021" t="str" cm="1">
        <f t="array" ref="AP1021">_xlfn.IFS(Q1021=1,"Low",Q1021=2,"Medium",Q1021=3,"High",TRUE,"Very High")</f>
        <v>Low</v>
      </c>
    </row>
    <row r="1022" spans="1:42" x14ac:dyDescent="0.25">
      <c r="A1022">
        <v>47</v>
      </c>
      <c r="B1022" t="s">
        <v>42</v>
      </c>
      <c r="C1022" t="s">
        <v>90</v>
      </c>
      <c r="D1022">
        <v>465</v>
      </c>
      <c r="E1022" t="s">
        <v>43</v>
      </c>
      <c r="F1022">
        <v>1</v>
      </c>
      <c r="G1022">
        <v>3</v>
      </c>
      <c r="H1022" t="s">
        <v>58</v>
      </c>
      <c r="I1022">
        <v>1</v>
      </c>
      <c r="J1022">
        <v>1438</v>
      </c>
      <c r="K1022">
        <v>1</v>
      </c>
      <c r="L1022" t="s">
        <v>44</v>
      </c>
      <c r="M1022">
        <v>74</v>
      </c>
      <c r="N1022">
        <v>3</v>
      </c>
      <c r="O1022">
        <v>1</v>
      </c>
      <c r="P1022" t="s">
        <v>45</v>
      </c>
      <c r="Q1022">
        <v>4</v>
      </c>
      <c r="R1022" t="s">
        <v>46</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c r="AJ1022">
        <f t="shared" si="15"/>
        <v>0</v>
      </c>
      <c r="AK1022" t="str" cm="1">
        <f t="array" ref="AK1022">_xlfn.IFS(A1022&lt;=30,"18-30",A1022&lt;=45,"31-45",A1022&lt;=60,"46-60",TRUE, "60+")</f>
        <v>46-60</v>
      </c>
      <c r="AL1022" t="str" cm="1">
        <f t="array" ref="AL1022">_xlfn.IFS(F1022&lt;=10,"0-10",F1022&lt;=20,"11-20",TRUE,"20+")</f>
        <v>0-10</v>
      </c>
      <c r="AM1022" t="str" cm="1">
        <f t="array" ref="AM1022">_xlfn.IFS(S1022&lt;=5000,"0-5k",S1022&lt;=10000,"5k-10k",S1022&lt;=15000,"10k-15k",TRUE,"15k+")</f>
        <v>0-5k</v>
      </c>
      <c r="AN1022" t="str" cm="1">
        <f t="array" ref="AN1022">_xlfn.IFS(AF1022&lt;=10,"0-10",AF1022&lt;=20,"10-20",AF1022&lt;=30,"20-30",TRUE,"30+")</f>
        <v>0-10</v>
      </c>
      <c r="AO1022" t="str" cm="1">
        <f t="array" ref="AO1022">_xlfn.IFS(Y1022=1,"Poor",Y1022=2,"Average",Y1022=3,"Good",TRUE,"Excellent")</f>
        <v>Good</v>
      </c>
      <c r="AP1022" t="str" cm="1">
        <f t="array" ref="AP1022">_xlfn.IFS(Q1022=1,"Low",Q1022=2,"Medium",Q1022=3,"High",TRUE,"Very High")</f>
        <v>Very High</v>
      </c>
    </row>
    <row r="1023" spans="1:42" x14ac:dyDescent="0.25">
      <c r="A1023">
        <v>25</v>
      </c>
      <c r="B1023" t="s">
        <v>35</v>
      </c>
      <c r="C1023" t="s">
        <v>90</v>
      </c>
      <c r="D1023">
        <v>383</v>
      </c>
      <c r="E1023" t="s">
        <v>36</v>
      </c>
      <c r="F1023">
        <v>9</v>
      </c>
      <c r="G1023">
        <v>2</v>
      </c>
      <c r="H1023" t="s">
        <v>37</v>
      </c>
      <c r="I1023">
        <v>1</v>
      </c>
      <c r="J1023">
        <v>1439</v>
      </c>
      <c r="K1023">
        <v>1</v>
      </c>
      <c r="L1023" t="s">
        <v>44</v>
      </c>
      <c r="M1023">
        <v>68</v>
      </c>
      <c r="N1023">
        <v>2</v>
      </c>
      <c r="O1023">
        <v>1</v>
      </c>
      <c r="P1023" t="s">
        <v>55</v>
      </c>
      <c r="Q1023">
        <v>1</v>
      </c>
      <c r="R1023" t="s">
        <v>46</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c r="AJ1023">
        <f t="shared" si="15"/>
        <v>1</v>
      </c>
      <c r="AK1023" t="str" cm="1">
        <f t="array" ref="AK1023">_xlfn.IFS(A1023&lt;=30,"18-30",A1023&lt;=45,"31-45",A1023&lt;=60,"46-60",TRUE, "60+")</f>
        <v>18-30</v>
      </c>
      <c r="AL1023" t="str" cm="1">
        <f t="array" ref="AL1023">_xlfn.IFS(F1023&lt;=10,"0-10",F1023&lt;=20,"11-20",TRUE,"20+")</f>
        <v>0-10</v>
      </c>
      <c r="AM1023" t="str" cm="1">
        <f t="array" ref="AM1023">_xlfn.IFS(S1023&lt;=5000,"0-5k",S1023&lt;=10000,"5k-10k",S1023&lt;=15000,"10k-15k",TRUE,"15k+")</f>
        <v>0-5k</v>
      </c>
      <c r="AN1023" t="str" cm="1">
        <f t="array" ref="AN1023">_xlfn.IFS(AF1023&lt;=10,"0-10",AF1023&lt;=20,"10-20",AF1023&lt;=30,"20-30",TRUE,"30+")</f>
        <v>0-10</v>
      </c>
      <c r="AO1023" t="str" cm="1">
        <f t="array" ref="AO1023">_xlfn.IFS(Y1023=1,"Poor",Y1023=2,"Average",Y1023=3,"Good",TRUE,"Excellent")</f>
        <v>Good</v>
      </c>
      <c r="AP1023" t="str" cm="1">
        <f t="array" ref="AP1023">_xlfn.IFS(Q1023=1,"Low",Q1023=2,"Medium",Q1023=3,"High",TRUE,"Very High")</f>
        <v>Low</v>
      </c>
    </row>
    <row r="1024" spans="1:42" x14ac:dyDescent="0.25">
      <c r="A1024">
        <v>37</v>
      </c>
      <c r="B1024" t="s">
        <v>42</v>
      </c>
      <c r="C1024" t="s">
        <v>53</v>
      </c>
      <c r="D1024">
        <v>1413</v>
      </c>
      <c r="E1024" t="s">
        <v>43</v>
      </c>
      <c r="F1024">
        <v>5</v>
      </c>
      <c r="G1024">
        <v>2</v>
      </c>
      <c r="H1024" t="s">
        <v>58</v>
      </c>
      <c r="I1024">
        <v>1</v>
      </c>
      <c r="J1024">
        <v>1440</v>
      </c>
      <c r="K1024">
        <v>3</v>
      </c>
      <c r="L1024" t="s">
        <v>44</v>
      </c>
      <c r="M1024">
        <v>84</v>
      </c>
      <c r="N1024">
        <v>4</v>
      </c>
      <c r="O1024">
        <v>1</v>
      </c>
      <c r="P1024" t="s">
        <v>48</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c r="AJ1024">
        <f t="shared" si="15"/>
        <v>0</v>
      </c>
      <c r="AK1024" t="str" cm="1">
        <f t="array" ref="AK1024">_xlfn.IFS(A1024&lt;=30,"18-30",A1024&lt;=45,"31-45",A1024&lt;=60,"46-60",TRUE, "60+")</f>
        <v>31-45</v>
      </c>
      <c r="AL1024" t="str" cm="1">
        <f t="array" ref="AL1024">_xlfn.IFS(F1024&lt;=10,"0-10",F1024&lt;=20,"11-20",TRUE,"20+")</f>
        <v>0-10</v>
      </c>
      <c r="AM1024" t="str" cm="1">
        <f t="array" ref="AM1024">_xlfn.IFS(S1024&lt;=5000,"0-5k",S1024&lt;=10000,"5k-10k",S1024&lt;=15000,"10k-15k",TRUE,"15k+")</f>
        <v>0-5k</v>
      </c>
      <c r="AN1024" t="str" cm="1">
        <f t="array" ref="AN1024">_xlfn.IFS(AF1024&lt;=10,"0-10",AF1024&lt;=20,"10-20",AF1024&lt;=30,"20-30",TRUE,"30+")</f>
        <v>0-10</v>
      </c>
      <c r="AO1024" t="str" cm="1">
        <f t="array" ref="AO1024">_xlfn.IFS(Y1024=1,"Poor",Y1024=2,"Average",Y1024=3,"Good",TRUE,"Excellent")</f>
        <v>Good</v>
      </c>
      <c r="AP1024" t="str" cm="1">
        <f t="array" ref="AP1024">_xlfn.IFS(Q1024=1,"Low",Q1024=2,"Medium",Q1024=3,"High",TRUE,"Very High")</f>
        <v>High</v>
      </c>
    </row>
    <row r="1025" spans="1:42" x14ac:dyDescent="0.25">
      <c r="A1025">
        <v>56</v>
      </c>
      <c r="B1025" t="s">
        <v>42</v>
      </c>
      <c r="C1025" t="s">
        <v>90</v>
      </c>
      <c r="D1025">
        <v>1255</v>
      </c>
      <c r="E1025" t="s">
        <v>43</v>
      </c>
      <c r="F1025">
        <v>1</v>
      </c>
      <c r="G1025">
        <v>2</v>
      </c>
      <c r="H1025" t="s">
        <v>37</v>
      </c>
      <c r="I1025">
        <v>1</v>
      </c>
      <c r="J1025">
        <v>1441</v>
      </c>
      <c r="K1025">
        <v>1</v>
      </c>
      <c r="L1025" t="s">
        <v>38</v>
      </c>
      <c r="M1025">
        <v>90</v>
      </c>
      <c r="N1025">
        <v>3</v>
      </c>
      <c r="O1025">
        <v>1</v>
      </c>
      <c r="P1025" t="s">
        <v>45</v>
      </c>
      <c r="Q1025">
        <v>1</v>
      </c>
      <c r="R1025" t="s">
        <v>46</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c r="AJ1025">
        <f t="shared" si="15"/>
        <v>0</v>
      </c>
      <c r="AK1025" t="str" cm="1">
        <f t="array" ref="AK1025">_xlfn.IFS(A1025&lt;=30,"18-30",A1025&lt;=45,"31-45",A1025&lt;=60,"46-60",TRUE, "60+")</f>
        <v>46-60</v>
      </c>
      <c r="AL1025" t="str" cm="1">
        <f t="array" ref="AL1025">_xlfn.IFS(F1025&lt;=10,"0-10",F1025&lt;=20,"11-20",TRUE,"20+")</f>
        <v>0-10</v>
      </c>
      <c r="AM1025" t="str" cm="1">
        <f t="array" ref="AM1025">_xlfn.IFS(S1025&lt;=5000,"0-5k",S1025&lt;=10000,"5k-10k",S1025&lt;=15000,"10k-15k",TRUE,"15k+")</f>
        <v>0-5k</v>
      </c>
      <c r="AN1025" t="str" cm="1">
        <f t="array" ref="AN1025">_xlfn.IFS(AF1025&lt;=10,"0-10",AF1025&lt;=20,"10-20",AF1025&lt;=30,"20-30",TRUE,"30+")</f>
        <v>0-10</v>
      </c>
      <c r="AO1025" t="str" cm="1">
        <f t="array" ref="AO1025">_xlfn.IFS(Y1025=1,"Poor",Y1025=2,"Average",Y1025=3,"Good",TRUE,"Excellent")</f>
        <v>Excellent</v>
      </c>
      <c r="AP1025" t="str" cm="1">
        <f t="array" ref="AP1025">_xlfn.IFS(Q1025=1,"Low",Q1025=2,"Medium",Q1025=3,"High",TRUE,"Very High")</f>
        <v>Low</v>
      </c>
    </row>
    <row r="1026" spans="1:42" x14ac:dyDescent="0.25">
      <c r="A1026">
        <v>47</v>
      </c>
      <c r="B1026" t="s">
        <v>42</v>
      </c>
      <c r="C1026" t="s">
        <v>90</v>
      </c>
      <c r="D1026">
        <v>359</v>
      </c>
      <c r="E1026" t="s">
        <v>43</v>
      </c>
      <c r="F1026">
        <v>2</v>
      </c>
      <c r="G1026">
        <v>4</v>
      </c>
      <c r="H1026" t="s">
        <v>49</v>
      </c>
      <c r="I1026">
        <v>1</v>
      </c>
      <c r="J1026">
        <v>1443</v>
      </c>
      <c r="K1026">
        <v>1</v>
      </c>
      <c r="L1026" t="s">
        <v>38</v>
      </c>
      <c r="M1026">
        <v>82</v>
      </c>
      <c r="N1026">
        <v>3</v>
      </c>
      <c r="O1026">
        <v>4</v>
      </c>
      <c r="P1026" t="s">
        <v>56</v>
      </c>
      <c r="Q1026">
        <v>3</v>
      </c>
      <c r="R1026" t="s">
        <v>46</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c r="AJ1026">
        <f t="shared" ref="AJ1026:AJ1089" si="16">IF(B1026="yes",1,0)</f>
        <v>0</v>
      </c>
      <c r="AK1026" t="str" cm="1">
        <f t="array" ref="AK1026">_xlfn.IFS(A1026&lt;=30,"18-30",A1026&lt;=45,"31-45",A1026&lt;=60,"46-60",TRUE, "60+")</f>
        <v>46-60</v>
      </c>
      <c r="AL1026" t="str" cm="1">
        <f t="array" ref="AL1026">_xlfn.IFS(F1026&lt;=10,"0-10",F1026&lt;=20,"11-20",TRUE,"20+")</f>
        <v>0-10</v>
      </c>
      <c r="AM1026" t="str" cm="1">
        <f t="array" ref="AM1026">_xlfn.IFS(S1026&lt;=5000,"0-5k",S1026&lt;=10000,"5k-10k",S1026&lt;=15000,"10k-15k",TRUE,"15k+")</f>
        <v>15k+</v>
      </c>
      <c r="AN1026" t="str" cm="1">
        <f t="array" ref="AN1026">_xlfn.IFS(AF1026&lt;=10,"0-10",AF1026&lt;=20,"10-20",AF1026&lt;=30,"20-30",TRUE,"30+")</f>
        <v>10-20</v>
      </c>
      <c r="AO1026" t="str" cm="1">
        <f t="array" ref="AO1026">_xlfn.IFS(Y1026=1,"Poor",Y1026=2,"Average",Y1026=3,"Good",TRUE,"Excellent")</f>
        <v>Good</v>
      </c>
      <c r="AP1026" t="str" cm="1">
        <f t="array" ref="AP1026">_xlfn.IFS(Q1026=1,"Low",Q1026=2,"Medium",Q1026=3,"High",TRUE,"Very High")</f>
        <v>High</v>
      </c>
    </row>
    <row r="1027" spans="1:42" x14ac:dyDescent="0.25">
      <c r="A1027">
        <v>24</v>
      </c>
      <c r="B1027" t="s">
        <v>42</v>
      </c>
      <c r="C1027" t="s">
        <v>90</v>
      </c>
      <c r="D1027">
        <v>1476</v>
      </c>
      <c r="E1027" t="s">
        <v>36</v>
      </c>
      <c r="F1027">
        <v>4</v>
      </c>
      <c r="G1027">
        <v>1</v>
      </c>
      <c r="H1027" t="s">
        <v>49</v>
      </c>
      <c r="I1027">
        <v>1</v>
      </c>
      <c r="J1027">
        <v>1445</v>
      </c>
      <c r="K1027">
        <v>4</v>
      </c>
      <c r="L1027" t="s">
        <v>38</v>
      </c>
      <c r="M1027">
        <v>42</v>
      </c>
      <c r="N1027">
        <v>3</v>
      </c>
      <c r="O1027">
        <v>2</v>
      </c>
      <c r="P1027" t="s">
        <v>39</v>
      </c>
      <c r="Q1027">
        <v>3</v>
      </c>
      <c r="R1027" t="s">
        <v>46</v>
      </c>
      <c r="S1027">
        <v>4162</v>
      </c>
      <c r="T1027">
        <v>15211</v>
      </c>
      <c r="U1027">
        <v>1</v>
      </c>
      <c r="V1027" t="s">
        <v>41</v>
      </c>
      <c r="W1027" t="s">
        <v>35</v>
      </c>
      <c r="X1027">
        <v>12</v>
      </c>
      <c r="Y1027">
        <v>3</v>
      </c>
      <c r="Z1027">
        <v>3</v>
      </c>
      <c r="AA1027">
        <v>80</v>
      </c>
      <c r="AB1027">
        <v>2</v>
      </c>
      <c r="AC1027">
        <v>5</v>
      </c>
      <c r="AD1027">
        <v>3</v>
      </c>
      <c r="AE1027">
        <v>3</v>
      </c>
      <c r="AF1027">
        <v>5</v>
      </c>
      <c r="AG1027">
        <v>4</v>
      </c>
      <c r="AH1027">
        <v>0</v>
      </c>
      <c r="AI1027">
        <v>3</v>
      </c>
      <c r="AJ1027">
        <f t="shared" si="16"/>
        <v>0</v>
      </c>
      <c r="AK1027" t="str" cm="1">
        <f t="array" ref="AK1027">_xlfn.IFS(A1027&lt;=30,"18-30",A1027&lt;=45,"31-45",A1027&lt;=60,"46-60",TRUE, "60+")</f>
        <v>18-30</v>
      </c>
      <c r="AL1027" t="str" cm="1">
        <f t="array" ref="AL1027">_xlfn.IFS(F1027&lt;=10,"0-10",F1027&lt;=20,"11-20",TRUE,"20+")</f>
        <v>0-10</v>
      </c>
      <c r="AM1027" t="str" cm="1">
        <f t="array" ref="AM1027">_xlfn.IFS(S1027&lt;=5000,"0-5k",S1027&lt;=10000,"5k-10k",S1027&lt;=15000,"10k-15k",TRUE,"15k+")</f>
        <v>0-5k</v>
      </c>
      <c r="AN1027" t="str" cm="1">
        <f t="array" ref="AN1027">_xlfn.IFS(AF1027&lt;=10,"0-10",AF1027&lt;=20,"10-20",AF1027&lt;=30,"20-30",TRUE,"30+")</f>
        <v>0-10</v>
      </c>
      <c r="AO1027" t="str" cm="1">
        <f t="array" ref="AO1027">_xlfn.IFS(Y1027=1,"Poor",Y1027=2,"Average",Y1027=3,"Good",TRUE,"Excellent")</f>
        <v>Good</v>
      </c>
      <c r="AP1027" t="str" cm="1">
        <f t="array" ref="AP1027">_xlfn.IFS(Q1027=1,"Low",Q1027=2,"Medium",Q1027=3,"High",TRUE,"Very High")</f>
        <v>High</v>
      </c>
    </row>
    <row r="1028" spans="1:42" x14ac:dyDescent="0.25">
      <c r="A1028">
        <v>32</v>
      </c>
      <c r="B1028" t="s">
        <v>42</v>
      </c>
      <c r="C1028" t="s">
        <v>90</v>
      </c>
      <c r="D1028">
        <v>601</v>
      </c>
      <c r="E1028" t="s">
        <v>36</v>
      </c>
      <c r="F1028">
        <v>7</v>
      </c>
      <c r="G1028">
        <v>5</v>
      </c>
      <c r="H1028" t="s">
        <v>57</v>
      </c>
      <c r="I1028">
        <v>1</v>
      </c>
      <c r="J1028">
        <v>1446</v>
      </c>
      <c r="K1028">
        <v>4</v>
      </c>
      <c r="L1028" t="s">
        <v>44</v>
      </c>
      <c r="M1028">
        <v>97</v>
      </c>
      <c r="N1028">
        <v>3</v>
      </c>
      <c r="O1028">
        <v>2</v>
      </c>
      <c r="P1028" t="s">
        <v>39</v>
      </c>
      <c r="Q1028">
        <v>4</v>
      </c>
      <c r="R1028" t="s">
        <v>46</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c r="AJ1028">
        <f t="shared" si="16"/>
        <v>0</v>
      </c>
      <c r="AK1028" t="str" cm="1">
        <f t="array" ref="AK1028">_xlfn.IFS(A1028&lt;=30,"18-30",A1028&lt;=45,"31-45",A1028&lt;=60,"46-60",TRUE, "60+")</f>
        <v>31-45</v>
      </c>
      <c r="AL1028" t="str" cm="1">
        <f t="array" ref="AL1028">_xlfn.IFS(F1028&lt;=10,"0-10",F1028&lt;=20,"11-20",TRUE,"20+")</f>
        <v>0-10</v>
      </c>
      <c r="AM1028" t="str" cm="1">
        <f t="array" ref="AM1028">_xlfn.IFS(S1028&lt;=5000,"0-5k",S1028&lt;=10000,"5k-10k",S1028&lt;=15000,"10k-15k",TRUE,"15k+")</f>
        <v>5k-10k</v>
      </c>
      <c r="AN1028" t="str" cm="1">
        <f t="array" ref="AN1028">_xlfn.IFS(AF1028&lt;=10,"0-10",AF1028&lt;=20,"10-20",AF1028&lt;=30,"20-30",TRUE,"30+")</f>
        <v>0-10</v>
      </c>
      <c r="AO1028" t="str" cm="1">
        <f t="array" ref="AO1028">_xlfn.IFS(Y1028=1,"Poor",Y1028=2,"Average",Y1028=3,"Good",TRUE,"Excellent")</f>
        <v>Good</v>
      </c>
      <c r="AP1028" t="str" cm="1">
        <f t="array" ref="AP1028">_xlfn.IFS(Q1028=1,"Low",Q1028=2,"Medium",Q1028=3,"High",TRUE,"Very High")</f>
        <v>Very High</v>
      </c>
    </row>
    <row r="1029" spans="1:42" x14ac:dyDescent="0.25">
      <c r="A1029">
        <v>34</v>
      </c>
      <c r="B1029" t="s">
        <v>42</v>
      </c>
      <c r="C1029" t="s">
        <v>90</v>
      </c>
      <c r="D1029">
        <v>401</v>
      </c>
      <c r="E1029" t="s">
        <v>43</v>
      </c>
      <c r="F1029">
        <v>1</v>
      </c>
      <c r="G1029">
        <v>3</v>
      </c>
      <c r="H1029" t="s">
        <v>37</v>
      </c>
      <c r="I1029">
        <v>1</v>
      </c>
      <c r="J1029">
        <v>1447</v>
      </c>
      <c r="K1029">
        <v>4</v>
      </c>
      <c r="L1029" t="s">
        <v>38</v>
      </c>
      <c r="M1029">
        <v>86</v>
      </c>
      <c r="N1029">
        <v>2</v>
      </c>
      <c r="O1029">
        <v>1</v>
      </c>
      <c r="P1029" t="s">
        <v>48</v>
      </c>
      <c r="Q1029">
        <v>2</v>
      </c>
      <c r="R1029" t="s">
        <v>46</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c r="AJ1029">
        <f t="shared" si="16"/>
        <v>0</v>
      </c>
      <c r="AK1029" t="str" cm="1">
        <f t="array" ref="AK1029">_xlfn.IFS(A1029&lt;=30,"18-30",A1029&lt;=45,"31-45",A1029&lt;=60,"46-60",TRUE, "60+")</f>
        <v>31-45</v>
      </c>
      <c r="AL1029" t="str" cm="1">
        <f t="array" ref="AL1029">_xlfn.IFS(F1029&lt;=10,"0-10",F1029&lt;=20,"11-20",TRUE,"20+")</f>
        <v>0-10</v>
      </c>
      <c r="AM1029" t="str" cm="1">
        <f t="array" ref="AM1029">_xlfn.IFS(S1029&lt;=5000,"0-5k",S1029&lt;=10000,"5k-10k",S1029&lt;=15000,"10k-15k",TRUE,"15k+")</f>
        <v>0-5k</v>
      </c>
      <c r="AN1029" t="str" cm="1">
        <f t="array" ref="AN1029">_xlfn.IFS(AF1029&lt;=10,"0-10",AF1029&lt;=20,"10-20",AF1029&lt;=30,"20-30",TRUE,"30+")</f>
        <v>0-10</v>
      </c>
      <c r="AO1029" t="str" cm="1">
        <f t="array" ref="AO1029">_xlfn.IFS(Y1029=1,"Poor",Y1029=2,"Average",Y1029=3,"Good",TRUE,"Excellent")</f>
        <v>Good</v>
      </c>
      <c r="AP1029" t="str" cm="1">
        <f t="array" ref="AP1029">_xlfn.IFS(Q1029=1,"Low",Q1029=2,"Medium",Q1029=3,"High",TRUE,"Very High")</f>
        <v>Medium</v>
      </c>
    </row>
    <row r="1030" spans="1:42" x14ac:dyDescent="0.25">
      <c r="A1030">
        <v>41</v>
      </c>
      <c r="B1030" t="s">
        <v>42</v>
      </c>
      <c r="C1030" t="s">
        <v>90</v>
      </c>
      <c r="D1030">
        <v>1283</v>
      </c>
      <c r="E1030" t="s">
        <v>43</v>
      </c>
      <c r="F1030">
        <v>5</v>
      </c>
      <c r="G1030">
        <v>5</v>
      </c>
      <c r="H1030" t="s">
        <v>49</v>
      </c>
      <c r="I1030">
        <v>1</v>
      </c>
      <c r="J1030">
        <v>1448</v>
      </c>
      <c r="K1030">
        <v>2</v>
      </c>
      <c r="L1030" t="s">
        <v>44</v>
      </c>
      <c r="M1030">
        <v>90</v>
      </c>
      <c r="N1030">
        <v>4</v>
      </c>
      <c r="O1030">
        <v>1</v>
      </c>
      <c r="P1030" t="s">
        <v>45</v>
      </c>
      <c r="Q1030">
        <v>3</v>
      </c>
      <c r="R1030" t="s">
        <v>46</v>
      </c>
      <c r="S1030">
        <v>2127</v>
      </c>
      <c r="T1030">
        <v>5561</v>
      </c>
      <c r="U1030">
        <v>2</v>
      </c>
      <c r="V1030" t="s">
        <v>41</v>
      </c>
      <c r="W1030" t="s">
        <v>35</v>
      </c>
      <c r="X1030">
        <v>12</v>
      </c>
      <c r="Y1030">
        <v>3</v>
      </c>
      <c r="Z1030">
        <v>1</v>
      </c>
      <c r="AA1030">
        <v>80</v>
      </c>
      <c r="AB1030">
        <v>0</v>
      </c>
      <c r="AC1030">
        <v>7</v>
      </c>
      <c r="AD1030">
        <v>5</v>
      </c>
      <c r="AE1030">
        <v>2</v>
      </c>
      <c r="AF1030">
        <v>4</v>
      </c>
      <c r="AG1030">
        <v>2</v>
      </c>
      <c r="AH1030">
        <v>0</v>
      </c>
      <c r="AI1030">
        <v>3</v>
      </c>
      <c r="AJ1030">
        <f t="shared" si="16"/>
        <v>0</v>
      </c>
      <c r="AK1030" t="str" cm="1">
        <f t="array" ref="AK1030">_xlfn.IFS(A1030&lt;=30,"18-30",A1030&lt;=45,"31-45",A1030&lt;=60,"46-60",TRUE, "60+")</f>
        <v>31-45</v>
      </c>
      <c r="AL1030" t="str" cm="1">
        <f t="array" ref="AL1030">_xlfn.IFS(F1030&lt;=10,"0-10",F1030&lt;=20,"11-20",TRUE,"20+")</f>
        <v>0-10</v>
      </c>
      <c r="AM1030" t="str" cm="1">
        <f t="array" ref="AM1030">_xlfn.IFS(S1030&lt;=5000,"0-5k",S1030&lt;=10000,"5k-10k",S1030&lt;=15000,"10k-15k",TRUE,"15k+")</f>
        <v>0-5k</v>
      </c>
      <c r="AN1030" t="str" cm="1">
        <f t="array" ref="AN1030">_xlfn.IFS(AF1030&lt;=10,"0-10",AF1030&lt;=20,"10-20",AF1030&lt;=30,"20-30",TRUE,"30+")</f>
        <v>0-10</v>
      </c>
      <c r="AO1030" t="str" cm="1">
        <f t="array" ref="AO1030">_xlfn.IFS(Y1030=1,"Poor",Y1030=2,"Average",Y1030=3,"Good",TRUE,"Excellent")</f>
        <v>Good</v>
      </c>
      <c r="AP1030" t="str" cm="1">
        <f t="array" ref="AP1030">_xlfn.IFS(Q1030=1,"Low",Q1030=2,"Medium",Q1030=3,"High",TRUE,"Very High")</f>
        <v>High</v>
      </c>
    </row>
    <row r="1031" spans="1:42" x14ac:dyDescent="0.25">
      <c r="A1031">
        <v>40</v>
      </c>
      <c r="B1031" t="s">
        <v>42</v>
      </c>
      <c r="C1031" t="s">
        <v>53</v>
      </c>
      <c r="D1031">
        <v>663</v>
      </c>
      <c r="E1031" t="s">
        <v>43</v>
      </c>
      <c r="F1031">
        <v>9</v>
      </c>
      <c r="G1031">
        <v>4</v>
      </c>
      <c r="H1031" t="s">
        <v>47</v>
      </c>
      <c r="I1031">
        <v>1</v>
      </c>
      <c r="J1031">
        <v>1449</v>
      </c>
      <c r="K1031">
        <v>3</v>
      </c>
      <c r="L1031" t="s">
        <v>44</v>
      </c>
      <c r="M1031">
        <v>81</v>
      </c>
      <c r="N1031">
        <v>3</v>
      </c>
      <c r="O1031">
        <v>2</v>
      </c>
      <c r="P1031" t="s">
        <v>48</v>
      </c>
      <c r="Q1031">
        <v>3</v>
      </c>
      <c r="R1031" t="s">
        <v>50</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c r="AJ1031">
        <f t="shared" si="16"/>
        <v>0</v>
      </c>
      <c r="AK1031" t="str" cm="1">
        <f t="array" ref="AK1031">_xlfn.IFS(A1031&lt;=30,"18-30",A1031&lt;=45,"31-45",A1031&lt;=60,"46-60",TRUE, "60+")</f>
        <v>31-45</v>
      </c>
      <c r="AL1031" t="str" cm="1">
        <f t="array" ref="AL1031">_xlfn.IFS(F1031&lt;=10,"0-10",F1031&lt;=20,"11-20",TRUE,"20+")</f>
        <v>0-10</v>
      </c>
      <c r="AM1031" t="str" cm="1">
        <f t="array" ref="AM1031">_xlfn.IFS(S1031&lt;=5000,"0-5k",S1031&lt;=10000,"5k-10k",S1031&lt;=15000,"10k-15k",TRUE,"15k+")</f>
        <v>0-5k</v>
      </c>
      <c r="AN1031" t="str" cm="1">
        <f t="array" ref="AN1031">_xlfn.IFS(AF1031&lt;=10,"0-10",AF1031&lt;=20,"10-20",AF1031&lt;=30,"20-30",TRUE,"30+")</f>
        <v>0-10</v>
      </c>
      <c r="AO1031" t="str" cm="1">
        <f t="array" ref="AO1031">_xlfn.IFS(Y1031=1,"Poor",Y1031=2,"Average",Y1031=3,"Good",TRUE,"Excellent")</f>
        <v>Good</v>
      </c>
      <c r="AP1031" t="str" cm="1">
        <f t="array" ref="AP1031">_xlfn.IFS(Q1031=1,"Low",Q1031=2,"Medium",Q1031=3,"High",TRUE,"Very High")</f>
        <v>High</v>
      </c>
    </row>
    <row r="1032" spans="1:42" x14ac:dyDescent="0.25">
      <c r="A1032">
        <v>31</v>
      </c>
      <c r="B1032" t="s">
        <v>42</v>
      </c>
      <c r="C1032" t="s">
        <v>90</v>
      </c>
      <c r="D1032">
        <v>326</v>
      </c>
      <c r="E1032" t="s">
        <v>36</v>
      </c>
      <c r="F1032">
        <v>8</v>
      </c>
      <c r="G1032">
        <v>2</v>
      </c>
      <c r="H1032" t="s">
        <v>37</v>
      </c>
      <c r="I1032">
        <v>1</v>
      </c>
      <c r="J1032">
        <v>1453</v>
      </c>
      <c r="K1032">
        <v>1</v>
      </c>
      <c r="L1032" t="s">
        <v>44</v>
      </c>
      <c r="M1032">
        <v>31</v>
      </c>
      <c r="N1032">
        <v>3</v>
      </c>
      <c r="O1032">
        <v>3</v>
      </c>
      <c r="P1032" t="s">
        <v>39</v>
      </c>
      <c r="Q1032">
        <v>4</v>
      </c>
      <c r="R1032" t="s">
        <v>50</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c r="AJ1032">
        <f t="shared" si="16"/>
        <v>0</v>
      </c>
      <c r="AK1032" t="str" cm="1">
        <f t="array" ref="AK1032">_xlfn.IFS(A1032&lt;=30,"18-30",A1032&lt;=45,"31-45",A1032&lt;=60,"46-60",TRUE, "60+")</f>
        <v>31-45</v>
      </c>
      <c r="AL1032" t="str" cm="1">
        <f t="array" ref="AL1032">_xlfn.IFS(F1032&lt;=10,"0-10",F1032&lt;=20,"11-20",TRUE,"20+")</f>
        <v>0-10</v>
      </c>
      <c r="AM1032" t="str" cm="1">
        <f t="array" ref="AM1032">_xlfn.IFS(S1032&lt;=5000,"0-5k",S1032&lt;=10000,"5k-10k",S1032&lt;=15000,"10k-15k",TRUE,"15k+")</f>
        <v>10k-15k</v>
      </c>
      <c r="AN1032" t="str" cm="1">
        <f t="array" ref="AN1032">_xlfn.IFS(AF1032&lt;=10,"0-10",AF1032&lt;=20,"10-20",AF1032&lt;=30,"20-30",TRUE,"30+")</f>
        <v>10-20</v>
      </c>
      <c r="AO1032" t="str" cm="1">
        <f t="array" ref="AO1032">_xlfn.IFS(Y1032=1,"Poor",Y1032=2,"Average",Y1032=3,"Good",TRUE,"Excellent")</f>
        <v>Good</v>
      </c>
      <c r="AP1032" t="str" cm="1">
        <f t="array" ref="AP1032">_xlfn.IFS(Q1032=1,"Low",Q1032=2,"Medium",Q1032=3,"High",TRUE,"Very High")</f>
        <v>Very High</v>
      </c>
    </row>
    <row r="1033" spans="1:42" x14ac:dyDescent="0.25">
      <c r="A1033">
        <v>46</v>
      </c>
      <c r="B1033" t="s">
        <v>35</v>
      </c>
      <c r="C1033" t="s">
        <v>90</v>
      </c>
      <c r="D1033">
        <v>377</v>
      </c>
      <c r="E1033" t="s">
        <v>36</v>
      </c>
      <c r="F1033">
        <v>9</v>
      </c>
      <c r="G1033">
        <v>3</v>
      </c>
      <c r="H1033" t="s">
        <v>57</v>
      </c>
      <c r="I1033">
        <v>1</v>
      </c>
      <c r="J1033">
        <v>1457</v>
      </c>
      <c r="K1033">
        <v>1</v>
      </c>
      <c r="L1033" t="s">
        <v>44</v>
      </c>
      <c r="M1033">
        <v>52</v>
      </c>
      <c r="N1033">
        <v>3</v>
      </c>
      <c r="O1033">
        <v>3</v>
      </c>
      <c r="P1033" t="s">
        <v>39</v>
      </c>
      <c r="Q1033">
        <v>4</v>
      </c>
      <c r="R1033" t="s">
        <v>50</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c r="AJ1033">
        <f t="shared" si="16"/>
        <v>1</v>
      </c>
      <c r="AK1033" t="str" cm="1">
        <f t="array" ref="AK1033">_xlfn.IFS(A1033&lt;=30,"18-30",A1033&lt;=45,"31-45",A1033&lt;=60,"46-60",TRUE, "60+")</f>
        <v>46-60</v>
      </c>
      <c r="AL1033" t="str" cm="1">
        <f t="array" ref="AL1033">_xlfn.IFS(F1033&lt;=10,"0-10",F1033&lt;=20,"11-20",TRUE,"20+")</f>
        <v>0-10</v>
      </c>
      <c r="AM1033" t="str" cm="1">
        <f t="array" ref="AM1033">_xlfn.IFS(S1033&lt;=5000,"0-5k",S1033&lt;=10000,"5k-10k",S1033&lt;=15000,"10k-15k",TRUE,"15k+")</f>
        <v>10k-15k</v>
      </c>
      <c r="AN1033" t="str" cm="1">
        <f t="array" ref="AN1033">_xlfn.IFS(AF1033&lt;=10,"0-10",AF1033&lt;=20,"10-20",AF1033&lt;=30,"20-30",TRUE,"30+")</f>
        <v>0-10</v>
      </c>
      <c r="AO1033" t="str" cm="1">
        <f t="array" ref="AO1033">_xlfn.IFS(Y1033=1,"Poor",Y1033=2,"Average",Y1033=3,"Good",TRUE,"Excellent")</f>
        <v>Good</v>
      </c>
      <c r="AP1033" t="str" cm="1">
        <f t="array" ref="AP1033">_xlfn.IFS(Q1033=1,"Low",Q1033=2,"Medium",Q1033=3,"High",TRUE,"Very High")</f>
        <v>Very High</v>
      </c>
    </row>
    <row r="1034" spans="1:42" x14ac:dyDescent="0.25">
      <c r="A1034">
        <v>39</v>
      </c>
      <c r="B1034" t="s">
        <v>35</v>
      </c>
      <c r="C1034" t="s">
        <v>53</v>
      </c>
      <c r="D1034">
        <v>592</v>
      </c>
      <c r="E1034" t="s">
        <v>43</v>
      </c>
      <c r="F1034">
        <v>2</v>
      </c>
      <c r="G1034">
        <v>3</v>
      </c>
      <c r="H1034" t="s">
        <v>37</v>
      </c>
      <c r="I1034">
        <v>1</v>
      </c>
      <c r="J1034">
        <v>1458</v>
      </c>
      <c r="K1034">
        <v>1</v>
      </c>
      <c r="L1034" t="s">
        <v>38</v>
      </c>
      <c r="M1034">
        <v>54</v>
      </c>
      <c r="N1034">
        <v>2</v>
      </c>
      <c r="O1034">
        <v>1</v>
      </c>
      <c r="P1034" t="s">
        <v>48</v>
      </c>
      <c r="Q1034">
        <v>1</v>
      </c>
      <c r="R1034" t="s">
        <v>40</v>
      </c>
      <c r="S1034">
        <v>3646</v>
      </c>
      <c r="T1034">
        <v>17181</v>
      </c>
      <c r="U1034">
        <v>2</v>
      </c>
      <c r="V1034" t="s">
        <v>41</v>
      </c>
      <c r="W1034" t="s">
        <v>35</v>
      </c>
      <c r="X1034">
        <v>23</v>
      </c>
      <c r="Y1034">
        <v>4</v>
      </c>
      <c r="Z1034">
        <v>2</v>
      </c>
      <c r="AA1034">
        <v>80</v>
      </c>
      <c r="AB1034">
        <v>0</v>
      </c>
      <c r="AC1034">
        <v>11</v>
      </c>
      <c r="AD1034">
        <v>2</v>
      </c>
      <c r="AE1034">
        <v>4</v>
      </c>
      <c r="AF1034">
        <v>1</v>
      </c>
      <c r="AG1034">
        <v>0</v>
      </c>
      <c r="AH1034">
        <v>0</v>
      </c>
      <c r="AI1034">
        <v>0</v>
      </c>
      <c r="AJ1034">
        <f t="shared" si="16"/>
        <v>1</v>
      </c>
      <c r="AK1034" t="str" cm="1">
        <f t="array" ref="AK1034">_xlfn.IFS(A1034&lt;=30,"18-30",A1034&lt;=45,"31-45",A1034&lt;=60,"46-60",TRUE, "60+")</f>
        <v>31-45</v>
      </c>
      <c r="AL1034" t="str" cm="1">
        <f t="array" ref="AL1034">_xlfn.IFS(F1034&lt;=10,"0-10",F1034&lt;=20,"11-20",TRUE,"20+")</f>
        <v>0-10</v>
      </c>
      <c r="AM1034" t="str" cm="1">
        <f t="array" ref="AM1034">_xlfn.IFS(S1034&lt;=5000,"0-5k",S1034&lt;=10000,"5k-10k",S1034&lt;=15000,"10k-15k",TRUE,"15k+")</f>
        <v>0-5k</v>
      </c>
      <c r="AN1034" t="str" cm="1">
        <f t="array" ref="AN1034">_xlfn.IFS(AF1034&lt;=10,"0-10",AF1034&lt;=20,"10-20",AF1034&lt;=30,"20-30",TRUE,"30+")</f>
        <v>0-10</v>
      </c>
      <c r="AO1034" t="str" cm="1">
        <f t="array" ref="AO1034">_xlfn.IFS(Y1034=1,"Poor",Y1034=2,"Average",Y1034=3,"Good",TRUE,"Excellent")</f>
        <v>Excellent</v>
      </c>
      <c r="AP1034" t="str" cm="1">
        <f t="array" ref="AP1034">_xlfn.IFS(Q1034=1,"Low",Q1034=2,"Medium",Q1034=3,"High",TRUE,"Very High")</f>
        <v>Low</v>
      </c>
    </row>
    <row r="1035" spans="1:42" x14ac:dyDescent="0.25">
      <c r="A1035">
        <v>31</v>
      </c>
      <c r="B1035" t="s">
        <v>35</v>
      </c>
      <c r="C1035" t="s">
        <v>91</v>
      </c>
      <c r="D1035">
        <v>1445</v>
      </c>
      <c r="E1035" t="s">
        <v>43</v>
      </c>
      <c r="F1035">
        <v>1</v>
      </c>
      <c r="G1035">
        <v>5</v>
      </c>
      <c r="H1035" t="s">
        <v>37</v>
      </c>
      <c r="I1035">
        <v>1</v>
      </c>
      <c r="J1035">
        <v>1459</v>
      </c>
      <c r="K1035">
        <v>3</v>
      </c>
      <c r="L1035" t="s">
        <v>38</v>
      </c>
      <c r="M1035">
        <v>100</v>
      </c>
      <c r="N1035">
        <v>4</v>
      </c>
      <c r="O1035">
        <v>3</v>
      </c>
      <c r="P1035" t="s">
        <v>51</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c r="AJ1035">
        <f t="shared" si="16"/>
        <v>1</v>
      </c>
      <c r="AK1035" t="str" cm="1">
        <f t="array" ref="AK1035">_xlfn.IFS(A1035&lt;=30,"18-30",A1035&lt;=45,"31-45",A1035&lt;=60,"46-60",TRUE, "60+")</f>
        <v>31-45</v>
      </c>
      <c r="AL1035" t="str" cm="1">
        <f t="array" ref="AL1035">_xlfn.IFS(F1035&lt;=10,"0-10",F1035&lt;=20,"11-20",TRUE,"20+")</f>
        <v>0-10</v>
      </c>
      <c r="AM1035" t="str" cm="1">
        <f t="array" ref="AM1035">_xlfn.IFS(S1035&lt;=5000,"0-5k",S1035&lt;=10000,"5k-10k",S1035&lt;=15000,"10k-15k",TRUE,"15k+")</f>
        <v>5k-10k</v>
      </c>
      <c r="AN1035" t="str" cm="1">
        <f t="array" ref="AN1035">_xlfn.IFS(AF1035&lt;=10,"0-10",AF1035&lt;=20,"10-20",AF1035&lt;=30,"20-30",TRUE,"30+")</f>
        <v>0-10</v>
      </c>
      <c r="AO1035" t="str" cm="1">
        <f t="array" ref="AO1035">_xlfn.IFS(Y1035=1,"Poor",Y1035=2,"Average",Y1035=3,"Good",TRUE,"Excellent")</f>
        <v>Good</v>
      </c>
      <c r="AP1035" t="str" cm="1">
        <f t="array" ref="AP1035">_xlfn.IFS(Q1035=1,"Low",Q1035=2,"Medium",Q1035=3,"High",TRUE,"Very High")</f>
        <v>Medium</v>
      </c>
    </row>
    <row r="1036" spans="1:42" x14ac:dyDescent="0.25">
      <c r="A1036">
        <v>45</v>
      </c>
      <c r="B1036" t="s">
        <v>42</v>
      </c>
      <c r="C1036" t="s">
        <v>90</v>
      </c>
      <c r="D1036">
        <v>1038</v>
      </c>
      <c r="E1036" t="s">
        <v>43</v>
      </c>
      <c r="F1036">
        <v>20</v>
      </c>
      <c r="G1036">
        <v>3</v>
      </c>
      <c r="H1036" t="s">
        <v>49</v>
      </c>
      <c r="I1036">
        <v>1</v>
      </c>
      <c r="J1036">
        <v>1460</v>
      </c>
      <c r="K1036">
        <v>2</v>
      </c>
      <c r="L1036" t="s">
        <v>44</v>
      </c>
      <c r="M1036">
        <v>95</v>
      </c>
      <c r="N1036">
        <v>1</v>
      </c>
      <c r="O1036">
        <v>3</v>
      </c>
      <c r="P1036" t="s">
        <v>52</v>
      </c>
      <c r="Q1036">
        <v>1</v>
      </c>
      <c r="R1036" t="s">
        <v>50</v>
      </c>
      <c r="S1036">
        <v>10851</v>
      </c>
      <c r="T1036">
        <v>19863</v>
      </c>
      <c r="U1036">
        <v>2</v>
      </c>
      <c r="V1036" t="s">
        <v>41</v>
      </c>
      <c r="W1036" t="s">
        <v>35</v>
      </c>
      <c r="X1036">
        <v>18</v>
      </c>
      <c r="Y1036">
        <v>3</v>
      </c>
      <c r="Z1036">
        <v>2</v>
      </c>
      <c r="AA1036">
        <v>80</v>
      </c>
      <c r="AB1036">
        <v>1</v>
      </c>
      <c r="AC1036">
        <v>24</v>
      </c>
      <c r="AD1036">
        <v>2</v>
      </c>
      <c r="AE1036">
        <v>3</v>
      </c>
      <c r="AF1036">
        <v>7</v>
      </c>
      <c r="AG1036">
        <v>7</v>
      </c>
      <c r="AH1036">
        <v>0</v>
      </c>
      <c r="AI1036">
        <v>7</v>
      </c>
      <c r="AJ1036">
        <f t="shared" si="16"/>
        <v>0</v>
      </c>
      <c r="AK1036" t="str" cm="1">
        <f t="array" ref="AK1036">_xlfn.IFS(A1036&lt;=30,"18-30",A1036&lt;=45,"31-45",A1036&lt;=60,"46-60",TRUE, "60+")</f>
        <v>31-45</v>
      </c>
      <c r="AL1036" t="str" cm="1">
        <f t="array" ref="AL1036">_xlfn.IFS(F1036&lt;=10,"0-10",F1036&lt;=20,"11-20",TRUE,"20+")</f>
        <v>11-20</v>
      </c>
      <c r="AM1036" t="str" cm="1">
        <f t="array" ref="AM1036">_xlfn.IFS(S1036&lt;=5000,"0-5k",S1036&lt;=10000,"5k-10k",S1036&lt;=15000,"10k-15k",TRUE,"15k+")</f>
        <v>10k-15k</v>
      </c>
      <c r="AN1036" t="str" cm="1">
        <f t="array" ref="AN1036">_xlfn.IFS(AF1036&lt;=10,"0-10",AF1036&lt;=20,"10-20",AF1036&lt;=30,"20-30",TRUE,"30+")</f>
        <v>0-10</v>
      </c>
      <c r="AO1036" t="str" cm="1">
        <f t="array" ref="AO1036">_xlfn.IFS(Y1036=1,"Poor",Y1036=2,"Average",Y1036=3,"Good",TRUE,"Excellent")</f>
        <v>Good</v>
      </c>
      <c r="AP1036" t="str" cm="1">
        <f t="array" ref="AP1036">_xlfn.IFS(Q1036=1,"Low",Q1036=2,"Medium",Q1036=3,"High",TRUE,"Very High")</f>
        <v>Low</v>
      </c>
    </row>
    <row r="1037" spans="1:42" x14ac:dyDescent="0.25">
      <c r="A1037">
        <v>31</v>
      </c>
      <c r="B1037" t="s">
        <v>42</v>
      </c>
      <c r="C1037" t="s">
        <v>90</v>
      </c>
      <c r="D1037">
        <v>1398</v>
      </c>
      <c r="E1037" t="s">
        <v>59</v>
      </c>
      <c r="F1037">
        <v>8</v>
      </c>
      <c r="G1037">
        <v>2</v>
      </c>
      <c r="H1037" t="s">
        <v>49</v>
      </c>
      <c r="I1037">
        <v>1</v>
      </c>
      <c r="J1037">
        <v>1461</v>
      </c>
      <c r="K1037">
        <v>4</v>
      </c>
      <c r="L1037" t="s">
        <v>38</v>
      </c>
      <c r="M1037">
        <v>96</v>
      </c>
      <c r="N1037">
        <v>4</v>
      </c>
      <c r="O1037">
        <v>1</v>
      </c>
      <c r="P1037" t="s">
        <v>59</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c r="AJ1037">
        <f t="shared" si="16"/>
        <v>0</v>
      </c>
      <c r="AK1037" t="str" cm="1">
        <f t="array" ref="AK1037">_xlfn.IFS(A1037&lt;=30,"18-30",A1037&lt;=45,"31-45",A1037&lt;=60,"46-60",TRUE, "60+")</f>
        <v>31-45</v>
      </c>
      <c r="AL1037" t="str" cm="1">
        <f t="array" ref="AL1037">_xlfn.IFS(F1037&lt;=10,"0-10",F1037&lt;=20,"11-20",TRUE,"20+")</f>
        <v>0-10</v>
      </c>
      <c r="AM1037" t="str" cm="1">
        <f t="array" ref="AM1037">_xlfn.IFS(S1037&lt;=5000,"0-5k",S1037&lt;=10000,"5k-10k",S1037&lt;=15000,"10k-15k",TRUE,"15k+")</f>
        <v>0-5k</v>
      </c>
      <c r="AN1037" t="str" cm="1">
        <f t="array" ref="AN1037">_xlfn.IFS(AF1037&lt;=10,"0-10",AF1037&lt;=20,"10-20",AF1037&lt;=30,"20-30",TRUE,"30+")</f>
        <v>0-10</v>
      </c>
      <c r="AO1037" t="str" cm="1">
        <f t="array" ref="AO1037">_xlfn.IFS(Y1037=1,"Poor",Y1037=2,"Average",Y1037=3,"Good",TRUE,"Excellent")</f>
        <v>Good</v>
      </c>
      <c r="AP1037" t="str" cm="1">
        <f t="array" ref="AP1037">_xlfn.IFS(Q1037=1,"Low",Q1037=2,"Medium",Q1037=3,"High",TRUE,"Very High")</f>
        <v>Medium</v>
      </c>
    </row>
    <row r="1038" spans="1:42" x14ac:dyDescent="0.25">
      <c r="A1038">
        <v>31</v>
      </c>
      <c r="B1038" t="s">
        <v>35</v>
      </c>
      <c r="C1038" t="s">
        <v>91</v>
      </c>
      <c r="D1038">
        <v>523</v>
      </c>
      <c r="E1038" t="s">
        <v>43</v>
      </c>
      <c r="F1038">
        <v>2</v>
      </c>
      <c r="G1038">
        <v>3</v>
      </c>
      <c r="H1038" t="s">
        <v>37</v>
      </c>
      <c r="I1038">
        <v>1</v>
      </c>
      <c r="J1038">
        <v>1464</v>
      </c>
      <c r="K1038">
        <v>2</v>
      </c>
      <c r="L1038" t="s">
        <v>44</v>
      </c>
      <c r="M1038">
        <v>94</v>
      </c>
      <c r="N1038">
        <v>3</v>
      </c>
      <c r="O1038">
        <v>1</v>
      </c>
      <c r="P1038" t="s">
        <v>48</v>
      </c>
      <c r="Q1038">
        <v>4</v>
      </c>
      <c r="R1038" t="s">
        <v>46</v>
      </c>
      <c r="S1038">
        <v>3722</v>
      </c>
      <c r="T1038">
        <v>21081</v>
      </c>
      <c r="U1038">
        <v>6</v>
      </c>
      <c r="V1038" t="s">
        <v>41</v>
      </c>
      <c r="W1038" t="s">
        <v>35</v>
      </c>
      <c r="X1038">
        <v>13</v>
      </c>
      <c r="Y1038">
        <v>3</v>
      </c>
      <c r="Z1038">
        <v>3</v>
      </c>
      <c r="AA1038">
        <v>80</v>
      </c>
      <c r="AB1038">
        <v>1</v>
      </c>
      <c r="AC1038">
        <v>7</v>
      </c>
      <c r="AD1038">
        <v>2</v>
      </c>
      <c r="AE1038">
        <v>1</v>
      </c>
      <c r="AF1038">
        <v>2</v>
      </c>
      <c r="AG1038">
        <v>2</v>
      </c>
      <c r="AH1038">
        <v>2</v>
      </c>
      <c r="AI1038">
        <v>2</v>
      </c>
      <c r="AJ1038">
        <f t="shared" si="16"/>
        <v>1</v>
      </c>
      <c r="AK1038" t="str" cm="1">
        <f t="array" ref="AK1038">_xlfn.IFS(A1038&lt;=30,"18-30",A1038&lt;=45,"31-45",A1038&lt;=60,"46-60",TRUE, "60+")</f>
        <v>31-45</v>
      </c>
      <c r="AL1038" t="str" cm="1">
        <f t="array" ref="AL1038">_xlfn.IFS(F1038&lt;=10,"0-10",F1038&lt;=20,"11-20",TRUE,"20+")</f>
        <v>0-10</v>
      </c>
      <c r="AM1038" t="str" cm="1">
        <f t="array" ref="AM1038">_xlfn.IFS(S1038&lt;=5000,"0-5k",S1038&lt;=10000,"5k-10k",S1038&lt;=15000,"10k-15k",TRUE,"15k+")</f>
        <v>0-5k</v>
      </c>
      <c r="AN1038" t="str" cm="1">
        <f t="array" ref="AN1038">_xlfn.IFS(AF1038&lt;=10,"0-10",AF1038&lt;=20,"10-20",AF1038&lt;=30,"20-30",TRUE,"30+")</f>
        <v>0-10</v>
      </c>
      <c r="AO1038" t="str" cm="1">
        <f t="array" ref="AO1038">_xlfn.IFS(Y1038=1,"Poor",Y1038=2,"Average",Y1038=3,"Good",TRUE,"Excellent")</f>
        <v>Good</v>
      </c>
      <c r="AP1038" t="str" cm="1">
        <f t="array" ref="AP1038">_xlfn.IFS(Q1038=1,"Low",Q1038=2,"Medium",Q1038=3,"High",TRUE,"Very High")</f>
        <v>Very High</v>
      </c>
    </row>
    <row r="1039" spans="1:42" x14ac:dyDescent="0.25">
      <c r="A1039">
        <v>45</v>
      </c>
      <c r="B1039" t="s">
        <v>42</v>
      </c>
      <c r="C1039" t="s">
        <v>90</v>
      </c>
      <c r="D1039">
        <v>1448</v>
      </c>
      <c r="E1039" t="s">
        <v>43</v>
      </c>
      <c r="F1039">
        <v>29</v>
      </c>
      <c r="G1039">
        <v>3</v>
      </c>
      <c r="H1039" t="s">
        <v>58</v>
      </c>
      <c r="I1039">
        <v>1</v>
      </c>
      <c r="J1039">
        <v>1465</v>
      </c>
      <c r="K1039">
        <v>2</v>
      </c>
      <c r="L1039" t="s">
        <v>44</v>
      </c>
      <c r="M1039">
        <v>55</v>
      </c>
      <c r="N1039">
        <v>3</v>
      </c>
      <c r="O1039">
        <v>3</v>
      </c>
      <c r="P1039" t="s">
        <v>51</v>
      </c>
      <c r="Q1039">
        <v>4</v>
      </c>
      <c r="R1039" t="s">
        <v>46</v>
      </c>
      <c r="S1039">
        <v>9380</v>
      </c>
      <c r="T1039">
        <v>14720</v>
      </c>
      <c r="U1039">
        <v>4</v>
      </c>
      <c r="V1039" t="s">
        <v>41</v>
      </c>
      <c r="W1039" t="s">
        <v>35</v>
      </c>
      <c r="X1039">
        <v>18</v>
      </c>
      <c r="Y1039">
        <v>3</v>
      </c>
      <c r="Z1039">
        <v>4</v>
      </c>
      <c r="AA1039">
        <v>80</v>
      </c>
      <c r="AB1039">
        <v>2</v>
      </c>
      <c r="AC1039">
        <v>10</v>
      </c>
      <c r="AD1039">
        <v>4</v>
      </c>
      <c r="AE1039">
        <v>4</v>
      </c>
      <c r="AF1039">
        <v>3</v>
      </c>
      <c r="AG1039">
        <v>1</v>
      </c>
      <c r="AH1039">
        <v>1</v>
      </c>
      <c r="AI1039">
        <v>2</v>
      </c>
      <c r="AJ1039">
        <f t="shared" si="16"/>
        <v>0</v>
      </c>
      <c r="AK1039" t="str" cm="1">
        <f t="array" ref="AK1039">_xlfn.IFS(A1039&lt;=30,"18-30",A1039&lt;=45,"31-45",A1039&lt;=60,"46-60",TRUE, "60+")</f>
        <v>31-45</v>
      </c>
      <c r="AL1039" t="str" cm="1">
        <f t="array" ref="AL1039">_xlfn.IFS(F1039&lt;=10,"0-10",F1039&lt;=20,"11-20",TRUE,"20+")</f>
        <v>20+</v>
      </c>
      <c r="AM1039" t="str" cm="1">
        <f t="array" ref="AM1039">_xlfn.IFS(S1039&lt;=5000,"0-5k",S1039&lt;=10000,"5k-10k",S1039&lt;=15000,"10k-15k",TRUE,"15k+")</f>
        <v>5k-10k</v>
      </c>
      <c r="AN1039" t="str" cm="1">
        <f t="array" ref="AN1039">_xlfn.IFS(AF1039&lt;=10,"0-10",AF1039&lt;=20,"10-20",AF1039&lt;=30,"20-30",TRUE,"30+")</f>
        <v>0-10</v>
      </c>
      <c r="AO1039" t="str" cm="1">
        <f t="array" ref="AO1039">_xlfn.IFS(Y1039=1,"Poor",Y1039=2,"Average",Y1039=3,"Good",TRUE,"Excellent")</f>
        <v>Good</v>
      </c>
      <c r="AP1039" t="str" cm="1">
        <f t="array" ref="AP1039">_xlfn.IFS(Q1039=1,"Low",Q1039=2,"Medium",Q1039=3,"High",TRUE,"Very High")</f>
        <v>Very High</v>
      </c>
    </row>
    <row r="1040" spans="1:42" x14ac:dyDescent="0.25">
      <c r="A1040">
        <v>48</v>
      </c>
      <c r="B1040" t="s">
        <v>42</v>
      </c>
      <c r="C1040" t="s">
        <v>90</v>
      </c>
      <c r="D1040">
        <v>1221</v>
      </c>
      <c r="E1040" t="s">
        <v>36</v>
      </c>
      <c r="F1040">
        <v>7</v>
      </c>
      <c r="G1040">
        <v>3</v>
      </c>
      <c r="H1040" t="s">
        <v>57</v>
      </c>
      <c r="I1040">
        <v>1</v>
      </c>
      <c r="J1040">
        <v>1466</v>
      </c>
      <c r="K1040">
        <v>3</v>
      </c>
      <c r="L1040" t="s">
        <v>44</v>
      </c>
      <c r="M1040">
        <v>96</v>
      </c>
      <c r="N1040">
        <v>3</v>
      </c>
      <c r="O1040">
        <v>2</v>
      </c>
      <c r="P1040" t="s">
        <v>39</v>
      </c>
      <c r="Q1040">
        <v>1</v>
      </c>
      <c r="R1040" t="s">
        <v>50</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c r="AJ1040">
        <f t="shared" si="16"/>
        <v>0</v>
      </c>
      <c r="AK1040" t="str" cm="1">
        <f t="array" ref="AK1040">_xlfn.IFS(A1040&lt;=30,"18-30",A1040&lt;=45,"31-45",A1040&lt;=60,"46-60",TRUE, "60+")</f>
        <v>46-60</v>
      </c>
      <c r="AL1040" t="str" cm="1">
        <f t="array" ref="AL1040">_xlfn.IFS(F1040&lt;=10,"0-10",F1040&lt;=20,"11-20",TRUE,"20+")</f>
        <v>0-10</v>
      </c>
      <c r="AM1040" t="str" cm="1">
        <f t="array" ref="AM1040">_xlfn.IFS(S1040&lt;=5000,"0-5k",S1040&lt;=10000,"5k-10k",S1040&lt;=15000,"10k-15k",TRUE,"15k+")</f>
        <v>5k-10k</v>
      </c>
      <c r="AN1040" t="str" cm="1">
        <f t="array" ref="AN1040">_xlfn.IFS(AF1040&lt;=10,"0-10",AF1040&lt;=20,"10-20",AF1040&lt;=30,"20-30",TRUE,"30+")</f>
        <v>0-10</v>
      </c>
      <c r="AO1040" t="str" cm="1">
        <f t="array" ref="AO1040">_xlfn.IFS(Y1040=1,"Poor",Y1040=2,"Average",Y1040=3,"Good",TRUE,"Excellent")</f>
        <v>Good</v>
      </c>
      <c r="AP1040" t="str" cm="1">
        <f t="array" ref="AP1040">_xlfn.IFS(Q1040=1,"Low",Q1040=2,"Medium",Q1040=3,"High",TRUE,"Very High")</f>
        <v>Low</v>
      </c>
    </row>
    <row r="1041" spans="1:42" x14ac:dyDescent="0.25">
      <c r="A1041">
        <v>34</v>
      </c>
      <c r="B1041" t="s">
        <v>35</v>
      </c>
      <c r="C1041" t="s">
        <v>90</v>
      </c>
      <c r="D1041">
        <v>1107</v>
      </c>
      <c r="E1041" t="s">
        <v>59</v>
      </c>
      <c r="F1041">
        <v>9</v>
      </c>
      <c r="G1041">
        <v>4</v>
      </c>
      <c r="H1041" t="s">
        <v>58</v>
      </c>
      <c r="I1041">
        <v>1</v>
      </c>
      <c r="J1041">
        <v>1467</v>
      </c>
      <c r="K1041">
        <v>1</v>
      </c>
      <c r="L1041" t="s">
        <v>38</v>
      </c>
      <c r="M1041">
        <v>52</v>
      </c>
      <c r="N1041">
        <v>3</v>
      </c>
      <c r="O1041">
        <v>1</v>
      </c>
      <c r="P1041" t="s">
        <v>59</v>
      </c>
      <c r="Q1041">
        <v>3</v>
      </c>
      <c r="R1041" t="s">
        <v>46</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c r="AJ1041">
        <f t="shared" si="16"/>
        <v>1</v>
      </c>
      <c r="AK1041" t="str" cm="1">
        <f t="array" ref="AK1041">_xlfn.IFS(A1041&lt;=30,"18-30",A1041&lt;=45,"31-45",A1041&lt;=60,"46-60",TRUE, "60+")</f>
        <v>31-45</v>
      </c>
      <c r="AL1041" t="str" cm="1">
        <f t="array" ref="AL1041">_xlfn.IFS(F1041&lt;=10,"0-10",F1041&lt;=20,"11-20",TRUE,"20+")</f>
        <v>0-10</v>
      </c>
      <c r="AM1041" t="str" cm="1">
        <f t="array" ref="AM1041">_xlfn.IFS(S1041&lt;=5000,"0-5k",S1041&lt;=10000,"5k-10k",S1041&lt;=15000,"10k-15k",TRUE,"15k+")</f>
        <v>0-5k</v>
      </c>
      <c r="AN1041" t="str" cm="1">
        <f t="array" ref="AN1041">_xlfn.IFS(AF1041&lt;=10,"0-10",AF1041&lt;=20,"10-20",AF1041&lt;=30,"20-30",TRUE,"30+")</f>
        <v>0-10</v>
      </c>
      <c r="AO1041" t="str" cm="1">
        <f t="array" ref="AO1041">_xlfn.IFS(Y1041=1,"Poor",Y1041=2,"Average",Y1041=3,"Good",TRUE,"Excellent")</f>
        <v>Good</v>
      </c>
      <c r="AP1041" t="str" cm="1">
        <f t="array" ref="AP1041">_xlfn.IFS(Q1041=1,"Low",Q1041=2,"Medium",Q1041=3,"High",TRUE,"Very High")</f>
        <v>High</v>
      </c>
    </row>
    <row r="1042" spans="1:42" x14ac:dyDescent="0.25">
      <c r="A1042">
        <v>40</v>
      </c>
      <c r="B1042" t="s">
        <v>42</v>
      </c>
      <c r="C1042" t="s">
        <v>53</v>
      </c>
      <c r="D1042">
        <v>218</v>
      </c>
      <c r="E1042" t="s">
        <v>43</v>
      </c>
      <c r="F1042">
        <v>8</v>
      </c>
      <c r="G1042">
        <v>1</v>
      </c>
      <c r="H1042" t="s">
        <v>49</v>
      </c>
      <c r="I1042">
        <v>1</v>
      </c>
      <c r="J1042">
        <v>1468</v>
      </c>
      <c r="K1042">
        <v>4</v>
      </c>
      <c r="L1042" t="s">
        <v>44</v>
      </c>
      <c r="M1042">
        <v>55</v>
      </c>
      <c r="N1042">
        <v>2</v>
      </c>
      <c r="O1042">
        <v>3</v>
      </c>
      <c r="P1042" t="s">
        <v>56</v>
      </c>
      <c r="Q1042">
        <v>2</v>
      </c>
      <c r="R1042" t="s">
        <v>50</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c r="AJ1042">
        <f t="shared" si="16"/>
        <v>0</v>
      </c>
      <c r="AK1042" t="str" cm="1">
        <f t="array" ref="AK1042">_xlfn.IFS(A1042&lt;=30,"18-30",A1042&lt;=45,"31-45",A1042&lt;=60,"46-60",TRUE, "60+")</f>
        <v>31-45</v>
      </c>
      <c r="AL1042" t="str" cm="1">
        <f t="array" ref="AL1042">_xlfn.IFS(F1042&lt;=10,"0-10",F1042&lt;=20,"11-20",TRUE,"20+")</f>
        <v>0-10</v>
      </c>
      <c r="AM1042" t="str" cm="1">
        <f t="array" ref="AM1042">_xlfn.IFS(S1042&lt;=5000,"0-5k",S1042&lt;=10000,"5k-10k",S1042&lt;=15000,"10k-15k",TRUE,"15k+")</f>
        <v>10k-15k</v>
      </c>
      <c r="AN1042" t="str" cm="1">
        <f t="array" ref="AN1042">_xlfn.IFS(AF1042&lt;=10,"0-10",AF1042&lt;=20,"10-20",AF1042&lt;=30,"20-30",TRUE,"30+")</f>
        <v>0-10</v>
      </c>
      <c r="AO1042" t="str" cm="1">
        <f t="array" ref="AO1042">_xlfn.IFS(Y1042=1,"Poor",Y1042=2,"Average",Y1042=3,"Good",TRUE,"Excellent")</f>
        <v>Good</v>
      </c>
      <c r="AP1042" t="str" cm="1">
        <f t="array" ref="AP1042">_xlfn.IFS(Q1042=1,"Low",Q1042=2,"Medium",Q1042=3,"High",TRUE,"Very High")</f>
        <v>Medium</v>
      </c>
    </row>
    <row r="1043" spans="1:42" x14ac:dyDescent="0.25">
      <c r="A1043">
        <v>28</v>
      </c>
      <c r="B1043" t="s">
        <v>42</v>
      </c>
      <c r="C1043" t="s">
        <v>90</v>
      </c>
      <c r="D1043">
        <v>866</v>
      </c>
      <c r="E1043" t="s">
        <v>36</v>
      </c>
      <c r="F1043">
        <v>5</v>
      </c>
      <c r="G1043">
        <v>3</v>
      </c>
      <c r="H1043" t="s">
        <v>49</v>
      </c>
      <c r="I1043">
        <v>1</v>
      </c>
      <c r="J1043">
        <v>1469</v>
      </c>
      <c r="K1043">
        <v>4</v>
      </c>
      <c r="L1043" t="s">
        <v>44</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c r="AJ1043">
        <f t="shared" si="16"/>
        <v>0</v>
      </c>
      <c r="AK1043" t="str" cm="1">
        <f t="array" ref="AK1043">_xlfn.IFS(A1043&lt;=30,"18-30",A1043&lt;=45,"31-45",A1043&lt;=60,"46-60",TRUE, "60+")</f>
        <v>18-30</v>
      </c>
      <c r="AL1043" t="str" cm="1">
        <f t="array" ref="AL1043">_xlfn.IFS(F1043&lt;=10,"0-10",F1043&lt;=20,"11-20",TRUE,"20+")</f>
        <v>0-10</v>
      </c>
      <c r="AM1043" t="str" cm="1">
        <f t="array" ref="AM1043">_xlfn.IFS(S1043&lt;=5000,"0-5k",S1043&lt;=10000,"5k-10k",S1043&lt;=15000,"10k-15k",TRUE,"15k+")</f>
        <v>5k-10k</v>
      </c>
      <c r="AN1043" t="str" cm="1">
        <f t="array" ref="AN1043">_xlfn.IFS(AF1043&lt;=10,"0-10",AF1043&lt;=20,"10-20",AF1043&lt;=30,"20-30",TRUE,"30+")</f>
        <v>0-10</v>
      </c>
      <c r="AO1043" t="str" cm="1">
        <f t="array" ref="AO1043">_xlfn.IFS(Y1043=1,"Poor",Y1043=2,"Average",Y1043=3,"Good",TRUE,"Excellent")</f>
        <v>Good</v>
      </c>
      <c r="AP1043" t="str" cm="1">
        <f t="array" ref="AP1043">_xlfn.IFS(Q1043=1,"Low",Q1043=2,"Medium",Q1043=3,"High",TRUE,"Very High")</f>
        <v>Low</v>
      </c>
    </row>
    <row r="1044" spans="1:42" x14ac:dyDescent="0.25">
      <c r="A1044">
        <v>44</v>
      </c>
      <c r="B1044" t="s">
        <v>42</v>
      </c>
      <c r="C1044" t="s">
        <v>53</v>
      </c>
      <c r="D1044">
        <v>981</v>
      </c>
      <c r="E1044" t="s">
        <v>43</v>
      </c>
      <c r="F1044">
        <v>5</v>
      </c>
      <c r="G1044">
        <v>3</v>
      </c>
      <c r="H1044" t="s">
        <v>37</v>
      </c>
      <c r="I1044">
        <v>1</v>
      </c>
      <c r="J1044">
        <v>1471</v>
      </c>
      <c r="K1044">
        <v>3</v>
      </c>
      <c r="L1044" t="s">
        <v>44</v>
      </c>
      <c r="M1044">
        <v>90</v>
      </c>
      <c r="N1044">
        <v>2</v>
      </c>
      <c r="O1044">
        <v>1</v>
      </c>
      <c r="P1044" t="s">
        <v>48</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c r="AJ1044">
        <f t="shared" si="16"/>
        <v>0</v>
      </c>
      <c r="AK1044" t="str" cm="1">
        <f t="array" ref="AK1044">_xlfn.IFS(A1044&lt;=30,"18-30",A1044&lt;=45,"31-45",A1044&lt;=60,"46-60",TRUE, "60+")</f>
        <v>31-45</v>
      </c>
      <c r="AL1044" t="str" cm="1">
        <f t="array" ref="AL1044">_xlfn.IFS(F1044&lt;=10,"0-10",F1044&lt;=20,"11-20",TRUE,"20+")</f>
        <v>0-10</v>
      </c>
      <c r="AM1044" t="str" cm="1">
        <f t="array" ref="AM1044">_xlfn.IFS(S1044&lt;=5000,"0-5k",S1044&lt;=10000,"5k-10k",S1044&lt;=15000,"10k-15k",TRUE,"15k+")</f>
        <v>0-5k</v>
      </c>
      <c r="AN1044" t="str" cm="1">
        <f t="array" ref="AN1044">_xlfn.IFS(AF1044&lt;=10,"0-10",AF1044&lt;=20,"10-20",AF1044&lt;=30,"20-30",TRUE,"30+")</f>
        <v>0-10</v>
      </c>
      <c r="AO1044" t="str" cm="1">
        <f t="array" ref="AO1044">_xlfn.IFS(Y1044=1,"Poor",Y1044=2,"Average",Y1044=3,"Good",TRUE,"Excellent")</f>
        <v>Good</v>
      </c>
      <c r="AP1044" t="str" cm="1">
        <f t="array" ref="AP1044">_xlfn.IFS(Q1044=1,"Low",Q1044=2,"Medium",Q1044=3,"High",TRUE,"Very High")</f>
        <v>High</v>
      </c>
    </row>
    <row r="1045" spans="1:42" x14ac:dyDescent="0.25">
      <c r="A1045">
        <v>53</v>
      </c>
      <c r="B1045" t="s">
        <v>42</v>
      </c>
      <c r="C1045" t="s">
        <v>90</v>
      </c>
      <c r="D1045">
        <v>447</v>
      </c>
      <c r="E1045" t="s">
        <v>43</v>
      </c>
      <c r="F1045">
        <v>2</v>
      </c>
      <c r="G1045">
        <v>3</v>
      </c>
      <c r="H1045" t="s">
        <v>49</v>
      </c>
      <c r="I1045">
        <v>1</v>
      </c>
      <c r="J1045">
        <v>1472</v>
      </c>
      <c r="K1045">
        <v>4</v>
      </c>
      <c r="L1045" t="s">
        <v>44</v>
      </c>
      <c r="M1045">
        <v>39</v>
      </c>
      <c r="N1045">
        <v>4</v>
      </c>
      <c r="O1045">
        <v>4</v>
      </c>
      <c r="P1045" t="s">
        <v>56</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c r="AJ1045">
        <f t="shared" si="16"/>
        <v>0</v>
      </c>
      <c r="AK1045" t="str" cm="1">
        <f t="array" ref="AK1045">_xlfn.IFS(A1045&lt;=30,"18-30",A1045&lt;=45,"31-45",A1045&lt;=60,"46-60",TRUE, "60+")</f>
        <v>46-60</v>
      </c>
      <c r="AL1045" t="str" cm="1">
        <f t="array" ref="AL1045">_xlfn.IFS(F1045&lt;=10,"0-10",F1045&lt;=20,"11-20",TRUE,"20+")</f>
        <v>0-10</v>
      </c>
      <c r="AM1045" t="str" cm="1">
        <f t="array" ref="AM1045">_xlfn.IFS(S1045&lt;=5000,"0-5k",S1045&lt;=10000,"5k-10k",S1045&lt;=15000,"10k-15k",TRUE,"15k+")</f>
        <v>15k+</v>
      </c>
      <c r="AN1045" t="str" cm="1">
        <f t="array" ref="AN1045">_xlfn.IFS(AF1045&lt;=10,"0-10",AF1045&lt;=20,"10-20",AF1045&lt;=30,"20-30",TRUE,"30+")</f>
        <v>0-10</v>
      </c>
      <c r="AO1045" t="str" cm="1">
        <f t="array" ref="AO1045">_xlfn.IFS(Y1045=1,"Poor",Y1045=2,"Average",Y1045=3,"Good",TRUE,"Excellent")</f>
        <v>Good</v>
      </c>
      <c r="AP1045" t="str" cm="1">
        <f t="array" ref="AP1045">_xlfn.IFS(Q1045=1,"Low",Q1045=2,"Medium",Q1045=3,"High",TRUE,"Very High")</f>
        <v>Medium</v>
      </c>
    </row>
    <row r="1046" spans="1:42" x14ac:dyDescent="0.25">
      <c r="A1046">
        <v>49</v>
      </c>
      <c r="B1046" t="s">
        <v>42</v>
      </c>
      <c r="C1046" t="s">
        <v>90</v>
      </c>
      <c r="D1046">
        <v>1495</v>
      </c>
      <c r="E1046" t="s">
        <v>43</v>
      </c>
      <c r="F1046">
        <v>5</v>
      </c>
      <c r="G1046">
        <v>4</v>
      </c>
      <c r="H1046" t="s">
        <v>58</v>
      </c>
      <c r="I1046">
        <v>1</v>
      </c>
      <c r="J1046">
        <v>1473</v>
      </c>
      <c r="K1046">
        <v>1</v>
      </c>
      <c r="L1046" t="s">
        <v>44</v>
      </c>
      <c r="M1046">
        <v>96</v>
      </c>
      <c r="N1046">
        <v>3</v>
      </c>
      <c r="O1046">
        <v>2</v>
      </c>
      <c r="P1046" t="s">
        <v>52</v>
      </c>
      <c r="Q1046">
        <v>3</v>
      </c>
      <c r="R1046" t="s">
        <v>46</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c r="AJ1046">
        <f t="shared" si="16"/>
        <v>0</v>
      </c>
      <c r="AK1046" t="str" cm="1">
        <f t="array" ref="AK1046">_xlfn.IFS(A1046&lt;=30,"18-30",A1046&lt;=45,"31-45",A1046&lt;=60,"46-60",TRUE, "60+")</f>
        <v>46-60</v>
      </c>
      <c r="AL1046" t="str" cm="1">
        <f t="array" ref="AL1046">_xlfn.IFS(F1046&lt;=10,"0-10",F1046&lt;=20,"11-20",TRUE,"20+")</f>
        <v>0-10</v>
      </c>
      <c r="AM1046" t="str" cm="1">
        <f t="array" ref="AM1046">_xlfn.IFS(S1046&lt;=5000,"0-5k",S1046&lt;=10000,"5k-10k",S1046&lt;=15000,"10k-15k",TRUE,"15k+")</f>
        <v>5k-10k</v>
      </c>
      <c r="AN1046" t="str" cm="1">
        <f t="array" ref="AN1046">_xlfn.IFS(AF1046&lt;=10,"0-10",AF1046&lt;=20,"10-20",AF1046&lt;=30,"20-30",TRUE,"30+")</f>
        <v>0-10</v>
      </c>
      <c r="AO1046" t="str" cm="1">
        <f t="array" ref="AO1046">_xlfn.IFS(Y1046=1,"Poor",Y1046=2,"Average",Y1046=3,"Good",TRUE,"Excellent")</f>
        <v>Good</v>
      </c>
      <c r="AP1046" t="str" cm="1">
        <f t="array" ref="AP1046">_xlfn.IFS(Q1046=1,"Low",Q1046=2,"Medium",Q1046=3,"High",TRUE,"Very High")</f>
        <v>High</v>
      </c>
    </row>
    <row r="1047" spans="1:42" x14ac:dyDescent="0.25">
      <c r="A1047">
        <v>40</v>
      </c>
      <c r="B1047" t="s">
        <v>42</v>
      </c>
      <c r="C1047" t="s">
        <v>90</v>
      </c>
      <c r="D1047">
        <v>896</v>
      </c>
      <c r="E1047" t="s">
        <v>43</v>
      </c>
      <c r="F1047">
        <v>2</v>
      </c>
      <c r="G1047">
        <v>3</v>
      </c>
      <c r="H1047" t="s">
        <v>49</v>
      </c>
      <c r="I1047">
        <v>1</v>
      </c>
      <c r="J1047">
        <v>1474</v>
      </c>
      <c r="K1047">
        <v>3</v>
      </c>
      <c r="L1047" t="s">
        <v>44</v>
      </c>
      <c r="M1047">
        <v>68</v>
      </c>
      <c r="N1047">
        <v>3</v>
      </c>
      <c r="O1047">
        <v>1</v>
      </c>
      <c r="P1047" t="s">
        <v>45</v>
      </c>
      <c r="Q1047">
        <v>3</v>
      </c>
      <c r="R1047" t="s">
        <v>50</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c r="AJ1047">
        <f t="shared" si="16"/>
        <v>0</v>
      </c>
      <c r="AK1047" t="str" cm="1">
        <f t="array" ref="AK1047">_xlfn.IFS(A1047&lt;=30,"18-30",A1047&lt;=45,"31-45",A1047&lt;=60,"46-60",TRUE, "60+")</f>
        <v>31-45</v>
      </c>
      <c r="AL1047" t="str" cm="1">
        <f t="array" ref="AL1047">_xlfn.IFS(F1047&lt;=10,"0-10",F1047&lt;=20,"11-20",TRUE,"20+")</f>
        <v>0-10</v>
      </c>
      <c r="AM1047" t="str" cm="1">
        <f t="array" ref="AM1047">_xlfn.IFS(S1047&lt;=5000,"0-5k",S1047&lt;=10000,"5k-10k",S1047&lt;=15000,"10k-15k",TRUE,"15k+")</f>
        <v>0-5k</v>
      </c>
      <c r="AN1047" t="str" cm="1">
        <f t="array" ref="AN1047">_xlfn.IFS(AF1047&lt;=10,"0-10",AF1047&lt;=20,"10-20",AF1047&lt;=30,"20-30",TRUE,"30+")</f>
        <v>0-10</v>
      </c>
      <c r="AO1047" t="str" cm="1">
        <f t="array" ref="AO1047">_xlfn.IFS(Y1047=1,"Poor",Y1047=2,"Average",Y1047=3,"Good",TRUE,"Excellent")</f>
        <v>Good</v>
      </c>
      <c r="AP1047" t="str" cm="1">
        <f t="array" ref="AP1047">_xlfn.IFS(Q1047=1,"Low",Q1047=2,"Medium",Q1047=3,"High",TRUE,"Very High")</f>
        <v>High</v>
      </c>
    </row>
    <row r="1048" spans="1:42" x14ac:dyDescent="0.25">
      <c r="A1048">
        <v>44</v>
      </c>
      <c r="B1048" t="s">
        <v>42</v>
      </c>
      <c r="C1048" t="s">
        <v>90</v>
      </c>
      <c r="D1048">
        <v>1467</v>
      </c>
      <c r="E1048" t="s">
        <v>43</v>
      </c>
      <c r="F1048">
        <v>20</v>
      </c>
      <c r="G1048">
        <v>3</v>
      </c>
      <c r="H1048" t="s">
        <v>37</v>
      </c>
      <c r="I1048">
        <v>1</v>
      </c>
      <c r="J1048">
        <v>1475</v>
      </c>
      <c r="K1048">
        <v>4</v>
      </c>
      <c r="L1048" t="s">
        <v>44</v>
      </c>
      <c r="M1048">
        <v>49</v>
      </c>
      <c r="N1048">
        <v>3</v>
      </c>
      <c r="O1048">
        <v>1</v>
      </c>
      <c r="P1048" t="s">
        <v>45</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c r="AJ1048">
        <f t="shared" si="16"/>
        <v>0</v>
      </c>
      <c r="AK1048" t="str" cm="1">
        <f t="array" ref="AK1048">_xlfn.IFS(A1048&lt;=30,"18-30",A1048&lt;=45,"31-45",A1048&lt;=60,"46-60",TRUE, "60+")</f>
        <v>31-45</v>
      </c>
      <c r="AL1048" t="str" cm="1">
        <f t="array" ref="AL1048">_xlfn.IFS(F1048&lt;=10,"0-10",F1048&lt;=20,"11-20",TRUE,"20+")</f>
        <v>11-20</v>
      </c>
      <c r="AM1048" t="str" cm="1">
        <f t="array" ref="AM1048">_xlfn.IFS(S1048&lt;=5000,"0-5k",S1048&lt;=10000,"5k-10k",S1048&lt;=15000,"10k-15k",TRUE,"15k+")</f>
        <v>0-5k</v>
      </c>
      <c r="AN1048" t="str" cm="1">
        <f t="array" ref="AN1048">_xlfn.IFS(AF1048&lt;=10,"0-10",AF1048&lt;=20,"10-20",AF1048&lt;=30,"20-30",TRUE,"30+")</f>
        <v>0-10</v>
      </c>
      <c r="AO1048" t="str" cm="1">
        <f t="array" ref="AO1048">_xlfn.IFS(Y1048=1,"Poor",Y1048=2,"Average",Y1048=3,"Good",TRUE,"Excellent")</f>
        <v>Good</v>
      </c>
      <c r="AP1048" t="str" cm="1">
        <f t="array" ref="AP1048">_xlfn.IFS(Q1048=1,"Low",Q1048=2,"Medium",Q1048=3,"High",TRUE,"Very High")</f>
        <v>Medium</v>
      </c>
    </row>
    <row r="1049" spans="1:42" x14ac:dyDescent="0.25">
      <c r="A1049">
        <v>33</v>
      </c>
      <c r="B1049" t="s">
        <v>42</v>
      </c>
      <c r="C1049" t="s">
        <v>91</v>
      </c>
      <c r="D1049">
        <v>430</v>
      </c>
      <c r="E1049" t="s">
        <v>36</v>
      </c>
      <c r="F1049">
        <v>7</v>
      </c>
      <c r="G1049">
        <v>3</v>
      </c>
      <c r="H1049" t="s">
        <v>49</v>
      </c>
      <c r="I1049">
        <v>1</v>
      </c>
      <c r="J1049">
        <v>1477</v>
      </c>
      <c r="K1049">
        <v>4</v>
      </c>
      <c r="L1049" t="s">
        <v>44</v>
      </c>
      <c r="M1049">
        <v>54</v>
      </c>
      <c r="N1049">
        <v>3</v>
      </c>
      <c r="O1049">
        <v>2</v>
      </c>
      <c r="P1049" t="s">
        <v>39</v>
      </c>
      <c r="Q1049">
        <v>1</v>
      </c>
      <c r="R1049" t="s">
        <v>46</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c r="AJ1049">
        <f t="shared" si="16"/>
        <v>0</v>
      </c>
      <c r="AK1049" t="str" cm="1">
        <f t="array" ref="AK1049">_xlfn.IFS(A1049&lt;=30,"18-30",A1049&lt;=45,"31-45",A1049&lt;=60,"46-60",TRUE, "60+")</f>
        <v>31-45</v>
      </c>
      <c r="AL1049" t="str" cm="1">
        <f t="array" ref="AL1049">_xlfn.IFS(F1049&lt;=10,"0-10",F1049&lt;=20,"11-20",TRUE,"20+")</f>
        <v>0-10</v>
      </c>
      <c r="AM1049" t="str" cm="1">
        <f t="array" ref="AM1049">_xlfn.IFS(S1049&lt;=5000,"0-5k",S1049&lt;=10000,"5k-10k",S1049&lt;=15000,"10k-15k",TRUE,"15k+")</f>
        <v>0-5k</v>
      </c>
      <c r="AN1049" t="str" cm="1">
        <f t="array" ref="AN1049">_xlfn.IFS(AF1049&lt;=10,"0-10",AF1049&lt;=20,"10-20",AF1049&lt;=30,"20-30",TRUE,"30+")</f>
        <v>0-10</v>
      </c>
      <c r="AO1049" t="str" cm="1">
        <f t="array" ref="AO1049">_xlfn.IFS(Y1049=1,"Poor",Y1049=2,"Average",Y1049=3,"Good",TRUE,"Excellent")</f>
        <v>Good</v>
      </c>
      <c r="AP1049" t="str" cm="1">
        <f t="array" ref="AP1049">_xlfn.IFS(Q1049=1,"Low",Q1049=2,"Medium",Q1049=3,"High",TRUE,"Very High")</f>
        <v>Low</v>
      </c>
    </row>
    <row r="1050" spans="1:42" x14ac:dyDescent="0.25">
      <c r="A1050">
        <v>34</v>
      </c>
      <c r="B1050" t="s">
        <v>42</v>
      </c>
      <c r="C1050" t="s">
        <v>90</v>
      </c>
      <c r="D1050">
        <v>1326</v>
      </c>
      <c r="E1050" t="s">
        <v>36</v>
      </c>
      <c r="F1050">
        <v>3</v>
      </c>
      <c r="G1050">
        <v>3</v>
      </c>
      <c r="H1050" t="s">
        <v>47</v>
      </c>
      <c r="I1050">
        <v>1</v>
      </c>
      <c r="J1050">
        <v>1478</v>
      </c>
      <c r="K1050">
        <v>4</v>
      </c>
      <c r="L1050" t="s">
        <v>44</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c r="AJ1050">
        <f t="shared" si="16"/>
        <v>0</v>
      </c>
      <c r="AK1050" t="str" cm="1">
        <f t="array" ref="AK1050">_xlfn.IFS(A1050&lt;=30,"18-30",A1050&lt;=45,"31-45",A1050&lt;=60,"46-60",TRUE, "60+")</f>
        <v>31-45</v>
      </c>
      <c r="AL1050" t="str" cm="1">
        <f t="array" ref="AL1050">_xlfn.IFS(F1050&lt;=10,"0-10",F1050&lt;=20,"11-20",TRUE,"20+")</f>
        <v>0-10</v>
      </c>
      <c r="AM1050" t="str" cm="1">
        <f t="array" ref="AM1050">_xlfn.IFS(S1050&lt;=5000,"0-5k",S1050&lt;=10000,"5k-10k",S1050&lt;=15000,"10k-15k",TRUE,"15k+")</f>
        <v>0-5k</v>
      </c>
      <c r="AN1050" t="str" cm="1">
        <f t="array" ref="AN1050">_xlfn.IFS(AF1050&lt;=10,"0-10",AF1050&lt;=20,"10-20",AF1050&lt;=30,"20-30",TRUE,"30+")</f>
        <v>10-20</v>
      </c>
      <c r="AO1050" t="str" cm="1">
        <f t="array" ref="AO1050">_xlfn.IFS(Y1050=1,"Poor",Y1050=2,"Average",Y1050=3,"Good",TRUE,"Excellent")</f>
        <v>Good</v>
      </c>
      <c r="AP1050" t="str" cm="1">
        <f t="array" ref="AP1050">_xlfn.IFS(Q1050=1,"Low",Q1050=2,"Medium",Q1050=3,"High",TRUE,"Very High")</f>
        <v>Low</v>
      </c>
    </row>
    <row r="1051" spans="1:42" x14ac:dyDescent="0.25">
      <c r="A1051">
        <v>30</v>
      </c>
      <c r="B1051" t="s">
        <v>42</v>
      </c>
      <c r="C1051" t="s">
        <v>90</v>
      </c>
      <c r="D1051">
        <v>1358</v>
      </c>
      <c r="E1051" t="s">
        <v>36</v>
      </c>
      <c r="F1051">
        <v>16</v>
      </c>
      <c r="G1051">
        <v>1</v>
      </c>
      <c r="H1051" t="s">
        <v>37</v>
      </c>
      <c r="I1051">
        <v>1</v>
      </c>
      <c r="J1051">
        <v>1479</v>
      </c>
      <c r="K1051">
        <v>4</v>
      </c>
      <c r="L1051" t="s">
        <v>44</v>
      </c>
      <c r="M1051">
        <v>96</v>
      </c>
      <c r="N1051">
        <v>3</v>
      </c>
      <c r="O1051">
        <v>2</v>
      </c>
      <c r="P1051" t="s">
        <v>39</v>
      </c>
      <c r="Q1051">
        <v>3</v>
      </c>
      <c r="R1051" t="s">
        <v>46</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c r="AJ1051">
        <f t="shared" si="16"/>
        <v>0</v>
      </c>
      <c r="AK1051" t="str" cm="1">
        <f t="array" ref="AK1051">_xlfn.IFS(A1051&lt;=30,"18-30",A1051&lt;=45,"31-45",A1051&lt;=60,"46-60",TRUE, "60+")</f>
        <v>18-30</v>
      </c>
      <c r="AL1051" t="str" cm="1">
        <f t="array" ref="AL1051">_xlfn.IFS(F1051&lt;=10,"0-10",F1051&lt;=20,"11-20",TRUE,"20+")</f>
        <v>11-20</v>
      </c>
      <c r="AM1051" t="str" cm="1">
        <f t="array" ref="AM1051">_xlfn.IFS(S1051&lt;=5000,"0-5k",S1051&lt;=10000,"5k-10k",S1051&lt;=15000,"10k-15k",TRUE,"15k+")</f>
        <v>5k-10k</v>
      </c>
      <c r="AN1051" t="str" cm="1">
        <f t="array" ref="AN1051">_xlfn.IFS(AF1051&lt;=10,"0-10",AF1051&lt;=20,"10-20",AF1051&lt;=30,"20-30",TRUE,"30+")</f>
        <v>0-10</v>
      </c>
      <c r="AO1051" t="str" cm="1">
        <f t="array" ref="AO1051">_xlfn.IFS(Y1051=1,"Poor",Y1051=2,"Average",Y1051=3,"Good",TRUE,"Excellent")</f>
        <v>Good</v>
      </c>
      <c r="AP1051" t="str" cm="1">
        <f t="array" ref="AP1051">_xlfn.IFS(Q1051=1,"Low",Q1051=2,"Medium",Q1051=3,"High",TRUE,"Very High")</f>
        <v>High</v>
      </c>
    </row>
    <row r="1052" spans="1:42" x14ac:dyDescent="0.25">
      <c r="A1052">
        <v>42</v>
      </c>
      <c r="B1052" t="s">
        <v>42</v>
      </c>
      <c r="C1052" t="s">
        <v>91</v>
      </c>
      <c r="D1052">
        <v>748</v>
      </c>
      <c r="E1052" t="s">
        <v>43</v>
      </c>
      <c r="F1052">
        <v>9</v>
      </c>
      <c r="G1052">
        <v>2</v>
      </c>
      <c r="H1052" t="s">
        <v>49</v>
      </c>
      <c r="I1052">
        <v>1</v>
      </c>
      <c r="J1052">
        <v>1480</v>
      </c>
      <c r="K1052">
        <v>1</v>
      </c>
      <c r="L1052" t="s">
        <v>38</v>
      </c>
      <c r="M1052">
        <v>74</v>
      </c>
      <c r="N1052">
        <v>3</v>
      </c>
      <c r="O1052">
        <v>1</v>
      </c>
      <c r="P1052" t="s">
        <v>48</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c r="AJ1052">
        <f t="shared" si="16"/>
        <v>0</v>
      </c>
      <c r="AK1052" t="str" cm="1">
        <f t="array" ref="AK1052">_xlfn.IFS(A1052&lt;=30,"18-30",A1052&lt;=45,"31-45",A1052&lt;=60,"46-60",TRUE, "60+")</f>
        <v>31-45</v>
      </c>
      <c r="AL1052" t="str" cm="1">
        <f t="array" ref="AL1052">_xlfn.IFS(F1052&lt;=10,"0-10",F1052&lt;=20,"11-20",TRUE,"20+")</f>
        <v>0-10</v>
      </c>
      <c r="AM1052" t="str" cm="1">
        <f t="array" ref="AM1052">_xlfn.IFS(S1052&lt;=5000,"0-5k",S1052&lt;=10000,"5k-10k",S1052&lt;=15000,"10k-15k",TRUE,"15k+")</f>
        <v>0-5k</v>
      </c>
      <c r="AN1052" t="str" cm="1">
        <f t="array" ref="AN1052">_xlfn.IFS(AF1052&lt;=10,"0-10",AF1052&lt;=20,"10-20",AF1052&lt;=30,"20-30",TRUE,"30+")</f>
        <v>10-20</v>
      </c>
      <c r="AO1052" t="str" cm="1">
        <f t="array" ref="AO1052">_xlfn.IFS(Y1052=1,"Poor",Y1052=2,"Average",Y1052=3,"Good",TRUE,"Excellent")</f>
        <v>Good</v>
      </c>
      <c r="AP1052" t="str" cm="1">
        <f t="array" ref="AP1052">_xlfn.IFS(Q1052=1,"Low",Q1052=2,"Medium",Q1052=3,"High",TRUE,"Very High")</f>
        <v>Very High</v>
      </c>
    </row>
    <row r="1053" spans="1:42" x14ac:dyDescent="0.25">
      <c r="A1053">
        <v>44</v>
      </c>
      <c r="B1053" t="s">
        <v>42</v>
      </c>
      <c r="C1053" t="s">
        <v>91</v>
      </c>
      <c r="D1053">
        <v>383</v>
      </c>
      <c r="E1053" t="s">
        <v>36</v>
      </c>
      <c r="F1053">
        <v>1</v>
      </c>
      <c r="G1053">
        <v>5</v>
      </c>
      <c r="H1053" t="s">
        <v>57</v>
      </c>
      <c r="I1053">
        <v>1</v>
      </c>
      <c r="J1053">
        <v>1481</v>
      </c>
      <c r="K1053">
        <v>1</v>
      </c>
      <c r="L1053" t="s">
        <v>38</v>
      </c>
      <c r="M1053">
        <v>79</v>
      </c>
      <c r="N1053">
        <v>3</v>
      </c>
      <c r="O1053">
        <v>2</v>
      </c>
      <c r="P1053" t="s">
        <v>39</v>
      </c>
      <c r="Q1053">
        <v>3</v>
      </c>
      <c r="R1053" t="s">
        <v>46</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c r="AJ1053">
        <f t="shared" si="16"/>
        <v>0</v>
      </c>
      <c r="AK1053" t="str" cm="1">
        <f t="array" ref="AK1053">_xlfn.IFS(A1053&lt;=30,"18-30",A1053&lt;=45,"31-45",A1053&lt;=60,"46-60",TRUE, "60+")</f>
        <v>31-45</v>
      </c>
      <c r="AL1053" t="str" cm="1">
        <f t="array" ref="AL1053">_xlfn.IFS(F1053&lt;=10,"0-10",F1053&lt;=20,"11-20",TRUE,"20+")</f>
        <v>0-10</v>
      </c>
      <c r="AM1053" t="str" cm="1">
        <f t="array" ref="AM1053">_xlfn.IFS(S1053&lt;=5000,"0-5k",S1053&lt;=10000,"5k-10k",S1053&lt;=15000,"10k-15k",TRUE,"15k+")</f>
        <v>0-5k</v>
      </c>
      <c r="AN1053" t="str" cm="1">
        <f t="array" ref="AN1053">_xlfn.IFS(AF1053&lt;=10,"0-10",AF1053&lt;=20,"10-20",AF1053&lt;=30,"20-30",TRUE,"30+")</f>
        <v>0-10</v>
      </c>
      <c r="AO1053" t="str" cm="1">
        <f t="array" ref="AO1053">_xlfn.IFS(Y1053=1,"Poor",Y1053=2,"Average",Y1053=3,"Good",TRUE,"Excellent")</f>
        <v>Good</v>
      </c>
      <c r="AP1053" t="str" cm="1">
        <f t="array" ref="AP1053">_xlfn.IFS(Q1053=1,"Low",Q1053=2,"Medium",Q1053=3,"High",TRUE,"Very High")</f>
        <v>High</v>
      </c>
    </row>
    <row r="1054" spans="1:42" x14ac:dyDescent="0.25">
      <c r="A1054">
        <v>30</v>
      </c>
      <c r="B1054" t="s">
        <v>42</v>
      </c>
      <c r="C1054" t="s">
        <v>53</v>
      </c>
      <c r="D1054">
        <v>990</v>
      </c>
      <c r="E1054" t="s">
        <v>43</v>
      </c>
      <c r="F1054">
        <v>7</v>
      </c>
      <c r="G1054">
        <v>3</v>
      </c>
      <c r="H1054" t="s">
        <v>58</v>
      </c>
      <c r="I1054">
        <v>1</v>
      </c>
      <c r="J1054">
        <v>1482</v>
      </c>
      <c r="K1054">
        <v>3</v>
      </c>
      <c r="L1054" t="s">
        <v>44</v>
      </c>
      <c r="M1054">
        <v>64</v>
      </c>
      <c r="N1054">
        <v>3</v>
      </c>
      <c r="O1054">
        <v>1</v>
      </c>
      <c r="P1054" t="s">
        <v>45</v>
      </c>
      <c r="Q1054">
        <v>3</v>
      </c>
      <c r="R1054" t="s">
        <v>50</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c r="AJ1054">
        <f t="shared" si="16"/>
        <v>0</v>
      </c>
      <c r="AK1054" t="str" cm="1">
        <f t="array" ref="AK1054">_xlfn.IFS(A1054&lt;=30,"18-30",A1054&lt;=45,"31-45",A1054&lt;=60,"46-60",TRUE, "60+")</f>
        <v>18-30</v>
      </c>
      <c r="AL1054" t="str" cm="1">
        <f t="array" ref="AL1054">_xlfn.IFS(F1054&lt;=10,"0-10",F1054&lt;=20,"11-20",TRUE,"20+")</f>
        <v>0-10</v>
      </c>
      <c r="AM1054" t="str" cm="1">
        <f t="array" ref="AM1054">_xlfn.IFS(S1054&lt;=5000,"0-5k",S1054&lt;=10000,"5k-10k",S1054&lt;=15000,"10k-15k",TRUE,"15k+")</f>
        <v>0-5k</v>
      </c>
      <c r="AN1054" t="str" cm="1">
        <f t="array" ref="AN1054">_xlfn.IFS(AF1054&lt;=10,"0-10",AF1054&lt;=20,"10-20",AF1054&lt;=30,"20-30",TRUE,"30+")</f>
        <v>0-10</v>
      </c>
      <c r="AO1054" t="str" cm="1">
        <f t="array" ref="AO1054">_xlfn.IFS(Y1054=1,"Poor",Y1054=2,"Average",Y1054=3,"Good",TRUE,"Excellent")</f>
        <v>Good</v>
      </c>
      <c r="AP1054" t="str" cm="1">
        <f t="array" ref="AP1054">_xlfn.IFS(Q1054=1,"Low",Q1054=2,"Medium",Q1054=3,"High",TRUE,"Very High")</f>
        <v>High</v>
      </c>
    </row>
    <row r="1055" spans="1:42" x14ac:dyDescent="0.25">
      <c r="A1055">
        <v>57</v>
      </c>
      <c r="B1055" t="s">
        <v>42</v>
      </c>
      <c r="C1055" t="s">
        <v>90</v>
      </c>
      <c r="D1055">
        <v>405</v>
      </c>
      <c r="E1055" t="s">
        <v>43</v>
      </c>
      <c r="F1055">
        <v>1</v>
      </c>
      <c r="G1055">
        <v>2</v>
      </c>
      <c r="H1055" t="s">
        <v>37</v>
      </c>
      <c r="I1055">
        <v>1</v>
      </c>
      <c r="J1055">
        <v>1483</v>
      </c>
      <c r="K1055">
        <v>2</v>
      </c>
      <c r="L1055" t="s">
        <v>44</v>
      </c>
      <c r="M1055">
        <v>93</v>
      </c>
      <c r="N1055">
        <v>4</v>
      </c>
      <c r="O1055">
        <v>2</v>
      </c>
      <c r="P1055" t="s">
        <v>45</v>
      </c>
      <c r="Q1055">
        <v>3</v>
      </c>
      <c r="R1055" t="s">
        <v>46</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c r="AJ1055">
        <f t="shared" si="16"/>
        <v>0</v>
      </c>
      <c r="AK1055" t="str" cm="1">
        <f t="array" ref="AK1055">_xlfn.IFS(A1055&lt;=30,"18-30",A1055&lt;=45,"31-45",A1055&lt;=60,"46-60",TRUE, "60+")</f>
        <v>46-60</v>
      </c>
      <c r="AL1055" t="str" cm="1">
        <f t="array" ref="AL1055">_xlfn.IFS(F1055&lt;=10,"0-10",F1055&lt;=20,"11-20",TRUE,"20+")</f>
        <v>0-10</v>
      </c>
      <c r="AM1055" t="str" cm="1">
        <f t="array" ref="AM1055">_xlfn.IFS(S1055&lt;=5000,"0-5k",S1055&lt;=10000,"5k-10k",S1055&lt;=15000,"10k-15k",TRUE,"15k+")</f>
        <v>0-5k</v>
      </c>
      <c r="AN1055" t="str" cm="1">
        <f t="array" ref="AN1055">_xlfn.IFS(AF1055&lt;=10,"0-10",AF1055&lt;=20,"10-20",AF1055&lt;=30,"20-30",TRUE,"30+")</f>
        <v>10-20</v>
      </c>
      <c r="AO1055" t="str" cm="1">
        <f t="array" ref="AO1055">_xlfn.IFS(Y1055=1,"Poor",Y1055=2,"Average",Y1055=3,"Good",TRUE,"Excellent")</f>
        <v>Excellent</v>
      </c>
      <c r="AP1055" t="str" cm="1">
        <f t="array" ref="AP1055">_xlfn.IFS(Q1055=1,"Low",Q1055=2,"Medium",Q1055=3,"High",TRUE,"Very High")</f>
        <v>High</v>
      </c>
    </row>
    <row r="1056" spans="1:42" x14ac:dyDescent="0.25">
      <c r="A1056">
        <v>49</v>
      </c>
      <c r="B1056" t="s">
        <v>42</v>
      </c>
      <c r="C1056" t="s">
        <v>90</v>
      </c>
      <c r="D1056">
        <v>1490</v>
      </c>
      <c r="E1056" t="s">
        <v>43</v>
      </c>
      <c r="F1056">
        <v>7</v>
      </c>
      <c r="G1056">
        <v>4</v>
      </c>
      <c r="H1056" t="s">
        <v>37</v>
      </c>
      <c r="I1056">
        <v>1</v>
      </c>
      <c r="J1056">
        <v>1484</v>
      </c>
      <c r="K1056">
        <v>3</v>
      </c>
      <c r="L1056" t="s">
        <v>44</v>
      </c>
      <c r="M1056">
        <v>35</v>
      </c>
      <c r="N1056">
        <v>3</v>
      </c>
      <c r="O1056">
        <v>3</v>
      </c>
      <c r="P1056" t="s">
        <v>52</v>
      </c>
      <c r="Q1056">
        <v>2</v>
      </c>
      <c r="R1056" t="s">
        <v>50</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c r="AJ1056">
        <f t="shared" si="16"/>
        <v>0</v>
      </c>
      <c r="AK1056" t="str" cm="1">
        <f t="array" ref="AK1056">_xlfn.IFS(A1056&lt;=30,"18-30",A1056&lt;=45,"31-45",A1056&lt;=60,"46-60",TRUE, "60+")</f>
        <v>46-60</v>
      </c>
      <c r="AL1056" t="str" cm="1">
        <f t="array" ref="AL1056">_xlfn.IFS(F1056&lt;=10,"0-10",F1056&lt;=20,"11-20",TRUE,"20+")</f>
        <v>0-10</v>
      </c>
      <c r="AM1056" t="str" cm="1">
        <f t="array" ref="AM1056">_xlfn.IFS(S1056&lt;=5000,"0-5k",S1056&lt;=10000,"5k-10k",S1056&lt;=15000,"10k-15k",TRUE,"15k+")</f>
        <v>10k-15k</v>
      </c>
      <c r="AN1056" t="str" cm="1">
        <f t="array" ref="AN1056">_xlfn.IFS(AF1056&lt;=10,"0-10",AF1056&lt;=20,"10-20",AF1056&lt;=30,"20-30",TRUE,"30+")</f>
        <v>0-10</v>
      </c>
      <c r="AO1056" t="str" cm="1">
        <f t="array" ref="AO1056">_xlfn.IFS(Y1056=1,"Poor",Y1056=2,"Average",Y1056=3,"Good",TRUE,"Excellent")</f>
        <v>Good</v>
      </c>
      <c r="AP1056" t="str" cm="1">
        <f t="array" ref="AP1056">_xlfn.IFS(Q1056=1,"Low",Q1056=2,"Medium",Q1056=3,"High",TRUE,"Very High")</f>
        <v>Medium</v>
      </c>
    </row>
    <row r="1057" spans="1:42" x14ac:dyDescent="0.25">
      <c r="A1057">
        <v>34</v>
      </c>
      <c r="B1057" t="s">
        <v>42</v>
      </c>
      <c r="C1057" t="s">
        <v>91</v>
      </c>
      <c r="D1057">
        <v>829</v>
      </c>
      <c r="E1057" t="s">
        <v>43</v>
      </c>
      <c r="F1057">
        <v>15</v>
      </c>
      <c r="G1057">
        <v>3</v>
      </c>
      <c r="H1057" t="s">
        <v>49</v>
      </c>
      <c r="I1057">
        <v>1</v>
      </c>
      <c r="J1057">
        <v>1485</v>
      </c>
      <c r="K1057">
        <v>2</v>
      </c>
      <c r="L1057" t="s">
        <v>44</v>
      </c>
      <c r="M1057">
        <v>71</v>
      </c>
      <c r="N1057">
        <v>3</v>
      </c>
      <c r="O1057">
        <v>4</v>
      </c>
      <c r="P1057" t="s">
        <v>56</v>
      </c>
      <c r="Q1057">
        <v>1</v>
      </c>
      <c r="R1057" t="s">
        <v>50</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c r="AJ1057">
        <f t="shared" si="16"/>
        <v>0</v>
      </c>
      <c r="AK1057" t="str" cm="1">
        <f t="array" ref="AK1057">_xlfn.IFS(A1057&lt;=30,"18-30",A1057&lt;=45,"31-45",A1057&lt;=60,"46-60",TRUE, "60+")</f>
        <v>31-45</v>
      </c>
      <c r="AL1057" t="str" cm="1">
        <f t="array" ref="AL1057">_xlfn.IFS(F1057&lt;=10,"0-10",F1057&lt;=20,"11-20",TRUE,"20+")</f>
        <v>11-20</v>
      </c>
      <c r="AM1057" t="str" cm="1">
        <f t="array" ref="AM1057">_xlfn.IFS(S1057&lt;=5000,"0-5k",S1057&lt;=10000,"5k-10k",S1057&lt;=15000,"10k-15k",TRUE,"15k+")</f>
        <v>15k+</v>
      </c>
      <c r="AN1057" t="str" cm="1">
        <f t="array" ref="AN1057">_xlfn.IFS(AF1057&lt;=10,"0-10",AF1057&lt;=20,"10-20",AF1057&lt;=30,"20-30",TRUE,"30+")</f>
        <v>10-20</v>
      </c>
      <c r="AO1057" t="str" cm="1">
        <f t="array" ref="AO1057">_xlfn.IFS(Y1057=1,"Poor",Y1057=2,"Average",Y1057=3,"Good",TRUE,"Excellent")</f>
        <v>Good</v>
      </c>
      <c r="AP1057" t="str" cm="1">
        <f t="array" ref="AP1057">_xlfn.IFS(Q1057=1,"Low",Q1057=2,"Medium",Q1057=3,"High",TRUE,"Very High")</f>
        <v>Low</v>
      </c>
    </row>
    <row r="1058" spans="1:42" x14ac:dyDescent="0.25">
      <c r="A1058">
        <v>28</v>
      </c>
      <c r="B1058" t="s">
        <v>35</v>
      </c>
      <c r="C1058" t="s">
        <v>91</v>
      </c>
      <c r="D1058">
        <v>1496</v>
      </c>
      <c r="E1058" t="s">
        <v>36</v>
      </c>
      <c r="F1058">
        <v>1</v>
      </c>
      <c r="G1058">
        <v>3</v>
      </c>
      <c r="H1058" t="s">
        <v>58</v>
      </c>
      <c r="I1058">
        <v>1</v>
      </c>
      <c r="J1058">
        <v>1486</v>
      </c>
      <c r="K1058">
        <v>1</v>
      </c>
      <c r="L1058" t="s">
        <v>44</v>
      </c>
      <c r="M1058">
        <v>92</v>
      </c>
      <c r="N1058">
        <v>3</v>
      </c>
      <c r="O1058">
        <v>1</v>
      </c>
      <c r="P1058" t="s">
        <v>55</v>
      </c>
      <c r="Q1058">
        <v>3</v>
      </c>
      <c r="R1058" t="s">
        <v>46</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c r="AJ1058">
        <f t="shared" si="16"/>
        <v>1</v>
      </c>
      <c r="AK1058" t="str" cm="1">
        <f t="array" ref="AK1058">_xlfn.IFS(A1058&lt;=30,"18-30",A1058&lt;=45,"31-45",A1058&lt;=60,"46-60",TRUE, "60+")</f>
        <v>18-30</v>
      </c>
      <c r="AL1058" t="str" cm="1">
        <f t="array" ref="AL1058">_xlfn.IFS(F1058&lt;=10,"0-10",F1058&lt;=20,"11-20",TRUE,"20+")</f>
        <v>0-10</v>
      </c>
      <c r="AM1058" t="str" cm="1">
        <f t="array" ref="AM1058">_xlfn.IFS(S1058&lt;=5000,"0-5k",S1058&lt;=10000,"5k-10k",S1058&lt;=15000,"10k-15k",TRUE,"15k+")</f>
        <v>0-5k</v>
      </c>
      <c r="AN1058" t="str" cm="1">
        <f t="array" ref="AN1058">_xlfn.IFS(AF1058&lt;=10,"0-10",AF1058&lt;=20,"10-20",AF1058&lt;=30,"20-30",TRUE,"30+")</f>
        <v>0-10</v>
      </c>
      <c r="AO1058" t="str" cm="1">
        <f t="array" ref="AO1058">_xlfn.IFS(Y1058=1,"Poor",Y1058=2,"Average",Y1058=3,"Good",TRUE,"Excellent")</f>
        <v>Good</v>
      </c>
      <c r="AP1058" t="str" cm="1">
        <f t="array" ref="AP1058">_xlfn.IFS(Q1058=1,"Low",Q1058=2,"Medium",Q1058=3,"High",TRUE,"Very High")</f>
        <v>High</v>
      </c>
    </row>
    <row r="1059" spans="1:42" x14ac:dyDescent="0.25">
      <c r="A1059">
        <v>29</v>
      </c>
      <c r="B1059" t="s">
        <v>35</v>
      </c>
      <c r="C1059" t="s">
        <v>91</v>
      </c>
      <c r="D1059">
        <v>115</v>
      </c>
      <c r="E1059" t="s">
        <v>36</v>
      </c>
      <c r="F1059">
        <v>13</v>
      </c>
      <c r="G1059">
        <v>3</v>
      </c>
      <c r="H1059" t="s">
        <v>58</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c r="AJ1059">
        <f t="shared" si="16"/>
        <v>1</v>
      </c>
      <c r="AK1059" t="str" cm="1">
        <f t="array" ref="AK1059">_xlfn.IFS(A1059&lt;=30,"18-30",A1059&lt;=45,"31-45",A1059&lt;=60,"46-60",TRUE, "60+")</f>
        <v>18-30</v>
      </c>
      <c r="AL1059" t="str" cm="1">
        <f t="array" ref="AL1059">_xlfn.IFS(F1059&lt;=10,"0-10",F1059&lt;=20,"11-20",TRUE,"20+")</f>
        <v>11-20</v>
      </c>
      <c r="AM1059" t="str" cm="1">
        <f t="array" ref="AM1059">_xlfn.IFS(S1059&lt;=5000,"0-5k",S1059&lt;=10000,"5k-10k",S1059&lt;=15000,"10k-15k",TRUE,"15k+")</f>
        <v>5k-10k</v>
      </c>
      <c r="AN1059" t="str" cm="1">
        <f t="array" ref="AN1059">_xlfn.IFS(AF1059&lt;=10,"0-10",AF1059&lt;=20,"10-20",AF1059&lt;=30,"20-30",TRUE,"30+")</f>
        <v>0-10</v>
      </c>
      <c r="AO1059" t="str" cm="1">
        <f t="array" ref="AO1059">_xlfn.IFS(Y1059=1,"Poor",Y1059=2,"Average",Y1059=3,"Good",TRUE,"Excellent")</f>
        <v>Good</v>
      </c>
      <c r="AP1059" t="str" cm="1">
        <f t="array" ref="AP1059">_xlfn.IFS(Q1059=1,"Low",Q1059=2,"Medium",Q1059=3,"High",TRUE,"Very High")</f>
        <v>Medium</v>
      </c>
    </row>
    <row r="1060" spans="1:42" x14ac:dyDescent="0.25">
      <c r="A1060">
        <v>34</v>
      </c>
      <c r="B1060" t="s">
        <v>35</v>
      </c>
      <c r="C1060" t="s">
        <v>90</v>
      </c>
      <c r="D1060">
        <v>790</v>
      </c>
      <c r="E1060" t="s">
        <v>36</v>
      </c>
      <c r="F1060">
        <v>24</v>
      </c>
      <c r="G1060">
        <v>4</v>
      </c>
      <c r="H1060" t="s">
        <v>49</v>
      </c>
      <c r="I1060">
        <v>1</v>
      </c>
      <c r="J1060">
        <v>1489</v>
      </c>
      <c r="K1060">
        <v>1</v>
      </c>
      <c r="L1060" t="s">
        <v>38</v>
      </c>
      <c r="M1060">
        <v>40</v>
      </c>
      <c r="N1060">
        <v>2</v>
      </c>
      <c r="O1060">
        <v>2</v>
      </c>
      <c r="P1060" t="s">
        <v>39</v>
      </c>
      <c r="Q1060">
        <v>2</v>
      </c>
      <c r="R1060" t="s">
        <v>40</v>
      </c>
      <c r="S1060">
        <v>4599</v>
      </c>
      <c r="T1060">
        <v>7815</v>
      </c>
      <c r="U1060">
        <v>0</v>
      </c>
      <c r="V1060" t="s">
        <v>41</v>
      </c>
      <c r="W1060" t="s">
        <v>35</v>
      </c>
      <c r="X1060">
        <v>23</v>
      </c>
      <c r="Y1060">
        <v>4</v>
      </c>
      <c r="Z1060">
        <v>3</v>
      </c>
      <c r="AA1060">
        <v>80</v>
      </c>
      <c r="AB1060">
        <v>0</v>
      </c>
      <c r="AC1060">
        <v>16</v>
      </c>
      <c r="AD1060">
        <v>2</v>
      </c>
      <c r="AE1060">
        <v>4</v>
      </c>
      <c r="AF1060">
        <v>15</v>
      </c>
      <c r="AG1060">
        <v>9</v>
      </c>
      <c r="AH1060">
        <v>10</v>
      </c>
      <c r="AI1060">
        <v>10</v>
      </c>
      <c r="AJ1060">
        <f t="shared" si="16"/>
        <v>1</v>
      </c>
      <c r="AK1060" t="str" cm="1">
        <f t="array" ref="AK1060">_xlfn.IFS(A1060&lt;=30,"18-30",A1060&lt;=45,"31-45",A1060&lt;=60,"46-60",TRUE, "60+")</f>
        <v>31-45</v>
      </c>
      <c r="AL1060" t="str" cm="1">
        <f t="array" ref="AL1060">_xlfn.IFS(F1060&lt;=10,"0-10",F1060&lt;=20,"11-20",TRUE,"20+")</f>
        <v>20+</v>
      </c>
      <c r="AM1060" t="str" cm="1">
        <f t="array" ref="AM1060">_xlfn.IFS(S1060&lt;=5000,"0-5k",S1060&lt;=10000,"5k-10k",S1060&lt;=15000,"10k-15k",TRUE,"15k+")</f>
        <v>0-5k</v>
      </c>
      <c r="AN1060" t="str" cm="1">
        <f t="array" ref="AN1060">_xlfn.IFS(AF1060&lt;=10,"0-10",AF1060&lt;=20,"10-20",AF1060&lt;=30,"20-30",TRUE,"30+")</f>
        <v>10-20</v>
      </c>
      <c r="AO1060" t="str" cm="1">
        <f t="array" ref="AO1060">_xlfn.IFS(Y1060=1,"Poor",Y1060=2,"Average",Y1060=3,"Good",TRUE,"Excellent")</f>
        <v>Excellent</v>
      </c>
      <c r="AP1060" t="str" cm="1">
        <f t="array" ref="AP1060">_xlfn.IFS(Q1060=1,"Low",Q1060=2,"Medium",Q1060=3,"High",TRUE,"Very High")</f>
        <v>Medium</v>
      </c>
    </row>
    <row r="1061" spans="1:42" x14ac:dyDescent="0.25">
      <c r="A1061">
        <v>35</v>
      </c>
      <c r="B1061" t="s">
        <v>42</v>
      </c>
      <c r="C1061" t="s">
        <v>90</v>
      </c>
      <c r="D1061">
        <v>660</v>
      </c>
      <c r="E1061" t="s">
        <v>36</v>
      </c>
      <c r="F1061">
        <v>7</v>
      </c>
      <c r="G1061">
        <v>1</v>
      </c>
      <c r="H1061" t="s">
        <v>37</v>
      </c>
      <c r="I1061">
        <v>1</v>
      </c>
      <c r="J1061">
        <v>1492</v>
      </c>
      <c r="K1061">
        <v>4</v>
      </c>
      <c r="L1061" t="s">
        <v>44</v>
      </c>
      <c r="M1061">
        <v>76</v>
      </c>
      <c r="N1061">
        <v>3</v>
      </c>
      <c r="O1061">
        <v>1</v>
      </c>
      <c r="P1061" t="s">
        <v>55</v>
      </c>
      <c r="Q1061">
        <v>3</v>
      </c>
      <c r="R1061" t="s">
        <v>46</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c r="AJ1061">
        <f t="shared" si="16"/>
        <v>0</v>
      </c>
      <c r="AK1061" t="str" cm="1">
        <f t="array" ref="AK1061">_xlfn.IFS(A1061&lt;=30,"18-30",A1061&lt;=45,"31-45",A1061&lt;=60,"46-60",TRUE, "60+")</f>
        <v>31-45</v>
      </c>
      <c r="AL1061" t="str" cm="1">
        <f t="array" ref="AL1061">_xlfn.IFS(F1061&lt;=10,"0-10",F1061&lt;=20,"11-20",TRUE,"20+")</f>
        <v>0-10</v>
      </c>
      <c r="AM1061" t="str" cm="1">
        <f t="array" ref="AM1061">_xlfn.IFS(S1061&lt;=5000,"0-5k",S1061&lt;=10000,"5k-10k",S1061&lt;=15000,"10k-15k",TRUE,"15k+")</f>
        <v>0-5k</v>
      </c>
      <c r="AN1061" t="str" cm="1">
        <f t="array" ref="AN1061">_xlfn.IFS(AF1061&lt;=10,"0-10",AF1061&lt;=20,"10-20",AF1061&lt;=30,"20-30",TRUE,"30+")</f>
        <v>0-10</v>
      </c>
      <c r="AO1061" t="str" cm="1">
        <f t="array" ref="AO1061">_xlfn.IFS(Y1061=1,"Poor",Y1061=2,"Average",Y1061=3,"Good",TRUE,"Excellent")</f>
        <v>Good</v>
      </c>
      <c r="AP1061" t="str" cm="1">
        <f t="array" ref="AP1061">_xlfn.IFS(Q1061=1,"Low",Q1061=2,"Medium",Q1061=3,"High",TRUE,"Very High")</f>
        <v>High</v>
      </c>
    </row>
    <row r="1062" spans="1:42" x14ac:dyDescent="0.25">
      <c r="A1062">
        <v>24</v>
      </c>
      <c r="B1062" t="s">
        <v>35</v>
      </c>
      <c r="C1062" t="s">
        <v>91</v>
      </c>
      <c r="D1062">
        <v>381</v>
      </c>
      <c r="E1062" t="s">
        <v>43</v>
      </c>
      <c r="F1062">
        <v>9</v>
      </c>
      <c r="G1062">
        <v>3</v>
      </c>
      <c r="H1062" t="s">
        <v>49</v>
      </c>
      <c r="I1062">
        <v>1</v>
      </c>
      <c r="J1062">
        <v>1494</v>
      </c>
      <c r="K1062">
        <v>2</v>
      </c>
      <c r="L1062" t="s">
        <v>44</v>
      </c>
      <c r="M1062">
        <v>89</v>
      </c>
      <c r="N1062">
        <v>3</v>
      </c>
      <c r="O1062">
        <v>1</v>
      </c>
      <c r="P1062" t="s">
        <v>48</v>
      </c>
      <c r="Q1062">
        <v>1</v>
      </c>
      <c r="R1062" t="s">
        <v>40</v>
      </c>
      <c r="S1062">
        <v>3172</v>
      </c>
      <c r="T1062">
        <v>16998</v>
      </c>
      <c r="U1062">
        <v>2</v>
      </c>
      <c r="V1062" t="s">
        <v>41</v>
      </c>
      <c r="W1062" t="s">
        <v>35</v>
      </c>
      <c r="X1062">
        <v>11</v>
      </c>
      <c r="Y1062">
        <v>3</v>
      </c>
      <c r="Z1062">
        <v>3</v>
      </c>
      <c r="AA1062">
        <v>80</v>
      </c>
      <c r="AB1062">
        <v>0</v>
      </c>
      <c r="AC1062">
        <v>4</v>
      </c>
      <c r="AD1062">
        <v>2</v>
      </c>
      <c r="AE1062">
        <v>2</v>
      </c>
      <c r="AF1062">
        <v>0</v>
      </c>
      <c r="AG1062">
        <v>0</v>
      </c>
      <c r="AH1062">
        <v>0</v>
      </c>
      <c r="AI1062">
        <v>0</v>
      </c>
      <c r="AJ1062">
        <f t="shared" si="16"/>
        <v>1</v>
      </c>
      <c r="AK1062" t="str" cm="1">
        <f t="array" ref="AK1062">_xlfn.IFS(A1062&lt;=30,"18-30",A1062&lt;=45,"31-45",A1062&lt;=60,"46-60",TRUE, "60+")</f>
        <v>18-30</v>
      </c>
      <c r="AL1062" t="str" cm="1">
        <f t="array" ref="AL1062">_xlfn.IFS(F1062&lt;=10,"0-10",F1062&lt;=20,"11-20",TRUE,"20+")</f>
        <v>0-10</v>
      </c>
      <c r="AM1062" t="str" cm="1">
        <f t="array" ref="AM1062">_xlfn.IFS(S1062&lt;=5000,"0-5k",S1062&lt;=10000,"5k-10k",S1062&lt;=15000,"10k-15k",TRUE,"15k+")</f>
        <v>0-5k</v>
      </c>
      <c r="AN1062" t="str" cm="1">
        <f t="array" ref="AN1062">_xlfn.IFS(AF1062&lt;=10,"0-10",AF1062&lt;=20,"10-20",AF1062&lt;=30,"20-30",TRUE,"30+")</f>
        <v>0-10</v>
      </c>
      <c r="AO1062" t="str" cm="1">
        <f t="array" ref="AO1062">_xlfn.IFS(Y1062=1,"Poor",Y1062=2,"Average",Y1062=3,"Good",TRUE,"Excellent")</f>
        <v>Good</v>
      </c>
      <c r="AP1062" t="str" cm="1">
        <f t="array" ref="AP1062">_xlfn.IFS(Q1062=1,"Low",Q1062=2,"Medium",Q1062=3,"High",TRUE,"Very High")</f>
        <v>Low</v>
      </c>
    </row>
    <row r="1063" spans="1:42" x14ac:dyDescent="0.25">
      <c r="A1063">
        <v>24</v>
      </c>
      <c r="B1063" t="s">
        <v>42</v>
      </c>
      <c r="C1063" t="s">
        <v>53</v>
      </c>
      <c r="D1063">
        <v>830</v>
      </c>
      <c r="E1063" t="s">
        <v>36</v>
      </c>
      <c r="F1063">
        <v>13</v>
      </c>
      <c r="G1063">
        <v>2</v>
      </c>
      <c r="H1063" t="s">
        <v>37</v>
      </c>
      <c r="I1063">
        <v>1</v>
      </c>
      <c r="J1063">
        <v>1495</v>
      </c>
      <c r="K1063">
        <v>4</v>
      </c>
      <c r="L1063" t="s">
        <v>38</v>
      </c>
      <c r="M1063">
        <v>78</v>
      </c>
      <c r="N1063">
        <v>3</v>
      </c>
      <c r="O1063">
        <v>1</v>
      </c>
      <c r="P1063" t="s">
        <v>55</v>
      </c>
      <c r="Q1063">
        <v>2</v>
      </c>
      <c r="R1063" t="s">
        <v>46</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c r="AJ1063">
        <f t="shared" si="16"/>
        <v>0</v>
      </c>
      <c r="AK1063" t="str" cm="1">
        <f t="array" ref="AK1063">_xlfn.IFS(A1063&lt;=30,"18-30",A1063&lt;=45,"31-45",A1063&lt;=60,"46-60",TRUE, "60+")</f>
        <v>18-30</v>
      </c>
      <c r="AL1063" t="str" cm="1">
        <f t="array" ref="AL1063">_xlfn.IFS(F1063&lt;=10,"0-10",F1063&lt;=20,"11-20",TRUE,"20+")</f>
        <v>11-20</v>
      </c>
      <c r="AM1063" t="str" cm="1">
        <f t="array" ref="AM1063">_xlfn.IFS(S1063&lt;=5000,"0-5k",S1063&lt;=10000,"5k-10k",S1063&lt;=15000,"10k-15k",TRUE,"15k+")</f>
        <v>0-5k</v>
      </c>
      <c r="AN1063" t="str" cm="1">
        <f t="array" ref="AN1063">_xlfn.IFS(AF1063&lt;=10,"0-10",AF1063&lt;=20,"10-20",AF1063&lt;=30,"20-30",TRUE,"30+")</f>
        <v>0-10</v>
      </c>
      <c r="AO1063" t="str" cm="1">
        <f t="array" ref="AO1063">_xlfn.IFS(Y1063=1,"Poor",Y1063=2,"Average",Y1063=3,"Good",TRUE,"Excellent")</f>
        <v>Good</v>
      </c>
      <c r="AP1063" t="str" cm="1">
        <f t="array" ref="AP1063">_xlfn.IFS(Q1063=1,"Low",Q1063=2,"Medium",Q1063=3,"High",TRUE,"Very High")</f>
        <v>Medium</v>
      </c>
    </row>
    <row r="1064" spans="1:42" x14ac:dyDescent="0.25">
      <c r="A1064">
        <v>44</v>
      </c>
      <c r="B1064" t="s">
        <v>42</v>
      </c>
      <c r="C1064" t="s">
        <v>91</v>
      </c>
      <c r="D1064">
        <v>1193</v>
      </c>
      <c r="E1064" t="s">
        <v>43</v>
      </c>
      <c r="F1064">
        <v>2</v>
      </c>
      <c r="G1064">
        <v>1</v>
      </c>
      <c r="H1064" t="s">
        <v>49</v>
      </c>
      <c r="I1064">
        <v>1</v>
      </c>
      <c r="J1064">
        <v>1496</v>
      </c>
      <c r="K1064">
        <v>2</v>
      </c>
      <c r="L1064" t="s">
        <v>44</v>
      </c>
      <c r="M1064">
        <v>86</v>
      </c>
      <c r="N1064">
        <v>3</v>
      </c>
      <c r="O1064">
        <v>3</v>
      </c>
      <c r="P1064" t="s">
        <v>51</v>
      </c>
      <c r="Q1064">
        <v>3</v>
      </c>
      <c r="R1064" t="s">
        <v>40</v>
      </c>
      <c r="S1064">
        <v>10209</v>
      </c>
      <c r="T1064">
        <v>19719</v>
      </c>
      <c r="U1064">
        <v>5</v>
      </c>
      <c r="V1064" t="s">
        <v>41</v>
      </c>
      <c r="W1064" t="s">
        <v>35</v>
      </c>
      <c r="X1064">
        <v>18</v>
      </c>
      <c r="Y1064">
        <v>3</v>
      </c>
      <c r="Z1064">
        <v>2</v>
      </c>
      <c r="AA1064">
        <v>80</v>
      </c>
      <c r="AB1064">
        <v>0</v>
      </c>
      <c r="AC1064">
        <v>16</v>
      </c>
      <c r="AD1064">
        <v>2</v>
      </c>
      <c r="AE1064">
        <v>2</v>
      </c>
      <c r="AF1064">
        <v>2</v>
      </c>
      <c r="AG1064">
        <v>2</v>
      </c>
      <c r="AH1064">
        <v>2</v>
      </c>
      <c r="AI1064">
        <v>2</v>
      </c>
      <c r="AJ1064">
        <f t="shared" si="16"/>
        <v>0</v>
      </c>
      <c r="AK1064" t="str" cm="1">
        <f t="array" ref="AK1064">_xlfn.IFS(A1064&lt;=30,"18-30",A1064&lt;=45,"31-45",A1064&lt;=60,"46-60",TRUE, "60+")</f>
        <v>31-45</v>
      </c>
      <c r="AL1064" t="str" cm="1">
        <f t="array" ref="AL1064">_xlfn.IFS(F1064&lt;=10,"0-10",F1064&lt;=20,"11-20",TRUE,"20+")</f>
        <v>0-10</v>
      </c>
      <c r="AM1064" t="str" cm="1">
        <f t="array" ref="AM1064">_xlfn.IFS(S1064&lt;=5000,"0-5k",S1064&lt;=10000,"5k-10k",S1064&lt;=15000,"10k-15k",TRUE,"15k+")</f>
        <v>10k-15k</v>
      </c>
      <c r="AN1064" t="str" cm="1">
        <f t="array" ref="AN1064">_xlfn.IFS(AF1064&lt;=10,"0-10",AF1064&lt;=20,"10-20",AF1064&lt;=30,"20-30",TRUE,"30+")</f>
        <v>0-10</v>
      </c>
      <c r="AO1064" t="str" cm="1">
        <f t="array" ref="AO1064">_xlfn.IFS(Y1064=1,"Poor",Y1064=2,"Average",Y1064=3,"Good",TRUE,"Excellent")</f>
        <v>Good</v>
      </c>
      <c r="AP1064" t="str" cm="1">
        <f t="array" ref="AP1064">_xlfn.IFS(Q1064=1,"Low",Q1064=2,"Medium",Q1064=3,"High",TRUE,"Very High")</f>
        <v>High</v>
      </c>
    </row>
    <row r="1065" spans="1:42" x14ac:dyDescent="0.25">
      <c r="A1065">
        <v>29</v>
      </c>
      <c r="B1065" t="s">
        <v>42</v>
      </c>
      <c r="C1065" t="s">
        <v>90</v>
      </c>
      <c r="D1065">
        <v>1246</v>
      </c>
      <c r="E1065" t="s">
        <v>36</v>
      </c>
      <c r="F1065">
        <v>19</v>
      </c>
      <c r="G1065">
        <v>3</v>
      </c>
      <c r="H1065" t="s">
        <v>37</v>
      </c>
      <c r="I1065">
        <v>1</v>
      </c>
      <c r="J1065">
        <v>1497</v>
      </c>
      <c r="K1065">
        <v>3</v>
      </c>
      <c r="L1065" t="s">
        <v>44</v>
      </c>
      <c r="M1065">
        <v>77</v>
      </c>
      <c r="N1065">
        <v>2</v>
      </c>
      <c r="O1065">
        <v>2</v>
      </c>
      <c r="P1065" t="s">
        <v>39</v>
      </c>
      <c r="Q1065">
        <v>3</v>
      </c>
      <c r="R1065" t="s">
        <v>50</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c r="AJ1065">
        <f t="shared" si="16"/>
        <v>0</v>
      </c>
      <c r="AK1065" t="str" cm="1">
        <f t="array" ref="AK1065">_xlfn.IFS(A1065&lt;=30,"18-30",A1065&lt;=45,"31-45",A1065&lt;=60,"46-60",TRUE, "60+")</f>
        <v>18-30</v>
      </c>
      <c r="AL1065" t="str" cm="1">
        <f t="array" ref="AL1065">_xlfn.IFS(F1065&lt;=10,"0-10",F1065&lt;=20,"11-20",TRUE,"20+")</f>
        <v>11-20</v>
      </c>
      <c r="AM1065" t="str" cm="1">
        <f t="array" ref="AM1065">_xlfn.IFS(S1065&lt;=5000,"0-5k",S1065&lt;=10000,"5k-10k",S1065&lt;=15000,"10k-15k",TRUE,"15k+")</f>
        <v>5k-10k</v>
      </c>
      <c r="AN1065" t="str" cm="1">
        <f t="array" ref="AN1065">_xlfn.IFS(AF1065&lt;=10,"0-10",AF1065&lt;=20,"10-20",AF1065&lt;=30,"20-30",TRUE,"30+")</f>
        <v>0-10</v>
      </c>
      <c r="AO1065" t="str" cm="1">
        <f t="array" ref="AO1065">_xlfn.IFS(Y1065=1,"Poor",Y1065=2,"Average",Y1065=3,"Good",TRUE,"Excellent")</f>
        <v>Good</v>
      </c>
      <c r="AP1065" t="str" cm="1">
        <f t="array" ref="AP1065">_xlfn.IFS(Q1065=1,"Low",Q1065=2,"Medium",Q1065=3,"High",TRUE,"Very High")</f>
        <v>High</v>
      </c>
    </row>
    <row r="1066" spans="1:42" x14ac:dyDescent="0.25">
      <c r="A1066">
        <v>30</v>
      </c>
      <c r="B1066" t="s">
        <v>42</v>
      </c>
      <c r="C1066" t="s">
        <v>90</v>
      </c>
      <c r="D1066">
        <v>330</v>
      </c>
      <c r="E1066" t="s">
        <v>59</v>
      </c>
      <c r="F1066">
        <v>1</v>
      </c>
      <c r="G1066">
        <v>3</v>
      </c>
      <c r="H1066" t="s">
        <v>37</v>
      </c>
      <c r="I1066">
        <v>1</v>
      </c>
      <c r="J1066">
        <v>1499</v>
      </c>
      <c r="K1066">
        <v>3</v>
      </c>
      <c r="L1066" t="s">
        <v>44</v>
      </c>
      <c r="M1066">
        <v>46</v>
      </c>
      <c r="N1066">
        <v>3</v>
      </c>
      <c r="O1066">
        <v>1</v>
      </c>
      <c r="P1066" t="s">
        <v>59</v>
      </c>
      <c r="Q1066">
        <v>3</v>
      </c>
      <c r="R1066" t="s">
        <v>50</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c r="AJ1066">
        <f t="shared" si="16"/>
        <v>0</v>
      </c>
      <c r="AK1066" t="str" cm="1">
        <f t="array" ref="AK1066">_xlfn.IFS(A1066&lt;=30,"18-30",A1066&lt;=45,"31-45",A1066&lt;=60,"46-60",TRUE, "60+")</f>
        <v>18-30</v>
      </c>
      <c r="AL1066" t="str" cm="1">
        <f t="array" ref="AL1066">_xlfn.IFS(F1066&lt;=10,"0-10",F1066&lt;=20,"11-20",TRUE,"20+")</f>
        <v>0-10</v>
      </c>
      <c r="AM1066" t="str" cm="1">
        <f t="array" ref="AM1066">_xlfn.IFS(S1066&lt;=5000,"0-5k",S1066&lt;=10000,"5k-10k",S1066&lt;=15000,"10k-15k",TRUE,"15k+")</f>
        <v>0-5k</v>
      </c>
      <c r="AN1066" t="str" cm="1">
        <f t="array" ref="AN1066">_xlfn.IFS(AF1066&lt;=10,"0-10",AF1066&lt;=20,"10-20",AF1066&lt;=30,"20-30",TRUE,"30+")</f>
        <v>0-10</v>
      </c>
      <c r="AO1066" t="str" cm="1">
        <f t="array" ref="AO1066">_xlfn.IFS(Y1066=1,"Poor",Y1066=2,"Average",Y1066=3,"Good",TRUE,"Excellent")</f>
        <v>Excellent</v>
      </c>
      <c r="AP1066" t="str" cm="1">
        <f t="array" ref="AP1066">_xlfn.IFS(Q1066=1,"Low",Q1066=2,"Medium",Q1066=3,"High",TRUE,"Very High")</f>
        <v>High</v>
      </c>
    </row>
    <row r="1067" spans="1:42" x14ac:dyDescent="0.25">
      <c r="A1067">
        <v>55</v>
      </c>
      <c r="B1067" t="s">
        <v>42</v>
      </c>
      <c r="C1067" t="s">
        <v>90</v>
      </c>
      <c r="D1067">
        <v>1229</v>
      </c>
      <c r="E1067" t="s">
        <v>43</v>
      </c>
      <c r="F1067">
        <v>4</v>
      </c>
      <c r="G1067">
        <v>4</v>
      </c>
      <c r="H1067" t="s">
        <v>37</v>
      </c>
      <c r="I1067">
        <v>1</v>
      </c>
      <c r="J1067">
        <v>1501</v>
      </c>
      <c r="K1067">
        <v>4</v>
      </c>
      <c r="L1067" t="s">
        <v>44</v>
      </c>
      <c r="M1067">
        <v>30</v>
      </c>
      <c r="N1067">
        <v>3</v>
      </c>
      <c r="O1067">
        <v>2</v>
      </c>
      <c r="P1067" t="s">
        <v>52</v>
      </c>
      <c r="Q1067">
        <v>3</v>
      </c>
      <c r="R1067" t="s">
        <v>46</v>
      </c>
      <c r="S1067">
        <v>4035</v>
      </c>
      <c r="T1067">
        <v>16143</v>
      </c>
      <c r="U1067">
        <v>0</v>
      </c>
      <c r="V1067" t="s">
        <v>41</v>
      </c>
      <c r="W1067" t="s">
        <v>35</v>
      </c>
      <c r="X1067">
        <v>16</v>
      </c>
      <c r="Y1067">
        <v>3</v>
      </c>
      <c r="Z1067">
        <v>2</v>
      </c>
      <c r="AA1067">
        <v>80</v>
      </c>
      <c r="AB1067">
        <v>0</v>
      </c>
      <c r="AC1067">
        <v>4</v>
      </c>
      <c r="AD1067">
        <v>2</v>
      </c>
      <c r="AE1067">
        <v>3</v>
      </c>
      <c r="AF1067">
        <v>3</v>
      </c>
      <c r="AG1067">
        <v>2</v>
      </c>
      <c r="AH1067">
        <v>1</v>
      </c>
      <c r="AI1067">
        <v>2</v>
      </c>
      <c r="AJ1067">
        <f t="shared" si="16"/>
        <v>0</v>
      </c>
      <c r="AK1067" t="str" cm="1">
        <f t="array" ref="AK1067">_xlfn.IFS(A1067&lt;=30,"18-30",A1067&lt;=45,"31-45",A1067&lt;=60,"46-60",TRUE, "60+")</f>
        <v>46-60</v>
      </c>
      <c r="AL1067" t="str" cm="1">
        <f t="array" ref="AL1067">_xlfn.IFS(F1067&lt;=10,"0-10",F1067&lt;=20,"11-20",TRUE,"20+")</f>
        <v>0-10</v>
      </c>
      <c r="AM1067" t="str" cm="1">
        <f t="array" ref="AM1067">_xlfn.IFS(S1067&lt;=5000,"0-5k",S1067&lt;=10000,"5k-10k",S1067&lt;=15000,"10k-15k",TRUE,"15k+")</f>
        <v>0-5k</v>
      </c>
      <c r="AN1067" t="str" cm="1">
        <f t="array" ref="AN1067">_xlfn.IFS(AF1067&lt;=10,"0-10",AF1067&lt;=20,"10-20",AF1067&lt;=30,"20-30",TRUE,"30+")</f>
        <v>0-10</v>
      </c>
      <c r="AO1067" t="str" cm="1">
        <f t="array" ref="AO1067">_xlfn.IFS(Y1067=1,"Poor",Y1067=2,"Average",Y1067=3,"Good",TRUE,"Excellent")</f>
        <v>Good</v>
      </c>
      <c r="AP1067" t="str" cm="1">
        <f t="array" ref="AP1067">_xlfn.IFS(Q1067=1,"Low",Q1067=2,"Medium",Q1067=3,"High",TRUE,"Very High")</f>
        <v>High</v>
      </c>
    </row>
    <row r="1068" spans="1:42" x14ac:dyDescent="0.25">
      <c r="A1068">
        <v>33</v>
      </c>
      <c r="B1068" t="s">
        <v>42</v>
      </c>
      <c r="C1068" t="s">
        <v>90</v>
      </c>
      <c r="D1068">
        <v>1099</v>
      </c>
      <c r="E1068" t="s">
        <v>43</v>
      </c>
      <c r="F1068">
        <v>4</v>
      </c>
      <c r="G1068">
        <v>4</v>
      </c>
      <c r="H1068" t="s">
        <v>49</v>
      </c>
      <c r="I1068">
        <v>1</v>
      </c>
      <c r="J1068">
        <v>1502</v>
      </c>
      <c r="K1068">
        <v>1</v>
      </c>
      <c r="L1068" t="s">
        <v>38</v>
      </c>
      <c r="M1068">
        <v>82</v>
      </c>
      <c r="N1068">
        <v>2</v>
      </c>
      <c r="O1068">
        <v>1</v>
      </c>
      <c r="P1068" t="s">
        <v>48</v>
      </c>
      <c r="Q1068">
        <v>2</v>
      </c>
      <c r="R1068" t="s">
        <v>46</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c r="AJ1068">
        <f t="shared" si="16"/>
        <v>0</v>
      </c>
      <c r="AK1068" t="str" cm="1">
        <f t="array" ref="AK1068">_xlfn.IFS(A1068&lt;=30,"18-30",A1068&lt;=45,"31-45",A1068&lt;=60,"46-60",TRUE, "60+")</f>
        <v>31-45</v>
      </c>
      <c r="AL1068" t="str" cm="1">
        <f t="array" ref="AL1068">_xlfn.IFS(F1068&lt;=10,"0-10",F1068&lt;=20,"11-20",TRUE,"20+")</f>
        <v>0-10</v>
      </c>
      <c r="AM1068" t="str" cm="1">
        <f t="array" ref="AM1068">_xlfn.IFS(S1068&lt;=5000,"0-5k",S1068&lt;=10000,"5k-10k",S1068&lt;=15000,"10k-15k",TRUE,"15k+")</f>
        <v>0-5k</v>
      </c>
      <c r="AN1068" t="str" cm="1">
        <f t="array" ref="AN1068">_xlfn.IFS(AF1068&lt;=10,"0-10",AF1068&lt;=20,"10-20",AF1068&lt;=30,"20-30",TRUE,"30+")</f>
        <v>0-10</v>
      </c>
      <c r="AO1068" t="str" cm="1">
        <f t="array" ref="AO1068">_xlfn.IFS(Y1068=1,"Poor",Y1068=2,"Average",Y1068=3,"Good",TRUE,"Excellent")</f>
        <v>Good</v>
      </c>
      <c r="AP1068" t="str" cm="1">
        <f t="array" ref="AP1068">_xlfn.IFS(Q1068=1,"Low",Q1068=2,"Medium",Q1068=3,"High",TRUE,"Very High")</f>
        <v>Medium</v>
      </c>
    </row>
    <row r="1069" spans="1:42" x14ac:dyDescent="0.25">
      <c r="A1069">
        <v>47</v>
      </c>
      <c r="B1069" t="s">
        <v>42</v>
      </c>
      <c r="C1069" t="s">
        <v>90</v>
      </c>
      <c r="D1069">
        <v>571</v>
      </c>
      <c r="E1069" t="s">
        <v>36</v>
      </c>
      <c r="F1069">
        <v>14</v>
      </c>
      <c r="G1069">
        <v>3</v>
      </c>
      <c r="H1069" t="s">
        <v>49</v>
      </c>
      <c r="I1069">
        <v>1</v>
      </c>
      <c r="J1069">
        <v>1503</v>
      </c>
      <c r="K1069">
        <v>3</v>
      </c>
      <c r="L1069" t="s">
        <v>38</v>
      </c>
      <c r="M1069">
        <v>78</v>
      </c>
      <c r="N1069">
        <v>3</v>
      </c>
      <c r="O1069">
        <v>2</v>
      </c>
      <c r="P1069" t="s">
        <v>39</v>
      </c>
      <c r="Q1069">
        <v>3</v>
      </c>
      <c r="R1069" t="s">
        <v>46</v>
      </c>
      <c r="S1069">
        <v>4591</v>
      </c>
      <c r="T1069">
        <v>24200</v>
      </c>
      <c r="U1069">
        <v>3</v>
      </c>
      <c r="V1069" t="s">
        <v>41</v>
      </c>
      <c r="W1069" t="s">
        <v>35</v>
      </c>
      <c r="X1069">
        <v>17</v>
      </c>
      <c r="Y1069">
        <v>3</v>
      </c>
      <c r="Z1069">
        <v>3</v>
      </c>
      <c r="AA1069">
        <v>80</v>
      </c>
      <c r="AB1069">
        <v>1</v>
      </c>
      <c r="AC1069">
        <v>11</v>
      </c>
      <c r="AD1069">
        <v>4</v>
      </c>
      <c r="AE1069">
        <v>2</v>
      </c>
      <c r="AF1069">
        <v>5</v>
      </c>
      <c r="AG1069">
        <v>4</v>
      </c>
      <c r="AH1069">
        <v>1</v>
      </c>
      <c r="AI1069">
        <v>2</v>
      </c>
      <c r="AJ1069">
        <f t="shared" si="16"/>
        <v>0</v>
      </c>
      <c r="AK1069" t="str" cm="1">
        <f t="array" ref="AK1069">_xlfn.IFS(A1069&lt;=30,"18-30",A1069&lt;=45,"31-45",A1069&lt;=60,"46-60",TRUE, "60+")</f>
        <v>46-60</v>
      </c>
      <c r="AL1069" t="str" cm="1">
        <f t="array" ref="AL1069">_xlfn.IFS(F1069&lt;=10,"0-10",F1069&lt;=20,"11-20",TRUE,"20+")</f>
        <v>11-20</v>
      </c>
      <c r="AM1069" t="str" cm="1">
        <f t="array" ref="AM1069">_xlfn.IFS(S1069&lt;=5000,"0-5k",S1069&lt;=10000,"5k-10k",S1069&lt;=15000,"10k-15k",TRUE,"15k+")</f>
        <v>0-5k</v>
      </c>
      <c r="AN1069" t="str" cm="1">
        <f t="array" ref="AN1069">_xlfn.IFS(AF1069&lt;=10,"0-10",AF1069&lt;=20,"10-20",AF1069&lt;=30,"20-30",TRUE,"30+")</f>
        <v>0-10</v>
      </c>
      <c r="AO1069" t="str" cm="1">
        <f t="array" ref="AO1069">_xlfn.IFS(Y1069=1,"Poor",Y1069=2,"Average",Y1069=3,"Good",TRUE,"Excellent")</f>
        <v>Good</v>
      </c>
      <c r="AP1069" t="str" cm="1">
        <f t="array" ref="AP1069">_xlfn.IFS(Q1069=1,"Low",Q1069=2,"Medium",Q1069=3,"High",TRUE,"Very High")</f>
        <v>High</v>
      </c>
    </row>
    <row r="1070" spans="1:42" x14ac:dyDescent="0.25">
      <c r="A1070">
        <v>28</v>
      </c>
      <c r="B1070" t="s">
        <v>35</v>
      </c>
      <c r="C1070" t="s">
        <v>91</v>
      </c>
      <c r="D1070">
        <v>289</v>
      </c>
      <c r="E1070" t="s">
        <v>43</v>
      </c>
      <c r="F1070">
        <v>2</v>
      </c>
      <c r="G1070">
        <v>2</v>
      </c>
      <c r="H1070" t="s">
        <v>49</v>
      </c>
      <c r="I1070">
        <v>1</v>
      </c>
      <c r="J1070">
        <v>1504</v>
      </c>
      <c r="K1070">
        <v>3</v>
      </c>
      <c r="L1070" t="s">
        <v>44</v>
      </c>
      <c r="M1070">
        <v>38</v>
      </c>
      <c r="N1070">
        <v>2</v>
      </c>
      <c r="O1070">
        <v>1</v>
      </c>
      <c r="P1070" t="s">
        <v>48</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c r="AJ1070">
        <f t="shared" si="16"/>
        <v>1</v>
      </c>
      <c r="AK1070" t="str" cm="1">
        <f t="array" ref="AK1070">_xlfn.IFS(A1070&lt;=30,"18-30",A1070&lt;=45,"31-45",A1070&lt;=60,"46-60",TRUE, "60+")</f>
        <v>18-30</v>
      </c>
      <c r="AL1070" t="str" cm="1">
        <f t="array" ref="AL1070">_xlfn.IFS(F1070&lt;=10,"0-10",F1070&lt;=20,"11-20",TRUE,"20+")</f>
        <v>0-10</v>
      </c>
      <c r="AM1070" t="str" cm="1">
        <f t="array" ref="AM1070">_xlfn.IFS(S1070&lt;=5000,"0-5k",S1070&lt;=10000,"5k-10k",S1070&lt;=15000,"10k-15k",TRUE,"15k+")</f>
        <v>0-5k</v>
      </c>
      <c r="AN1070" t="str" cm="1">
        <f t="array" ref="AN1070">_xlfn.IFS(AF1070&lt;=10,"0-10",AF1070&lt;=20,"10-20",AF1070&lt;=30,"20-30",TRUE,"30+")</f>
        <v>0-10</v>
      </c>
      <c r="AO1070" t="str" cm="1">
        <f t="array" ref="AO1070">_xlfn.IFS(Y1070=1,"Poor",Y1070=2,"Average",Y1070=3,"Good",TRUE,"Excellent")</f>
        <v>Good</v>
      </c>
      <c r="AP1070" t="str" cm="1">
        <f t="array" ref="AP1070">_xlfn.IFS(Q1070=1,"Low",Q1070=2,"Medium",Q1070=3,"High",TRUE,"Very High")</f>
        <v>Low</v>
      </c>
    </row>
    <row r="1071" spans="1:42" x14ac:dyDescent="0.25">
      <c r="A1071">
        <v>28</v>
      </c>
      <c r="B1071" t="s">
        <v>42</v>
      </c>
      <c r="C1071" t="s">
        <v>90</v>
      </c>
      <c r="D1071">
        <v>1423</v>
      </c>
      <c r="E1071" t="s">
        <v>43</v>
      </c>
      <c r="F1071">
        <v>1</v>
      </c>
      <c r="G1071">
        <v>3</v>
      </c>
      <c r="H1071" t="s">
        <v>37</v>
      </c>
      <c r="I1071">
        <v>1</v>
      </c>
      <c r="J1071">
        <v>1506</v>
      </c>
      <c r="K1071">
        <v>1</v>
      </c>
      <c r="L1071" t="s">
        <v>44</v>
      </c>
      <c r="M1071">
        <v>72</v>
      </c>
      <c r="N1071">
        <v>2</v>
      </c>
      <c r="O1071">
        <v>1</v>
      </c>
      <c r="P1071" t="s">
        <v>45</v>
      </c>
      <c r="Q1071">
        <v>3</v>
      </c>
      <c r="R1071" t="s">
        <v>50</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c r="AJ1071">
        <f t="shared" si="16"/>
        <v>0</v>
      </c>
      <c r="AK1071" t="str" cm="1">
        <f t="array" ref="AK1071">_xlfn.IFS(A1071&lt;=30,"18-30",A1071&lt;=45,"31-45",A1071&lt;=60,"46-60",TRUE, "60+")</f>
        <v>18-30</v>
      </c>
      <c r="AL1071" t="str" cm="1">
        <f t="array" ref="AL1071">_xlfn.IFS(F1071&lt;=10,"0-10",F1071&lt;=20,"11-20",TRUE,"20+")</f>
        <v>0-10</v>
      </c>
      <c r="AM1071" t="str" cm="1">
        <f t="array" ref="AM1071">_xlfn.IFS(S1071&lt;=5000,"0-5k",S1071&lt;=10000,"5k-10k",S1071&lt;=15000,"10k-15k",TRUE,"15k+")</f>
        <v>0-5k</v>
      </c>
      <c r="AN1071" t="str" cm="1">
        <f t="array" ref="AN1071">_xlfn.IFS(AF1071&lt;=10,"0-10",AF1071&lt;=20,"10-20",AF1071&lt;=30,"20-30",TRUE,"30+")</f>
        <v>0-10</v>
      </c>
      <c r="AO1071" t="str" cm="1">
        <f t="array" ref="AO1071">_xlfn.IFS(Y1071=1,"Poor",Y1071=2,"Average",Y1071=3,"Good",TRUE,"Excellent")</f>
        <v>Good</v>
      </c>
      <c r="AP1071" t="str" cm="1">
        <f t="array" ref="AP1071">_xlfn.IFS(Q1071=1,"Low",Q1071=2,"Medium",Q1071=3,"High",TRUE,"Very High")</f>
        <v>High</v>
      </c>
    </row>
    <row r="1072" spans="1:42" x14ac:dyDescent="0.25">
      <c r="A1072">
        <v>28</v>
      </c>
      <c r="B1072" t="s">
        <v>42</v>
      </c>
      <c r="C1072" t="s">
        <v>91</v>
      </c>
      <c r="D1072">
        <v>467</v>
      </c>
      <c r="E1072" t="s">
        <v>36</v>
      </c>
      <c r="F1072">
        <v>7</v>
      </c>
      <c r="G1072">
        <v>3</v>
      </c>
      <c r="H1072" t="s">
        <v>37</v>
      </c>
      <c r="I1072">
        <v>1</v>
      </c>
      <c r="J1072">
        <v>1507</v>
      </c>
      <c r="K1072">
        <v>3</v>
      </c>
      <c r="L1072" t="s">
        <v>44</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c r="AJ1072">
        <f t="shared" si="16"/>
        <v>0</v>
      </c>
      <c r="AK1072" t="str" cm="1">
        <f t="array" ref="AK1072">_xlfn.IFS(A1072&lt;=30,"18-30",A1072&lt;=45,"31-45",A1072&lt;=60,"46-60",TRUE, "60+")</f>
        <v>18-30</v>
      </c>
      <c r="AL1072" t="str" cm="1">
        <f t="array" ref="AL1072">_xlfn.IFS(F1072&lt;=10,"0-10",F1072&lt;=20,"11-20",TRUE,"20+")</f>
        <v>0-10</v>
      </c>
      <c r="AM1072" t="str" cm="1">
        <f t="array" ref="AM1072">_xlfn.IFS(S1072&lt;=5000,"0-5k",S1072&lt;=10000,"5k-10k",S1072&lt;=15000,"10k-15k",TRUE,"15k+")</f>
        <v>0-5k</v>
      </c>
      <c r="AN1072" t="str" cm="1">
        <f t="array" ref="AN1072">_xlfn.IFS(AF1072&lt;=10,"0-10",AF1072&lt;=20,"10-20",AF1072&lt;=30,"20-30",TRUE,"30+")</f>
        <v>0-10</v>
      </c>
      <c r="AO1072" t="str" cm="1">
        <f t="array" ref="AO1072">_xlfn.IFS(Y1072=1,"Poor",Y1072=2,"Average",Y1072=3,"Good",TRUE,"Excellent")</f>
        <v>Good</v>
      </c>
      <c r="AP1072" t="str" cm="1">
        <f t="array" ref="AP1072">_xlfn.IFS(Q1072=1,"Low",Q1072=2,"Medium",Q1072=3,"High",TRUE,"Very High")</f>
        <v>Low</v>
      </c>
    </row>
    <row r="1073" spans="1:42" x14ac:dyDescent="0.25">
      <c r="A1073">
        <v>49</v>
      </c>
      <c r="B1073" t="s">
        <v>42</v>
      </c>
      <c r="C1073" t="s">
        <v>90</v>
      </c>
      <c r="D1073">
        <v>271</v>
      </c>
      <c r="E1073" t="s">
        <v>43</v>
      </c>
      <c r="F1073">
        <v>3</v>
      </c>
      <c r="G1073">
        <v>2</v>
      </c>
      <c r="H1073" t="s">
        <v>49</v>
      </c>
      <c r="I1073">
        <v>1</v>
      </c>
      <c r="J1073">
        <v>1509</v>
      </c>
      <c r="K1073">
        <v>3</v>
      </c>
      <c r="L1073" t="s">
        <v>38</v>
      </c>
      <c r="M1073">
        <v>43</v>
      </c>
      <c r="N1073">
        <v>2</v>
      </c>
      <c r="O1073">
        <v>2</v>
      </c>
      <c r="P1073" t="s">
        <v>48</v>
      </c>
      <c r="Q1073">
        <v>1</v>
      </c>
      <c r="R1073" t="s">
        <v>46</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c r="AJ1073">
        <f t="shared" si="16"/>
        <v>0</v>
      </c>
      <c r="AK1073" t="str" cm="1">
        <f t="array" ref="AK1073">_xlfn.IFS(A1073&lt;=30,"18-30",A1073&lt;=45,"31-45",A1073&lt;=60,"46-60",TRUE, "60+")</f>
        <v>46-60</v>
      </c>
      <c r="AL1073" t="str" cm="1">
        <f t="array" ref="AL1073">_xlfn.IFS(F1073&lt;=10,"0-10",F1073&lt;=20,"11-20",TRUE,"20+")</f>
        <v>0-10</v>
      </c>
      <c r="AM1073" t="str" cm="1">
        <f t="array" ref="AM1073">_xlfn.IFS(S1073&lt;=5000,"0-5k",S1073&lt;=10000,"5k-10k",S1073&lt;=15000,"10k-15k",TRUE,"15k+")</f>
        <v>0-5k</v>
      </c>
      <c r="AN1073" t="str" cm="1">
        <f t="array" ref="AN1073">_xlfn.IFS(AF1073&lt;=10,"0-10",AF1073&lt;=20,"10-20",AF1073&lt;=30,"20-30",TRUE,"30+")</f>
        <v>0-10</v>
      </c>
      <c r="AO1073" t="str" cm="1">
        <f t="array" ref="AO1073">_xlfn.IFS(Y1073=1,"Poor",Y1073=2,"Average",Y1073=3,"Good",TRUE,"Excellent")</f>
        <v>Excellent</v>
      </c>
      <c r="AP1073" t="str" cm="1">
        <f t="array" ref="AP1073">_xlfn.IFS(Q1073=1,"Low",Q1073=2,"Medium",Q1073=3,"High",TRUE,"Very High")</f>
        <v>Low</v>
      </c>
    </row>
    <row r="1074" spans="1:42" x14ac:dyDescent="0.25">
      <c r="A1074">
        <v>29</v>
      </c>
      <c r="B1074" t="s">
        <v>42</v>
      </c>
      <c r="C1074" t="s">
        <v>91</v>
      </c>
      <c r="D1074">
        <v>410</v>
      </c>
      <c r="E1074" t="s">
        <v>43</v>
      </c>
      <c r="F1074">
        <v>2</v>
      </c>
      <c r="G1074">
        <v>1</v>
      </c>
      <c r="H1074" t="s">
        <v>37</v>
      </c>
      <c r="I1074">
        <v>1</v>
      </c>
      <c r="J1074">
        <v>1513</v>
      </c>
      <c r="K1074">
        <v>4</v>
      </c>
      <c r="L1074" t="s">
        <v>38</v>
      </c>
      <c r="M1074">
        <v>97</v>
      </c>
      <c r="N1074">
        <v>3</v>
      </c>
      <c r="O1074">
        <v>1</v>
      </c>
      <c r="P1074" t="s">
        <v>48</v>
      </c>
      <c r="Q1074">
        <v>2</v>
      </c>
      <c r="R1074" t="s">
        <v>46</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c r="AJ1074">
        <f t="shared" si="16"/>
        <v>0</v>
      </c>
      <c r="AK1074" t="str" cm="1">
        <f t="array" ref="AK1074">_xlfn.IFS(A1074&lt;=30,"18-30",A1074&lt;=45,"31-45",A1074&lt;=60,"46-60",TRUE, "60+")</f>
        <v>18-30</v>
      </c>
      <c r="AL1074" t="str" cm="1">
        <f t="array" ref="AL1074">_xlfn.IFS(F1074&lt;=10,"0-10",F1074&lt;=20,"11-20",TRUE,"20+")</f>
        <v>0-10</v>
      </c>
      <c r="AM1074" t="str" cm="1">
        <f t="array" ref="AM1074">_xlfn.IFS(S1074&lt;=5000,"0-5k",S1074&lt;=10000,"5k-10k",S1074&lt;=15000,"10k-15k",TRUE,"15k+")</f>
        <v>0-5k</v>
      </c>
      <c r="AN1074" t="str" cm="1">
        <f t="array" ref="AN1074">_xlfn.IFS(AF1074&lt;=10,"0-10",AF1074&lt;=20,"10-20",AF1074&lt;=30,"20-30",TRUE,"30+")</f>
        <v>0-10</v>
      </c>
      <c r="AO1074" t="str" cm="1">
        <f t="array" ref="AO1074">_xlfn.IFS(Y1074=1,"Poor",Y1074=2,"Average",Y1074=3,"Good",TRUE,"Excellent")</f>
        <v>Good</v>
      </c>
      <c r="AP1074" t="str" cm="1">
        <f t="array" ref="AP1074">_xlfn.IFS(Q1074=1,"Low",Q1074=2,"Medium",Q1074=3,"High",TRUE,"Very High")</f>
        <v>Medium</v>
      </c>
    </row>
    <row r="1075" spans="1:42" x14ac:dyDescent="0.25">
      <c r="A1075">
        <v>28</v>
      </c>
      <c r="B1075" t="s">
        <v>42</v>
      </c>
      <c r="C1075" t="s">
        <v>90</v>
      </c>
      <c r="D1075">
        <v>1083</v>
      </c>
      <c r="E1075" t="s">
        <v>43</v>
      </c>
      <c r="F1075">
        <v>29</v>
      </c>
      <c r="G1075">
        <v>1</v>
      </c>
      <c r="H1075" t="s">
        <v>37</v>
      </c>
      <c r="I1075">
        <v>1</v>
      </c>
      <c r="J1075">
        <v>1514</v>
      </c>
      <c r="K1075">
        <v>3</v>
      </c>
      <c r="L1075" t="s">
        <v>44</v>
      </c>
      <c r="M1075">
        <v>96</v>
      </c>
      <c r="N1075">
        <v>1</v>
      </c>
      <c r="O1075">
        <v>2</v>
      </c>
      <c r="P1075" t="s">
        <v>51</v>
      </c>
      <c r="Q1075">
        <v>2</v>
      </c>
      <c r="R1075" t="s">
        <v>46</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c r="AJ1075">
        <f t="shared" si="16"/>
        <v>0</v>
      </c>
      <c r="AK1075" t="str" cm="1">
        <f t="array" ref="AK1075">_xlfn.IFS(A1075&lt;=30,"18-30",A1075&lt;=45,"31-45",A1075&lt;=60,"46-60",TRUE, "60+")</f>
        <v>18-30</v>
      </c>
      <c r="AL1075" t="str" cm="1">
        <f t="array" ref="AL1075">_xlfn.IFS(F1075&lt;=10,"0-10",F1075&lt;=20,"11-20",TRUE,"20+")</f>
        <v>20+</v>
      </c>
      <c r="AM1075" t="str" cm="1">
        <f t="array" ref="AM1075">_xlfn.IFS(S1075&lt;=5000,"0-5k",S1075&lt;=10000,"5k-10k",S1075&lt;=15000,"10k-15k",TRUE,"15k+")</f>
        <v>5k-10k</v>
      </c>
      <c r="AN1075" t="str" cm="1">
        <f t="array" ref="AN1075">_xlfn.IFS(AF1075&lt;=10,"0-10",AF1075&lt;=20,"10-20",AF1075&lt;=30,"20-30",TRUE,"30+")</f>
        <v>0-10</v>
      </c>
      <c r="AO1075" t="str" cm="1">
        <f t="array" ref="AO1075">_xlfn.IFS(Y1075=1,"Poor",Y1075=2,"Average",Y1075=3,"Good",TRUE,"Excellent")</f>
        <v>Good</v>
      </c>
      <c r="AP1075" t="str" cm="1">
        <f t="array" ref="AP1075">_xlfn.IFS(Q1075=1,"Low",Q1075=2,"Medium",Q1075=3,"High",TRUE,"Very High")</f>
        <v>Medium</v>
      </c>
    </row>
    <row r="1076" spans="1:42" x14ac:dyDescent="0.25">
      <c r="A1076">
        <v>33</v>
      </c>
      <c r="B1076" t="s">
        <v>42</v>
      </c>
      <c r="C1076" t="s">
        <v>90</v>
      </c>
      <c r="D1076">
        <v>516</v>
      </c>
      <c r="E1076" t="s">
        <v>43</v>
      </c>
      <c r="F1076">
        <v>8</v>
      </c>
      <c r="G1076">
        <v>5</v>
      </c>
      <c r="H1076" t="s">
        <v>37</v>
      </c>
      <c r="I1076">
        <v>1</v>
      </c>
      <c r="J1076">
        <v>1515</v>
      </c>
      <c r="K1076">
        <v>4</v>
      </c>
      <c r="L1076" t="s">
        <v>44</v>
      </c>
      <c r="M1076">
        <v>69</v>
      </c>
      <c r="N1076">
        <v>3</v>
      </c>
      <c r="O1076">
        <v>2</v>
      </c>
      <c r="P1076" t="s">
        <v>52</v>
      </c>
      <c r="Q1076">
        <v>3</v>
      </c>
      <c r="R1076" t="s">
        <v>40</v>
      </c>
      <c r="S1076">
        <v>6388</v>
      </c>
      <c r="T1076">
        <v>22049</v>
      </c>
      <c r="U1076">
        <v>2</v>
      </c>
      <c r="V1076" t="s">
        <v>41</v>
      </c>
      <c r="W1076" t="s">
        <v>35</v>
      </c>
      <c r="X1076">
        <v>17</v>
      </c>
      <c r="Y1076">
        <v>3</v>
      </c>
      <c r="Z1076">
        <v>1</v>
      </c>
      <c r="AA1076">
        <v>80</v>
      </c>
      <c r="AB1076">
        <v>0</v>
      </c>
      <c r="AC1076">
        <v>14</v>
      </c>
      <c r="AD1076">
        <v>6</v>
      </c>
      <c r="AE1076">
        <v>3</v>
      </c>
      <c r="AF1076">
        <v>0</v>
      </c>
      <c r="AG1076">
        <v>0</v>
      </c>
      <c r="AH1076">
        <v>0</v>
      </c>
      <c r="AI1076">
        <v>0</v>
      </c>
      <c r="AJ1076">
        <f t="shared" si="16"/>
        <v>0</v>
      </c>
      <c r="AK1076" t="str" cm="1">
        <f t="array" ref="AK1076">_xlfn.IFS(A1076&lt;=30,"18-30",A1076&lt;=45,"31-45",A1076&lt;=60,"46-60",TRUE, "60+")</f>
        <v>31-45</v>
      </c>
      <c r="AL1076" t="str" cm="1">
        <f t="array" ref="AL1076">_xlfn.IFS(F1076&lt;=10,"0-10",F1076&lt;=20,"11-20",TRUE,"20+")</f>
        <v>0-10</v>
      </c>
      <c r="AM1076" t="str" cm="1">
        <f t="array" ref="AM1076">_xlfn.IFS(S1076&lt;=5000,"0-5k",S1076&lt;=10000,"5k-10k",S1076&lt;=15000,"10k-15k",TRUE,"15k+")</f>
        <v>5k-10k</v>
      </c>
      <c r="AN1076" t="str" cm="1">
        <f t="array" ref="AN1076">_xlfn.IFS(AF1076&lt;=10,"0-10",AF1076&lt;=20,"10-20",AF1076&lt;=30,"20-30",TRUE,"30+")</f>
        <v>0-10</v>
      </c>
      <c r="AO1076" t="str" cm="1">
        <f t="array" ref="AO1076">_xlfn.IFS(Y1076=1,"Poor",Y1076=2,"Average",Y1076=3,"Good",TRUE,"Excellent")</f>
        <v>Good</v>
      </c>
      <c r="AP1076" t="str" cm="1">
        <f t="array" ref="AP1076">_xlfn.IFS(Q1076=1,"Low",Q1076=2,"Medium",Q1076=3,"High",TRUE,"Very High")</f>
        <v>High</v>
      </c>
    </row>
    <row r="1077" spans="1:42" x14ac:dyDescent="0.25">
      <c r="A1077">
        <v>32</v>
      </c>
      <c r="B1077" t="s">
        <v>42</v>
      </c>
      <c r="C1077" t="s">
        <v>90</v>
      </c>
      <c r="D1077">
        <v>495</v>
      </c>
      <c r="E1077" t="s">
        <v>43</v>
      </c>
      <c r="F1077">
        <v>10</v>
      </c>
      <c r="G1077">
        <v>3</v>
      </c>
      <c r="H1077" t="s">
        <v>49</v>
      </c>
      <c r="I1077">
        <v>1</v>
      </c>
      <c r="J1077">
        <v>1516</v>
      </c>
      <c r="K1077">
        <v>3</v>
      </c>
      <c r="L1077" t="s">
        <v>44</v>
      </c>
      <c r="M1077">
        <v>64</v>
      </c>
      <c r="N1077">
        <v>3</v>
      </c>
      <c r="O1077">
        <v>3</v>
      </c>
      <c r="P1077" t="s">
        <v>54</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c r="AJ1077">
        <f t="shared" si="16"/>
        <v>0</v>
      </c>
      <c r="AK1077" t="str" cm="1">
        <f t="array" ref="AK1077">_xlfn.IFS(A1077&lt;=30,"18-30",A1077&lt;=45,"31-45",A1077&lt;=60,"46-60",TRUE, "60+")</f>
        <v>31-45</v>
      </c>
      <c r="AL1077" t="str" cm="1">
        <f t="array" ref="AL1077">_xlfn.IFS(F1077&lt;=10,"0-10",F1077&lt;=20,"11-20",TRUE,"20+")</f>
        <v>0-10</v>
      </c>
      <c r="AM1077" t="str" cm="1">
        <f t="array" ref="AM1077">_xlfn.IFS(S1077&lt;=5000,"0-5k",S1077&lt;=10000,"5k-10k",S1077&lt;=15000,"10k-15k",TRUE,"15k+")</f>
        <v>10k-15k</v>
      </c>
      <c r="AN1077" t="str" cm="1">
        <f t="array" ref="AN1077">_xlfn.IFS(AF1077&lt;=10,"0-10",AF1077&lt;=20,"10-20",AF1077&lt;=30,"20-30",TRUE,"30+")</f>
        <v>0-10</v>
      </c>
      <c r="AO1077" t="str" cm="1">
        <f t="array" ref="AO1077">_xlfn.IFS(Y1077=1,"Poor",Y1077=2,"Average",Y1077=3,"Good",TRUE,"Excellent")</f>
        <v>Excellent</v>
      </c>
      <c r="AP1077" t="str" cm="1">
        <f t="array" ref="AP1077">_xlfn.IFS(Q1077=1,"Low",Q1077=2,"Medium",Q1077=3,"High",TRUE,"Very High")</f>
        <v>Very High</v>
      </c>
    </row>
    <row r="1078" spans="1:42" x14ac:dyDescent="0.25">
      <c r="A1078">
        <v>54</v>
      </c>
      <c r="B1078" t="s">
        <v>42</v>
      </c>
      <c r="C1078" t="s">
        <v>91</v>
      </c>
      <c r="D1078">
        <v>1050</v>
      </c>
      <c r="E1078" t="s">
        <v>43</v>
      </c>
      <c r="F1078">
        <v>11</v>
      </c>
      <c r="G1078">
        <v>4</v>
      </c>
      <c r="H1078" t="s">
        <v>49</v>
      </c>
      <c r="I1078">
        <v>1</v>
      </c>
      <c r="J1078">
        <v>1520</v>
      </c>
      <c r="K1078">
        <v>2</v>
      </c>
      <c r="L1078" t="s">
        <v>38</v>
      </c>
      <c r="M1078">
        <v>87</v>
      </c>
      <c r="N1078">
        <v>3</v>
      </c>
      <c r="O1078">
        <v>4</v>
      </c>
      <c r="P1078" t="s">
        <v>54</v>
      </c>
      <c r="Q1078">
        <v>4</v>
      </c>
      <c r="R1078" t="s">
        <v>50</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c r="AJ1078">
        <f t="shared" si="16"/>
        <v>0</v>
      </c>
      <c r="AK1078" t="str" cm="1">
        <f t="array" ref="AK1078">_xlfn.IFS(A1078&lt;=30,"18-30",A1078&lt;=45,"31-45",A1078&lt;=60,"46-60",TRUE, "60+")</f>
        <v>46-60</v>
      </c>
      <c r="AL1078" t="str" cm="1">
        <f t="array" ref="AL1078">_xlfn.IFS(F1078&lt;=10,"0-10",F1078&lt;=20,"11-20",TRUE,"20+")</f>
        <v>11-20</v>
      </c>
      <c r="AM1078" t="str" cm="1">
        <f t="array" ref="AM1078">_xlfn.IFS(S1078&lt;=5000,"0-5k",S1078&lt;=10000,"5k-10k",S1078&lt;=15000,"10k-15k",TRUE,"15k+")</f>
        <v>15k+</v>
      </c>
      <c r="AN1078" t="str" cm="1">
        <f t="array" ref="AN1078">_xlfn.IFS(AF1078&lt;=10,"0-10",AF1078&lt;=20,"10-20",AF1078&lt;=30,"20-30",TRUE,"30+")</f>
        <v>10-20</v>
      </c>
      <c r="AO1078" t="str" cm="1">
        <f t="array" ref="AO1078">_xlfn.IFS(Y1078=1,"Poor",Y1078=2,"Average",Y1078=3,"Good",TRUE,"Excellent")</f>
        <v>Excellent</v>
      </c>
      <c r="AP1078" t="str" cm="1">
        <f t="array" ref="AP1078">_xlfn.IFS(Q1078=1,"Low",Q1078=2,"Medium",Q1078=3,"High",TRUE,"Very High")</f>
        <v>Very High</v>
      </c>
    </row>
    <row r="1079" spans="1:42" x14ac:dyDescent="0.25">
      <c r="A1079">
        <v>29</v>
      </c>
      <c r="B1079" t="s">
        <v>35</v>
      </c>
      <c r="C1079" t="s">
        <v>90</v>
      </c>
      <c r="D1079">
        <v>224</v>
      </c>
      <c r="E1079" t="s">
        <v>43</v>
      </c>
      <c r="F1079">
        <v>1</v>
      </c>
      <c r="G1079">
        <v>4</v>
      </c>
      <c r="H1079" t="s">
        <v>58</v>
      </c>
      <c r="I1079">
        <v>1</v>
      </c>
      <c r="J1079">
        <v>1522</v>
      </c>
      <c r="K1079">
        <v>1</v>
      </c>
      <c r="L1079" t="s">
        <v>44</v>
      </c>
      <c r="M1079">
        <v>100</v>
      </c>
      <c r="N1079">
        <v>2</v>
      </c>
      <c r="O1079">
        <v>1</v>
      </c>
      <c r="P1079" t="s">
        <v>45</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c r="AJ1079">
        <f t="shared" si="16"/>
        <v>1</v>
      </c>
      <c r="AK1079" t="str" cm="1">
        <f t="array" ref="AK1079">_xlfn.IFS(A1079&lt;=30,"18-30",A1079&lt;=45,"31-45",A1079&lt;=60,"46-60",TRUE, "60+")</f>
        <v>18-30</v>
      </c>
      <c r="AL1079" t="str" cm="1">
        <f t="array" ref="AL1079">_xlfn.IFS(F1079&lt;=10,"0-10",F1079&lt;=20,"11-20",TRUE,"20+")</f>
        <v>0-10</v>
      </c>
      <c r="AM1079" t="str" cm="1">
        <f t="array" ref="AM1079">_xlfn.IFS(S1079&lt;=5000,"0-5k",S1079&lt;=10000,"5k-10k",S1079&lt;=15000,"10k-15k",TRUE,"15k+")</f>
        <v>0-5k</v>
      </c>
      <c r="AN1079" t="str" cm="1">
        <f t="array" ref="AN1079">_xlfn.IFS(AF1079&lt;=10,"0-10",AF1079&lt;=20,"10-20",AF1079&lt;=30,"20-30",TRUE,"30+")</f>
        <v>0-10</v>
      </c>
      <c r="AO1079" t="str" cm="1">
        <f t="array" ref="AO1079">_xlfn.IFS(Y1079=1,"Poor",Y1079=2,"Average",Y1079=3,"Good",TRUE,"Excellent")</f>
        <v>Good</v>
      </c>
      <c r="AP1079" t="str" cm="1">
        <f t="array" ref="AP1079">_xlfn.IFS(Q1079=1,"Low",Q1079=2,"Medium",Q1079=3,"High",TRUE,"Very High")</f>
        <v>Low</v>
      </c>
    </row>
    <row r="1080" spans="1:42" x14ac:dyDescent="0.25">
      <c r="A1080">
        <v>44</v>
      </c>
      <c r="B1080" t="s">
        <v>42</v>
      </c>
      <c r="C1080" t="s">
        <v>90</v>
      </c>
      <c r="D1080">
        <v>136</v>
      </c>
      <c r="E1080" t="s">
        <v>43</v>
      </c>
      <c r="F1080">
        <v>28</v>
      </c>
      <c r="G1080">
        <v>3</v>
      </c>
      <c r="H1080" t="s">
        <v>37</v>
      </c>
      <c r="I1080">
        <v>1</v>
      </c>
      <c r="J1080">
        <v>1523</v>
      </c>
      <c r="K1080">
        <v>4</v>
      </c>
      <c r="L1080" t="s">
        <v>44</v>
      </c>
      <c r="M1080">
        <v>32</v>
      </c>
      <c r="N1080">
        <v>3</v>
      </c>
      <c r="O1080">
        <v>4</v>
      </c>
      <c r="P1080" t="s">
        <v>56</v>
      </c>
      <c r="Q1080">
        <v>1</v>
      </c>
      <c r="R1080" t="s">
        <v>46</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c r="AJ1080">
        <f t="shared" si="16"/>
        <v>0</v>
      </c>
      <c r="AK1080" t="str" cm="1">
        <f t="array" ref="AK1080">_xlfn.IFS(A1080&lt;=30,"18-30",A1080&lt;=45,"31-45",A1080&lt;=60,"46-60",TRUE, "60+")</f>
        <v>31-45</v>
      </c>
      <c r="AL1080" t="str" cm="1">
        <f t="array" ref="AL1080">_xlfn.IFS(F1080&lt;=10,"0-10",F1080&lt;=20,"11-20",TRUE,"20+")</f>
        <v>20+</v>
      </c>
      <c r="AM1080" t="str" cm="1">
        <f t="array" ref="AM1080">_xlfn.IFS(S1080&lt;=5000,"0-5k",S1080&lt;=10000,"5k-10k",S1080&lt;=15000,"10k-15k",TRUE,"15k+")</f>
        <v>15k+</v>
      </c>
      <c r="AN1080" t="str" cm="1">
        <f t="array" ref="AN1080">_xlfn.IFS(AF1080&lt;=10,"0-10",AF1080&lt;=20,"10-20",AF1080&lt;=30,"20-30",TRUE,"30+")</f>
        <v>10-20</v>
      </c>
      <c r="AO1080" t="str" cm="1">
        <f t="array" ref="AO1080">_xlfn.IFS(Y1080=1,"Poor",Y1080=2,"Average",Y1080=3,"Good",TRUE,"Excellent")</f>
        <v>Good</v>
      </c>
      <c r="AP1080" t="str" cm="1">
        <f t="array" ref="AP1080">_xlfn.IFS(Q1080=1,"Low",Q1080=2,"Medium",Q1080=3,"High",TRUE,"Very High")</f>
        <v>Low</v>
      </c>
    </row>
    <row r="1081" spans="1:42" x14ac:dyDescent="0.25">
      <c r="A1081">
        <v>39</v>
      </c>
      <c r="B1081" t="s">
        <v>42</v>
      </c>
      <c r="C1081" t="s">
        <v>90</v>
      </c>
      <c r="D1081">
        <v>1089</v>
      </c>
      <c r="E1081" t="s">
        <v>43</v>
      </c>
      <c r="F1081">
        <v>6</v>
      </c>
      <c r="G1081">
        <v>3</v>
      </c>
      <c r="H1081" t="s">
        <v>37</v>
      </c>
      <c r="I1081">
        <v>1</v>
      </c>
      <c r="J1081">
        <v>1525</v>
      </c>
      <c r="K1081">
        <v>2</v>
      </c>
      <c r="L1081" t="s">
        <v>38</v>
      </c>
      <c r="M1081">
        <v>32</v>
      </c>
      <c r="N1081">
        <v>3</v>
      </c>
      <c r="O1081">
        <v>3</v>
      </c>
      <c r="P1081" t="s">
        <v>51</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c r="AJ1081">
        <f t="shared" si="16"/>
        <v>0</v>
      </c>
      <c r="AK1081" t="str" cm="1">
        <f t="array" ref="AK1081">_xlfn.IFS(A1081&lt;=30,"18-30",A1081&lt;=45,"31-45",A1081&lt;=60,"46-60",TRUE, "60+")</f>
        <v>31-45</v>
      </c>
      <c r="AL1081" t="str" cm="1">
        <f t="array" ref="AL1081">_xlfn.IFS(F1081&lt;=10,"0-10",F1081&lt;=20,"11-20",TRUE,"20+")</f>
        <v>0-10</v>
      </c>
      <c r="AM1081" t="str" cm="1">
        <f t="array" ref="AM1081">_xlfn.IFS(S1081&lt;=5000,"0-5k",S1081&lt;=10000,"5k-10k",S1081&lt;=15000,"10k-15k",TRUE,"15k+")</f>
        <v>5k-10k</v>
      </c>
      <c r="AN1081" t="str" cm="1">
        <f t="array" ref="AN1081">_xlfn.IFS(AF1081&lt;=10,"0-10",AF1081&lt;=20,"10-20",AF1081&lt;=30,"20-30",TRUE,"30+")</f>
        <v>0-10</v>
      </c>
      <c r="AO1081" t="str" cm="1">
        <f t="array" ref="AO1081">_xlfn.IFS(Y1081=1,"Poor",Y1081=2,"Average",Y1081=3,"Good",TRUE,"Excellent")</f>
        <v>Good</v>
      </c>
      <c r="AP1081" t="str" cm="1">
        <f t="array" ref="AP1081">_xlfn.IFS(Q1081=1,"Low",Q1081=2,"Medium",Q1081=3,"High",TRUE,"Very High")</f>
        <v>Medium</v>
      </c>
    </row>
    <row r="1082" spans="1:42" x14ac:dyDescent="0.25">
      <c r="A1082">
        <v>46</v>
      </c>
      <c r="B1082" t="s">
        <v>42</v>
      </c>
      <c r="C1082" t="s">
        <v>90</v>
      </c>
      <c r="D1082">
        <v>228</v>
      </c>
      <c r="E1082" t="s">
        <v>36</v>
      </c>
      <c r="F1082">
        <v>3</v>
      </c>
      <c r="G1082">
        <v>3</v>
      </c>
      <c r="H1082" t="s">
        <v>37</v>
      </c>
      <c r="I1082">
        <v>1</v>
      </c>
      <c r="J1082">
        <v>1527</v>
      </c>
      <c r="K1082">
        <v>3</v>
      </c>
      <c r="L1082" t="s">
        <v>38</v>
      </c>
      <c r="M1082">
        <v>51</v>
      </c>
      <c r="N1082">
        <v>3</v>
      </c>
      <c r="O1082">
        <v>4</v>
      </c>
      <c r="P1082" t="s">
        <v>54</v>
      </c>
      <c r="Q1082">
        <v>2</v>
      </c>
      <c r="R1082" t="s">
        <v>46</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c r="AJ1082">
        <f t="shared" si="16"/>
        <v>0</v>
      </c>
      <c r="AK1082" t="str" cm="1">
        <f t="array" ref="AK1082">_xlfn.IFS(A1082&lt;=30,"18-30",A1082&lt;=45,"31-45",A1082&lt;=60,"46-60",TRUE, "60+")</f>
        <v>46-60</v>
      </c>
      <c r="AL1082" t="str" cm="1">
        <f t="array" ref="AL1082">_xlfn.IFS(F1082&lt;=10,"0-10",F1082&lt;=20,"11-20",TRUE,"20+")</f>
        <v>0-10</v>
      </c>
      <c r="AM1082" t="str" cm="1">
        <f t="array" ref="AM1082">_xlfn.IFS(S1082&lt;=5000,"0-5k",S1082&lt;=10000,"5k-10k",S1082&lt;=15000,"10k-15k",TRUE,"15k+")</f>
        <v>15k+</v>
      </c>
      <c r="AN1082" t="str" cm="1">
        <f t="array" ref="AN1082">_xlfn.IFS(AF1082&lt;=10,"0-10",AF1082&lt;=20,"10-20",AF1082&lt;=30,"20-30",TRUE,"30+")</f>
        <v>10-20</v>
      </c>
      <c r="AO1082" t="str" cm="1">
        <f t="array" ref="AO1082">_xlfn.IFS(Y1082=1,"Poor",Y1082=2,"Average",Y1082=3,"Good",TRUE,"Excellent")</f>
        <v>Good</v>
      </c>
      <c r="AP1082" t="str" cm="1">
        <f t="array" ref="AP1082">_xlfn.IFS(Q1082=1,"Low",Q1082=2,"Medium",Q1082=3,"High",TRUE,"Very High")</f>
        <v>Medium</v>
      </c>
    </row>
    <row r="1083" spans="1:42" x14ac:dyDescent="0.25">
      <c r="A1083">
        <v>35</v>
      </c>
      <c r="B1083" t="s">
        <v>42</v>
      </c>
      <c r="C1083" t="s">
        <v>90</v>
      </c>
      <c r="D1083">
        <v>1029</v>
      </c>
      <c r="E1083" t="s">
        <v>43</v>
      </c>
      <c r="F1083">
        <v>16</v>
      </c>
      <c r="G1083">
        <v>3</v>
      </c>
      <c r="H1083" t="s">
        <v>37</v>
      </c>
      <c r="I1083">
        <v>1</v>
      </c>
      <c r="J1083">
        <v>1529</v>
      </c>
      <c r="K1083">
        <v>4</v>
      </c>
      <c r="L1083" t="s">
        <v>38</v>
      </c>
      <c r="M1083">
        <v>91</v>
      </c>
      <c r="N1083">
        <v>2</v>
      </c>
      <c r="O1083">
        <v>3</v>
      </c>
      <c r="P1083" t="s">
        <v>52</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c r="AJ1083">
        <f t="shared" si="16"/>
        <v>0</v>
      </c>
      <c r="AK1083" t="str" cm="1">
        <f t="array" ref="AK1083">_xlfn.IFS(A1083&lt;=30,"18-30",A1083&lt;=45,"31-45",A1083&lt;=60,"46-60",TRUE, "60+")</f>
        <v>31-45</v>
      </c>
      <c r="AL1083" t="str" cm="1">
        <f t="array" ref="AL1083">_xlfn.IFS(F1083&lt;=10,"0-10",F1083&lt;=20,"11-20",TRUE,"20+")</f>
        <v>11-20</v>
      </c>
      <c r="AM1083" t="str" cm="1">
        <f t="array" ref="AM1083">_xlfn.IFS(S1083&lt;=5000,"0-5k",S1083&lt;=10000,"5k-10k",S1083&lt;=15000,"10k-15k",TRUE,"15k+")</f>
        <v>5k-10k</v>
      </c>
      <c r="AN1083" t="str" cm="1">
        <f t="array" ref="AN1083">_xlfn.IFS(AF1083&lt;=10,"0-10",AF1083&lt;=20,"10-20",AF1083&lt;=30,"20-30",TRUE,"30+")</f>
        <v>10-20</v>
      </c>
      <c r="AO1083" t="str" cm="1">
        <f t="array" ref="AO1083">_xlfn.IFS(Y1083=1,"Poor",Y1083=2,"Average",Y1083=3,"Good",TRUE,"Excellent")</f>
        <v>Good</v>
      </c>
      <c r="AP1083" t="str" cm="1">
        <f t="array" ref="AP1083">_xlfn.IFS(Q1083=1,"Low",Q1083=2,"Medium",Q1083=3,"High",TRUE,"Very High")</f>
        <v>Medium</v>
      </c>
    </row>
    <row r="1084" spans="1:42" x14ac:dyDescent="0.25">
      <c r="A1084">
        <v>23</v>
      </c>
      <c r="B1084" t="s">
        <v>42</v>
      </c>
      <c r="C1084" t="s">
        <v>90</v>
      </c>
      <c r="D1084">
        <v>507</v>
      </c>
      <c r="E1084" t="s">
        <v>43</v>
      </c>
      <c r="F1084">
        <v>20</v>
      </c>
      <c r="G1084">
        <v>1</v>
      </c>
      <c r="H1084" t="s">
        <v>37</v>
      </c>
      <c r="I1084">
        <v>1</v>
      </c>
      <c r="J1084">
        <v>1533</v>
      </c>
      <c r="K1084">
        <v>1</v>
      </c>
      <c r="L1084" t="s">
        <v>44</v>
      </c>
      <c r="M1084">
        <v>97</v>
      </c>
      <c r="N1084">
        <v>3</v>
      </c>
      <c r="O1084">
        <v>2</v>
      </c>
      <c r="P1084" t="s">
        <v>48</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c r="AJ1084">
        <f t="shared" si="16"/>
        <v>0</v>
      </c>
      <c r="AK1084" t="str" cm="1">
        <f t="array" ref="AK1084">_xlfn.IFS(A1084&lt;=30,"18-30",A1084&lt;=45,"31-45",A1084&lt;=60,"46-60",TRUE, "60+")</f>
        <v>18-30</v>
      </c>
      <c r="AL1084" t="str" cm="1">
        <f t="array" ref="AL1084">_xlfn.IFS(F1084&lt;=10,"0-10",F1084&lt;=20,"11-20",TRUE,"20+")</f>
        <v>11-20</v>
      </c>
      <c r="AM1084" t="str" cm="1">
        <f t="array" ref="AM1084">_xlfn.IFS(S1084&lt;=5000,"0-5k",S1084&lt;=10000,"5k-10k",S1084&lt;=15000,"10k-15k",TRUE,"15k+")</f>
        <v>0-5k</v>
      </c>
      <c r="AN1084" t="str" cm="1">
        <f t="array" ref="AN1084">_xlfn.IFS(AF1084&lt;=10,"0-10",AF1084&lt;=20,"10-20",AF1084&lt;=30,"20-30",TRUE,"30+")</f>
        <v>0-10</v>
      </c>
      <c r="AO1084" t="str" cm="1">
        <f t="array" ref="AO1084">_xlfn.IFS(Y1084=1,"Poor",Y1084=2,"Average",Y1084=3,"Good",TRUE,"Excellent")</f>
        <v>Good</v>
      </c>
      <c r="AP1084" t="str" cm="1">
        <f t="array" ref="AP1084">_xlfn.IFS(Q1084=1,"Low",Q1084=2,"Medium",Q1084=3,"High",TRUE,"Very High")</f>
        <v>High</v>
      </c>
    </row>
    <row r="1085" spans="1:42" x14ac:dyDescent="0.25">
      <c r="A1085">
        <v>40</v>
      </c>
      <c r="B1085" t="s">
        <v>35</v>
      </c>
      <c r="C1085" t="s">
        <v>90</v>
      </c>
      <c r="D1085">
        <v>676</v>
      </c>
      <c r="E1085" t="s">
        <v>43</v>
      </c>
      <c r="F1085">
        <v>9</v>
      </c>
      <c r="G1085">
        <v>4</v>
      </c>
      <c r="H1085" t="s">
        <v>37</v>
      </c>
      <c r="I1085">
        <v>1</v>
      </c>
      <c r="J1085">
        <v>1534</v>
      </c>
      <c r="K1085">
        <v>4</v>
      </c>
      <c r="L1085" t="s">
        <v>44</v>
      </c>
      <c r="M1085">
        <v>86</v>
      </c>
      <c r="N1085">
        <v>3</v>
      </c>
      <c r="O1085">
        <v>1</v>
      </c>
      <c r="P1085" t="s">
        <v>48</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c r="AJ1085">
        <f t="shared" si="16"/>
        <v>1</v>
      </c>
      <c r="AK1085" t="str" cm="1">
        <f t="array" ref="AK1085">_xlfn.IFS(A1085&lt;=30,"18-30",A1085&lt;=45,"31-45",A1085&lt;=60,"46-60",TRUE, "60+")</f>
        <v>31-45</v>
      </c>
      <c r="AL1085" t="str" cm="1">
        <f t="array" ref="AL1085">_xlfn.IFS(F1085&lt;=10,"0-10",F1085&lt;=20,"11-20",TRUE,"20+")</f>
        <v>0-10</v>
      </c>
      <c r="AM1085" t="str" cm="1">
        <f t="array" ref="AM1085">_xlfn.IFS(S1085&lt;=5000,"0-5k",S1085&lt;=10000,"5k-10k",S1085&lt;=15000,"10k-15k",TRUE,"15k+")</f>
        <v>0-5k</v>
      </c>
      <c r="AN1085" t="str" cm="1">
        <f t="array" ref="AN1085">_xlfn.IFS(AF1085&lt;=10,"0-10",AF1085&lt;=20,"10-20",AF1085&lt;=30,"20-30",TRUE,"30+")</f>
        <v>0-10</v>
      </c>
      <c r="AO1085" t="str" cm="1">
        <f t="array" ref="AO1085">_xlfn.IFS(Y1085=1,"Poor",Y1085=2,"Average",Y1085=3,"Good",TRUE,"Excellent")</f>
        <v>Good</v>
      </c>
      <c r="AP1085" t="str" cm="1">
        <f t="array" ref="AP1085">_xlfn.IFS(Q1085=1,"Low",Q1085=2,"Medium",Q1085=3,"High",TRUE,"Very High")</f>
        <v>Low</v>
      </c>
    </row>
    <row r="1086" spans="1:42" x14ac:dyDescent="0.25">
      <c r="A1086">
        <v>34</v>
      </c>
      <c r="B1086" t="s">
        <v>42</v>
      </c>
      <c r="C1086" t="s">
        <v>90</v>
      </c>
      <c r="D1086">
        <v>971</v>
      </c>
      <c r="E1086" t="s">
        <v>36</v>
      </c>
      <c r="F1086">
        <v>1</v>
      </c>
      <c r="G1086">
        <v>3</v>
      </c>
      <c r="H1086" t="s">
        <v>58</v>
      </c>
      <c r="I1086">
        <v>1</v>
      </c>
      <c r="J1086">
        <v>1535</v>
      </c>
      <c r="K1086">
        <v>4</v>
      </c>
      <c r="L1086" t="s">
        <v>44</v>
      </c>
      <c r="M1086">
        <v>64</v>
      </c>
      <c r="N1086">
        <v>2</v>
      </c>
      <c r="O1086">
        <v>3</v>
      </c>
      <c r="P1086" t="s">
        <v>39</v>
      </c>
      <c r="Q1086">
        <v>3</v>
      </c>
      <c r="R1086" t="s">
        <v>46</v>
      </c>
      <c r="S1086">
        <v>7083</v>
      </c>
      <c r="T1086">
        <v>12288</v>
      </c>
      <c r="U1086">
        <v>1</v>
      </c>
      <c r="V1086" t="s">
        <v>41</v>
      </c>
      <c r="W1086" t="s">
        <v>35</v>
      </c>
      <c r="X1086">
        <v>14</v>
      </c>
      <c r="Y1086">
        <v>3</v>
      </c>
      <c r="Z1086">
        <v>4</v>
      </c>
      <c r="AA1086">
        <v>80</v>
      </c>
      <c r="AB1086">
        <v>0</v>
      </c>
      <c r="AC1086">
        <v>10</v>
      </c>
      <c r="AD1086">
        <v>3</v>
      </c>
      <c r="AE1086">
        <v>3</v>
      </c>
      <c r="AF1086">
        <v>10</v>
      </c>
      <c r="AG1086">
        <v>9</v>
      </c>
      <c r="AH1086">
        <v>8</v>
      </c>
      <c r="AI1086">
        <v>6</v>
      </c>
      <c r="AJ1086">
        <f t="shared" si="16"/>
        <v>0</v>
      </c>
      <c r="AK1086" t="str" cm="1">
        <f t="array" ref="AK1086">_xlfn.IFS(A1086&lt;=30,"18-30",A1086&lt;=45,"31-45",A1086&lt;=60,"46-60",TRUE, "60+")</f>
        <v>31-45</v>
      </c>
      <c r="AL1086" t="str" cm="1">
        <f t="array" ref="AL1086">_xlfn.IFS(F1086&lt;=10,"0-10",F1086&lt;=20,"11-20",TRUE,"20+")</f>
        <v>0-10</v>
      </c>
      <c r="AM1086" t="str" cm="1">
        <f t="array" ref="AM1086">_xlfn.IFS(S1086&lt;=5000,"0-5k",S1086&lt;=10000,"5k-10k",S1086&lt;=15000,"10k-15k",TRUE,"15k+")</f>
        <v>5k-10k</v>
      </c>
      <c r="AN1086" t="str" cm="1">
        <f t="array" ref="AN1086">_xlfn.IFS(AF1086&lt;=10,"0-10",AF1086&lt;=20,"10-20",AF1086&lt;=30,"20-30",TRUE,"30+")</f>
        <v>0-10</v>
      </c>
      <c r="AO1086" t="str" cm="1">
        <f t="array" ref="AO1086">_xlfn.IFS(Y1086=1,"Poor",Y1086=2,"Average",Y1086=3,"Good",TRUE,"Excellent")</f>
        <v>Good</v>
      </c>
      <c r="AP1086" t="str" cm="1">
        <f t="array" ref="AP1086">_xlfn.IFS(Q1086=1,"Low",Q1086=2,"Medium",Q1086=3,"High",TRUE,"Very High")</f>
        <v>High</v>
      </c>
    </row>
    <row r="1087" spans="1:42" x14ac:dyDescent="0.25">
      <c r="A1087">
        <v>31</v>
      </c>
      <c r="B1087" t="s">
        <v>35</v>
      </c>
      <c r="C1087" t="s">
        <v>91</v>
      </c>
      <c r="D1087">
        <v>561</v>
      </c>
      <c r="E1087" t="s">
        <v>43</v>
      </c>
      <c r="F1087">
        <v>3</v>
      </c>
      <c r="G1087">
        <v>3</v>
      </c>
      <c r="H1087" t="s">
        <v>37</v>
      </c>
      <c r="I1087">
        <v>1</v>
      </c>
      <c r="J1087">
        <v>1537</v>
      </c>
      <c r="K1087">
        <v>4</v>
      </c>
      <c r="L1087" t="s">
        <v>38</v>
      </c>
      <c r="M1087">
        <v>33</v>
      </c>
      <c r="N1087">
        <v>3</v>
      </c>
      <c r="O1087">
        <v>1</v>
      </c>
      <c r="P1087" t="s">
        <v>45</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c r="AJ1087">
        <f t="shared" si="16"/>
        <v>1</v>
      </c>
      <c r="AK1087" t="str" cm="1">
        <f t="array" ref="AK1087">_xlfn.IFS(A1087&lt;=30,"18-30",A1087&lt;=45,"31-45",A1087&lt;=60,"46-60",TRUE, "60+")</f>
        <v>31-45</v>
      </c>
      <c r="AL1087" t="str" cm="1">
        <f t="array" ref="AL1087">_xlfn.IFS(F1087&lt;=10,"0-10",F1087&lt;=20,"11-20",TRUE,"20+")</f>
        <v>0-10</v>
      </c>
      <c r="AM1087" t="str" cm="1">
        <f t="array" ref="AM1087">_xlfn.IFS(S1087&lt;=5000,"0-5k",S1087&lt;=10000,"5k-10k",S1087&lt;=15000,"10k-15k",TRUE,"15k+")</f>
        <v>0-5k</v>
      </c>
      <c r="AN1087" t="str" cm="1">
        <f t="array" ref="AN1087">_xlfn.IFS(AF1087&lt;=10,"0-10",AF1087&lt;=20,"10-20",AF1087&lt;=30,"20-30",TRUE,"30+")</f>
        <v>0-10</v>
      </c>
      <c r="AO1087" t="str" cm="1">
        <f t="array" ref="AO1087">_xlfn.IFS(Y1087=1,"Poor",Y1087=2,"Average",Y1087=3,"Good",TRUE,"Excellent")</f>
        <v>Good</v>
      </c>
      <c r="AP1087" t="str" cm="1">
        <f t="array" ref="AP1087">_xlfn.IFS(Q1087=1,"Low",Q1087=2,"Medium",Q1087=3,"High",TRUE,"Very High")</f>
        <v>High</v>
      </c>
    </row>
    <row r="1088" spans="1:42" x14ac:dyDescent="0.25">
      <c r="A1088">
        <v>50</v>
      </c>
      <c r="B1088" t="s">
        <v>42</v>
      </c>
      <c r="C1088" t="s">
        <v>91</v>
      </c>
      <c r="D1088">
        <v>333</v>
      </c>
      <c r="E1088" t="s">
        <v>43</v>
      </c>
      <c r="F1088">
        <v>22</v>
      </c>
      <c r="G1088">
        <v>5</v>
      </c>
      <c r="H1088" t="s">
        <v>49</v>
      </c>
      <c r="I1088">
        <v>1</v>
      </c>
      <c r="J1088">
        <v>1539</v>
      </c>
      <c r="K1088">
        <v>3</v>
      </c>
      <c r="L1088" t="s">
        <v>44</v>
      </c>
      <c r="M1088">
        <v>88</v>
      </c>
      <c r="N1088">
        <v>1</v>
      </c>
      <c r="O1088">
        <v>4</v>
      </c>
      <c r="P1088" t="s">
        <v>56</v>
      </c>
      <c r="Q1088">
        <v>4</v>
      </c>
      <c r="R1088" t="s">
        <v>40</v>
      </c>
      <c r="S1088">
        <v>14411</v>
      </c>
      <c r="T1088">
        <v>24450</v>
      </c>
      <c r="U1088">
        <v>1</v>
      </c>
      <c r="V1088" t="s">
        <v>41</v>
      </c>
      <c r="W1088" t="s">
        <v>35</v>
      </c>
      <c r="X1088">
        <v>13</v>
      </c>
      <c r="Y1088">
        <v>3</v>
      </c>
      <c r="Z1088">
        <v>4</v>
      </c>
      <c r="AA1088">
        <v>80</v>
      </c>
      <c r="AB1088">
        <v>0</v>
      </c>
      <c r="AC1088">
        <v>32</v>
      </c>
      <c r="AD1088">
        <v>2</v>
      </c>
      <c r="AE1088">
        <v>3</v>
      </c>
      <c r="AF1088">
        <v>32</v>
      </c>
      <c r="AG1088">
        <v>6</v>
      </c>
      <c r="AH1088">
        <v>13</v>
      </c>
      <c r="AI1088">
        <v>9</v>
      </c>
      <c r="AJ1088">
        <f t="shared" si="16"/>
        <v>0</v>
      </c>
      <c r="AK1088" t="str" cm="1">
        <f t="array" ref="AK1088">_xlfn.IFS(A1088&lt;=30,"18-30",A1088&lt;=45,"31-45",A1088&lt;=60,"46-60",TRUE, "60+")</f>
        <v>46-60</v>
      </c>
      <c r="AL1088" t="str" cm="1">
        <f t="array" ref="AL1088">_xlfn.IFS(F1088&lt;=10,"0-10",F1088&lt;=20,"11-20",TRUE,"20+")</f>
        <v>20+</v>
      </c>
      <c r="AM1088" t="str" cm="1">
        <f t="array" ref="AM1088">_xlfn.IFS(S1088&lt;=5000,"0-5k",S1088&lt;=10000,"5k-10k",S1088&lt;=15000,"10k-15k",TRUE,"15k+")</f>
        <v>10k-15k</v>
      </c>
      <c r="AN1088" t="str" cm="1">
        <f t="array" ref="AN1088">_xlfn.IFS(AF1088&lt;=10,"0-10",AF1088&lt;=20,"10-20",AF1088&lt;=30,"20-30",TRUE,"30+")</f>
        <v>30+</v>
      </c>
      <c r="AO1088" t="str" cm="1">
        <f t="array" ref="AO1088">_xlfn.IFS(Y1088=1,"Poor",Y1088=2,"Average",Y1088=3,"Good",TRUE,"Excellent")</f>
        <v>Good</v>
      </c>
      <c r="AP1088" t="str" cm="1">
        <f t="array" ref="AP1088">_xlfn.IFS(Q1088=1,"Low",Q1088=2,"Medium",Q1088=3,"High",TRUE,"Very High")</f>
        <v>Very High</v>
      </c>
    </row>
    <row r="1089" spans="1:42" x14ac:dyDescent="0.25">
      <c r="A1089">
        <v>34</v>
      </c>
      <c r="B1089" t="s">
        <v>42</v>
      </c>
      <c r="C1089" t="s">
        <v>90</v>
      </c>
      <c r="D1089">
        <v>1440</v>
      </c>
      <c r="E1089" t="s">
        <v>36</v>
      </c>
      <c r="F1089">
        <v>7</v>
      </c>
      <c r="G1089">
        <v>2</v>
      </c>
      <c r="H1089" t="s">
        <v>58</v>
      </c>
      <c r="I1089">
        <v>1</v>
      </c>
      <c r="J1089">
        <v>1541</v>
      </c>
      <c r="K1089">
        <v>2</v>
      </c>
      <c r="L1089" t="s">
        <v>44</v>
      </c>
      <c r="M1089">
        <v>55</v>
      </c>
      <c r="N1089">
        <v>3</v>
      </c>
      <c r="O1089">
        <v>1</v>
      </c>
      <c r="P1089" t="s">
        <v>55</v>
      </c>
      <c r="Q1089">
        <v>3</v>
      </c>
      <c r="R1089" t="s">
        <v>46</v>
      </c>
      <c r="S1089">
        <v>2308</v>
      </c>
      <c r="T1089">
        <v>4944</v>
      </c>
      <c r="U1089">
        <v>0</v>
      </c>
      <c r="V1089" t="s">
        <v>41</v>
      </c>
      <c r="W1089" t="s">
        <v>35</v>
      </c>
      <c r="X1089">
        <v>25</v>
      </c>
      <c r="Y1089">
        <v>4</v>
      </c>
      <c r="Z1089">
        <v>2</v>
      </c>
      <c r="AA1089">
        <v>80</v>
      </c>
      <c r="AB1089">
        <v>1</v>
      </c>
      <c r="AC1089">
        <v>12</v>
      </c>
      <c r="AD1089">
        <v>4</v>
      </c>
      <c r="AE1089">
        <v>3</v>
      </c>
      <c r="AF1089">
        <v>11</v>
      </c>
      <c r="AG1089">
        <v>10</v>
      </c>
      <c r="AH1089">
        <v>5</v>
      </c>
      <c r="AI1089">
        <v>7</v>
      </c>
      <c r="AJ1089">
        <f t="shared" si="16"/>
        <v>0</v>
      </c>
      <c r="AK1089" t="str" cm="1">
        <f t="array" ref="AK1089">_xlfn.IFS(A1089&lt;=30,"18-30",A1089&lt;=45,"31-45",A1089&lt;=60,"46-60",TRUE, "60+")</f>
        <v>31-45</v>
      </c>
      <c r="AL1089" t="str" cm="1">
        <f t="array" ref="AL1089">_xlfn.IFS(F1089&lt;=10,"0-10",F1089&lt;=20,"11-20",TRUE,"20+")</f>
        <v>0-10</v>
      </c>
      <c r="AM1089" t="str" cm="1">
        <f t="array" ref="AM1089">_xlfn.IFS(S1089&lt;=5000,"0-5k",S1089&lt;=10000,"5k-10k",S1089&lt;=15000,"10k-15k",TRUE,"15k+")</f>
        <v>0-5k</v>
      </c>
      <c r="AN1089" t="str" cm="1">
        <f t="array" ref="AN1089">_xlfn.IFS(AF1089&lt;=10,"0-10",AF1089&lt;=20,"10-20",AF1089&lt;=30,"20-30",TRUE,"30+")</f>
        <v>10-20</v>
      </c>
      <c r="AO1089" t="str" cm="1">
        <f t="array" ref="AO1089">_xlfn.IFS(Y1089=1,"Poor",Y1089=2,"Average",Y1089=3,"Good",TRUE,"Excellent")</f>
        <v>Excellent</v>
      </c>
      <c r="AP1089" t="str" cm="1">
        <f t="array" ref="AP1089">_xlfn.IFS(Q1089=1,"Low",Q1089=2,"Medium",Q1089=3,"High",TRUE,"Very High")</f>
        <v>High</v>
      </c>
    </row>
    <row r="1090" spans="1:42" x14ac:dyDescent="0.25">
      <c r="A1090">
        <v>42</v>
      </c>
      <c r="B1090" t="s">
        <v>42</v>
      </c>
      <c r="C1090" t="s">
        <v>90</v>
      </c>
      <c r="D1090">
        <v>1210</v>
      </c>
      <c r="E1090" t="s">
        <v>43</v>
      </c>
      <c r="F1090">
        <v>2</v>
      </c>
      <c r="G1090">
        <v>3</v>
      </c>
      <c r="H1090" t="s">
        <v>49</v>
      </c>
      <c r="I1090">
        <v>1</v>
      </c>
      <c r="J1090">
        <v>1542</v>
      </c>
      <c r="K1090">
        <v>3</v>
      </c>
      <c r="L1090" t="s">
        <v>44</v>
      </c>
      <c r="M1090">
        <v>68</v>
      </c>
      <c r="N1090">
        <v>2</v>
      </c>
      <c r="O1090">
        <v>1</v>
      </c>
      <c r="P1090" t="s">
        <v>48</v>
      </c>
      <c r="Q1090">
        <v>2</v>
      </c>
      <c r="R1090" t="s">
        <v>46</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c r="AJ1090">
        <f t="shared" ref="AJ1090:AJ1153" si="17">IF(B1090="yes",1,0)</f>
        <v>0</v>
      </c>
      <c r="AK1090" t="str" cm="1">
        <f t="array" ref="AK1090">_xlfn.IFS(A1090&lt;=30,"18-30",A1090&lt;=45,"31-45",A1090&lt;=60,"46-60",TRUE, "60+")</f>
        <v>31-45</v>
      </c>
      <c r="AL1090" t="str" cm="1">
        <f t="array" ref="AL1090">_xlfn.IFS(F1090&lt;=10,"0-10",F1090&lt;=20,"11-20",TRUE,"20+")</f>
        <v>0-10</v>
      </c>
      <c r="AM1090" t="str" cm="1">
        <f t="array" ref="AM1090">_xlfn.IFS(S1090&lt;=5000,"0-5k",S1090&lt;=10000,"5k-10k",S1090&lt;=15000,"10k-15k",TRUE,"15k+")</f>
        <v>0-5k</v>
      </c>
      <c r="AN1090" t="str" cm="1">
        <f t="array" ref="AN1090">_xlfn.IFS(AF1090&lt;=10,"0-10",AF1090&lt;=20,"10-20",AF1090&lt;=30,"20-30",TRUE,"30+")</f>
        <v>0-10</v>
      </c>
      <c r="AO1090" t="str" cm="1">
        <f t="array" ref="AO1090">_xlfn.IFS(Y1090=1,"Poor",Y1090=2,"Average",Y1090=3,"Good",TRUE,"Excellent")</f>
        <v>Good</v>
      </c>
      <c r="AP1090" t="str" cm="1">
        <f t="array" ref="AP1090">_xlfn.IFS(Q1090=1,"Low",Q1090=2,"Medium",Q1090=3,"High",TRUE,"Very High")</f>
        <v>Medium</v>
      </c>
    </row>
    <row r="1091" spans="1:42" x14ac:dyDescent="0.25">
      <c r="A1091">
        <v>37</v>
      </c>
      <c r="B1091" t="s">
        <v>42</v>
      </c>
      <c r="C1091" t="s">
        <v>90</v>
      </c>
      <c r="D1091">
        <v>674</v>
      </c>
      <c r="E1091" t="s">
        <v>43</v>
      </c>
      <c r="F1091">
        <v>13</v>
      </c>
      <c r="G1091">
        <v>3</v>
      </c>
      <c r="H1091" t="s">
        <v>49</v>
      </c>
      <c r="I1091">
        <v>1</v>
      </c>
      <c r="J1091">
        <v>1543</v>
      </c>
      <c r="K1091">
        <v>1</v>
      </c>
      <c r="L1091" t="s">
        <v>44</v>
      </c>
      <c r="M1091">
        <v>47</v>
      </c>
      <c r="N1091">
        <v>3</v>
      </c>
      <c r="O1091">
        <v>2</v>
      </c>
      <c r="P1091" t="s">
        <v>45</v>
      </c>
      <c r="Q1091">
        <v>4</v>
      </c>
      <c r="R1091" t="s">
        <v>46</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c r="AJ1091">
        <f t="shared" si="17"/>
        <v>0</v>
      </c>
      <c r="AK1091" t="str" cm="1">
        <f t="array" ref="AK1091">_xlfn.IFS(A1091&lt;=30,"18-30",A1091&lt;=45,"31-45",A1091&lt;=60,"46-60",TRUE, "60+")</f>
        <v>31-45</v>
      </c>
      <c r="AL1091" t="str" cm="1">
        <f t="array" ref="AL1091">_xlfn.IFS(F1091&lt;=10,"0-10",F1091&lt;=20,"11-20",TRUE,"20+")</f>
        <v>11-20</v>
      </c>
      <c r="AM1091" t="str" cm="1">
        <f t="array" ref="AM1091">_xlfn.IFS(S1091&lt;=5000,"0-5k",S1091&lt;=10000,"5k-10k",S1091&lt;=15000,"10k-15k",TRUE,"15k+")</f>
        <v>0-5k</v>
      </c>
      <c r="AN1091" t="str" cm="1">
        <f t="array" ref="AN1091">_xlfn.IFS(AF1091&lt;=10,"0-10",AF1091&lt;=20,"10-20",AF1091&lt;=30,"20-30",TRUE,"30+")</f>
        <v>0-10</v>
      </c>
      <c r="AO1091" t="str" cm="1">
        <f t="array" ref="AO1091">_xlfn.IFS(Y1091=1,"Poor",Y1091=2,"Average",Y1091=3,"Good",TRUE,"Excellent")</f>
        <v>Good</v>
      </c>
      <c r="AP1091" t="str" cm="1">
        <f t="array" ref="AP1091">_xlfn.IFS(Q1091=1,"Low",Q1091=2,"Medium",Q1091=3,"High",TRUE,"Very High")</f>
        <v>Very High</v>
      </c>
    </row>
    <row r="1092" spans="1:42" x14ac:dyDescent="0.25">
      <c r="A1092">
        <v>29</v>
      </c>
      <c r="B1092" t="s">
        <v>42</v>
      </c>
      <c r="C1092" t="s">
        <v>90</v>
      </c>
      <c r="D1092">
        <v>441</v>
      </c>
      <c r="E1092" t="s">
        <v>43</v>
      </c>
      <c r="F1092">
        <v>8</v>
      </c>
      <c r="G1092">
        <v>1</v>
      </c>
      <c r="H1092" t="s">
        <v>47</v>
      </c>
      <c r="I1092">
        <v>1</v>
      </c>
      <c r="J1092">
        <v>1544</v>
      </c>
      <c r="K1092">
        <v>3</v>
      </c>
      <c r="L1092" t="s">
        <v>38</v>
      </c>
      <c r="M1092">
        <v>39</v>
      </c>
      <c r="N1092">
        <v>1</v>
      </c>
      <c r="O1092">
        <v>2</v>
      </c>
      <c r="P1092" t="s">
        <v>52</v>
      </c>
      <c r="Q1092">
        <v>1</v>
      </c>
      <c r="R1092" t="s">
        <v>46</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c r="AJ1092">
        <f t="shared" si="17"/>
        <v>0</v>
      </c>
      <c r="AK1092" t="str" cm="1">
        <f t="array" ref="AK1092">_xlfn.IFS(A1092&lt;=30,"18-30",A1092&lt;=45,"31-45",A1092&lt;=60,"46-60",TRUE, "60+")</f>
        <v>18-30</v>
      </c>
      <c r="AL1092" t="str" cm="1">
        <f t="array" ref="AL1092">_xlfn.IFS(F1092&lt;=10,"0-10",F1092&lt;=20,"11-20",TRUE,"20+")</f>
        <v>0-10</v>
      </c>
      <c r="AM1092" t="str" cm="1">
        <f t="array" ref="AM1092">_xlfn.IFS(S1092&lt;=5000,"0-5k",S1092&lt;=10000,"5k-10k",S1092&lt;=15000,"10k-15k",TRUE,"15k+")</f>
        <v>5k-10k</v>
      </c>
      <c r="AN1092" t="str" cm="1">
        <f t="array" ref="AN1092">_xlfn.IFS(AF1092&lt;=10,"0-10",AF1092&lt;=20,"10-20",AF1092&lt;=30,"20-30",TRUE,"30+")</f>
        <v>0-10</v>
      </c>
      <c r="AO1092" t="str" cm="1">
        <f t="array" ref="AO1092">_xlfn.IFS(Y1092=1,"Poor",Y1092=2,"Average",Y1092=3,"Good",TRUE,"Excellent")</f>
        <v>Good</v>
      </c>
      <c r="AP1092" t="str" cm="1">
        <f t="array" ref="AP1092">_xlfn.IFS(Q1092=1,"Low",Q1092=2,"Medium",Q1092=3,"High",TRUE,"Very High")</f>
        <v>Low</v>
      </c>
    </row>
    <row r="1093" spans="1:42" x14ac:dyDescent="0.25">
      <c r="A1093">
        <v>33</v>
      </c>
      <c r="B1093" t="s">
        <v>42</v>
      </c>
      <c r="C1093" t="s">
        <v>90</v>
      </c>
      <c r="D1093">
        <v>575</v>
      </c>
      <c r="E1093" t="s">
        <v>43</v>
      </c>
      <c r="F1093">
        <v>25</v>
      </c>
      <c r="G1093">
        <v>3</v>
      </c>
      <c r="H1093" t="s">
        <v>37</v>
      </c>
      <c r="I1093">
        <v>1</v>
      </c>
      <c r="J1093">
        <v>1545</v>
      </c>
      <c r="K1093">
        <v>4</v>
      </c>
      <c r="L1093" t="s">
        <v>44</v>
      </c>
      <c r="M1093">
        <v>44</v>
      </c>
      <c r="N1093">
        <v>2</v>
      </c>
      <c r="O1093">
        <v>2</v>
      </c>
      <c r="P1093" t="s">
        <v>51</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c r="AJ1093">
        <f t="shared" si="17"/>
        <v>0</v>
      </c>
      <c r="AK1093" t="str" cm="1">
        <f t="array" ref="AK1093">_xlfn.IFS(A1093&lt;=30,"18-30",A1093&lt;=45,"31-45",A1093&lt;=60,"46-60",TRUE, "60+")</f>
        <v>31-45</v>
      </c>
      <c r="AL1093" t="str" cm="1">
        <f t="array" ref="AL1093">_xlfn.IFS(F1093&lt;=10,"0-10",F1093&lt;=20,"11-20",TRUE,"20+")</f>
        <v>20+</v>
      </c>
      <c r="AM1093" t="str" cm="1">
        <f t="array" ref="AM1093">_xlfn.IFS(S1093&lt;=5000,"0-5k",S1093&lt;=10000,"5k-10k",S1093&lt;=15000,"10k-15k",TRUE,"15k+")</f>
        <v>0-5k</v>
      </c>
      <c r="AN1093" t="str" cm="1">
        <f t="array" ref="AN1093">_xlfn.IFS(AF1093&lt;=10,"0-10",AF1093&lt;=20,"10-20",AF1093&lt;=30,"20-30",TRUE,"30+")</f>
        <v>0-10</v>
      </c>
      <c r="AO1093" t="str" cm="1">
        <f t="array" ref="AO1093">_xlfn.IFS(Y1093=1,"Poor",Y1093=2,"Average",Y1093=3,"Good",TRUE,"Excellent")</f>
        <v>Good</v>
      </c>
      <c r="AP1093" t="str" cm="1">
        <f t="array" ref="AP1093">_xlfn.IFS(Q1093=1,"Low",Q1093=2,"Medium",Q1093=3,"High",TRUE,"Very High")</f>
        <v>Medium</v>
      </c>
    </row>
    <row r="1094" spans="1:42" x14ac:dyDescent="0.25">
      <c r="A1094">
        <v>45</v>
      </c>
      <c r="B1094" t="s">
        <v>42</v>
      </c>
      <c r="C1094" t="s">
        <v>90</v>
      </c>
      <c r="D1094">
        <v>950</v>
      </c>
      <c r="E1094" t="s">
        <v>43</v>
      </c>
      <c r="F1094">
        <v>28</v>
      </c>
      <c r="G1094">
        <v>3</v>
      </c>
      <c r="H1094" t="s">
        <v>58</v>
      </c>
      <c r="I1094">
        <v>1</v>
      </c>
      <c r="J1094">
        <v>1546</v>
      </c>
      <c r="K1094">
        <v>4</v>
      </c>
      <c r="L1094" t="s">
        <v>44</v>
      </c>
      <c r="M1094">
        <v>97</v>
      </c>
      <c r="N1094">
        <v>3</v>
      </c>
      <c r="O1094">
        <v>1</v>
      </c>
      <c r="P1094" t="s">
        <v>45</v>
      </c>
      <c r="Q1094">
        <v>4</v>
      </c>
      <c r="R1094" t="s">
        <v>46</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c r="AJ1094">
        <f t="shared" si="17"/>
        <v>0</v>
      </c>
      <c r="AK1094" t="str" cm="1">
        <f t="array" ref="AK1094">_xlfn.IFS(A1094&lt;=30,"18-30",A1094&lt;=45,"31-45",A1094&lt;=60,"46-60",TRUE, "60+")</f>
        <v>31-45</v>
      </c>
      <c r="AL1094" t="str" cm="1">
        <f t="array" ref="AL1094">_xlfn.IFS(F1094&lt;=10,"0-10",F1094&lt;=20,"11-20",TRUE,"20+")</f>
        <v>20+</v>
      </c>
      <c r="AM1094" t="str" cm="1">
        <f t="array" ref="AM1094">_xlfn.IFS(S1094&lt;=5000,"0-5k",S1094&lt;=10000,"5k-10k",S1094&lt;=15000,"10k-15k",TRUE,"15k+")</f>
        <v>0-5k</v>
      </c>
      <c r="AN1094" t="str" cm="1">
        <f t="array" ref="AN1094">_xlfn.IFS(AF1094&lt;=10,"0-10",AF1094&lt;=20,"10-20",AF1094&lt;=30,"20-30",TRUE,"30+")</f>
        <v>0-10</v>
      </c>
      <c r="AO1094" t="str" cm="1">
        <f t="array" ref="AO1094">_xlfn.IFS(Y1094=1,"Poor",Y1094=2,"Average",Y1094=3,"Good",TRUE,"Excellent")</f>
        <v>Excellent</v>
      </c>
      <c r="AP1094" t="str" cm="1">
        <f t="array" ref="AP1094">_xlfn.IFS(Q1094=1,"Low",Q1094=2,"Medium",Q1094=3,"High",TRUE,"Very High")</f>
        <v>Very High</v>
      </c>
    </row>
    <row r="1095" spans="1:42" x14ac:dyDescent="0.25">
      <c r="A1095">
        <v>42</v>
      </c>
      <c r="B1095" t="s">
        <v>42</v>
      </c>
      <c r="C1095" t="s">
        <v>91</v>
      </c>
      <c r="D1095">
        <v>288</v>
      </c>
      <c r="E1095" t="s">
        <v>43</v>
      </c>
      <c r="F1095">
        <v>2</v>
      </c>
      <c r="G1095">
        <v>3</v>
      </c>
      <c r="H1095" t="s">
        <v>37</v>
      </c>
      <c r="I1095">
        <v>1</v>
      </c>
      <c r="J1095">
        <v>1547</v>
      </c>
      <c r="K1095">
        <v>4</v>
      </c>
      <c r="L1095" t="s">
        <v>44</v>
      </c>
      <c r="M1095">
        <v>40</v>
      </c>
      <c r="N1095">
        <v>3</v>
      </c>
      <c r="O1095">
        <v>3</v>
      </c>
      <c r="P1095" t="s">
        <v>52</v>
      </c>
      <c r="Q1095">
        <v>4</v>
      </c>
      <c r="R1095" t="s">
        <v>46</v>
      </c>
      <c r="S1095">
        <v>10124</v>
      </c>
      <c r="T1095">
        <v>18611</v>
      </c>
      <c r="U1095">
        <v>2</v>
      </c>
      <c r="V1095" t="s">
        <v>41</v>
      </c>
      <c r="W1095" t="s">
        <v>35</v>
      </c>
      <c r="X1095">
        <v>14</v>
      </c>
      <c r="Y1095">
        <v>3</v>
      </c>
      <c r="Z1095">
        <v>3</v>
      </c>
      <c r="AA1095">
        <v>80</v>
      </c>
      <c r="AB1095">
        <v>1</v>
      </c>
      <c r="AC1095">
        <v>24</v>
      </c>
      <c r="AD1095">
        <v>3</v>
      </c>
      <c r="AE1095">
        <v>1</v>
      </c>
      <c r="AF1095">
        <v>20</v>
      </c>
      <c r="AG1095">
        <v>8</v>
      </c>
      <c r="AH1095">
        <v>13</v>
      </c>
      <c r="AI1095">
        <v>9</v>
      </c>
      <c r="AJ1095">
        <f t="shared" si="17"/>
        <v>0</v>
      </c>
      <c r="AK1095" t="str" cm="1">
        <f t="array" ref="AK1095">_xlfn.IFS(A1095&lt;=30,"18-30",A1095&lt;=45,"31-45",A1095&lt;=60,"46-60",TRUE, "60+")</f>
        <v>31-45</v>
      </c>
      <c r="AL1095" t="str" cm="1">
        <f t="array" ref="AL1095">_xlfn.IFS(F1095&lt;=10,"0-10",F1095&lt;=20,"11-20",TRUE,"20+")</f>
        <v>0-10</v>
      </c>
      <c r="AM1095" t="str" cm="1">
        <f t="array" ref="AM1095">_xlfn.IFS(S1095&lt;=5000,"0-5k",S1095&lt;=10000,"5k-10k",S1095&lt;=15000,"10k-15k",TRUE,"15k+")</f>
        <v>10k-15k</v>
      </c>
      <c r="AN1095" t="str" cm="1">
        <f t="array" ref="AN1095">_xlfn.IFS(AF1095&lt;=10,"0-10",AF1095&lt;=20,"10-20",AF1095&lt;=30,"20-30",TRUE,"30+")</f>
        <v>10-20</v>
      </c>
      <c r="AO1095" t="str" cm="1">
        <f t="array" ref="AO1095">_xlfn.IFS(Y1095=1,"Poor",Y1095=2,"Average",Y1095=3,"Good",TRUE,"Excellent")</f>
        <v>Good</v>
      </c>
      <c r="AP1095" t="str" cm="1">
        <f t="array" ref="AP1095">_xlfn.IFS(Q1095=1,"Low",Q1095=2,"Medium",Q1095=3,"High",TRUE,"Very High")</f>
        <v>Very High</v>
      </c>
    </row>
    <row r="1096" spans="1:42" x14ac:dyDescent="0.25">
      <c r="A1096">
        <v>40</v>
      </c>
      <c r="B1096" t="s">
        <v>42</v>
      </c>
      <c r="C1096" t="s">
        <v>90</v>
      </c>
      <c r="D1096">
        <v>1342</v>
      </c>
      <c r="E1096" t="s">
        <v>36</v>
      </c>
      <c r="F1096">
        <v>9</v>
      </c>
      <c r="G1096">
        <v>2</v>
      </c>
      <c r="H1096" t="s">
        <v>49</v>
      </c>
      <c r="I1096">
        <v>1</v>
      </c>
      <c r="J1096">
        <v>1548</v>
      </c>
      <c r="K1096">
        <v>1</v>
      </c>
      <c r="L1096" t="s">
        <v>44</v>
      </c>
      <c r="M1096">
        <v>47</v>
      </c>
      <c r="N1096">
        <v>3</v>
      </c>
      <c r="O1096">
        <v>2</v>
      </c>
      <c r="P1096" t="s">
        <v>39</v>
      </c>
      <c r="Q1096">
        <v>1</v>
      </c>
      <c r="R1096" t="s">
        <v>46</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c r="AJ1096">
        <f t="shared" si="17"/>
        <v>0</v>
      </c>
      <c r="AK1096" t="str" cm="1">
        <f t="array" ref="AK1096">_xlfn.IFS(A1096&lt;=30,"18-30",A1096&lt;=45,"31-45",A1096&lt;=60,"46-60",TRUE, "60+")</f>
        <v>31-45</v>
      </c>
      <c r="AL1096" t="str" cm="1">
        <f t="array" ref="AL1096">_xlfn.IFS(F1096&lt;=10,"0-10",F1096&lt;=20,"11-20",TRUE,"20+")</f>
        <v>0-10</v>
      </c>
      <c r="AM1096" t="str" cm="1">
        <f t="array" ref="AM1096">_xlfn.IFS(S1096&lt;=5000,"0-5k",S1096&lt;=10000,"5k-10k",S1096&lt;=15000,"10k-15k",TRUE,"15k+")</f>
        <v>5k-10k</v>
      </c>
      <c r="AN1096" t="str" cm="1">
        <f t="array" ref="AN1096">_xlfn.IFS(AF1096&lt;=10,"0-10",AF1096&lt;=20,"10-20",AF1096&lt;=30,"20-30",TRUE,"30+")</f>
        <v>0-10</v>
      </c>
      <c r="AO1096" t="str" cm="1">
        <f t="array" ref="AO1096">_xlfn.IFS(Y1096=1,"Poor",Y1096=2,"Average",Y1096=3,"Good",TRUE,"Excellent")</f>
        <v>Good</v>
      </c>
      <c r="AP1096" t="str" cm="1">
        <f t="array" ref="AP1096">_xlfn.IFS(Q1096=1,"Low",Q1096=2,"Medium",Q1096=3,"High",TRUE,"Very High")</f>
        <v>Low</v>
      </c>
    </row>
    <row r="1097" spans="1:42" x14ac:dyDescent="0.25">
      <c r="A1097">
        <v>33</v>
      </c>
      <c r="B1097" t="s">
        <v>42</v>
      </c>
      <c r="C1097" t="s">
        <v>90</v>
      </c>
      <c r="D1097">
        <v>589</v>
      </c>
      <c r="E1097" t="s">
        <v>43</v>
      </c>
      <c r="F1097">
        <v>28</v>
      </c>
      <c r="G1097">
        <v>4</v>
      </c>
      <c r="H1097" t="s">
        <v>37</v>
      </c>
      <c r="I1097">
        <v>1</v>
      </c>
      <c r="J1097">
        <v>1549</v>
      </c>
      <c r="K1097">
        <v>2</v>
      </c>
      <c r="L1097" t="s">
        <v>44</v>
      </c>
      <c r="M1097">
        <v>79</v>
      </c>
      <c r="N1097">
        <v>3</v>
      </c>
      <c r="O1097">
        <v>2</v>
      </c>
      <c r="P1097" t="s">
        <v>48</v>
      </c>
      <c r="Q1097">
        <v>3</v>
      </c>
      <c r="R1097" t="s">
        <v>46</v>
      </c>
      <c r="S1097">
        <v>5207</v>
      </c>
      <c r="T1097">
        <v>22949</v>
      </c>
      <c r="U1097">
        <v>1</v>
      </c>
      <c r="V1097" t="s">
        <v>41</v>
      </c>
      <c r="W1097" t="s">
        <v>35</v>
      </c>
      <c r="X1097">
        <v>12</v>
      </c>
      <c r="Y1097">
        <v>3</v>
      </c>
      <c r="Z1097">
        <v>2</v>
      </c>
      <c r="AA1097">
        <v>80</v>
      </c>
      <c r="AB1097">
        <v>1</v>
      </c>
      <c r="AC1097">
        <v>15</v>
      </c>
      <c r="AD1097">
        <v>3</v>
      </c>
      <c r="AE1097">
        <v>3</v>
      </c>
      <c r="AF1097">
        <v>15</v>
      </c>
      <c r="AG1097">
        <v>14</v>
      </c>
      <c r="AH1097">
        <v>5</v>
      </c>
      <c r="AI1097">
        <v>7</v>
      </c>
      <c r="AJ1097">
        <f t="shared" si="17"/>
        <v>0</v>
      </c>
      <c r="AK1097" t="str" cm="1">
        <f t="array" ref="AK1097">_xlfn.IFS(A1097&lt;=30,"18-30",A1097&lt;=45,"31-45",A1097&lt;=60,"46-60",TRUE, "60+")</f>
        <v>31-45</v>
      </c>
      <c r="AL1097" t="str" cm="1">
        <f t="array" ref="AL1097">_xlfn.IFS(F1097&lt;=10,"0-10",F1097&lt;=20,"11-20",TRUE,"20+")</f>
        <v>20+</v>
      </c>
      <c r="AM1097" t="str" cm="1">
        <f t="array" ref="AM1097">_xlfn.IFS(S1097&lt;=5000,"0-5k",S1097&lt;=10000,"5k-10k",S1097&lt;=15000,"10k-15k",TRUE,"15k+")</f>
        <v>5k-10k</v>
      </c>
      <c r="AN1097" t="str" cm="1">
        <f t="array" ref="AN1097">_xlfn.IFS(AF1097&lt;=10,"0-10",AF1097&lt;=20,"10-20",AF1097&lt;=30,"20-30",TRUE,"30+")</f>
        <v>10-20</v>
      </c>
      <c r="AO1097" t="str" cm="1">
        <f t="array" ref="AO1097">_xlfn.IFS(Y1097=1,"Poor",Y1097=2,"Average",Y1097=3,"Good",TRUE,"Excellent")</f>
        <v>Good</v>
      </c>
      <c r="AP1097" t="str" cm="1">
        <f t="array" ref="AP1097">_xlfn.IFS(Q1097=1,"Low",Q1097=2,"Medium",Q1097=3,"High",TRUE,"Very High")</f>
        <v>High</v>
      </c>
    </row>
    <row r="1098" spans="1:42" x14ac:dyDescent="0.25">
      <c r="A1098">
        <v>40</v>
      </c>
      <c r="B1098" t="s">
        <v>42</v>
      </c>
      <c r="C1098" t="s">
        <v>90</v>
      </c>
      <c r="D1098">
        <v>898</v>
      </c>
      <c r="E1098" t="s">
        <v>59</v>
      </c>
      <c r="F1098">
        <v>6</v>
      </c>
      <c r="G1098">
        <v>2</v>
      </c>
      <c r="H1098" t="s">
        <v>49</v>
      </c>
      <c r="I1098">
        <v>1</v>
      </c>
      <c r="J1098">
        <v>1550</v>
      </c>
      <c r="K1098">
        <v>3</v>
      </c>
      <c r="L1098" t="s">
        <v>44</v>
      </c>
      <c r="M1098">
        <v>38</v>
      </c>
      <c r="N1098">
        <v>3</v>
      </c>
      <c r="O1098">
        <v>4</v>
      </c>
      <c r="P1098" t="s">
        <v>54</v>
      </c>
      <c r="Q1098">
        <v>4</v>
      </c>
      <c r="R1098" t="s">
        <v>40</v>
      </c>
      <c r="S1098">
        <v>16437</v>
      </c>
      <c r="T1098">
        <v>17381</v>
      </c>
      <c r="U1098">
        <v>1</v>
      </c>
      <c r="V1098" t="s">
        <v>41</v>
      </c>
      <c r="W1098" t="s">
        <v>35</v>
      </c>
      <c r="X1098">
        <v>21</v>
      </c>
      <c r="Y1098">
        <v>4</v>
      </c>
      <c r="Z1098">
        <v>4</v>
      </c>
      <c r="AA1098">
        <v>80</v>
      </c>
      <c r="AB1098">
        <v>0</v>
      </c>
      <c r="AC1098">
        <v>21</v>
      </c>
      <c r="AD1098">
        <v>2</v>
      </c>
      <c r="AE1098">
        <v>3</v>
      </c>
      <c r="AF1098">
        <v>21</v>
      </c>
      <c r="AG1098">
        <v>7</v>
      </c>
      <c r="AH1098">
        <v>7</v>
      </c>
      <c r="AI1098">
        <v>7</v>
      </c>
      <c r="AJ1098">
        <f t="shared" si="17"/>
        <v>0</v>
      </c>
      <c r="AK1098" t="str" cm="1">
        <f t="array" ref="AK1098">_xlfn.IFS(A1098&lt;=30,"18-30",A1098&lt;=45,"31-45",A1098&lt;=60,"46-60",TRUE, "60+")</f>
        <v>31-45</v>
      </c>
      <c r="AL1098" t="str" cm="1">
        <f t="array" ref="AL1098">_xlfn.IFS(F1098&lt;=10,"0-10",F1098&lt;=20,"11-20",TRUE,"20+")</f>
        <v>0-10</v>
      </c>
      <c r="AM1098" t="str" cm="1">
        <f t="array" ref="AM1098">_xlfn.IFS(S1098&lt;=5000,"0-5k",S1098&lt;=10000,"5k-10k",S1098&lt;=15000,"10k-15k",TRUE,"15k+")</f>
        <v>15k+</v>
      </c>
      <c r="AN1098" t="str" cm="1">
        <f t="array" ref="AN1098">_xlfn.IFS(AF1098&lt;=10,"0-10",AF1098&lt;=20,"10-20",AF1098&lt;=30,"20-30",TRUE,"30+")</f>
        <v>20-30</v>
      </c>
      <c r="AO1098" t="str" cm="1">
        <f t="array" ref="AO1098">_xlfn.IFS(Y1098=1,"Poor",Y1098=2,"Average",Y1098=3,"Good",TRUE,"Excellent")</f>
        <v>Excellent</v>
      </c>
      <c r="AP1098" t="str" cm="1">
        <f t="array" ref="AP1098">_xlfn.IFS(Q1098=1,"Low",Q1098=2,"Medium",Q1098=3,"High",TRUE,"Very High")</f>
        <v>Very High</v>
      </c>
    </row>
    <row r="1099" spans="1:42" x14ac:dyDescent="0.25">
      <c r="A1099">
        <v>24</v>
      </c>
      <c r="B1099" t="s">
        <v>42</v>
      </c>
      <c r="C1099" t="s">
        <v>90</v>
      </c>
      <c r="D1099">
        <v>350</v>
      </c>
      <c r="E1099" t="s">
        <v>43</v>
      </c>
      <c r="F1099">
        <v>21</v>
      </c>
      <c r="G1099">
        <v>2</v>
      </c>
      <c r="H1099" t="s">
        <v>58</v>
      </c>
      <c r="I1099">
        <v>1</v>
      </c>
      <c r="J1099">
        <v>1551</v>
      </c>
      <c r="K1099">
        <v>3</v>
      </c>
      <c r="L1099" t="s">
        <v>44</v>
      </c>
      <c r="M1099">
        <v>57</v>
      </c>
      <c r="N1099">
        <v>2</v>
      </c>
      <c r="O1099">
        <v>1</v>
      </c>
      <c r="P1099" t="s">
        <v>48</v>
      </c>
      <c r="Q1099">
        <v>1</v>
      </c>
      <c r="R1099" t="s">
        <v>50</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c r="AJ1099">
        <f t="shared" si="17"/>
        <v>0</v>
      </c>
      <c r="AK1099" t="str" cm="1">
        <f t="array" ref="AK1099">_xlfn.IFS(A1099&lt;=30,"18-30",A1099&lt;=45,"31-45",A1099&lt;=60,"46-60",TRUE, "60+")</f>
        <v>18-30</v>
      </c>
      <c r="AL1099" t="str" cm="1">
        <f t="array" ref="AL1099">_xlfn.IFS(F1099&lt;=10,"0-10",F1099&lt;=20,"11-20",TRUE,"20+")</f>
        <v>20+</v>
      </c>
      <c r="AM1099" t="str" cm="1">
        <f t="array" ref="AM1099">_xlfn.IFS(S1099&lt;=5000,"0-5k",S1099&lt;=10000,"5k-10k",S1099&lt;=15000,"10k-15k",TRUE,"15k+")</f>
        <v>0-5k</v>
      </c>
      <c r="AN1099" t="str" cm="1">
        <f t="array" ref="AN1099">_xlfn.IFS(AF1099&lt;=10,"0-10",AF1099&lt;=20,"10-20",AF1099&lt;=30,"20-30",TRUE,"30+")</f>
        <v>0-10</v>
      </c>
      <c r="AO1099" t="str" cm="1">
        <f t="array" ref="AO1099">_xlfn.IFS(Y1099=1,"Poor",Y1099=2,"Average",Y1099=3,"Good",TRUE,"Excellent")</f>
        <v>Good</v>
      </c>
      <c r="AP1099" t="str" cm="1">
        <f t="array" ref="AP1099">_xlfn.IFS(Q1099=1,"Low",Q1099=2,"Medium",Q1099=3,"High",TRUE,"Very High")</f>
        <v>Low</v>
      </c>
    </row>
    <row r="1100" spans="1:42" x14ac:dyDescent="0.25">
      <c r="A1100">
        <v>40</v>
      </c>
      <c r="B1100" t="s">
        <v>42</v>
      </c>
      <c r="C1100" t="s">
        <v>53</v>
      </c>
      <c r="D1100">
        <v>1142</v>
      </c>
      <c r="E1100" t="s">
        <v>43</v>
      </c>
      <c r="F1100">
        <v>8</v>
      </c>
      <c r="G1100">
        <v>2</v>
      </c>
      <c r="H1100" t="s">
        <v>37</v>
      </c>
      <c r="I1100">
        <v>1</v>
      </c>
      <c r="J1100">
        <v>1552</v>
      </c>
      <c r="K1100">
        <v>4</v>
      </c>
      <c r="L1100" t="s">
        <v>44</v>
      </c>
      <c r="M1100">
        <v>72</v>
      </c>
      <c r="N1100">
        <v>3</v>
      </c>
      <c r="O1100">
        <v>2</v>
      </c>
      <c r="P1100" t="s">
        <v>52</v>
      </c>
      <c r="Q1100">
        <v>4</v>
      </c>
      <c r="R1100" t="s">
        <v>50</v>
      </c>
      <c r="S1100">
        <v>4069</v>
      </c>
      <c r="T1100">
        <v>8841</v>
      </c>
      <c r="U1100">
        <v>3</v>
      </c>
      <c r="V1100" t="s">
        <v>41</v>
      </c>
      <c r="W1100" t="s">
        <v>35</v>
      </c>
      <c r="X1100">
        <v>18</v>
      </c>
      <c r="Y1100">
        <v>3</v>
      </c>
      <c r="Z1100">
        <v>3</v>
      </c>
      <c r="AA1100">
        <v>80</v>
      </c>
      <c r="AB1100">
        <v>0</v>
      </c>
      <c r="AC1100">
        <v>8</v>
      </c>
      <c r="AD1100">
        <v>2</v>
      </c>
      <c r="AE1100">
        <v>3</v>
      </c>
      <c r="AF1100">
        <v>2</v>
      </c>
      <c r="AG1100">
        <v>2</v>
      </c>
      <c r="AH1100">
        <v>2</v>
      </c>
      <c r="AI1100">
        <v>2</v>
      </c>
      <c r="AJ1100">
        <f t="shared" si="17"/>
        <v>0</v>
      </c>
      <c r="AK1100" t="str" cm="1">
        <f t="array" ref="AK1100">_xlfn.IFS(A1100&lt;=30,"18-30",A1100&lt;=45,"31-45",A1100&lt;=60,"46-60",TRUE, "60+")</f>
        <v>31-45</v>
      </c>
      <c r="AL1100" t="str" cm="1">
        <f t="array" ref="AL1100">_xlfn.IFS(F1100&lt;=10,"0-10",F1100&lt;=20,"11-20",TRUE,"20+")</f>
        <v>0-10</v>
      </c>
      <c r="AM1100" t="str" cm="1">
        <f t="array" ref="AM1100">_xlfn.IFS(S1100&lt;=5000,"0-5k",S1100&lt;=10000,"5k-10k",S1100&lt;=15000,"10k-15k",TRUE,"15k+")</f>
        <v>0-5k</v>
      </c>
      <c r="AN1100" t="str" cm="1">
        <f t="array" ref="AN1100">_xlfn.IFS(AF1100&lt;=10,"0-10",AF1100&lt;=20,"10-20",AF1100&lt;=30,"20-30",TRUE,"30+")</f>
        <v>0-10</v>
      </c>
      <c r="AO1100" t="str" cm="1">
        <f t="array" ref="AO1100">_xlfn.IFS(Y1100=1,"Poor",Y1100=2,"Average",Y1100=3,"Good",TRUE,"Excellent")</f>
        <v>Good</v>
      </c>
      <c r="AP1100" t="str" cm="1">
        <f t="array" ref="AP1100">_xlfn.IFS(Q1100=1,"Low",Q1100=2,"Medium",Q1100=3,"High",TRUE,"Very High")</f>
        <v>Very High</v>
      </c>
    </row>
    <row r="1101" spans="1:42" x14ac:dyDescent="0.25">
      <c r="A1101">
        <v>45</v>
      </c>
      <c r="B1101" t="s">
        <v>42</v>
      </c>
      <c r="C1101" t="s">
        <v>90</v>
      </c>
      <c r="D1101">
        <v>538</v>
      </c>
      <c r="E1101" t="s">
        <v>43</v>
      </c>
      <c r="F1101">
        <v>1</v>
      </c>
      <c r="G1101">
        <v>4</v>
      </c>
      <c r="H1101" t="s">
        <v>58</v>
      </c>
      <c r="I1101">
        <v>1</v>
      </c>
      <c r="J1101">
        <v>1553</v>
      </c>
      <c r="K1101">
        <v>1</v>
      </c>
      <c r="L1101" t="s">
        <v>44</v>
      </c>
      <c r="M1101">
        <v>66</v>
      </c>
      <c r="N1101">
        <v>3</v>
      </c>
      <c r="O1101">
        <v>3</v>
      </c>
      <c r="P1101" t="s">
        <v>52</v>
      </c>
      <c r="Q1101">
        <v>2</v>
      </c>
      <c r="R1101" t="s">
        <v>50</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c r="AJ1101">
        <f t="shared" si="17"/>
        <v>0</v>
      </c>
      <c r="AK1101" t="str" cm="1">
        <f t="array" ref="AK1101">_xlfn.IFS(A1101&lt;=30,"18-30",A1101&lt;=45,"31-45",A1101&lt;=60,"46-60",TRUE, "60+")</f>
        <v>31-45</v>
      </c>
      <c r="AL1101" t="str" cm="1">
        <f t="array" ref="AL1101">_xlfn.IFS(F1101&lt;=10,"0-10",F1101&lt;=20,"11-20",TRUE,"20+")</f>
        <v>0-10</v>
      </c>
      <c r="AM1101" t="str" cm="1">
        <f t="array" ref="AM1101">_xlfn.IFS(S1101&lt;=5000,"0-5k",S1101&lt;=10000,"5k-10k",S1101&lt;=15000,"10k-15k",TRUE,"15k+")</f>
        <v>5k-10k</v>
      </c>
      <c r="AN1101" t="str" cm="1">
        <f t="array" ref="AN1101">_xlfn.IFS(AF1101&lt;=10,"0-10",AF1101&lt;=20,"10-20",AF1101&lt;=30,"20-30",TRUE,"30+")</f>
        <v>0-10</v>
      </c>
      <c r="AO1101" t="str" cm="1">
        <f t="array" ref="AO1101">_xlfn.IFS(Y1101=1,"Poor",Y1101=2,"Average",Y1101=3,"Good",TRUE,"Excellent")</f>
        <v>Good</v>
      </c>
      <c r="AP1101" t="str" cm="1">
        <f t="array" ref="AP1101">_xlfn.IFS(Q1101=1,"Low",Q1101=2,"Medium",Q1101=3,"High",TRUE,"Very High")</f>
        <v>Medium</v>
      </c>
    </row>
    <row r="1102" spans="1:42" x14ac:dyDescent="0.25">
      <c r="A1102">
        <v>35</v>
      </c>
      <c r="B1102" t="s">
        <v>42</v>
      </c>
      <c r="C1102" t="s">
        <v>90</v>
      </c>
      <c r="D1102">
        <v>1402</v>
      </c>
      <c r="E1102" t="s">
        <v>36</v>
      </c>
      <c r="F1102">
        <v>28</v>
      </c>
      <c r="G1102">
        <v>4</v>
      </c>
      <c r="H1102" t="s">
        <v>37</v>
      </c>
      <c r="I1102">
        <v>1</v>
      </c>
      <c r="J1102">
        <v>1554</v>
      </c>
      <c r="K1102">
        <v>2</v>
      </c>
      <c r="L1102" t="s">
        <v>38</v>
      </c>
      <c r="M1102">
        <v>98</v>
      </c>
      <c r="N1102">
        <v>2</v>
      </c>
      <c r="O1102">
        <v>1</v>
      </c>
      <c r="P1102" t="s">
        <v>55</v>
      </c>
      <c r="Q1102">
        <v>3</v>
      </c>
      <c r="R1102" t="s">
        <v>46</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c r="AJ1102">
        <f t="shared" si="17"/>
        <v>0</v>
      </c>
      <c r="AK1102" t="str" cm="1">
        <f t="array" ref="AK1102">_xlfn.IFS(A1102&lt;=30,"18-30",A1102&lt;=45,"31-45",A1102&lt;=60,"46-60",TRUE, "60+")</f>
        <v>31-45</v>
      </c>
      <c r="AL1102" t="str" cm="1">
        <f t="array" ref="AL1102">_xlfn.IFS(F1102&lt;=10,"0-10",F1102&lt;=20,"11-20",TRUE,"20+")</f>
        <v>20+</v>
      </c>
      <c r="AM1102" t="str" cm="1">
        <f t="array" ref="AM1102">_xlfn.IFS(S1102&lt;=5000,"0-5k",S1102&lt;=10000,"5k-10k",S1102&lt;=15000,"10k-15k",TRUE,"15k+")</f>
        <v>0-5k</v>
      </c>
      <c r="AN1102" t="str" cm="1">
        <f t="array" ref="AN1102">_xlfn.IFS(AF1102&lt;=10,"0-10",AF1102&lt;=20,"10-20",AF1102&lt;=30,"20-30",TRUE,"30+")</f>
        <v>0-10</v>
      </c>
      <c r="AO1102" t="str" cm="1">
        <f t="array" ref="AO1102">_xlfn.IFS(Y1102=1,"Poor",Y1102=2,"Average",Y1102=3,"Good",TRUE,"Excellent")</f>
        <v>Excellent</v>
      </c>
      <c r="AP1102" t="str" cm="1">
        <f t="array" ref="AP1102">_xlfn.IFS(Q1102=1,"Low",Q1102=2,"Medium",Q1102=3,"High",TRUE,"Very High")</f>
        <v>High</v>
      </c>
    </row>
    <row r="1103" spans="1:42" x14ac:dyDescent="0.25">
      <c r="A1103">
        <v>32</v>
      </c>
      <c r="B1103" t="s">
        <v>42</v>
      </c>
      <c r="C1103" t="s">
        <v>90</v>
      </c>
      <c r="D1103">
        <v>824</v>
      </c>
      <c r="E1103" t="s">
        <v>43</v>
      </c>
      <c r="F1103">
        <v>5</v>
      </c>
      <c r="G1103">
        <v>2</v>
      </c>
      <c r="H1103" t="s">
        <v>37</v>
      </c>
      <c r="I1103">
        <v>1</v>
      </c>
      <c r="J1103">
        <v>1555</v>
      </c>
      <c r="K1103">
        <v>4</v>
      </c>
      <c r="L1103" t="s">
        <v>38</v>
      </c>
      <c r="M1103">
        <v>67</v>
      </c>
      <c r="N1103">
        <v>2</v>
      </c>
      <c r="O1103">
        <v>2</v>
      </c>
      <c r="P1103" t="s">
        <v>45</v>
      </c>
      <c r="Q1103">
        <v>2</v>
      </c>
      <c r="R1103" t="s">
        <v>46</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c r="AJ1103">
        <f t="shared" si="17"/>
        <v>0</v>
      </c>
      <c r="AK1103" t="str" cm="1">
        <f t="array" ref="AK1103">_xlfn.IFS(A1103&lt;=30,"18-30",A1103&lt;=45,"31-45",A1103&lt;=60,"46-60",TRUE, "60+")</f>
        <v>31-45</v>
      </c>
      <c r="AL1103" t="str" cm="1">
        <f t="array" ref="AL1103">_xlfn.IFS(F1103&lt;=10,"0-10",F1103&lt;=20,"11-20",TRUE,"20+")</f>
        <v>0-10</v>
      </c>
      <c r="AM1103" t="str" cm="1">
        <f t="array" ref="AM1103">_xlfn.IFS(S1103&lt;=5000,"0-5k",S1103&lt;=10000,"5k-10k",S1103&lt;=15000,"10k-15k",TRUE,"15k+")</f>
        <v>5k-10k</v>
      </c>
      <c r="AN1103" t="str" cm="1">
        <f t="array" ref="AN1103">_xlfn.IFS(AF1103&lt;=10,"0-10",AF1103&lt;=20,"10-20",AF1103&lt;=30,"20-30",TRUE,"30+")</f>
        <v>0-10</v>
      </c>
      <c r="AO1103" t="str" cm="1">
        <f t="array" ref="AO1103">_xlfn.IFS(Y1103=1,"Poor",Y1103=2,"Average",Y1103=3,"Good",TRUE,"Excellent")</f>
        <v>Good</v>
      </c>
      <c r="AP1103" t="str" cm="1">
        <f t="array" ref="AP1103">_xlfn.IFS(Q1103=1,"Low",Q1103=2,"Medium",Q1103=3,"High",TRUE,"Very High")</f>
        <v>Medium</v>
      </c>
    </row>
    <row r="1104" spans="1:42" x14ac:dyDescent="0.25">
      <c r="A1104">
        <v>36</v>
      </c>
      <c r="B1104" t="s">
        <v>42</v>
      </c>
      <c r="C1104" t="s">
        <v>90</v>
      </c>
      <c r="D1104">
        <v>1157</v>
      </c>
      <c r="E1104" t="s">
        <v>36</v>
      </c>
      <c r="F1104">
        <v>2</v>
      </c>
      <c r="G1104">
        <v>4</v>
      </c>
      <c r="H1104" t="s">
        <v>37</v>
      </c>
      <c r="I1104">
        <v>1</v>
      </c>
      <c r="J1104">
        <v>1556</v>
      </c>
      <c r="K1104">
        <v>3</v>
      </c>
      <c r="L1104" t="s">
        <v>44</v>
      </c>
      <c r="M1104">
        <v>70</v>
      </c>
      <c r="N1104">
        <v>3</v>
      </c>
      <c r="O1104">
        <v>1</v>
      </c>
      <c r="P1104" t="s">
        <v>55</v>
      </c>
      <c r="Q1104">
        <v>4</v>
      </c>
      <c r="R1104" t="s">
        <v>40</v>
      </c>
      <c r="S1104">
        <v>2644</v>
      </c>
      <c r="T1104">
        <v>17001</v>
      </c>
      <c r="U1104">
        <v>3</v>
      </c>
      <c r="V1104" t="s">
        <v>41</v>
      </c>
      <c r="W1104" t="s">
        <v>35</v>
      </c>
      <c r="X1104">
        <v>21</v>
      </c>
      <c r="Y1104">
        <v>4</v>
      </c>
      <c r="Z1104">
        <v>4</v>
      </c>
      <c r="AA1104">
        <v>80</v>
      </c>
      <c r="AB1104">
        <v>0</v>
      </c>
      <c r="AC1104">
        <v>7</v>
      </c>
      <c r="AD1104">
        <v>3</v>
      </c>
      <c r="AE1104">
        <v>2</v>
      </c>
      <c r="AF1104">
        <v>3</v>
      </c>
      <c r="AG1104">
        <v>2</v>
      </c>
      <c r="AH1104">
        <v>1</v>
      </c>
      <c r="AI1104">
        <v>2</v>
      </c>
      <c r="AJ1104">
        <f t="shared" si="17"/>
        <v>0</v>
      </c>
      <c r="AK1104" t="str" cm="1">
        <f t="array" ref="AK1104">_xlfn.IFS(A1104&lt;=30,"18-30",A1104&lt;=45,"31-45",A1104&lt;=60,"46-60",TRUE, "60+")</f>
        <v>31-45</v>
      </c>
      <c r="AL1104" t="str" cm="1">
        <f t="array" ref="AL1104">_xlfn.IFS(F1104&lt;=10,"0-10",F1104&lt;=20,"11-20",TRUE,"20+")</f>
        <v>0-10</v>
      </c>
      <c r="AM1104" t="str" cm="1">
        <f t="array" ref="AM1104">_xlfn.IFS(S1104&lt;=5000,"0-5k",S1104&lt;=10000,"5k-10k",S1104&lt;=15000,"10k-15k",TRUE,"15k+")</f>
        <v>0-5k</v>
      </c>
      <c r="AN1104" t="str" cm="1">
        <f t="array" ref="AN1104">_xlfn.IFS(AF1104&lt;=10,"0-10",AF1104&lt;=20,"10-20",AF1104&lt;=30,"20-30",TRUE,"30+")</f>
        <v>0-10</v>
      </c>
      <c r="AO1104" t="str" cm="1">
        <f t="array" ref="AO1104">_xlfn.IFS(Y1104=1,"Poor",Y1104=2,"Average",Y1104=3,"Good",TRUE,"Excellent")</f>
        <v>Excellent</v>
      </c>
      <c r="AP1104" t="str" cm="1">
        <f t="array" ref="AP1104">_xlfn.IFS(Q1104=1,"Low",Q1104=2,"Medium",Q1104=3,"High",TRUE,"Very High")</f>
        <v>Very High</v>
      </c>
    </row>
    <row r="1105" spans="1:42" x14ac:dyDescent="0.25">
      <c r="A1105">
        <v>48</v>
      </c>
      <c r="B1105" t="s">
        <v>42</v>
      </c>
      <c r="C1105" t="s">
        <v>90</v>
      </c>
      <c r="D1105">
        <v>492</v>
      </c>
      <c r="E1105" t="s">
        <v>36</v>
      </c>
      <c r="F1105">
        <v>16</v>
      </c>
      <c r="G1105">
        <v>4</v>
      </c>
      <c r="H1105" t="s">
        <v>37</v>
      </c>
      <c r="I1105">
        <v>1</v>
      </c>
      <c r="J1105">
        <v>1557</v>
      </c>
      <c r="K1105">
        <v>3</v>
      </c>
      <c r="L1105" t="s">
        <v>38</v>
      </c>
      <c r="M1105">
        <v>96</v>
      </c>
      <c r="N1105">
        <v>3</v>
      </c>
      <c r="O1105">
        <v>2</v>
      </c>
      <c r="P1105" t="s">
        <v>39</v>
      </c>
      <c r="Q1105">
        <v>3</v>
      </c>
      <c r="R1105" t="s">
        <v>50</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c r="AJ1105">
        <f t="shared" si="17"/>
        <v>0</v>
      </c>
      <c r="AK1105" t="str" cm="1">
        <f t="array" ref="AK1105">_xlfn.IFS(A1105&lt;=30,"18-30",A1105&lt;=45,"31-45",A1105&lt;=60,"46-60",TRUE, "60+")</f>
        <v>46-60</v>
      </c>
      <c r="AL1105" t="str" cm="1">
        <f t="array" ref="AL1105">_xlfn.IFS(F1105&lt;=10,"0-10",F1105&lt;=20,"11-20",TRUE,"20+")</f>
        <v>11-20</v>
      </c>
      <c r="AM1105" t="str" cm="1">
        <f t="array" ref="AM1105">_xlfn.IFS(S1105&lt;=5000,"0-5k",S1105&lt;=10000,"5k-10k",S1105&lt;=15000,"10k-15k",TRUE,"15k+")</f>
        <v>5k-10k</v>
      </c>
      <c r="AN1105" t="str" cm="1">
        <f t="array" ref="AN1105">_xlfn.IFS(AF1105&lt;=10,"0-10",AF1105&lt;=20,"10-20",AF1105&lt;=30,"20-30",TRUE,"30+")</f>
        <v>0-10</v>
      </c>
      <c r="AO1105" t="str" cm="1">
        <f t="array" ref="AO1105">_xlfn.IFS(Y1105=1,"Poor",Y1105=2,"Average",Y1105=3,"Good",TRUE,"Excellent")</f>
        <v>Good</v>
      </c>
      <c r="AP1105" t="str" cm="1">
        <f t="array" ref="AP1105">_xlfn.IFS(Q1105=1,"Low",Q1105=2,"Medium",Q1105=3,"High",TRUE,"Very High")</f>
        <v>High</v>
      </c>
    </row>
    <row r="1106" spans="1:42" x14ac:dyDescent="0.25">
      <c r="A1106">
        <v>29</v>
      </c>
      <c r="B1106" t="s">
        <v>42</v>
      </c>
      <c r="C1106" t="s">
        <v>90</v>
      </c>
      <c r="D1106">
        <v>598</v>
      </c>
      <c r="E1106" t="s">
        <v>43</v>
      </c>
      <c r="F1106">
        <v>9</v>
      </c>
      <c r="G1106">
        <v>3</v>
      </c>
      <c r="H1106" t="s">
        <v>37</v>
      </c>
      <c r="I1106">
        <v>1</v>
      </c>
      <c r="J1106">
        <v>1558</v>
      </c>
      <c r="K1106">
        <v>3</v>
      </c>
      <c r="L1106" t="s">
        <v>44</v>
      </c>
      <c r="M1106">
        <v>91</v>
      </c>
      <c r="N1106">
        <v>4</v>
      </c>
      <c r="O1106">
        <v>1</v>
      </c>
      <c r="P1106" t="s">
        <v>45</v>
      </c>
      <c r="Q1106">
        <v>3</v>
      </c>
      <c r="R1106" t="s">
        <v>46</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c r="AJ1106">
        <f t="shared" si="17"/>
        <v>0</v>
      </c>
      <c r="AK1106" t="str" cm="1">
        <f t="array" ref="AK1106">_xlfn.IFS(A1106&lt;=30,"18-30",A1106&lt;=45,"31-45",A1106&lt;=60,"46-60",TRUE, "60+")</f>
        <v>18-30</v>
      </c>
      <c r="AL1106" t="str" cm="1">
        <f t="array" ref="AL1106">_xlfn.IFS(F1106&lt;=10,"0-10",F1106&lt;=20,"11-20",TRUE,"20+")</f>
        <v>0-10</v>
      </c>
      <c r="AM1106" t="str" cm="1">
        <f t="array" ref="AM1106">_xlfn.IFS(S1106&lt;=5000,"0-5k",S1106&lt;=10000,"5k-10k",S1106&lt;=15000,"10k-15k",TRUE,"15k+")</f>
        <v>0-5k</v>
      </c>
      <c r="AN1106" t="str" cm="1">
        <f t="array" ref="AN1106">_xlfn.IFS(AF1106&lt;=10,"0-10",AF1106&lt;=20,"10-20",AF1106&lt;=30,"20-30",TRUE,"30+")</f>
        <v>0-10</v>
      </c>
      <c r="AO1106" t="str" cm="1">
        <f t="array" ref="AO1106">_xlfn.IFS(Y1106=1,"Poor",Y1106=2,"Average",Y1106=3,"Good",TRUE,"Excellent")</f>
        <v>Good</v>
      </c>
      <c r="AP1106" t="str" cm="1">
        <f t="array" ref="AP1106">_xlfn.IFS(Q1106=1,"Low",Q1106=2,"Medium",Q1106=3,"High",TRUE,"Very High")</f>
        <v>High</v>
      </c>
    </row>
    <row r="1107" spans="1:42" x14ac:dyDescent="0.25">
      <c r="A1107">
        <v>33</v>
      </c>
      <c r="B1107" t="s">
        <v>42</v>
      </c>
      <c r="C1107" t="s">
        <v>90</v>
      </c>
      <c r="D1107">
        <v>1242</v>
      </c>
      <c r="E1107" t="s">
        <v>36</v>
      </c>
      <c r="F1107">
        <v>8</v>
      </c>
      <c r="G1107">
        <v>4</v>
      </c>
      <c r="H1107" t="s">
        <v>37</v>
      </c>
      <c r="I1107">
        <v>1</v>
      </c>
      <c r="J1107">
        <v>1560</v>
      </c>
      <c r="K1107">
        <v>1</v>
      </c>
      <c r="L1107" t="s">
        <v>44</v>
      </c>
      <c r="M1107">
        <v>46</v>
      </c>
      <c r="N1107">
        <v>3</v>
      </c>
      <c r="O1107">
        <v>2</v>
      </c>
      <c r="P1107" t="s">
        <v>39</v>
      </c>
      <c r="Q1107">
        <v>1</v>
      </c>
      <c r="R1107" t="s">
        <v>46</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c r="AJ1107">
        <f t="shared" si="17"/>
        <v>0</v>
      </c>
      <c r="AK1107" t="str" cm="1">
        <f t="array" ref="AK1107">_xlfn.IFS(A1107&lt;=30,"18-30",A1107&lt;=45,"31-45",A1107&lt;=60,"46-60",TRUE, "60+")</f>
        <v>31-45</v>
      </c>
      <c r="AL1107" t="str" cm="1">
        <f t="array" ref="AL1107">_xlfn.IFS(F1107&lt;=10,"0-10",F1107&lt;=20,"11-20",TRUE,"20+")</f>
        <v>0-10</v>
      </c>
      <c r="AM1107" t="str" cm="1">
        <f t="array" ref="AM1107">_xlfn.IFS(S1107&lt;=5000,"0-5k",S1107&lt;=10000,"5k-10k",S1107&lt;=15000,"10k-15k",TRUE,"15k+")</f>
        <v>5k-10k</v>
      </c>
      <c r="AN1107" t="str" cm="1">
        <f t="array" ref="AN1107">_xlfn.IFS(AF1107&lt;=10,"0-10",AF1107&lt;=20,"10-20",AF1107&lt;=30,"20-30",TRUE,"30+")</f>
        <v>0-10</v>
      </c>
      <c r="AO1107" t="str" cm="1">
        <f t="array" ref="AO1107">_xlfn.IFS(Y1107=1,"Poor",Y1107=2,"Average",Y1107=3,"Good",TRUE,"Excellent")</f>
        <v>Good</v>
      </c>
      <c r="AP1107" t="str" cm="1">
        <f t="array" ref="AP1107">_xlfn.IFS(Q1107=1,"Low",Q1107=2,"Medium",Q1107=3,"High",TRUE,"Very High")</f>
        <v>Low</v>
      </c>
    </row>
    <row r="1108" spans="1:42" x14ac:dyDescent="0.25">
      <c r="A1108">
        <v>30</v>
      </c>
      <c r="B1108" t="s">
        <v>35</v>
      </c>
      <c r="C1108" t="s">
        <v>90</v>
      </c>
      <c r="D1108">
        <v>740</v>
      </c>
      <c r="E1108" t="s">
        <v>36</v>
      </c>
      <c r="F1108">
        <v>1</v>
      </c>
      <c r="G1108">
        <v>3</v>
      </c>
      <c r="H1108" t="s">
        <v>37</v>
      </c>
      <c r="I1108">
        <v>1</v>
      </c>
      <c r="J1108">
        <v>1562</v>
      </c>
      <c r="K1108">
        <v>2</v>
      </c>
      <c r="L1108" t="s">
        <v>44</v>
      </c>
      <c r="M1108">
        <v>64</v>
      </c>
      <c r="N1108">
        <v>2</v>
      </c>
      <c r="O1108">
        <v>2</v>
      </c>
      <c r="P1108" t="s">
        <v>39</v>
      </c>
      <c r="Q1108">
        <v>1</v>
      </c>
      <c r="R1108" t="s">
        <v>46</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c r="AJ1108">
        <f t="shared" si="17"/>
        <v>1</v>
      </c>
      <c r="AK1108" t="str" cm="1">
        <f t="array" ref="AK1108">_xlfn.IFS(A1108&lt;=30,"18-30",A1108&lt;=45,"31-45",A1108&lt;=60,"46-60",TRUE, "60+")</f>
        <v>18-30</v>
      </c>
      <c r="AL1108" t="str" cm="1">
        <f t="array" ref="AL1108">_xlfn.IFS(F1108&lt;=10,"0-10",F1108&lt;=20,"11-20",TRUE,"20+")</f>
        <v>0-10</v>
      </c>
      <c r="AM1108" t="str" cm="1">
        <f t="array" ref="AM1108">_xlfn.IFS(S1108&lt;=5000,"0-5k",S1108&lt;=10000,"5k-10k",S1108&lt;=15000,"10k-15k",TRUE,"15k+")</f>
        <v>5k-10k</v>
      </c>
      <c r="AN1108" t="str" cm="1">
        <f t="array" ref="AN1108">_xlfn.IFS(AF1108&lt;=10,"0-10",AF1108&lt;=20,"10-20",AF1108&lt;=30,"20-30",TRUE,"30+")</f>
        <v>0-10</v>
      </c>
      <c r="AO1108" t="str" cm="1">
        <f t="array" ref="AO1108">_xlfn.IFS(Y1108=1,"Poor",Y1108=2,"Average",Y1108=3,"Good",TRUE,"Excellent")</f>
        <v>Good</v>
      </c>
      <c r="AP1108" t="str" cm="1">
        <f t="array" ref="AP1108">_xlfn.IFS(Q1108=1,"Low",Q1108=2,"Medium",Q1108=3,"High",TRUE,"Very High")</f>
        <v>Low</v>
      </c>
    </row>
    <row r="1109" spans="1:42" x14ac:dyDescent="0.25">
      <c r="A1109">
        <v>38</v>
      </c>
      <c r="B1109" t="s">
        <v>42</v>
      </c>
      <c r="C1109" t="s">
        <v>91</v>
      </c>
      <c r="D1109">
        <v>888</v>
      </c>
      <c r="E1109" t="s">
        <v>59</v>
      </c>
      <c r="F1109">
        <v>10</v>
      </c>
      <c r="G1109">
        <v>4</v>
      </c>
      <c r="H1109" t="s">
        <v>59</v>
      </c>
      <c r="I1109">
        <v>1</v>
      </c>
      <c r="J1109">
        <v>1563</v>
      </c>
      <c r="K1109">
        <v>3</v>
      </c>
      <c r="L1109" t="s">
        <v>44</v>
      </c>
      <c r="M1109">
        <v>71</v>
      </c>
      <c r="N1109">
        <v>3</v>
      </c>
      <c r="O1109">
        <v>2</v>
      </c>
      <c r="P1109" t="s">
        <v>59</v>
      </c>
      <c r="Q1109">
        <v>3</v>
      </c>
      <c r="R1109" t="s">
        <v>46</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c r="AJ1109">
        <f t="shared" si="17"/>
        <v>0</v>
      </c>
      <c r="AK1109" t="str" cm="1">
        <f t="array" ref="AK1109">_xlfn.IFS(A1109&lt;=30,"18-30",A1109&lt;=45,"31-45",A1109&lt;=60,"46-60",TRUE, "60+")</f>
        <v>31-45</v>
      </c>
      <c r="AL1109" t="str" cm="1">
        <f t="array" ref="AL1109">_xlfn.IFS(F1109&lt;=10,"0-10",F1109&lt;=20,"11-20",TRUE,"20+")</f>
        <v>0-10</v>
      </c>
      <c r="AM1109" t="str" cm="1">
        <f t="array" ref="AM1109">_xlfn.IFS(S1109&lt;=5000,"0-5k",S1109&lt;=10000,"5k-10k",S1109&lt;=15000,"10k-15k",TRUE,"15k+")</f>
        <v>5k-10k</v>
      </c>
      <c r="AN1109" t="str" cm="1">
        <f t="array" ref="AN1109">_xlfn.IFS(AF1109&lt;=10,"0-10",AF1109&lt;=20,"10-20",AF1109&lt;=30,"20-30",TRUE,"30+")</f>
        <v>0-10</v>
      </c>
      <c r="AO1109" t="str" cm="1">
        <f t="array" ref="AO1109">_xlfn.IFS(Y1109=1,"Poor",Y1109=2,"Average",Y1109=3,"Good",TRUE,"Excellent")</f>
        <v>Good</v>
      </c>
      <c r="AP1109" t="str" cm="1">
        <f t="array" ref="AP1109">_xlfn.IFS(Q1109=1,"Low",Q1109=2,"Medium",Q1109=3,"High",TRUE,"Very High")</f>
        <v>High</v>
      </c>
    </row>
    <row r="1110" spans="1:42" x14ac:dyDescent="0.25">
      <c r="A1110">
        <v>35</v>
      </c>
      <c r="B1110" t="s">
        <v>42</v>
      </c>
      <c r="C1110" t="s">
        <v>90</v>
      </c>
      <c r="D1110">
        <v>992</v>
      </c>
      <c r="E1110" t="s">
        <v>43</v>
      </c>
      <c r="F1110">
        <v>1</v>
      </c>
      <c r="G1110">
        <v>3</v>
      </c>
      <c r="H1110" t="s">
        <v>49</v>
      </c>
      <c r="I1110">
        <v>1</v>
      </c>
      <c r="J1110">
        <v>1564</v>
      </c>
      <c r="K1110">
        <v>4</v>
      </c>
      <c r="L1110" t="s">
        <v>44</v>
      </c>
      <c r="M1110">
        <v>68</v>
      </c>
      <c r="N1110">
        <v>2</v>
      </c>
      <c r="O1110">
        <v>1</v>
      </c>
      <c r="P1110" t="s">
        <v>48</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c r="AJ1110">
        <f t="shared" si="17"/>
        <v>0</v>
      </c>
      <c r="AK1110" t="str" cm="1">
        <f t="array" ref="AK1110">_xlfn.IFS(A1110&lt;=30,"18-30",A1110&lt;=45,"31-45",A1110&lt;=60,"46-60",TRUE, "60+")</f>
        <v>31-45</v>
      </c>
      <c r="AL1110" t="str" cm="1">
        <f t="array" ref="AL1110">_xlfn.IFS(F1110&lt;=10,"0-10",F1110&lt;=20,"11-20",TRUE,"20+")</f>
        <v>0-10</v>
      </c>
      <c r="AM1110" t="str" cm="1">
        <f t="array" ref="AM1110">_xlfn.IFS(S1110&lt;=5000,"0-5k",S1110&lt;=10000,"5k-10k",S1110&lt;=15000,"10k-15k",TRUE,"15k+")</f>
        <v>0-5k</v>
      </c>
      <c r="AN1110" t="str" cm="1">
        <f t="array" ref="AN1110">_xlfn.IFS(AF1110&lt;=10,"0-10",AF1110&lt;=20,"10-20",AF1110&lt;=30,"20-30",TRUE,"30+")</f>
        <v>0-10</v>
      </c>
      <c r="AO1110" t="str" cm="1">
        <f t="array" ref="AO1110">_xlfn.IFS(Y1110=1,"Poor",Y1110=2,"Average",Y1110=3,"Good",TRUE,"Excellent")</f>
        <v>Good</v>
      </c>
      <c r="AP1110" t="str" cm="1">
        <f t="array" ref="AP1110">_xlfn.IFS(Q1110=1,"Low",Q1110=2,"Medium",Q1110=3,"High",TRUE,"Very High")</f>
        <v>Low</v>
      </c>
    </row>
    <row r="1111" spans="1:42" x14ac:dyDescent="0.25">
      <c r="A1111">
        <v>30</v>
      </c>
      <c r="B1111" t="s">
        <v>42</v>
      </c>
      <c r="C1111" t="s">
        <v>90</v>
      </c>
      <c r="D1111">
        <v>1288</v>
      </c>
      <c r="E1111" t="s">
        <v>36</v>
      </c>
      <c r="F1111">
        <v>29</v>
      </c>
      <c r="G1111">
        <v>4</v>
      </c>
      <c r="H1111" t="s">
        <v>58</v>
      </c>
      <c r="I1111">
        <v>1</v>
      </c>
      <c r="J1111">
        <v>1568</v>
      </c>
      <c r="K1111">
        <v>3</v>
      </c>
      <c r="L1111" t="s">
        <v>44</v>
      </c>
      <c r="M1111">
        <v>33</v>
      </c>
      <c r="N1111">
        <v>3</v>
      </c>
      <c r="O1111">
        <v>3</v>
      </c>
      <c r="P1111" t="s">
        <v>39</v>
      </c>
      <c r="Q1111">
        <v>2</v>
      </c>
      <c r="R1111" t="s">
        <v>46</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c r="AJ1111">
        <f t="shared" si="17"/>
        <v>0</v>
      </c>
      <c r="AK1111" t="str" cm="1">
        <f t="array" ref="AK1111">_xlfn.IFS(A1111&lt;=30,"18-30",A1111&lt;=45,"31-45",A1111&lt;=60,"46-60",TRUE, "60+")</f>
        <v>18-30</v>
      </c>
      <c r="AL1111" t="str" cm="1">
        <f t="array" ref="AL1111">_xlfn.IFS(F1111&lt;=10,"0-10",F1111&lt;=20,"11-20",TRUE,"20+")</f>
        <v>20+</v>
      </c>
      <c r="AM1111" t="str" cm="1">
        <f t="array" ref="AM1111">_xlfn.IFS(S1111&lt;=5000,"0-5k",S1111&lt;=10000,"5k-10k",S1111&lt;=15000,"10k-15k",TRUE,"15k+")</f>
        <v>5k-10k</v>
      </c>
      <c r="AN1111" t="str" cm="1">
        <f t="array" ref="AN1111">_xlfn.IFS(AF1111&lt;=10,"0-10",AF1111&lt;=20,"10-20",AF1111&lt;=30,"20-30",TRUE,"30+")</f>
        <v>0-10</v>
      </c>
      <c r="AO1111" t="str" cm="1">
        <f t="array" ref="AO1111">_xlfn.IFS(Y1111=1,"Poor",Y1111=2,"Average",Y1111=3,"Good",TRUE,"Excellent")</f>
        <v>Good</v>
      </c>
      <c r="AP1111" t="str" cm="1">
        <f t="array" ref="AP1111">_xlfn.IFS(Q1111=1,"Low",Q1111=2,"Medium",Q1111=3,"High",TRUE,"Very High")</f>
        <v>Medium</v>
      </c>
    </row>
    <row r="1112" spans="1:42" x14ac:dyDescent="0.25">
      <c r="A1112">
        <v>35</v>
      </c>
      <c r="B1112" t="s">
        <v>35</v>
      </c>
      <c r="C1112" t="s">
        <v>90</v>
      </c>
      <c r="D1112">
        <v>104</v>
      </c>
      <c r="E1112" t="s">
        <v>43</v>
      </c>
      <c r="F1112">
        <v>2</v>
      </c>
      <c r="G1112">
        <v>3</v>
      </c>
      <c r="H1112" t="s">
        <v>37</v>
      </c>
      <c r="I1112">
        <v>1</v>
      </c>
      <c r="J1112">
        <v>1569</v>
      </c>
      <c r="K1112">
        <v>1</v>
      </c>
      <c r="L1112" t="s">
        <v>38</v>
      </c>
      <c r="M1112">
        <v>69</v>
      </c>
      <c r="N1112">
        <v>3</v>
      </c>
      <c r="O1112">
        <v>1</v>
      </c>
      <c r="P1112" t="s">
        <v>48</v>
      </c>
      <c r="Q1112">
        <v>1</v>
      </c>
      <c r="R1112" t="s">
        <v>50</v>
      </c>
      <c r="S1112">
        <v>2074</v>
      </c>
      <c r="T1112">
        <v>26619</v>
      </c>
      <c r="U1112">
        <v>1</v>
      </c>
      <c r="V1112" t="s">
        <v>41</v>
      </c>
      <c r="W1112" t="s">
        <v>35</v>
      </c>
      <c r="X1112">
        <v>12</v>
      </c>
      <c r="Y1112">
        <v>3</v>
      </c>
      <c r="Z1112">
        <v>4</v>
      </c>
      <c r="AA1112">
        <v>80</v>
      </c>
      <c r="AB1112">
        <v>1</v>
      </c>
      <c r="AC1112">
        <v>1</v>
      </c>
      <c r="AD1112">
        <v>2</v>
      </c>
      <c r="AE1112">
        <v>3</v>
      </c>
      <c r="AF1112">
        <v>1</v>
      </c>
      <c r="AG1112">
        <v>0</v>
      </c>
      <c r="AH1112">
        <v>0</v>
      </c>
      <c r="AI1112">
        <v>0</v>
      </c>
      <c r="AJ1112">
        <f t="shared" si="17"/>
        <v>1</v>
      </c>
      <c r="AK1112" t="str" cm="1">
        <f t="array" ref="AK1112">_xlfn.IFS(A1112&lt;=30,"18-30",A1112&lt;=45,"31-45",A1112&lt;=60,"46-60",TRUE, "60+")</f>
        <v>31-45</v>
      </c>
      <c r="AL1112" t="str" cm="1">
        <f t="array" ref="AL1112">_xlfn.IFS(F1112&lt;=10,"0-10",F1112&lt;=20,"11-20",TRUE,"20+")</f>
        <v>0-10</v>
      </c>
      <c r="AM1112" t="str" cm="1">
        <f t="array" ref="AM1112">_xlfn.IFS(S1112&lt;=5000,"0-5k",S1112&lt;=10000,"5k-10k",S1112&lt;=15000,"10k-15k",TRUE,"15k+")</f>
        <v>0-5k</v>
      </c>
      <c r="AN1112" t="str" cm="1">
        <f t="array" ref="AN1112">_xlfn.IFS(AF1112&lt;=10,"0-10",AF1112&lt;=20,"10-20",AF1112&lt;=30,"20-30",TRUE,"30+")</f>
        <v>0-10</v>
      </c>
      <c r="AO1112" t="str" cm="1">
        <f t="array" ref="AO1112">_xlfn.IFS(Y1112=1,"Poor",Y1112=2,"Average",Y1112=3,"Good",TRUE,"Excellent")</f>
        <v>Good</v>
      </c>
      <c r="AP1112" t="str" cm="1">
        <f t="array" ref="AP1112">_xlfn.IFS(Q1112=1,"Low",Q1112=2,"Medium",Q1112=3,"High",TRUE,"Very High")</f>
        <v>Low</v>
      </c>
    </row>
    <row r="1113" spans="1:42" x14ac:dyDescent="0.25">
      <c r="A1113">
        <v>53</v>
      </c>
      <c r="B1113" t="s">
        <v>35</v>
      </c>
      <c r="C1113" t="s">
        <v>90</v>
      </c>
      <c r="D1113">
        <v>607</v>
      </c>
      <c r="E1113" t="s">
        <v>43</v>
      </c>
      <c r="F1113">
        <v>2</v>
      </c>
      <c r="G1113">
        <v>5</v>
      </c>
      <c r="H1113" t="s">
        <v>58</v>
      </c>
      <c r="I1113">
        <v>1</v>
      </c>
      <c r="J1113">
        <v>1572</v>
      </c>
      <c r="K1113">
        <v>3</v>
      </c>
      <c r="L1113" t="s">
        <v>38</v>
      </c>
      <c r="M1113">
        <v>78</v>
      </c>
      <c r="N1113">
        <v>2</v>
      </c>
      <c r="O1113">
        <v>3</v>
      </c>
      <c r="P1113" t="s">
        <v>51</v>
      </c>
      <c r="Q1113">
        <v>4</v>
      </c>
      <c r="R1113" t="s">
        <v>46</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c r="AJ1113">
        <f t="shared" si="17"/>
        <v>1</v>
      </c>
      <c r="AK1113" t="str" cm="1">
        <f t="array" ref="AK1113">_xlfn.IFS(A1113&lt;=30,"18-30",A1113&lt;=45,"31-45",A1113&lt;=60,"46-60",TRUE, "60+")</f>
        <v>46-60</v>
      </c>
      <c r="AL1113" t="str" cm="1">
        <f t="array" ref="AL1113">_xlfn.IFS(F1113&lt;=10,"0-10",F1113&lt;=20,"11-20",TRUE,"20+")</f>
        <v>0-10</v>
      </c>
      <c r="AM1113" t="str" cm="1">
        <f t="array" ref="AM1113">_xlfn.IFS(S1113&lt;=5000,"0-5k",S1113&lt;=10000,"5k-10k",S1113&lt;=15000,"10k-15k",TRUE,"15k+")</f>
        <v>10k-15k</v>
      </c>
      <c r="AN1113" t="str" cm="1">
        <f t="array" ref="AN1113">_xlfn.IFS(AF1113&lt;=10,"0-10",AF1113&lt;=20,"10-20",AF1113&lt;=30,"20-30",TRUE,"30+")</f>
        <v>30+</v>
      </c>
      <c r="AO1113" t="str" cm="1">
        <f t="array" ref="AO1113">_xlfn.IFS(Y1113=1,"Poor",Y1113=2,"Average",Y1113=3,"Good",TRUE,"Excellent")</f>
        <v>Good</v>
      </c>
      <c r="AP1113" t="str" cm="1">
        <f t="array" ref="AP1113">_xlfn.IFS(Q1113=1,"Low",Q1113=2,"Medium",Q1113=3,"High",TRUE,"Very High")</f>
        <v>Very High</v>
      </c>
    </row>
    <row r="1114" spans="1:42" x14ac:dyDescent="0.25">
      <c r="A1114">
        <v>38</v>
      </c>
      <c r="B1114" t="s">
        <v>35</v>
      </c>
      <c r="C1114" t="s">
        <v>90</v>
      </c>
      <c r="D1114">
        <v>903</v>
      </c>
      <c r="E1114" t="s">
        <v>43</v>
      </c>
      <c r="F1114">
        <v>2</v>
      </c>
      <c r="G1114">
        <v>3</v>
      </c>
      <c r="H1114" t="s">
        <v>49</v>
      </c>
      <c r="I1114">
        <v>1</v>
      </c>
      <c r="J1114">
        <v>1573</v>
      </c>
      <c r="K1114">
        <v>3</v>
      </c>
      <c r="L1114" t="s">
        <v>44</v>
      </c>
      <c r="M1114">
        <v>81</v>
      </c>
      <c r="N1114">
        <v>3</v>
      </c>
      <c r="O1114">
        <v>2</v>
      </c>
      <c r="P1114" t="s">
        <v>51</v>
      </c>
      <c r="Q1114">
        <v>2</v>
      </c>
      <c r="R1114" t="s">
        <v>46</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c r="AJ1114">
        <f t="shared" si="17"/>
        <v>1</v>
      </c>
      <c r="AK1114" t="str" cm="1">
        <f t="array" ref="AK1114">_xlfn.IFS(A1114&lt;=30,"18-30",A1114&lt;=45,"31-45",A1114&lt;=60,"46-60",TRUE, "60+")</f>
        <v>31-45</v>
      </c>
      <c r="AL1114" t="str" cm="1">
        <f t="array" ref="AL1114">_xlfn.IFS(F1114&lt;=10,"0-10",F1114&lt;=20,"11-20",TRUE,"20+")</f>
        <v>0-10</v>
      </c>
      <c r="AM1114" t="str" cm="1">
        <f t="array" ref="AM1114">_xlfn.IFS(S1114&lt;=5000,"0-5k",S1114&lt;=10000,"5k-10k",S1114&lt;=15000,"10k-15k",TRUE,"15k+")</f>
        <v>0-5k</v>
      </c>
      <c r="AN1114" t="str" cm="1">
        <f t="array" ref="AN1114">_xlfn.IFS(AF1114&lt;=10,"0-10",AF1114&lt;=20,"10-20",AF1114&lt;=30,"20-30",TRUE,"30+")</f>
        <v>0-10</v>
      </c>
      <c r="AO1114" t="str" cm="1">
        <f t="array" ref="AO1114">_xlfn.IFS(Y1114=1,"Poor",Y1114=2,"Average",Y1114=3,"Good",TRUE,"Excellent")</f>
        <v>Good</v>
      </c>
      <c r="AP1114" t="str" cm="1">
        <f t="array" ref="AP1114">_xlfn.IFS(Q1114=1,"Low",Q1114=2,"Medium",Q1114=3,"High",TRUE,"Very High")</f>
        <v>Medium</v>
      </c>
    </row>
    <row r="1115" spans="1:42" x14ac:dyDescent="0.25">
      <c r="A1115">
        <v>32</v>
      </c>
      <c r="B1115" t="s">
        <v>42</v>
      </c>
      <c r="C1115" t="s">
        <v>53</v>
      </c>
      <c r="D1115">
        <v>1200</v>
      </c>
      <c r="E1115" t="s">
        <v>43</v>
      </c>
      <c r="F1115">
        <v>1</v>
      </c>
      <c r="G1115">
        <v>4</v>
      </c>
      <c r="H1115" t="s">
        <v>58</v>
      </c>
      <c r="I1115">
        <v>1</v>
      </c>
      <c r="J1115">
        <v>1574</v>
      </c>
      <c r="K1115">
        <v>4</v>
      </c>
      <c r="L1115" t="s">
        <v>44</v>
      </c>
      <c r="M1115">
        <v>62</v>
      </c>
      <c r="N1115">
        <v>3</v>
      </c>
      <c r="O1115">
        <v>2</v>
      </c>
      <c r="P1115" t="s">
        <v>45</v>
      </c>
      <c r="Q1115">
        <v>1</v>
      </c>
      <c r="R1115" t="s">
        <v>46</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c r="AJ1115">
        <f t="shared" si="17"/>
        <v>0</v>
      </c>
      <c r="AK1115" t="str" cm="1">
        <f t="array" ref="AK1115">_xlfn.IFS(A1115&lt;=30,"18-30",A1115&lt;=45,"31-45",A1115&lt;=60,"46-60",TRUE, "60+")</f>
        <v>31-45</v>
      </c>
      <c r="AL1115" t="str" cm="1">
        <f t="array" ref="AL1115">_xlfn.IFS(F1115&lt;=10,"0-10",F1115&lt;=20,"11-20",TRUE,"20+")</f>
        <v>0-10</v>
      </c>
      <c r="AM1115" t="str" cm="1">
        <f t="array" ref="AM1115">_xlfn.IFS(S1115&lt;=5000,"0-5k",S1115&lt;=10000,"5k-10k",S1115&lt;=15000,"10k-15k",TRUE,"15k+")</f>
        <v>0-5k</v>
      </c>
      <c r="AN1115" t="str" cm="1">
        <f t="array" ref="AN1115">_xlfn.IFS(AF1115&lt;=10,"0-10",AF1115&lt;=20,"10-20",AF1115&lt;=30,"20-30",TRUE,"30+")</f>
        <v>0-10</v>
      </c>
      <c r="AO1115" t="str" cm="1">
        <f t="array" ref="AO1115">_xlfn.IFS(Y1115=1,"Poor",Y1115=2,"Average",Y1115=3,"Good",TRUE,"Excellent")</f>
        <v>Good</v>
      </c>
      <c r="AP1115" t="str" cm="1">
        <f t="array" ref="AP1115">_xlfn.IFS(Q1115=1,"Low",Q1115=2,"Medium",Q1115=3,"High",TRUE,"Very High")</f>
        <v>Low</v>
      </c>
    </row>
    <row r="1116" spans="1:42" x14ac:dyDescent="0.25">
      <c r="A1116">
        <v>48</v>
      </c>
      <c r="B1116" t="s">
        <v>42</v>
      </c>
      <c r="C1116" t="s">
        <v>90</v>
      </c>
      <c r="D1116">
        <v>1108</v>
      </c>
      <c r="E1116" t="s">
        <v>43</v>
      </c>
      <c r="F1116">
        <v>15</v>
      </c>
      <c r="G1116">
        <v>4</v>
      </c>
      <c r="H1116" t="s">
        <v>47</v>
      </c>
      <c r="I1116">
        <v>1</v>
      </c>
      <c r="J1116">
        <v>1576</v>
      </c>
      <c r="K1116">
        <v>3</v>
      </c>
      <c r="L1116" t="s">
        <v>38</v>
      </c>
      <c r="M1116">
        <v>65</v>
      </c>
      <c r="N1116">
        <v>3</v>
      </c>
      <c r="O1116">
        <v>1</v>
      </c>
      <c r="P1116" t="s">
        <v>45</v>
      </c>
      <c r="Q1116">
        <v>1</v>
      </c>
      <c r="R1116" t="s">
        <v>46</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c r="AJ1116">
        <f t="shared" si="17"/>
        <v>0</v>
      </c>
      <c r="AK1116" t="str" cm="1">
        <f t="array" ref="AK1116">_xlfn.IFS(A1116&lt;=30,"18-30",A1116&lt;=45,"31-45",A1116&lt;=60,"46-60",TRUE, "60+")</f>
        <v>46-60</v>
      </c>
      <c r="AL1116" t="str" cm="1">
        <f t="array" ref="AL1116">_xlfn.IFS(F1116&lt;=10,"0-10",F1116&lt;=20,"11-20",TRUE,"20+")</f>
        <v>11-20</v>
      </c>
      <c r="AM1116" t="str" cm="1">
        <f t="array" ref="AM1116">_xlfn.IFS(S1116&lt;=5000,"0-5k",S1116&lt;=10000,"5k-10k",S1116&lt;=15000,"10k-15k",TRUE,"15k+")</f>
        <v>0-5k</v>
      </c>
      <c r="AN1116" t="str" cm="1">
        <f t="array" ref="AN1116">_xlfn.IFS(AF1116&lt;=10,"0-10",AF1116&lt;=20,"10-20",AF1116&lt;=30,"20-30",TRUE,"30+")</f>
        <v>0-10</v>
      </c>
      <c r="AO1116" t="str" cm="1">
        <f t="array" ref="AO1116">_xlfn.IFS(Y1116=1,"Poor",Y1116=2,"Average",Y1116=3,"Good",TRUE,"Excellent")</f>
        <v>Good</v>
      </c>
      <c r="AP1116" t="str" cm="1">
        <f t="array" ref="AP1116">_xlfn.IFS(Q1116=1,"Low",Q1116=2,"Medium",Q1116=3,"High",TRUE,"Very High")</f>
        <v>Low</v>
      </c>
    </row>
    <row r="1117" spans="1:42" x14ac:dyDescent="0.25">
      <c r="A1117">
        <v>34</v>
      </c>
      <c r="B1117" t="s">
        <v>42</v>
      </c>
      <c r="C1117" t="s">
        <v>90</v>
      </c>
      <c r="D1117">
        <v>479</v>
      </c>
      <c r="E1117" t="s">
        <v>43</v>
      </c>
      <c r="F1117">
        <v>7</v>
      </c>
      <c r="G1117">
        <v>4</v>
      </c>
      <c r="H1117" t="s">
        <v>49</v>
      </c>
      <c r="I1117">
        <v>1</v>
      </c>
      <c r="J1117">
        <v>1577</v>
      </c>
      <c r="K1117">
        <v>1</v>
      </c>
      <c r="L1117" t="s">
        <v>44</v>
      </c>
      <c r="M1117">
        <v>35</v>
      </c>
      <c r="N1117">
        <v>3</v>
      </c>
      <c r="O1117">
        <v>1</v>
      </c>
      <c r="P1117" t="s">
        <v>45</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c r="AJ1117">
        <f t="shared" si="17"/>
        <v>0</v>
      </c>
      <c r="AK1117" t="str" cm="1">
        <f t="array" ref="AK1117">_xlfn.IFS(A1117&lt;=30,"18-30",A1117&lt;=45,"31-45",A1117&lt;=60,"46-60",TRUE, "60+")</f>
        <v>31-45</v>
      </c>
      <c r="AL1117" t="str" cm="1">
        <f t="array" ref="AL1117">_xlfn.IFS(F1117&lt;=10,"0-10",F1117&lt;=20,"11-20",TRUE,"20+")</f>
        <v>0-10</v>
      </c>
      <c r="AM1117" t="str" cm="1">
        <f t="array" ref="AM1117">_xlfn.IFS(S1117&lt;=5000,"0-5k",S1117&lt;=10000,"5k-10k",S1117&lt;=15000,"10k-15k",TRUE,"15k+")</f>
        <v>0-5k</v>
      </c>
      <c r="AN1117" t="str" cm="1">
        <f t="array" ref="AN1117">_xlfn.IFS(AF1117&lt;=10,"0-10",AF1117&lt;=20,"10-20",AF1117&lt;=30,"20-30",TRUE,"30+")</f>
        <v>0-10</v>
      </c>
      <c r="AO1117" t="str" cm="1">
        <f t="array" ref="AO1117">_xlfn.IFS(Y1117=1,"Poor",Y1117=2,"Average",Y1117=3,"Good",TRUE,"Excellent")</f>
        <v>Good</v>
      </c>
      <c r="AP1117" t="str" cm="1">
        <f t="array" ref="AP1117">_xlfn.IFS(Q1117=1,"Low",Q1117=2,"Medium",Q1117=3,"High",TRUE,"Very High")</f>
        <v>Very High</v>
      </c>
    </row>
    <row r="1118" spans="1:42" x14ac:dyDescent="0.25">
      <c r="A1118">
        <v>55</v>
      </c>
      <c r="B1118" t="s">
        <v>42</v>
      </c>
      <c r="C1118" t="s">
        <v>90</v>
      </c>
      <c r="D1118">
        <v>685</v>
      </c>
      <c r="E1118" t="s">
        <v>36</v>
      </c>
      <c r="F1118">
        <v>26</v>
      </c>
      <c r="G1118">
        <v>5</v>
      </c>
      <c r="H1118" t="s">
        <v>57</v>
      </c>
      <c r="I1118">
        <v>1</v>
      </c>
      <c r="J1118">
        <v>1578</v>
      </c>
      <c r="K1118">
        <v>3</v>
      </c>
      <c r="L1118" t="s">
        <v>44</v>
      </c>
      <c r="M1118">
        <v>60</v>
      </c>
      <c r="N1118">
        <v>2</v>
      </c>
      <c r="O1118">
        <v>5</v>
      </c>
      <c r="P1118" t="s">
        <v>54</v>
      </c>
      <c r="Q1118">
        <v>4</v>
      </c>
      <c r="R1118" t="s">
        <v>46</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c r="AJ1118">
        <f t="shared" si="17"/>
        <v>0</v>
      </c>
      <c r="AK1118" t="str" cm="1">
        <f t="array" ref="AK1118">_xlfn.IFS(A1118&lt;=30,"18-30",A1118&lt;=45,"31-45",A1118&lt;=60,"46-60",TRUE, "60+")</f>
        <v>46-60</v>
      </c>
      <c r="AL1118" t="str" cm="1">
        <f t="array" ref="AL1118">_xlfn.IFS(F1118&lt;=10,"0-10",F1118&lt;=20,"11-20",TRUE,"20+")</f>
        <v>20+</v>
      </c>
      <c r="AM1118" t="str" cm="1">
        <f t="array" ref="AM1118">_xlfn.IFS(S1118&lt;=5000,"0-5k",S1118&lt;=10000,"5k-10k",S1118&lt;=15000,"10k-15k",TRUE,"15k+")</f>
        <v>15k+</v>
      </c>
      <c r="AN1118" t="str" cm="1">
        <f t="array" ref="AN1118">_xlfn.IFS(AF1118&lt;=10,"0-10",AF1118&lt;=20,"10-20",AF1118&lt;=30,"20-30",TRUE,"30+")</f>
        <v>30+</v>
      </c>
      <c r="AO1118" t="str" cm="1">
        <f t="array" ref="AO1118">_xlfn.IFS(Y1118=1,"Poor",Y1118=2,"Average",Y1118=3,"Good",TRUE,"Excellent")</f>
        <v>Excellent</v>
      </c>
      <c r="AP1118" t="str" cm="1">
        <f t="array" ref="AP1118">_xlfn.IFS(Q1118=1,"Low",Q1118=2,"Medium",Q1118=3,"High",TRUE,"Very High")</f>
        <v>Very High</v>
      </c>
    </row>
    <row r="1119" spans="1:42" x14ac:dyDescent="0.25">
      <c r="A1119">
        <v>34</v>
      </c>
      <c r="B1119" t="s">
        <v>42</v>
      </c>
      <c r="C1119" t="s">
        <v>90</v>
      </c>
      <c r="D1119">
        <v>1351</v>
      </c>
      <c r="E1119" t="s">
        <v>43</v>
      </c>
      <c r="F1119">
        <v>1</v>
      </c>
      <c r="G1119">
        <v>4</v>
      </c>
      <c r="H1119" t="s">
        <v>37</v>
      </c>
      <c r="I1119">
        <v>1</v>
      </c>
      <c r="J1119">
        <v>1580</v>
      </c>
      <c r="K1119">
        <v>2</v>
      </c>
      <c r="L1119" t="s">
        <v>44</v>
      </c>
      <c r="M1119">
        <v>45</v>
      </c>
      <c r="N1119">
        <v>3</v>
      </c>
      <c r="O1119">
        <v>2</v>
      </c>
      <c r="P1119" t="s">
        <v>45</v>
      </c>
      <c r="Q1119">
        <v>4</v>
      </c>
      <c r="R1119" t="s">
        <v>46</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c r="AJ1119">
        <f t="shared" si="17"/>
        <v>0</v>
      </c>
      <c r="AK1119" t="str" cm="1">
        <f t="array" ref="AK1119">_xlfn.IFS(A1119&lt;=30,"18-30",A1119&lt;=45,"31-45",A1119&lt;=60,"46-60",TRUE, "60+")</f>
        <v>31-45</v>
      </c>
      <c r="AL1119" t="str" cm="1">
        <f t="array" ref="AL1119">_xlfn.IFS(F1119&lt;=10,"0-10",F1119&lt;=20,"11-20",TRUE,"20+")</f>
        <v>0-10</v>
      </c>
      <c r="AM1119" t="str" cm="1">
        <f t="array" ref="AM1119">_xlfn.IFS(S1119&lt;=5000,"0-5k",S1119&lt;=10000,"5k-10k",S1119&lt;=15000,"10k-15k",TRUE,"15k+")</f>
        <v>5k-10k</v>
      </c>
      <c r="AN1119" t="str" cm="1">
        <f t="array" ref="AN1119">_xlfn.IFS(AF1119&lt;=10,"0-10",AF1119&lt;=20,"10-20",AF1119&lt;=30,"20-30",TRUE,"30+")</f>
        <v>0-10</v>
      </c>
      <c r="AO1119" t="str" cm="1">
        <f t="array" ref="AO1119">_xlfn.IFS(Y1119=1,"Poor",Y1119=2,"Average",Y1119=3,"Good",TRUE,"Excellent")</f>
        <v>Good</v>
      </c>
      <c r="AP1119" t="str" cm="1">
        <f t="array" ref="AP1119">_xlfn.IFS(Q1119=1,"Low",Q1119=2,"Medium",Q1119=3,"High",TRUE,"Very High")</f>
        <v>Very High</v>
      </c>
    </row>
    <row r="1120" spans="1:42" x14ac:dyDescent="0.25">
      <c r="A1120">
        <v>26</v>
      </c>
      <c r="B1120" t="s">
        <v>42</v>
      </c>
      <c r="C1120" t="s">
        <v>90</v>
      </c>
      <c r="D1120">
        <v>474</v>
      </c>
      <c r="E1120" t="s">
        <v>43</v>
      </c>
      <c r="F1120">
        <v>3</v>
      </c>
      <c r="G1120">
        <v>3</v>
      </c>
      <c r="H1120" t="s">
        <v>37</v>
      </c>
      <c r="I1120">
        <v>1</v>
      </c>
      <c r="J1120">
        <v>1581</v>
      </c>
      <c r="K1120">
        <v>1</v>
      </c>
      <c r="L1120" t="s">
        <v>38</v>
      </c>
      <c r="M1120">
        <v>89</v>
      </c>
      <c r="N1120">
        <v>3</v>
      </c>
      <c r="O1120">
        <v>1</v>
      </c>
      <c r="P1120" t="s">
        <v>45</v>
      </c>
      <c r="Q1120">
        <v>4</v>
      </c>
      <c r="R1120" t="s">
        <v>46</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c r="AJ1120">
        <f t="shared" si="17"/>
        <v>0</v>
      </c>
      <c r="AK1120" t="str" cm="1">
        <f t="array" ref="AK1120">_xlfn.IFS(A1120&lt;=30,"18-30",A1120&lt;=45,"31-45",A1120&lt;=60,"46-60",TRUE, "60+")</f>
        <v>18-30</v>
      </c>
      <c r="AL1120" t="str" cm="1">
        <f t="array" ref="AL1120">_xlfn.IFS(F1120&lt;=10,"0-10",F1120&lt;=20,"11-20",TRUE,"20+")</f>
        <v>0-10</v>
      </c>
      <c r="AM1120" t="str" cm="1">
        <f t="array" ref="AM1120">_xlfn.IFS(S1120&lt;=5000,"0-5k",S1120&lt;=10000,"5k-10k",S1120&lt;=15000,"10k-15k",TRUE,"15k+")</f>
        <v>0-5k</v>
      </c>
      <c r="AN1120" t="str" cm="1">
        <f t="array" ref="AN1120">_xlfn.IFS(AF1120&lt;=10,"0-10",AF1120&lt;=20,"10-20",AF1120&lt;=30,"20-30",TRUE,"30+")</f>
        <v>0-10</v>
      </c>
      <c r="AO1120" t="str" cm="1">
        <f t="array" ref="AO1120">_xlfn.IFS(Y1120=1,"Poor",Y1120=2,"Average",Y1120=3,"Good",TRUE,"Excellent")</f>
        <v>Excellent</v>
      </c>
      <c r="AP1120" t="str" cm="1">
        <f t="array" ref="AP1120">_xlfn.IFS(Q1120=1,"Low",Q1120=2,"Medium",Q1120=3,"High",TRUE,"Very High")</f>
        <v>Very High</v>
      </c>
    </row>
    <row r="1121" spans="1:42" x14ac:dyDescent="0.25">
      <c r="A1121">
        <v>38</v>
      </c>
      <c r="B1121" t="s">
        <v>42</v>
      </c>
      <c r="C1121" t="s">
        <v>90</v>
      </c>
      <c r="D1121">
        <v>1245</v>
      </c>
      <c r="E1121" t="s">
        <v>36</v>
      </c>
      <c r="F1121">
        <v>14</v>
      </c>
      <c r="G1121">
        <v>3</v>
      </c>
      <c r="H1121" t="s">
        <v>37</v>
      </c>
      <c r="I1121">
        <v>1</v>
      </c>
      <c r="J1121">
        <v>1582</v>
      </c>
      <c r="K1121">
        <v>3</v>
      </c>
      <c r="L1121" t="s">
        <v>44</v>
      </c>
      <c r="M1121">
        <v>80</v>
      </c>
      <c r="N1121">
        <v>3</v>
      </c>
      <c r="O1121">
        <v>2</v>
      </c>
      <c r="P1121" t="s">
        <v>39</v>
      </c>
      <c r="Q1121">
        <v>2</v>
      </c>
      <c r="R1121" t="s">
        <v>46</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c r="AJ1121">
        <f t="shared" si="17"/>
        <v>0</v>
      </c>
      <c r="AK1121" t="str" cm="1">
        <f t="array" ref="AK1121">_xlfn.IFS(A1121&lt;=30,"18-30",A1121&lt;=45,"31-45",A1121&lt;=60,"46-60",TRUE, "60+")</f>
        <v>31-45</v>
      </c>
      <c r="AL1121" t="str" cm="1">
        <f t="array" ref="AL1121">_xlfn.IFS(F1121&lt;=10,"0-10",F1121&lt;=20,"11-20",TRUE,"20+")</f>
        <v>11-20</v>
      </c>
      <c r="AM1121" t="str" cm="1">
        <f t="array" ref="AM1121">_xlfn.IFS(S1121&lt;=5000,"0-5k",S1121&lt;=10000,"5k-10k",S1121&lt;=15000,"10k-15k",TRUE,"15k+")</f>
        <v>5k-10k</v>
      </c>
      <c r="AN1121" t="str" cm="1">
        <f t="array" ref="AN1121">_xlfn.IFS(AF1121&lt;=10,"0-10",AF1121&lt;=20,"10-20",AF1121&lt;=30,"20-30",TRUE,"30+")</f>
        <v>0-10</v>
      </c>
      <c r="AO1121" t="str" cm="1">
        <f t="array" ref="AO1121">_xlfn.IFS(Y1121=1,"Poor",Y1121=2,"Average",Y1121=3,"Good",TRUE,"Excellent")</f>
        <v>Good</v>
      </c>
      <c r="AP1121" t="str" cm="1">
        <f t="array" ref="AP1121">_xlfn.IFS(Q1121=1,"Low",Q1121=2,"Medium",Q1121=3,"High",TRUE,"Very High")</f>
        <v>Medium</v>
      </c>
    </row>
    <row r="1122" spans="1:42" x14ac:dyDescent="0.25">
      <c r="A1122">
        <v>38</v>
      </c>
      <c r="B1122" t="s">
        <v>42</v>
      </c>
      <c r="C1122" t="s">
        <v>90</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c r="AJ1122">
        <f t="shared" si="17"/>
        <v>0</v>
      </c>
      <c r="AK1122" t="str" cm="1">
        <f t="array" ref="AK1122">_xlfn.IFS(A1122&lt;=30,"18-30",A1122&lt;=45,"31-45",A1122&lt;=60,"46-60",TRUE, "60+")</f>
        <v>31-45</v>
      </c>
      <c r="AL1122" t="str" cm="1">
        <f t="array" ref="AL1122">_xlfn.IFS(F1122&lt;=10,"0-10",F1122&lt;=20,"11-20",TRUE,"20+")</f>
        <v>11-20</v>
      </c>
      <c r="AM1122" t="str" cm="1">
        <f t="array" ref="AM1122">_xlfn.IFS(S1122&lt;=5000,"0-5k",S1122&lt;=10000,"5k-10k",S1122&lt;=15000,"10k-15k",TRUE,"15k+")</f>
        <v>0-5k</v>
      </c>
      <c r="AN1122" t="str" cm="1">
        <f t="array" ref="AN1122">_xlfn.IFS(AF1122&lt;=10,"0-10",AF1122&lt;=20,"10-20",AF1122&lt;=30,"20-30",TRUE,"30+")</f>
        <v>0-10</v>
      </c>
      <c r="AO1122" t="str" cm="1">
        <f t="array" ref="AO1122">_xlfn.IFS(Y1122=1,"Poor",Y1122=2,"Average",Y1122=3,"Good",TRUE,"Excellent")</f>
        <v>Good</v>
      </c>
      <c r="AP1122" t="str" cm="1">
        <f t="array" ref="AP1122">_xlfn.IFS(Q1122=1,"Low",Q1122=2,"Medium",Q1122=3,"High",TRUE,"Very High")</f>
        <v>Medium</v>
      </c>
    </row>
    <row r="1123" spans="1:42" x14ac:dyDescent="0.25">
      <c r="A1123">
        <v>36</v>
      </c>
      <c r="B1123" t="s">
        <v>42</v>
      </c>
      <c r="C1123" t="s">
        <v>90</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c r="AJ1123">
        <f t="shared" si="17"/>
        <v>0</v>
      </c>
      <c r="AK1123" t="str" cm="1">
        <f t="array" ref="AK1123">_xlfn.IFS(A1123&lt;=30,"18-30",A1123&lt;=45,"31-45",A1123&lt;=60,"46-60",TRUE, "60+")</f>
        <v>31-45</v>
      </c>
      <c r="AL1123" t="str" cm="1">
        <f t="array" ref="AL1123">_xlfn.IFS(F1123&lt;=10,"0-10",F1123&lt;=20,"11-20",TRUE,"20+")</f>
        <v>0-10</v>
      </c>
      <c r="AM1123" t="str" cm="1">
        <f t="array" ref="AM1123">_xlfn.IFS(S1123&lt;=5000,"0-5k",S1123&lt;=10000,"5k-10k",S1123&lt;=15000,"10k-15k",TRUE,"15k+")</f>
        <v>5k-10k</v>
      </c>
      <c r="AN1123" t="str" cm="1">
        <f t="array" ref="AN1123">_xlfn.IFS(AF1123&lt;=10,"0-10",AF1123&lt;=20,"10-20",AF1123&lt;=30,"20-30",TRUE,"30+")</f>
        <v>0-10</v>
      </c>
      <c r="AO1123" t="str" cm="1">
        <f t="array" ref="AO1123">_xlfn.IFS(Y1123=1,"Poor",Y1123=2,"Average",Y1123=3,"Good",TRUE,"Excellent")</f>
        <v>Good</v>
      </c>
      <c r="AP1123" t="str" cm="1">
        <f t="array" ref="AP1123">_xlfn.IFS(Q1123=1,"Low",Q1123=2,"Medium",Q1123=3,"High",TRUE,"Very High")</f>
        <v>High</v>
      </c>
    </row>
    <row r="1124" spans="1:42" x14ac:dyDescent="0.25">
      <c r="A1124">
        <v>29</v>
      </c>
      <c r="B1124" t="s">
        <v>42</v>
      </c>
      <c r="C1124" t="s">
        <v>90</v>
      </c>
      <c r="D1124">
        <v>1370</v>
      </c>
      <c r="E1124" t="s">
        <v>43</v>
      </c>
      <c r="F1124">
        <v>3</v>
      </c>
      <c r="G1124">
        <v>1</v>
      </c>
      <c r="H1124" t="s">
        <v>49</v>
      </c>
      <c r="I1124">
        <v>1</v>
      </c>
      <c r="J1124">
        <v>1586</v>
      </c>
      <c r="K1124">
        <v>2</v>
      </c>
      <c r="L1124" t="s">
        <v>44</v>
      </c>
      <c r="M1124">
        <v>87</v>
      </c>
      <c r="N1124">
        <v>3</v>
      </c>
      <c r="O1124">
        <v>1</v>
      </c>
      <c r="P1124" t="s">
        <v>48</v>
      </c>
      <c r="Q1124">
        <v>1</v>
      </c>
      <c r="R1124" t="s">
        <v>40</v>
      </c>
      <c r="S1124">
        <v>4723</v>
      </c>
      <c r="T1124">
        <v>16213</v>
      </c>
      <c r="U1124">
        <v>1</v>
      </c>
      <c r="V1124" t="s">
        <v>41</v>
      </c>
      <c r="W1124" t="s">
        <v>35</v>
      </c>
      <c r="X1124">
        <v>18</v>
      </c>
      <c r="Y1124">
        <v>3</v>
      </c>
      <c r="Z1124">
        <v>4</v>
      </c>
      <c r="AA1124">
        <v>80</v>
      </c>
      <c r="AB1124">
        <v>0</v>
      </c>
      <c r="AC1124">
        <v>10</v>
      </c>
      <c r="AD1124">
        <v>3</v>
      </c>
      <c r="AE1124">
        <v>3</v>
      </c>
      <c r="AF1124">
        <v>10</v>
      </c>
      <c r="AG1124">
        <v>9</v>
      </c>
      <c r="AH1124">
        <v>1</v>
      </c>
      <c r="AI1124">
        <v>5</v>
      </c>
      <c r="AJ1124">
        <f t="shared" si="17"/>
        <v>0</v>
      </c>
      <c r="AK1124" t="str" cm="1">
        <f t="array" ref="AK1124">_xlfn.IFS(A1124&lt;=30,"18-30",A1124&lt;=45,"31-45",A1124&lt;=60,"46-60",TRUE, "60+")</f>
        <v>18-30</v>
      </c>
      <c r="AL1124" t="str" cm="1">
        <f t="array" ref="AL1124">_xlfn.IFS(F1124&lt;=10,"0-10",F1124&lt;=20,"11-20",TRUE,"20+")</f>
        <v>0-10</v>
      </c>
      <c r="AM1124" t="str" cm="1">
        <f t="array" ref="AM1124">_xlfn.IFS(S1124&lt;=5000,"0-5k",S1124&lt;=10000,"5k-10k",S1124&lt;=15000,"10k-15k",TRUE,"15k+")</f>
        <v>0-5k</v>
      </c>
      <c r="AN1124" t="str" cm="1">
        <f t="array" ref="AN1124">_xlfn.IFS(AF1124&lt;=10,"0-10",AF1124&lt;=20,"10-20",AF1124&lt;=30,"20-30",TRUE,"30+")</f>
        <v>0-10</v>
      </c>
      <c r="AO1124" t="str" cm="1">
        <f t="array" ref="AO1124">_xlfn.IFS(Y1124=1,"Poor",Y1124=2,"Average",Y1124=3,"Good",TRUE,"Excellent")</f>
        <v>Good</v>
      </c>
      <c r="AP1124" t="str" cm="1">
        <f t="array" ref="AP1124">_xlfn.IFS(Q1124=1,"Low",Q1124=2,"Medium",Q1124=3,"High",TRUE,"Very High")</f>
        <v>Low</v>
      </c>
    </row>
    <row r="1125" spans="1:42" x14ac:dyDescent="0.25">
      <c r="A1125">
        <v>35</v>
      </c>
      <c r="B1125" t="s">
        <v>42</v>
      </c>
      <c r="C1125" t="s">
        <v>90</v>
      </c>
      <c r="D1125">
        <v>670</v>
      </c>
      <c r="E1125" t="s">
        <v>43</v>
      </c>
      <c r="F1125">
        <v>10</v>
      </c>
      <c r="G1125">
        <v>4</v>
      </c>
      <c r="H1125" t="s">
        <v>49</v>
      </c>
      <c r="I1125">
        <v>1</v>
      </c>
      <c r="J1125">
        <v>1587</v>
      </c>
      <c r="K1125">
        <v>1</v>
      </c>
      <c r="L1125" t="s">
        <v>38</v>
      </c>
      <c r="M1125">
        <v>51</v>
      </c>
      <c r="N1125">
        <v>3</v>
      </c>
      <c r="O1125">
        <v>2</v>
      </c>
      <c r="P1125" t="s">
        <v>52</v>
      </c>
      <c r="Q1125">
        <v>3</v>
      </c>
      <c r="R1125" t="s">
        <v>40</v>
      </c>
      <c r="S1125">
        <v>6142</v>
      </c>
      <c r="T1125">
        <v>4223</v>
      </c>
      <c r="U1125">
        <v>3</v>
      </c>
      <c r="V1125" t="s">
        <v>41</v>
      </c>
      <c r="W1125" t="s">
        <v>35</v>
      </c>
      <c r="X1125">
        <v>16</v>
      </c>
      <c r="Y1125">
        <v>3</v>
      </c>
      <c r="Z1125">
        <v>3</v>
      </c>
      <c r="AA1125">
        <v>80</v>
      </c>
      <c r="AB1125">
        <v>0</v>
      </c>
      <c r="AC1125">
        <v>10</v>
      </c>
      <c r="AD1125">
        <v>4</v>
      </c>
      <c r="AE1125">
        <v>3</v>
      </c>
      <c r="AF1125">
        <v>5</v>
      </c>
      <c r="AG1125">
        <v>2</v>
      </c>
      <c r="AH1125">
        <v>0</v>
      </c>
      <c r="AI1125">
        <v>4</v>
      </c>
      <c r="AJ1125">
        <f t="shared" si="17"/>
        <v>0</v>
      </c>
      <c r="AK1125" t="str" cm="1">
        <f t="array" ref="AK1125">_xlfn.IFS(A1125&lt;=30,"18-30",A1125&lt;=45,"31-45",A1125&lt;=60,"46-60",TRUE, "60+")</f>
        <v>31-45</v>
      </c>
      <c r="AL1125" t="str" cm="1">
        <f t="array" ref="AL1125">_xlfn.IFS(F1125&lt;=10,"0-10",F1125&lt;=20,"11-20",TRUE,"20+")</f>
        <v>0-10</v>
      </c>
      <c r="AM1125" t="str" cm="1">
        <f t="array" ref="AM1125">_xlfn.IFS(S1125&lt;=5000,"0-5k",S1125&lt;=10000,"5k-10k",S1125&lt;=15000,"10k-15k",TRUE,"15k+")</f>
        <v>5k-10k</v>
      </c>
      <c r="AN1125" t="str" cm="1">
        <f t="array" ref="AN1125">_xlfn.IFS(AF1125&lt;=10,"0-10",AF1125&lt;=20,"10-20",AF1125&lt;=30,"20-30",TRUE,"30+")</f>
        <v>0-10</v>
      </c>
      <c r="AO1125" t="str" cm="1">
        <f t="array" ref="AO1125">_xlfn.IFS(Y1125=1,"Poor",Y1125=2,"Average",Y1125=3,"Good",TRUE,"Excellent")</f>
        <v>Good</v>
      </c>
      <c r="AP1125" t="str" cm="1">
        <f t="array" ref="AP1125">_xlfn.IFS(Q1125=1,"Low",Q1125=2,"Medium",Q1125=3,"High",TRUE,"Very High")</f>
        <v>High</v>
      </c>
    </row>
    <row r="1126" spans="1:42" x14ac:dyDescent="0.25">
      <c r="A1126">
        <v>39</v>
      </c>
      <c r="B1126" t="s">
        <v>42</v>
      </c>
      <c r="C1126" t="s">
        <v>90</v>
      </c>
      <c r="D1126">
        <v>1462</v>
      </c>
      <c r="E1126" t="s">
        <v>36</v>
      </c>
      <c r="F1126">
        <v>6</v>
      </c>
      <c r="G1126">
        <v>3</v>
      </c>
      <c r="H1126" t="s">
        <v>49</v>
      </c>
      <c r="I1126">
        <v>1</v>
      </c>
      <c r="J1126">
        <v>1588</v>
      </c>
      <c r="K1126">
        <v>4</v>
      </c>
      <c r="L1126" t="s">
        <v>44</v>
      </c>
      <c r="M1126">
        <v>38</v>
      </c>
      <c r="N1126">
        <v>4</v>
      </c>
      <c r="O1126">
        <v>3</v>
      </c>
      <c r="P1126" t="s">
        <v>39</v>
      </c>
      <c r="Q1126">
        <v>3</v>
      </c>
      <c r="R1126" t="s">
        <v>46</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c r="AJ1126">
        <f t="shared" si="17"/>
        <v>0</v>
      </c>
      <c r="AK1126" t="str" cm="1">
        <f t="array" ref="AK1126">_xlfn.IFS(A1126&lt;=30,"18-30",A1126&lt;=45,"31-45",A1126&lt;=60,"46-60",TRUE, "60+")</f>
        <v>31-45</v>
      </c>
      <c r="AL1126" t="str" cm="1">
        <f t="array" ref="AL1126">_xlfn.IFS(F1126&lt;=10,"0-10",F1126&lt;=20,"11-20",TRUE,"20+")</f>
        <v>0-10</v>
      </c>
      <c r="AM1126" t="str" cm="1">
        <f t="array" ref="AM1126">_xlfn.IFS(S1126&lt;=5000,"0-5k",S1126&lt;=10000,"5k-10k",S1126&lt;=15000,"10k-15k",TRUE,"15k+")</f>
        <v>5k-10k</v>
      </c>
      <c r="AN1126" t="str" cm="1">
        <f t="array" ref="AN1126">_xlfn.IFS(AF1126&lt;=10,"0-10",AF1126&lt;=20,"10-20",AF1126&lt;=30,"20-30",TRUE,"30+")</f>
        <v>0-10</v>
      </c>
      <c r="AO1126" t="str" cm="1">
        <f t="array" ref="AO1126">_xlfn.IFS(Y1126=1,"Poor",Y1126=2,"Average",Y1126=3,"Good",TRUE,"Excellent")</f>
        <v>Good</v>
      </c>
      <c r="AP1126" t="str" cm="1">
        <f t="array" ref="AP1126">_xlfn.IFS(Q1126=1,"Low",Q1126=2,"Medium",Q1126=3,"High",TRUE,"Very High")</f>
        <v>High</v>
      </c>
    </row>
    <row r="1127" spans="1:42" x14ac:dyDescent="0.25">
      <c r="A1127">
        <v>29</v>
      </c>
      <c r="B1127" t="s">
        <v>42</v>
      </c>
      <c r="C1127" t="s">
        <v>91</v>
      </c>
      <c r="D1127">
        <v>995</v>
      </c>
      <c r="E1127" t="s">
        <v>43</v>
      </c>
      <c r="F1127">
        <v>2</v>
      </c>
      <c r="G1127">
        <v>1</v>
      </c>
      <c r="H1127" t="s">
        <v>37</v>
      </c>
      <c r="I1127">
        <v>1</v>
      </c>
      <c r="J1127">
        <v>1590</v>
      </c>
      <c r="K1127">
        <v>1</v>
      </c>
      <c r="L1127" t="s">
        <v>44</v>
      </c>
      <c r="M1127">
        <v>87</v>
      </c>
      <c r="N1127">
        <v>3</v>
      </c>
      <c r="O1127">
        <v>2</v>
      </c>
      <c r="P1127" t="s">
        <v>52</v>
      </c>
      <c r="Q1127">
        <v>4</v>
      </c>
      <c r="R1127" t="s">
        <v>50</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c r="AJ1127">
        <f t="shared" si="17"/>
        <v>0</v>
      </c>
      <c r="AK1127" t="str" cm="1">
        <f t="array" ref="AK1127">_xlfn.IFS(A1127&lt;=30,"18-30",A1127&lt;=45,"31-45",A1127&lt;=60,"46-60",TRUE, "60+")</f>
        <v>18-30</v>
      </c>
      <c r="AL1127" t="str" cm="1">
        <f t="array" ref="AL1127">_xlfn.IFS(F1127&lt;=10,"0-10",F1127&lt;=20,"11-20",TRUE,"20+")</f>
        <v>0-10</v>
      </c>
      <c r="AM1127" t="str" cm="1">
        <f t="array" ref="AM1127">_xlfn.IFS(S1127&lt;=5000,"0-5k",S1127&lt;=10000,"5k-10k",S1127&lt;=15000,"10k-15k",TRUE,"15k+")</f>
        <v>5k-10k</v>
      </c>
      <c r="AN1127" t="str" cm="1">
        <f t="array" ref="AN1127">_xlfn.IFS(AF1127&lt;=10,"0-10",AF1127&lt;=20,"10-20",AF1127&lt;=30,"20-30",TRUE,"30+")</f>
        <v>0-10</v>
      </c>
      <c r="AO1127" t="str" cm="1">
        <f t="array" ref="AO1127">_xlfn.IFS(Y1127=1,"Poor",Y1127=2,"Average",Y1127=3,"Good",TRUE,"Excellent")</f>
        <v>Good</v>
      </c>
      <c r="AP1127" t="str" cm="1">
        <f t="array" ref="AP1127">_xlfn.IFS(Q1127=1,"Low",Q1127=2,"Medium",Q1127=3,"High",TRUE,"Very High")</f>
        <v>Very High</v>
      </c>
    </row>
    <row r="1128" spans="1:42" x14ac:dyDescent="0.25">
      <c r="A1128">
        <v>50</v>
      </c>
      <c r="B1128" t="s">
        <v>42</v>
      </c>
      <c r="C1128" t="s">
        <v>90</v>
      </c>
      <c r="D1128">
        <v>264</v>
      </c>
      <c r="E1128" t="s">
        <v>36</v>
      </c>
      <c r="F1128">
        <v>9</v>
      </c>
      <c r="G1128">
        <v>3</v>
      </c>
      <c r="H1128" t="s">
        <v>57</v>
      </c>
      <c r="I1128">
        <v>1</v>
      </c>
      <c r="J1128">
        <v>1591</v>
      </c>
      <c r="K1128">
        <v>3</v>
      </c>
      <c r="L1128" t="s">
        <v>44</v>
      </c>
      <c r="M1128">
        <v>59</v>
      </c>
      <c r="N1128">
        <v>3</v>
      </c>
      <c r="O1128">
        <v>5</v>
      </c>
      <c r="P1128" t="s">
        <v>54</v>
      </c>
      <c r="Q1128">
        <v>3</v>
      </c>
      <c r="R1128" t="s">
        <v>46</v>
      </c>
      <c r="S1128">
        <v>19331</v>
      </c>
      <c r="T1128">
        <v>19519</v>
      </c>
      <c r="U1128">
        <v>4</v>
      </c>
      <c r="V1128" t="s">
        <v>41</v>
      </c>
      <c r="W1128" t="s">
        <v>35</v>
      </c>
      <c r="X1128">
        <v>16</v>
      </c>
      <c r="Y1128">
        <v>3</v>
      </c>
      <c r="Z1128">
        <v>3</v>
      </c>
      <c r="AA1128">
        <v>80</v>
      </c>
      <c r="AB1128">
        <v>1</v>
      </c>
      <c r="AC1128">
        <v>27</v>
      </c>
      <c r="AD1128">
        <v>2</v>
      </c>
      <c r="AE1128">
        <v>3</v>
      </c>
      <c r="AF1128">
        <v>1</v>
      </c>
      <c r="AG1128">
        <v>0</v>
      </c>
      <c r="AH1128">
        <v>0</v>
      </c>
      <c r="AI1128">
        <v>0</v>
      </c>
      <c r="AJ1128">
        <f t="shared" si="17"/>
        <v>0</v>
      </c>
      <c r="AK1128" t="str" cm="1">
        <f t="array" ref="AK1128">_xlfn.IFS(A1128&lt;=30,"18-30",A1128&lt;=45,"31-45",A1128&lt;=60,"46-60",TRUE, "60+")</f>
        <v>46-60</v>
      </c>
      <c r="AL1128" t="str" cm="1">
        <f t="array" ref="AL1128">_xlfn.IFS(F1128&lt;=10,"0-10",F1128&lt;=20,"11-20",TRUE,"20+")</f>
        <v>0-10</v>
      </c>
      <c r="AM1128" t="str" cm="1">
        <f t="array" ref="AM1128">_xlfn.IFS(S1128&lt;=5000,"0-5k",S1128&lt;=10000,"5k-10k",S1128&lt;=15000,"10k-15k",TRUE,"15k+")</f>
        <v>15k+</v>
      </c>
      <c r="AN1128" t="str" cm="1">
        <f t="array" ref="AN1128">_xlfn.IFS(AF1128&lt;=10,"0-10",AF1128&lt;=20,"10-20",AF1128&lt;=30,"20-30",TRUE,"30+")</f>
        <v>0-10</v>
      </c>
      <c r="AO1128" t="str" cm="1">
        <f t="array" ref="AO1128">_xlfn.IFS(Y1128=1,"Poor",Y1128=2,"Average",Y1128=3,"Good",TRUE,"Excellent")</f>
        <v>Good</v>
      </c>
      <c r="AP1128" t="str" cm="1">
        <f t="array" ref="AP1128">_xlfn.IFS(Q1128=1,"Low",Q1128=2,"Medium",Q1128=3,"High",TRUE,"Very High")</f>
        <v>High</v>
      </c>
    </row>
    <row r="1129" spans="1:42" x14ac:dyDescent="0.25">
      <c r="A1129">
        <v>23</v>
      </c>
      <c r="B1129" t="s">
        <v>42</v>
      </c>
      <c r="C1129" t="s">
        <v>90</v>
      </c>
      <c r="D1129">
        <v>977</v>
      </c>
      <c r="E1129" t="s">
        <v>43</v>
      </c>
      <c r="F1129">
        <v>10</v>
      </c>
      <c r="G1129">
        <v>3</v>
      </c>
      <c r="H1129" t="s">
        <v>58</v>
      </c>
      <c r="I1129">
        <v>1</v>
      </c>
      <c r="J1129">
        <v>1592</v>
      </c>
      <c r="K1129">
        <v>4</v>
      </c>
      <c r="L1129" t="s">
        <v>44</v>
      </c>
      <c r="M1129">
        <v>45</v>
      </c>
      <c r="N1129">
        <v>4</v>
      </c>
      <c r="O1129">
        <v>1</v>
      </c>
      <c r="P1129" t="s">
        <v>45</v>
      </c>
      <c r="Q1129">
        <v>3</v>
      </c>
      <c r="R1129" t="s">
        <v>46</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c r="AJ1129">
        <f t="shared" si="17"/>
        <v>0</v>
      </c>
      <c r="AK1129" t="str" cm="1">
        <f t="array" ref="AK1129">_xlfn.IFS(A1129&lt;=30,"18-30",A1129&lt;=45,"31-45",A1129&lt;=60,"46-60",TRUE, "60+")</f>
        <v>18-30</v>
      </c>
      <c r="AL1129" t="str" cm="1">
        <f t="array" ref="AL1129">_xlfn.IFS(F1129&lt;=10,"0-10",F1129&lt;=20,"11-20",TRUE,"20+")</f>
        <v>0-10</v>
      </c>
      <c r="AM1129" t="str" cm="1">
        <f t="array" ref="AM1129">_xlfn.IFS(S1129&lt;=5000,"0-5k",S1129&lt;=10000,"5k-10k",S1129&lt;=15000,"10k-15k",TRUE,"15k+")</f>
        <v>0-5k</v>
      </c>
      <c r="AN1129" t="str" cm="1">
        <f t="array" ref="AN1129">_xlfn.IFS(AF1129&lt;=10,"0-10",AF1129&lt;=20,"10-20",AF1129&lt;=30,"20-30",TRUE,"30+")</f>
        <v>0-10</v>
      </c>
      <c r="AO1129" t="str" cm="1">
        <f t="array" ref="AO1129">_xlfn.IFS(Y1129=1,"Poor",Y1129=2,"Average",Y1129=3,"Good",TRUE,"Excellent")</f>
        <v>Good</v>
      </c>
      <c r="AP1129" t="str" cm="1">
        <f t="array" ref="AP1129">_xlfn.IFS(Q1129=1,"Low",Q1129=2,"Medium",Q1129=3,"High",TRUE,"Very High")</f>
        <v>High</v>
      </c>
    </row>
    <row r="1130" spans="1:42" x14ac:dyDescent="0.25">
      <c r="A1130">
        <v>36</v>
      </c>
      <c r="B1130" t="s">
        <v>42</v>
      </c>
      <c r="C1130" t="s">
        <v>91</v>
      </c>
      <c r="D1130">
        <v>1302</v>
      </c>
      <c r="E1130" t="s">
        <v>43</v>
      </c>
      <c r="F1130">
        <v>6</v>
      </c>
      <c r="G1130">
        <v>4</v>
      </c>
      <c r="H1130" t="s">
        <v>37</v>
      </c>
      <c r="I1130">
        <v>1</v>
      </c>
      <c r="J1130">
        <v>1594</v>
      </c>
      <c r="K1130">
        <v>1</v>
      </c>
      <c r="L1130" t="s">
        <v>44</v>
      </c>
      <c r="M1130">
        <v>80</v>
      </c>
      <c r="N1130">
        <v>4</v>
      </c>
      <c r="O1130">
        <v>2</v>
      </c>
      <c r="P1130" t="s">
        <v>48</v>
      </c>
      <c r="Q1130">
        <v>1</v>
      </c>
      <c r="R1130" t="s">
        <v>46</v>
      </c>
      <c r="S1130">
        <v>5562</v>
      </c>
      <c r="T1130">
        <v>19711</v>
      </c>
      <c r="U1130">
        <v>3</v>
      </c>
      <c r="V1130" t="s">
        <v>41</v>
      </c>
      <c r="W1130" t="s">
        <v>35</v>
      </c>
      <c r="X1130">
        <v>13</v>
      </c>
      <c r="Y1130">
        <v>3</v>
      </c>
      <c r="Z1130">
        <v>4</v>
      </c>
      <c r="AA1130">
        <v>80</v>
      </c>
      <c r="AB1130">
        <v>1</v>
      </c>
      <c r="AC1130">
        <v>9</v>
      </c>
      <c r="AD1130">
        <v>3</v>
      </c>
      <c r="AE1130">
        <v>3</v>
      </c>
      <c r="AF1130">
        <v>3</v>
      </c>
      <c r="AG1130">
        <v>2</v>
      </c>
      <c r="AH1130">
        <v>0</v>
      </c>
      <c r="AI1130">
        <v>2</v>
      </c>
      <c r="AJ1130">
        <f t="shared" si="17"/>
        <v>0</v>
      </c>
      <c r="AK1130" t="str" cm="1">
        <f t="array" ref="AK1130">_xlfn.IFS(A1130&lt;=30,"18-30",A1130&lt;=45,"31-45",A1130&lt;=60,"46-60",TRUE, "60+")</f>
        <v>31-45</v>
      </c>
      <c r="AL1130" t="str" cm="1">
        <f t="array" ref="AL1130">_xlfn.IFS(F1130&lt;=10,"0-10",F1130&lt;=20,"11-20",TRUE,"20+")</f>
        <v>0-10</v>
      </c>
      <c r="AM1130" t="str" cm="1">
        <f t="array" ref="AM1130">_xlfn.IFS(S1130&lt;=5000,"0-5k",S1130&lt;=10000,"5k-10k",S1130&lt;=15000,"10k-15k",TRUE,"15k+")</f>
        <v>5k-10k</v>
      </c>
      <c r="AN1130" t="str" cm="1">
        <f t="array" ref="AN1130">_xlfn.IFS(AF1130&lt;=10,"0-10",AF1130&lt;=20,"10-20",AF1130&lt;=30,"20-30",TRUE,"30+")</f>
        <v>0-10</v>
      </c>
      <c r="AO1130" t="str" cm="1">
        <f t="array" ref="AO1130">_xlfn.IFS(Y1130=1,"Poor",Y1130=2,"Average",Y1130=3,"Good",TRUE,"Excellent")</f>
        <v>Good</v>
      </c>
      <c r="AP1130" t="str" cm="1">
        <f t="array" ref="AP1130">_xlfn.IFS(Q1130=1,"Low",Q1130=2,"Medium",Q1130=3,"High",TRUE,"Very High")</f>
        <v>Low</v>
      </c>
    </row>
    <row r="1131" spans="1:42" x14ac:dyDescent="0.25">
      <c r="A1131">
        <v>42</v>
      </c>
      <c r="B1131" t="s">
        <v>42</v>
      </c>
      <c r="C1131" t="s">
        <v>90</v>
      </c>
      <c r="D1131">
        <v>1059</v>
      </c>
      <c r="E1131" t="s">
        <v>43</v>
      </c>
      <c r="F1131">
        <v>9</v>
      </c>
      <c r="G1131">
        <v>2</v>
      </c>
      <c r="H1131" t="s">
        <v>47</v>
      </c>
      <c r="I1131">
        <v>1</v>
      </c>
      <c r="J1131">
        <v>1595</v>
      </c>
      <c r="K1131">
        <v>4</v>
      </c>
      <c r="L1131" t="s">
        <v>44</v>
      </c>
      <c r="M1131">
        <v>93</v>
      </c>
      <c r="N1131">
        <v>2</v>
      </c>
      <c r="O1131">
        <v>5</v>
      </c>
      <c r="P1131" t="s">
        <v>54</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c r="AJ1131">
        <f t="shared" si="17"/>
        <v>0</v>
      </c>
      <c r="AK1131" t="str" cm="1">
        <f t="array" ref="AK1131">_xlfn.IFS(A1131&lt;=30,"18-30",A1131&lt;=45,"31-45",A1131&lt;=60,"46-60",TRUE, "60+")</f>
        <v>31-45</v>
      </c>
      <c r="AL1131" t="str" cm="1">
        <f t="array" ref="AL1131">_xlfn.IFS(F1131&lt;=10,"0-10",F1131&lt;=20,"11-20",TRUE,"20+")</f>
        <v>0-10</v>
      </c>
      <c r="AM1131" t="str" cm="1">
        <f t="array" ref="AM1131">_xlfn.IFS(S1131&lt;=5000,"0-5k",S1131&lt;=10000,"5k-10k",S1131&lt;=15000,"10k-15k",TRUE,"15k+")</f>
        <v>15k+</v>
      </c>
      <c r="AN1131" t="str" cm="1">
        <f t="array" ref="AN1131">_xlfn.IFS(AF1131&lt;=10,"0-10",AF1131&lt;=20,"10-20",AF1131&lt;=30,"20-30",TRUE,"30+")</f>
        <v>0-10</v>
      </c>
      <c r="AO1131" t="str" cm="1">
        <f t="array" ref="AO1131">_xlfn.IFS(Y1131=1,"Poor",Y1131=2,"Average",Y1131=3,"Good",TRUE,"Excellent")</f>
        <v>Excellent</v>
      </c>
      <c r="AP1131" t="str" cm="1">
        <f t="array" ref="AP1131">_xlfn.IFS(Q1131=1,"Low",Q1131=2,"Medium",Q1131=3,"High",TRUE,"Very High")</f>
        <v>Very High</v>
      </c>
    </row>
    <row r="1132" spans="1:42" x14ac:dyDescent="0.25">
      <c r="A1132">
        <v>35</v>
      </c>
      <c r="B1132" t="s">
        <v>42</v>
      </c>
      <c r="C1132" t="s">
        <v>90</v>
      </c>
      <c r="D1132">
        <v>750</v>
      </c>
      <c r="E1132" t="s">
        <v>43</v>
      </c>
      <c r="F1132">
        <v>28</v>
      </c>
      <c r="G1132">
        <v>3</v>
      </c>
      <c r="H1132" t="s">
        <v>37</v>
      </c>
      <c r="I1132">
        <v>1</v>
      </c>
      <c r="J1132">
        <v>1596</v>
      </c>
      <c r="K1132">
        <v>2</v>
      </c>
      <c r="L1132" t="s">
        <v>44</v>
      </c>
      <c r="M1132">
        <v>46</v>
      </c>
      <c r="N1132">
        <v>4</v>
      </c>
      <c r="O1132">
        <v>2</v>
      </c>
      <c r="P1132" t="s">
        <v>48</v>
      </c>
      <c r="Q1132">
        <v>3</v>
      </c>
      <c r="R1132" t="s">
        <v>46</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c r="AJ1132">
        <f t="shared" si="17"/>
        <v>0</v>
      </c>
      <c r="AK1132" t="str" cm="1">
        <f t="array" ref="AK1132">_xlfn.IFS(A1132&lt;=30,"18-30",A1132&lt;=45,"31-45",A1132&lt;=60,"46-60",TRUE, "60+")</f>
        <v>31-45</v>
      </c>
      <c r="AL1132" t="str" cm="1">
        <f t="array" ref="AL1132">_xlfn.IFS(F1132&lt;=10,"0-10",F1132&lt;=20,"11-20",TRUE,"20+")</f>
        <v>20+</v>
      </c>
      <c r="AM1132" t="str" cm="1">
        <f t="array" ref="AM1132">_xlfn.IFS(S1132&lt;=5000,"0-5k",S1132&lt;=10000,"5k-10k",S1132&lt;=15000,"10k-15k",TRUE,"15k+")</f>
        <v>0-5k</v>
      </c>
      <c r="AN1132" t="str" cm="1">
        <f t="array" ref="AN1132">_xlfn.IFS(AF1132&lt;=10,"0-10",AF1132&lt;=20,"10-20",AF1132&lt;=30,"20-30",TRUE,"30+")</f>
        <v>0-10</v>
      </c>
      <c r="AO1132" t="str" cm="1">
        <f t="array" ref="AO1132">_xlfn.IFS(Y1132=1,"Poor",Y1132=2,"Average",Y1132=3,"Good",TRUE,"Excellent")</f>
        <v>Good</v>
      </c>
      <c r="AP1132" t="str" cm="1">
        <f t="array" ref="AP1132">_xlfn.IFS(Q1132=1,"Low",Q1132=2,"Medium",Q1132=3,"High",TRUE,"Very High")</f>
        <v>High</v>
      </c>
    </row>
    <row r="1133" spans="1:42" x14ac:dyDescent="0.25">
      <c r="A1133">
        <v>34</v>
      </c>
      <c r="B1133" t="s">
        <v>42</v>
      </c>
      <c r="C1133" t="s">
        <v>91</v>
      </c>
      <c r="D1133">
        <v>653</v>
      </c>
      <c r="E1133" t="s">
        <v>43</v>
      </c>
      <c r="F1133">
        <v>10</v>
      </c>
      <c r="G1133">
        <v>4</v>
      </c>
      <c r="H1133" t="s">
        <v>58</v>
      </c>
      <c r="I1133">
        <v>1</v>
      </c>
      <c r="J1133">
        <v>1597</v>
      </c>
      <c r="K1133">
        <v>4</v>
      </c>
      <c r="L1133" t="s">
        <v>44</v>
      </c>
      <c r="M1133">
        <v>92</v>
      </c>
      <c r="N1133">
        <v>2</v>
      </c>
      <c r="O1133">
        <v>2</v>
      </c>
      <c r="P1133" t="s">
        <v>52</v>
      </c>
      <c r="Q1133">
        <v>3</v>
      </c>
      <c r="R1133" t="s">
        <v>46</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c r="AJ1133">
        <f t="shared" si="17"/>
        <v>0</v>
      </c>
      <c r="AK1133" t="str" cm="1">
        <f t="array" ref="AK1133">_xlfn.IFS(A1133&lt;=30,"18-30",A1133&lt;=45,"31-45",A1133&lt;=60,"46-60",TRUE, "60+")</f>
        <v>31-45</v>
      </c>
      <c r="AL1133" t="str" cm="1">
        <f t="array" ref="AL1133">_xlfn.IFS(F1133&lt;=10,"0-10",F1133&lt;=20,"11-20",TRUE,"20+")</f>
        <v>0-10</v>
      </c>
      <c r="AM1133" t="str" cm="1">
        <f t="array" ref="AM1133">_xlfn.IFS(S1133&lt;=5000,"0-5k",S1133&lt;=10000,"5k-10k",S1133&lt;=15000,"10k-15k",TRUE,"15k+")</f>
        <v>5k-10k</v>
      </c>
      <c r="AN1133" t="str" cm="1">
        <f t="array" ref="AN1133">_xlfn.IFS(AF1133&lt;=10,"0-10",AF1133&lt;=20,"10-20",AF1133&lt;=30,"20-30",TRUE,"30+")</f>
        <v>0-10</v>
      </c>
      <c r="AO1133" t="str" cm="1">
        <f t="array" ref="AO1133">_xlfn.IFS(Y1133=1,"Poor",Y1133=2,"Average",Y1133=3,"Good",TRUE,"Excellent")</f>
        <v>Good</v>
      </c>
      <c r="AP1133" t="str" cm="1">
        <f t="array" ref="AP1133">_xlfn.IFS(Q1133=1,"Low",Q1133=2,"Medium",Q1133=3,"High",TRUE,"Very High")</f>
        <v>High</v>
      </c>
    </row>
    <row r="1134" spans="1:42" x14ac:dyDescent="0.25">
      <c r="A1134">
        <v>40</v>
      </c>
      <c r="B1134" t="s">
        <v>42</v>
      </c>
      <c r="C1134" t="s">
        <v>90</v>
      </c>
      <c r="D1134">
        <v>118</v>
      </c>
      <c r="E1134" t="s">
        <v>36</v>
      </c>
      <c r="F1134">
        <v>14</v>
      </c>
      <c r="G1134">
        <v>2</v>
      </c>
      <c r="H1134" t="s">
        <v>37</v>
      </c>
      <c r="I1134">
        <v>1</v>
      </c>
      <c r="J1134">
        <v>1598</v>
      </c>
      <c r="K1134">
        <v>4</v>
      </c>
      <c r="L1134" t="s">
        <v>38</v>
      </c>
      <c r="M1134">
        <v>84</v>
      </c>
      <c r="N1134">
        <v>3</v>
      </c>
      <c r="O1134">
        <v>2</v>
      </c>
      <c r="P1134" t="s">
        <v>39</v>
      </c>
      <c r="Q1134">
        <v>1</v>
      </c>
      <c r="R1134" t="s">
        <v>46</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c r="AJ1134">
        <f t="shared" si="17"/>
        <v>0</v>
      </c>
      <c r="AK1134" t="str" cm="1">
        <f t="array" ref="AK1134">_xlfn.IFS(A1134&lt;=30,"18-30",A1134&lt;=45,"31-45",A1134&lt;=60,"46-60",TRUE, "60+")</f>
        <v>31-45</v>
      </c>
      <c r="AL1134" t="str" cm="1">
        <f t="array" ref="AL1134">_xlfn.IFS(F1134&lt;=10,"0-10",F1134&lt;=20,"11-20",TRUE,"20+")</f>
        <v>11-20</v>
      </c>
      <c r="AM1134" t="str" cm="1">
        <f t="array" ref="AM1134">_xlfn.IFS(S1134&lt;=5000,"0-5k",S1134&lt;=10000,"5k-10k",S1134&lt;=15000,"10k-15k",TRUE,"15k+")</f>
        <v>0-5k</v>
      </c>
      <c r="AN1134" t="str" cm="1">
        <f t="array" ref="AN1134">_xlfn.IFS(AF1134&lt;=10,"0-10",AF1134&lt;=20,"10-20",AF1134&lt;=30,"20-30",TRUE,"30+")</f>
        <v>0-10</v>
      </c>
      <c r="AO1134" t="str" cm="1">
        <f t="array" ref="AO1134">_xlfn.IFS(Y1134=1,"Poor",Y1134=2,"Average",Y1134=3,"Good",TRUE,"Excellent")</f>
        <v>Good</v>
      </c>
      <c r="AP1134" t="str" cm="1">
        <f t="array" ref="AP1134">_xlfn.IFS(Q1134=1,"Low",Q1134=2,"Medium",Q1134=3,"High",TRUE,"Very High")</f>
        <v>Low</v>
      </c>
    </row>
    <row r="1135" spans="1:42" x14ac:dyDescent="0.25">
      <c r="A1135">
        <v>43</v>
      </c>
      <c r="B1135" t="s">
        <v>42</v>
      </c>
      <c r="C1135" t="s">
        <v>90</v>
      </c>
      <c r="D1135">
        <v>990</v>
      </c>
      <c r="E1135" t="s">
        <v>43</v>
      </c>
      <c r="F1135">
        <v>27</v>
      </c>
      <c r="G1135">
        <v>3</v>
      </c>
      <c r="H1135" t="s">
        <v>58</v>
      </c>
      <c r="I1135">
        <v>1</v>
      </c>
      <c r="J1135">
        <v>1599</v>
      </c>
      <c r="K1135">
        <v>4</v>
      </c>
      <c r="L1135" t="s">
        <v>44</v>
      </c>
      <c r="M1135">
        <v>87</v>
      </c>
      <c r="N1135">
        <v>4</v>
      </c>
      <c r="O1135">
        <v>1</v>
      </c>
      <c r="P1135" t="s">
        <v>48</v>
      </c>
      <c r="Q1135">
        <v>2</v>
      </c>
      <c r="R1135" t="s">
        <v>50</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c r="AJ1135">
        <f t="shared" si="17"/>
        <v>0</v>
      </c>
      <c r="AK1135" t="str" cm="1">
        <f t="array" ref="AK1135">_xlfn.IFS(A1135&lt;=30,"18-30",A1135&lt;=45,"31-45",A1135&lt;=60,"46-60",TRUE, "60+")</f>
        <v>31-45</v>
      </c>
      <c r="AL1135" t="str" cm="1">
        <f t="array" ref="AL1135">_xlfn.IFS(F1135&lt;=10,"0-10",F1135&lt;=20,"11-20",TRUE,"20+")</f>
        <v>20+</v>
      </c>
      <c r="AM1135" t="str" cm="1">
        <f t="array" ref="AM1135">_xlfn.IFS(S1135&lt;=5000,"0-5k",S1135&lt;=10000,"5k-10k",S1135&lt;=15000,"10k-15k",TRUE,"15k+")</f>
        <v>0-5k</v>
      </c>
      <c r="AN1135" t="str" cm="1">
        <f t="array" ref="AN1135">_xlfn.IFS(AF1135&lt;=10,"0-10",AF1135&lt;=20,"10-20",AF1135&lt;=30,"20-30",TRUE,"30+")</f>
        <v>0-10</v>
      </c>
      <c r="AO1135" t="str" cm="1">
        <f t="array" ref="AO1135">_xlfn.IFS(Y1135=1,"Poor",Y1135=2,"Average",Y1135=3,"Good",TRUE,"Excellent")</f>
        <v>Good</v>
      </c>
      <c r="AP1135" t="str" cm="1">
        <f t="array" ref="AP1135">_xlfn.IFS(Q1135=1,"Low",Q1135=2,"Medium",Q1135=3,"High",TRUE,"Very High")</f>
        <v>Medium</v>
      </c>
    </row>
    <row r="1136" spans="1:42" x14ac:dyDescent="0.25">
      <c r="A1136">
        <v>35</v>
      </c>
      <c r="B1136" t="s">
        <v>42</v>
      </c>
      <c r="C1136" t="s">
        <v>90</v>
      </c>
      <c r="D1136">
        <v>1349</v>
      </c>
      <c r="E1136" t="s">
        <v>43</v>
      </c>
      <c r="F1136">
        <v>7</v>
      </c>
      <c r="G1136">
        <v>2</v>
      </c>
      <c r="H1136" t="s">
        <v>37</v>
      </c>
      <c r="I1136">
        <v>1</v>
      </c>
      <c r="J1136">
        <v>1601</v>
      </c>
      <c r="K1136">
        <v>3</v>
      </c>
      <c r="L1136" t="s">
        <v>44</v>
      </c>
      <c r="M1136">
        <v>63</v>
      </c>
      <c r="N1136">
        <v>2</v>
      </c>
      <c r="O1136">
        <v>1</v>
      </c>
      <c r="P1136" t="s">
        <v>48</v>
      </c>
      <c r="Q1136">
        <v>4</v>
      </c>
      <c r="R1136" t="s">
        <v>46</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c r="AJ1136">
        <f t="shared" si="17"/>
        <v>0</v>
      </c>
      <c r="AK1136" t="str" cm="1">
        <f t="array" ref="AK1136">_xlfn.IFS(A1136&lt;=30,"18-30",A1136&lt;=45,"31-45",A1136&lt;=60,"46-60",TRUE, "60+")</f>
        <v>31-45</v>
      </c>
      <c r="AL1136" t="str" cm="1">
        <f t="array" ref="AL1136">_xlfn.IFS(F1136&lt;=10,"0-10",F1136&lt;=20,"11-20",TRUE,"20+")</f>
        <v>0-10</v>
      </c>
      <c r="AM1136" t="str" cm="1">
        <f t="array" ref="AM1136">_xlfn.IFS(S1136&lt;=5000,"0-5k",S1136&lt;=10000,"5k-10k",S1136&lt;=15000,"10k-15k",TRUE,"15k+")</f>
        <v>0-5k</v>
      </c>
      <c r="AN1136" t="str" cm="1">
        <f t="array" ref="AN1136">_xlfn.IFS(AF1136&lt;=10,"0-10",AF1136&lt;=20,"10-20",AF1136&lt;=30,"20-30",TRUE,"30+")</f>
        <v>0-10</v>
      </c>
      <c r="AO1136" t="str" cm="1">
        <f t="array" ref="AO1136">_xlfn.IFS(Y1136=1,"Poor",Y1136=2,"Average",Y1136=3,"Good",TRUE,"Excellent")</f>
        <v>Good</v>
      </c>
      <c r="AP1136" t="str" cm="1">
        <f t="array" ref="AP1136">_xlfn.IFS(Q1136=1,"Low",Q1136=2,"Medium",Q1136=3,"High",TRUE,"Very High")</f>
        <v>Very High</v>
      </c>
    </row>
    <row r="1137" spans="1:42" x14ac:dyDescent="0.25">
      <c r="A1137">
        <v>46</v>
      </c>
      <c r="B1137" t="s">
        <v>42</v>
      </c>
      <c r="C1137" t="s">
        <v>90</v>
      </c>
      <c r="D1137">
        <v>563</v>
      </c>
      <c r="E1137" t="s">
        <v>36</v>
      </c>
      <c r="F1137">
        <v>1</v>
      </c>
      <c r="G1137">
        <v>4</v>
      </c>
      <c r="H1137" t="s">
        <v>37</v>
      </c>
      <c r="I1137">
        <v>1</v>
      </c>
      <c r="J1137">
        <v>1602</v>
      </c>
      <c r="K1137">
        <v>4</v>
      </c>
      <c r="L1137" t="s">
        <v>44</v>
      </c>
      <c r="M1137">
        <v>56</v>
      </c>
      <c r="N1137">
        <v>4</v>
      </c>
      <c r="O1137">
        <v>4</v>
      </c>
      <c r="P1137" t="s">
        <v>54</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c r="AJ1137">
        <f t="shared" si="17"/>
        <v>0</v>
      </c>
      <c r="AK1137" t="str" cm="1">
        <f t="array" ref="AK1137">_xlfn.IFS(A1137&lt;=30,"18-30",A1137&lt;=45,"31-45",A1137&lt;=60,"46-60",TRUE, "60+")</f>
        <v>46-60</v>
      </c>
      <c r="AL1137" t="str" cm="1">
        <f t="array" ref="AL1137">_xlfn.IFS(F1137&lt;=10,"0-10",F1137&lt;=20,"11-20",TRUE,"20+")</f>
        <v>0-10</v>
      </c>
      <c r="AM1137" t="str" cm="1">
        <f t="array" ref="AM1137">_xlfn.IFS(S1137&lt;=5000,"0-5k",S1137&lt;=10000,"5k-10k",S1137&lt;=15000,"10k-15k",TRUE,"15k+")</f>
        <v>15k+</v>
      </c>
      <c r="AN1137" t="str" cm="1">
        <f t="array" ref="AN1137">_xlfn.IFS(AF1137&lt;=10,"0-10",AF1137&lt;=20,"10-20",AF1137&lt;=30,"20-30",TRUE,"30+")</f>
        <v>20-30</v>
      </c>
      <c r="AO1137" t="str" cm="1">
        <f t="array" ref="AO1137">_xlfn.IFS(Y1137=1,"Poor",Y1137=2,"Average",Y1137=3,"Good",TRUE,"Excellent")</f>
        <v>Good</v>
      </c>
      <c r="AP1137" t="str" cm="1">
        <f t="array" ref="AP1137">_xlfn.IFS(Q1137=1,"Low",Q1137=2,"Medium",Q1137=3,"High",TRUE,"Very High")</f>
        <v>Low</v>
      </c>
    </row>
    <row r="1138" spans="1:42" x14ac:dyDescent="0.25">
      <c r="A1138">
        <v>28</v>
      </c>
      <c r="B1138" t="s">
        <v>35</v>
      </c>
      <c r="C1138" t="s">
        <v>90</v>
      </c>
      <c r="D1138">
        <v>329</v>
      </c>
      <c r="E1138" t="s">
        <v>43</v>
      </c>
      <c r="F1138">
        <v>24</v>
      </c>
      <c r="G1138">
        <v>3</v>
      </c>
      <c r="H1138" t="s">
        <v>49</v>
      </c>
      <c r="I1138">
        <v>1</v>
      </c>
      <c r="J1138">
        <v>1604</v>
      </c>
      <c r="K1138">
        <v>3</v>
      </c>
      <c r="L1138" t="s">
        <v>44</v>
      </c>
      <c r="M1138">
        <v>51</v>
      </c>
      <c r="N1138">
        <v>3</v>
      </c>
      <c r="O1138">
        <v>1</v>
      </c>
      <c r="P1138" t="s">
        <v>48</v>
      </c>
      <c r="Q1138">
        <v>2</v>
      </c>
      <c r="R1138" t="s">
        <v>46</v>
      </c>
      <c r="S1138">
        <v>2408</v>
      </c>
      <c r="T1138">
        <v>7324</v>
      </c>
      <c r="U1138">
        <v>1</v>
      </c>
      <c r="V1138" t="s">
        <v>41</v>
      </c>
      <c r="W1138" t="s">
        <v>35</v>
      </c>
      <c r="X1138">
        <v>17</v>
      </c>
      <c r="Y1138">
        <v>3</v>
      </c>
      <c r="Z1138">
        <v>3</v>
      </c>
      <c r="AA1138">
        <v>80</v>
      </c>
      <c r="AB1138">
        <v>3</v>
      </c>
      <c r="AC1138">
        <v>1</v>
      </c>
      <c r="AD1138">
        <v>3</v>
      </c>
      <c r="AE1138">
        <v>3</v>
      </c>
      <c r="AF1138">
        <v>1</v>
      </c>
      <c r="AG1138">
        <v>1</v>
      </c>
      <c r="AH1138">
        <v>0</v>
      </c>
      <c r="AI1138">
        <v>0</v>
      </c>
      <c r="AJ1138">
        <f t="shared" si="17"/>
        <v>1</v>
      </c>
      <c r="AK1138" t="str" cm="1">
        <f t="array" ref="AK1138">_xlfn.IFS(A1138&lt;=30,"18-30",A1138&lt;=45,"31-45",A1138&lt;=60,"46-60",TRUE, "60+")</f>
        <v>18-30</v>
      </c>
      <c r="AL1138" t="str" cm="1">
        <f t="array" ref="AL1138">_xlfn.IFS(F1138&lt;=10,"0-10",F1138&lt;=20,"11-20",TRUE,"20+")</f>
        <v>20+</v>
      </c>
      <c r="AM1138" t="str" cm="1">
        <f t="array" ref="AM1138">_xlfn.IFS(S1138&lt;=5000,"0-5k",S1138&lt;=10000,"5k-10k",S1138&lt;=15000,"10k-15k",TRUE,"15k+")</f>
        <v>0-5k</v>
      </c>
      <c r="AN1138" t="str" cm="1">
        <f t="array" ref="AN1138">_xlfn.IFS(AF1138&lt;=10,"0-10",AF1138&lt;=20,"10-20",AF1138&lt;=30,"20-30",TRUE,"30+")</f>
        <v>0-10</v>
      </c>
      <c r="AO1138" t="str" cm="1">
        <f t="array" ref="AO1138">_xlfn.IFS(Y1138=1,"Poor",Y1138=2,"Average",Y1138=3,"Good",TRUE,"Excellent")</f>
        <v>Good</v>
      </c>
      <c r="AP1138" t="str" cm="1">
        <f t="array" ref="AP1138">_xlfn.IFS(Q1138=1,"Low",Q1138=2,"Medium",Q1138=3,"High",TRUE,"Very High")</f>
        <v>Medium</v>
      </c>
    </row>
    <row r="1139" spans="1:42" x14ac:dyDescent="0.25">
      <c r="A1139">
        <v>22</v>
      </c>
      <c r="B1139" t="s">
        <v>42</v>
      </c>
      <c r="C1139" t="s">
        <v>53</v>
      </c>
      <c r="D1139">
        <v>457</v>
      </c>
      <c r="E1139" t="s">
        <v>43</v>
      </c>
      <c r="F1139">
        <v>26</v>
      </c>
      <c r="G1139">
        <v>2</v>
      </c>
      <c r="H1139" t="s">
        <v>47</v>
      </c>
      <c r="I1139">
        <v>1</v>
      </c>
      <c r="J1139">
        <v>1605</v>
      </c>
      <c r="K1139">
        <v>2</v>
      </c>
      <c r="L1139" t="s">
        <v>38</v>
      </c>
      <c r="M1139">
        <v>85</v>
      </c>
      <c r="N1139">
        <v>2</v>
      </c>
      <c r="O1139">
        <v>1</v>
      </c>
      <c r="P1139" t="s">
        <v>45</v>
      </c>
      <c r="Q1139">
        <v>3</v>
      </c>
      <c r="R1139" t="s">
        <v>46</v>
      </c>
      <c r="S1139">
        <v>2814</v>
      </c>
      <c r="T1139">
        <v>10293</v>
      </c>
      <c r="U1139">
        <v>1</v>
      </c>
      <c r="V1139" t="s">
        <v>41</v>
      </c>
      <c r="W1139" t="s">
        <v>35</v>
      </c>
      <c r="X1139">
        <v>14</v>
      </c>
      <c r="Y1139">
        <v>3</v>
      </c>
      <c r="Z1139">
        <v>2</v>
      </c>
      <c r="AA1139">
        <v>80</v>
      </c>
      <c r="AB1139">
        <v>0</v>
      </c>
      <c r="AC1139">
        <v>4</v>
      </c>
      <c r="AD1139">
        <v>2</v>
      </c>
      <c r="AE1139">
        <v>2</v>
      </c>
      <c r="AF1139">
        <v>4</v>
      </c>
      <c r="AG1139">
        <v>2</v>
      </c>
      <c r="AH1139">
        <v>1</v>
      </c>
      <c r="AI1139">
        <v>3</v>
      </c>
      <c r="AJ1139">
        <f t="shared" si="17"/>
        <v>0</v>
      </c>
      <c r="AK1139" t="str" cm="1">
        <f t="array" ref="AK1139">_xlfn.IFS(A1139&lt;=30,"18-30",A1139&lt;=45,"31-45",A1139&lt;=60,"46-60",TRUE, "60+")</f>
        <v>18-30</v>
      </c>
      <c r="AL1139" t="str" cm="1">
        <f t="array" ref="AL1139">_xlfn.IFS(F1139&lt;=10,"0-10",F1139&lt;=20,"11-20",TRUE,"20+")</f>
        <v>20+</v>
      </c>
      <c r="AM1139" t="str" cm="1">
        <f t="array" ref="AM1139">_xlfn.IFS(S1139&lt;=5000,"0-5k",S1139&lt;=10000,"5k-10k",S1139&lt;=15000,"10k-15k",TRUE,"15k+")</f>
        <v>0-5k</v>
      </c>
      <c r="AN1139" t="str" cm="1">
        <f t="array" ref="AN1139">_xlfn.IFS(AF1139&lt;=10,"0-10",AF1139&lt;=20,"10-20",AF1139&lt;=30,"20-30",TRUE,"30+")</f>
        <v>0-10</v>
      </c>
      <c r="AO1139" t="str" cm="1">
        <f t="array" ref="AO1139">_xlfn.IFS(Y1139=1,"Poor",Y1139=2,"Average",Y1139=3,"Good",TRUE,"Excellent")</f>
        <v>Good</v>
      </c>
      <c r="AP1139" t="str" cm="1">
        <f t="array" ref="AP1139">_xlfn.IFS(Q1139=1,"Low",Q1139=2,"Medium",Q1139=3,"High",TRUE,"Very High")</f>
        <v>High</v>
      </c>
    </row>
    <row r="1140" spans="1:42" x14ac:dyDescent="0.25">
      <c r="A1140">
        <v>50</v>
      </c>
      <c r="B1140" t="s">
        <v>42</v>
      </c>
      <c r="C1140" t="s">
        <v>91</v>
      </c>
      <c r="D1140">
        <v>1234</v>
      </c>
      <c r="E1140" t="s">
        <v>43</v>
      </c>
      <c r="F1140">
        <v>20</v>
      </c>
      <c r="G1140">
        <v>5</v>
      </c>
      <c r="H1140" t="s">
        <v>49</v>
      </c>
      <c r="I1140">
        <v>1</v>
      </c>
      <c r="J1140">
        <v>1606</v>
      </c>
      <c r="K1140">
        <v>2</v>
      </c>
      <c r="L1140" t="s">
        <v>44</v>
      </c>
      <c r="M1140">
        <v>41</v>
      </c>
      <c r="N1140">
        <v>3</v>
      </c>
      <c r="O1140">
        <v>4</v>
      </c>
      <c r="P1140" t="s">
        <v>52</v>
      </c>
      <c r="Q1140">
        <v>3</v>
      </c>
      <c r="R1140" t="s">
        <v>46</v>
      </c>
      <c r="S1140">
        <v>11245</v>
      </c>
      <c r="T1140">
        <v>20689</v>
      </c>
      <c r="U1140">
        <v>2</v>
      </c>
      <c r="V1140" t="s">
        <v>41</v>
      </c>
      <c r="W1140" t="s">
        <v>35</v>
      </c>
      <c r="X1140">
        <v>15</v>
      </c>
      <c r="Y1140">
        <v>3</v>
      </c>
      <c r="Z1140">
        <v>3</v>
      </c>
      <c r="AA1140">
        <v>80</v>
      </c>
      <c r="AB1140">
        <v>1</v>
      </c>
      <c r="AC1140">
        <v>32</v>
      </c>
      <c r="AD1140">
        <v>3</v>
      </c>
      <c r="AE1140">
        <v>3</v>
      </c>
      <c r="AF1140">
        <v>30</v>
      </c>
      <c r="AG1140">
        <v>8</v>
      </c>
      <c r="AH1140">
        <v>12</v>
      </c>
      <c r="AI1140">
        <v>13</v>
      </c>
      <c r="AJ1140">
        <f t="shared" si="17"/>
        <v>0</v>
      </c>
      <c r="AK1140" t="str" cm="1">
        <f t="array" ref="AK1140">_xlfn.IFS(A1140&lt;=30,"18-30",A1140&lt;=45,"31-45",A1140&lt;=60,"46-60",TRUE, "60+")</f>
        <v>46-60</v>
      </c>
      <c r="AL1140" t="str" cm="1">
        <f t="array" ref="AL1140">_xlfn.IFS(F1140&lt;=10,"0-10",F1140&lt;=20,"11-20",TRUE,"20+")</f>
        <v>11-20</v>
      </c>
      <c r="AM1140" t="str" cm="1">
        <f t="array" ref="AM1140">_xlfn.IFS(S1140&lt;=5000,"0-5k",S1140&lt;=10000,"5k-10k",S1140&lt;=15000,"10k-15k",TRUE,"15k+")</f>
        <v>10k-15k</v>
      </c>
      <c r="AN1140" t="str" cm="1">
        <f t="array" ref="AN1140">_xlfn.IFS(AF1140&lt;=10,"0-10",AF1140&lt;=20,"10-20",AF1140&lt;=30,"20-30",TRUE,"30+")</f>
        <v>20-30</v>
      </c>
      <c r="AO1140" t="str" cm="1">
        <f t="array" ref="AO1140">_xlfn.IFS(Y1140=1,"Poor",Y1140=2,"Average",Y1140=3,"Good",TRUE,"Excellent")</f>
        <v>Good</v>
      </c>
      <c r="AP1140" t="str" cm="1">
        <f t="array" ref="AP1140">_xlfn.IFS(Q1140=1,"Low",Q1140=2,"Medium",Q1140=3,"High",TRUE,"Very High")</f>
        <v>High</v>
      </c>
    </row>
    <row r="1141" spans="1:42" x14ac:dyDescent="0.25">
      <c r="A1141">
        <v>32</v>
      </c>
      <c r="B1141" t="s">
        <v>42</v>
      </c>
      <c r="C1141" t="s">
        <v>90</v>
      </c>
      <c r="D1141">
        <v>634</v>
      </c>
      <c r="E1141" t="s">
        <v>43</v>
      </c>
      <c r="F1141">
        <v>5</v>
      </c>
      <c r="G1141">
        <v>4</v>
      </c>
      <c r="H1141" t="s">
        <v>47</v>
      </c>
      <c r="I1141">
        <v>1</v>
      </c>
      <c r="J1141">
        <v>1607</v>
      </c>
      <c r="K1141">
        <v>2</v>
      </c>
      <c r="L1141" t="s">
        <v>38</v>
      </c>
      <c r="M1141">
        <v>35</v>
      </c>
      <c r="N1141">
        <v>4</v>
      </c>
      <c r="O1141">
        <v>1</v>
      </c>
      <c r="P1141" t="s">
        <v>45</v>
      </c>
      <c r="Q1141">
        <v>4</v>
      </c>
      <c r="R1141" t="s">
        <v>46</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c r="AJ1141">
        <f t="shared" si="17"/>
        <v>0</v>
      </c>
      <c r="AK1141" t="str" cm="1">
        <f t="array" ref="AK1141">_xlfn.IFS(A1141&lt;=30,"18-30",A1141&lt;=45,"31-45",A1141&lt;=60,"46-60",TRUE, "60+")</f>
        <v>31-45</v>
      </c>
      <c r="AL1141" t="str" cm="1">
        <f t="array" ref="AL1141">_xlfn.IFS(F1141&lt;=10,"0-10",F1141&lt;=20,"11-20",TRUE,"20+")</f>
        <v>0-10</v>
      </c>
      <c r="AM1141" t="str" cm="1">
        <f t="array" ref="AM1141">_xlfn.IFS(S1141&lt;=5000,"0-5k",S1141&lt;=10000,"5k-10k",S1141&lt;=15000,"10k-15k",TRUE,"15k+")</f>
        <v>0-5k</v>
      </c>
      <c r="AN1141" t="str" cm="1">
        <f t="array" ref="AN1141">_xlfn.IFS(AF1141&lt;=10,"0-10",AF1141&lt;=20,"10-20",AF1141&lt;=30,"20-30",TRUE,"30+")</f>
        <v>0-10</v>
      </c>
      <c r="AO1141" t="str" cm="1">
        <f t="array" ref="AO1141">_xlfn.IFS(Y1141=1,"Poor",Y1141=2,"Average",Y1141=3,"Good",TRUE,"Excellent")</f>
        <v>Good</v>
      </c>
      <c r="AP1141" t="str" cm="1">
        <f t="array" ref="AP1141">_xlfn.IFS(Q1141=1,"Low",Q1141=2,"Medium",Q1141=3,"High",TRUE,"Very High")</f>
        <v>Very High</v>
      </c>
    </row>
    <row r="1142" spans="1:42" x14ac:dyDescent="0.25">
      <c r="A1142">
        <v>44</v>
      </c>
      <c r="B1142" t="s">
        <v>42</v>
      </c>
      <c r="C1142" t="s">
        <v>90</v>
      </c>
      <c r="D1142">
        <v>1313</v>
      </c>
      <c r="E1142" t="s">
        <v>43</v>
      </c>
      <c r="F1142">
        <v>7</v>
      </c>
      <c r="G1142">
        <v>3</v>
      </c>
      <c r="H1142" t="s">
        <v>49</v>
      </c>
      <c r="I1142">
        <v>1</v>
      </c>
      <c r="J1142">
        <v>1608</v>
      </c>
      <c r="K1142">
        <v>2</v>
      </c>
      <c r="L1142" t="s">
        <v>38</v>
      </c>
      <c r="M1142">
        <v>31</v>
      </c>
      <c r="N1142">
        <v>3</v>
      </c>
      <c r="O1142">
        <v>5</v>
      </c>
      <c r="P1142" t="s">
        <v>56</v>
      </c>
      <c r="Q1142">
        <v>4</v>
      </c>
      <c r="R1142" t="s">
        <v>50</v>
      </c>
      <c r="S1142">
        <v>19049</v>
      </c>
      <c r="T1142">
        <v>3549</v>
      </c>
      <c r="U1142">
        <v>0</v>
      </c>
      <c r="V1142" t="s">
        <v>41</v>
      </c>
      <c r="W1142" t="s">
        <v>35</v>
      </c>
      <c r="X1142">
        <v>14</v>
      </c>
      <c r="Y1142">
        <v>3</v>
      </c>
      <c r="Z1142">
        <v>4</v>
      </c>
      <c r="AA1142">
        <v>80</v>
      </c>
      <c r="AB1142">
        <v>1</v>
      </c>
      <c r="AC1142">
        <v>23</v>
      </c>
      <c r="AD1142">
        <v>4</v>
      </c>
      <c r="AE1142">
        <v>2</v>
      </c>
      <c r="AF1142">
        <v>22</v>
      </c>
      <c r="AG1142">
        <v>7</v>
      </c>
      <c r="AH1142">
        <v>1</v>
      </c>
      <c r="AI1142">
        <v>10</v>
      </c>
      <c r="AJ1142">
        <f t="shared" si="17"/>
        <v>0</v>
      </c>
      <c r="AK1142" t="str" cm="1">
        <f t="array" ref="AK1142">_xlfn.IFS(A1142&lt;=30,"18-30",A1142&lt;=45,"31-45",A1142&lt;=60,"46-60",TRUE, "60+")</f>
        <v>31-45</v>
      </c>
      <c r="AL1142" t="str" cm="1">
        <f t="array" ref="AL1142">_xlfn.IFS(F1142&lt;=10,"0-10",F1142&lt;=20,"11-20",TRUE,"20+")</f>
        <v>0-10</v>
      </c>
      <c r="AM1142" t="str" cm="1">
        <f t="array" ref="AM1142">_xlfn.IFS(S1142&lt;=5000,"0-5k",S1142&lt;=10000,"5k-10k",S1142&lt;=15000,"10k-15k",TRUE,"15k+")</f>
        <v>15k+</v>
      </c>
      <c r="AN1142" t="str" cm="1">
        <f t="array" ref="AN1142">_xlfn.IFS(AF1142&lt;=10,"0-10",AF1142&lt;=20,"10-20",AF1142&lt;=30,"20-30",TRUE,"30+")</f>
        <v>20-30</v>
      </c>
      <c r="AO1142" t="str" cm="1">
        <f t="array" ref="AO1142">_xlfn.IFS(Y1142=1,"Poor",Y1142=2,"Average",Y1142=3,"Good",TRUE,"Excellent")</f>
        <v>Good</v>
      </c>
      <c r="AP1142" t="str" cm="1">
        <f t="array" ref="AP1142">_xlfn.IFS(Q1142=1,"Low",Q1142=2,"Medium",Q1142=3,"High",TRUE,"Very High")</f>
        <v>Very High</v>
      </c>
    </row>
    <row r="1143" spans="1:42" x14ac:dyDescent="0.25">
      <c r="A1143">
        <v>30</v>
      </c>
      <c r="B1143" t="s">
        <v>42</v>
      </c>
      <c r="C1143" t="s">
        <v>90</v>
      </c>
      <c r="D1143">
        <v>241</v>
      </c>
      <c r="E1143" t="s">
        <v>43</v>
      </c>
      <c r="F1143">
        <v>7</v>
      </c>
      <c r="G1143">
        <v>3</v>
      </c>
      <c r="H1143" t="s">
        <v>49</v>
      </c>
      <c r="I1143">
        <v>1</v>
      </c>
      <c r="J1143">
        <v>1609</v>
      </c>
      <c r="K1143">
        <v>2</v>
      </c>
      <c r="L1143" t="s">
        <v>44</v>
      </c>
      <c r="M1143">
        <v>48</v>
      </c>
      <c r="N1143">
        <v>2</v>
      </c>
      <c r="O1143">
        <v>1</v>
      </c>
      <c r="P1143" t="s">
        <v>45</v>
      </c>
      <c r="Q1143">
        <v>2</v>
      </c>
      <c r="R1143" t="s">
        <v>46</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c r="AJ1143">
        <f t="shared" si="17"/>
        <v>0</v>
      </c>
      <c r="AK1143" t="str" cm="1">
        <f t="array" ref="AK1143">_xlfn.IFS(A1143&lt;=30,"18-30",A1143&lt;=45,"31-45",A1143&lt;=60,"46-60",TRUE, "60+")</f>
        <v>18-30</v>
      </c>
      <c r="AL1143" t="str" cm="1">
        <f t="array" ref="AL1143">_xlfn.IFS(F1143&lt;=10,"0-10",F1143&lt;=20,"11-20",TRUE,"20+")</f>
        <v>0-10</v>
      </c>
      <c r="AM1143" t="str" cm="1">
        <f t="array" ref="AM1143">_xlfn.IFS(S1143&lt;=5000,"0-5k",S1143&lt;=10000,"5k-10k",S1143&lt;=15000,"10k-15k",TRUE,"15k+")</f>
        <v>0-5k</v>
      </c>
      <c r="AN1143" t="str" cm="1">
        <f t="array" ref="AN1143">_xlfn.IFS(AF1143&lt;=10,"0-10",AF1143&lt;=20,"10-20",AF1143&lt;=30,"20-30",TRUE,"30+")</f>
        <v>0-10</v>
      </c>
      <c r="AO1143" t="str" cm="1">
        <f t="array" ref="AO1143">_xlfn.IFS(Y1143=1,"Poor",Y1143=2,"Average",Y1143=3,"Good",TRUE,"Excellent")</f>
        <v>Good</v>
      </c>
      <c r="AP1143" t="str" cm="1">
        <f t="array" ref="AP1143">_xlfn.IFS(Q1143=1,"Low",Q1143=2,"Medium",Q1143=3,"High",TRUE,"Very High")</f>
        <v>Medium</v>
      </c>
    </row>
    <row r="1144" spans="1:42" x14ac:dyDescent="0.25">
      <c r="A1144">
        <v>45</v>
      </c>
      <c r="B1144" t="s">
        <v>42</v>
      </c>
      <c r="C1144" t="s">
        <v>90</v>
      </c>
      <c r="D1144">
        <v>1015</v>
      </c>
      <c r="E1144" t="s">
        <v>43</v>
      </c>
      <c r="F1144">
        <v>5</v>
      </c>
      <c r="G1144">
        <v>5</v>
      </c>
      <c r="H1144" t="s">
        <v>49</v>
      </c>
      <c r="I1144">
        <v>1</v>
      </c>
      <c r="J1144">
        <v>1611</v>
      </c>
      <c r="K1144">
        <v>3</v>
      </c>
      <c r="L1144" t="s">
        <v>38</v>
      </c>
      <c r="M1144">
        <v>50</v>
      </c>
      <c r="N1144">
        <v>1</v>
      </c>
      <c r="O1144">
        <v>2</v>
      </c>
      <c r="P1144" t="s">
        <v>48</v>
      </c>
      <c r="Q1144">
        <v>1</v>
      </c>
      <c r="R1144" t="s">
        <v>40</v>
      </c>
      <c r="S1144">
        <v>5769</v>
      </c>
      <c r="T1144">
        <v>23447</v>
      </c>
      <c r="U1144">
        <v>1</v>
      </c>
      <c r="V1144" t="s">
        <v>41</v>
      </c>
      <c r="W1144" t="s">
        <v>35</v>
      </c>
      <c r="X1144">
        <v>14</v>
      </c>
      <c r="Y1144">
        <v>3</v>
      </c>
      <c r="Z1144">
        <v>1</v>
      </c>
      <c r="AA1144">
        <v>80</v>
      </c>
      <c r="AB1144">
        <v>0</v>
      </c>
      <c r="AC1144">
        <v>10</v>
      </c>
      <c r="AD1144">
        <v>3</v>
      </c>
      <c r="AE1144">
        <v>3</v>
      </c>
      <c r="AF1144">
        <v>10</v>
      </c>
      <c r="AG1144">
        <v>7</v>
      </c>
      <c r="AH1144">
        <v>1</v>
      </c>
      <c r="AI1144">
        <v>4</v>
      </c>
      <c r="AJ1144">
        <f t="shared" si="17"/>
        <v>0</v>
      </c>
      <c r="AK1144" t="str" cm="1">
        <f t="array" ref="AK1144">_xlfn.IFS(A1144&lt;=30,"18-30",A1144&lt;=45,"31-45",A1144&lt;=60,"46-60",TRUE, "60+")</f>
        <v>31-45</v>
      </c>
      <c r="AL1144" t="str" cm="1">
        <f t="array" ref="AL1144">_xlfn.IFS(F1144&lt;=10,"0-10",F1144&lt;=20,"11-20",TRUE,"20+")</f>
        <v>0-10</v>
      </c>
      <c r="AM1144" t="str" cm="1">
        <f t="array" ref="AM1144">_xlfn.IFS(S1144&lt;=5000,"0-5k",S1144&lt;=10000,"5k-10k",S1144&lt;=15000,"10k-15k",TRUE,"15k+")</f>
        <v>5k-10k</v>
      </c>
      <c r="AN1144" t="str" cm="1">
        <f t="array" ref="AN1144">_xlfn.IFS(AF1144&lt;=10,"0-10",AF1144&lt;=20,"10-20",AF1144&lt;=30,"20-30",TRUE,"30+")</f>
        <v>0-10</v>
      </c>
      <c r="AO1144" t="str" cm="1">
        <f t="array" ref="AO1144">_xlfn.IFS(Y1144=1,"Poor",Y1144=2,"Average",Y1144=3,"Good",TRUE,"Excellent")</f>
        <v>Good</v>
      </c>
      <c r="AP1144" t="str" cm="1">
        <f t="array" ref="AP1144">_xlfn.IFS(Q1144=1,"Low",Q1144=2,"Medium",Q1144=3,"High",TRUE,"Very High")</f>
        <v>Low</v>
      </c>
    </row>
    <row r="1145" spans="1:42" x14ac:dyDescent="0.25">
      <c r="A1145">
        <v>45</v>
      </c>
      <c r="B1145" t="s">
        <v>42</v>
      </c>
      <c r="C1145" t="s">
        <v>53</v>
      </c>
      <c r="D1145">
        <v>336</v>
      </c>
      <c r="E1145" t="s">
        <v>36</v>
      </c>
      <c r="F1145">
        <v>26</v>
      </c>
      <c r="G1145">
        <v>3</v>
      </c>
      <c r="H1145" t="s">
        <v>57</v>
      </c>
      <c r="I1145">
        <v>1</v>
      </c>
      <c r="J1145">
        <v>1612</v>
      </c>
      <c r="K1145">
        <v>1</v>
      </c>
      <c r="L1145" t="s">
        <v>44</v>
      </c>
      <c r="M1145">
        <v>52</v>
      </c>
      <c r="N1145">
        <v>2</v>
      </c>
      <c r="O1145">
        <v>2</v>
      </c>
      <c r="P1145" t="s">
        <v>39</v>
      </c>
      <c r="Q1145">
        <v>1</v>
      </c>
      <c r="R1145" t="s">
        <v>46</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c r="AJ1145">
        <f t="shared" si="17"/>
        <v>0</v>
      </c>
      <c r="AK1145" t="str" cm="1">
        <f t="array" ref="AK1145">_xlfn.IFS(A1145&lt;=30,"18-30",A1145&lt;=45,"31-45",A1145&lt;=60,"46-60",TRUE, "60+")</f>
        <v>31-45</v>
      </c>
      <c r="AL1145" t="str" cm="1">
        <f t="array" ref="AL1145">_xlfn.IFS(F1145&lt;=10,"0-10",F1145&lt;=20,"11-20",TRUE,"20+")</f>
        <v>20+</v>
      </c>
      <c r="AM1145" t="str" cm="1">
        <f t="array" ref="AM1145">_xlfn.IFS(S1145&lt;=5000,"0-5k",S1145&lt;=10000,"5k-10k",S1145&lt;=15000,"10k-15k",TRUE,"15k+")</f>
        <v>0-5k</v>
      </c>
      <c r="AN1145" t="str" cm="1">
        <f t="array" ref="AN1145">_xlfn.IFS(AF1145&lt;=10,"0-10",AF1145&lt;=20,"10-20",AF1145&lt;=30,"20-30",TRUE,"30+")</f>
        <v>0-10</v>
      </c>
      <c r="AO1145" t="str" cm="1">
        <f t="array" ref="AO1145">_xlfn.IFS(Y1145=1,"Poor",Y1145=2,"Average",Y1145=3,"Good",TRUE,"Excellent")</f>
        <v>Good</v>
      </c>
      <c r="AP1145" t="str" cm="1">
        <f t="array" ref="AP1145">_xlfn.IFS(Q1145=1,"Low",Q1145=2,"Medium",Q1145=3,"High",TRUE,"Very High")</f>
        <v>Low</v>
      </c>
    </row>
    <row r="1146" spans="1:42" x14ac:dyDescent="0.25">
      <c r="A1146">
        <v>31</v>
      </c>
      <c r="B1146" t="s">
        <v>42</v>
      </c>
      <c r="C1146" t="s">
        <v>91</v>
      </c>
      <c r="D1146">
        <v>715</v>
      </c>
      <c r="E1146" t="s">
        <v>36</v>
      </c>
      <c r="F1146">
        <v>2</v>
      </c>
      <c r="G1146">
        <v>4</v>
      </c>
      <c r="H1146" t="s">
        <v>47</v>
      </c>
      <c r="I1146">
        <v>1</v>
      </c>
      <c r="J1146">
        <v>1613</v>
      </c>
      <c r="K1146">
        <v>4</v>
      </c>
      <c r="L1146" t="s">
        <v>44</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c r="AJ1146">
        <f t="shared" si="17"/>
        <v>0</v>
      </c>
      <c r="AK1146" t="str" cm="1">
        <f t="array" ref="AK1146">_xlfn.IFS(A1146&lt;=30,"18-30",A1146&lt;=45,"31-45",A1146&lt;=60,"46-60",TRUE, "60+")</f>
        <v>31-45</v>
      </c>
      <c r="AL1146" t="str" cm="1">
        <f t="array" ref="AL1146">_xlfn.IFS(F1146&lt;=10,"0-10",F1146&lt;=20,"11-20",TRUE,"20+")</f>
        <v>0-10</v>
      </c>
      <c r="AM1146" t="str" cm="1">
        <f t="array" ref="AM1146">_xlfn.IFS(S1146&lt;=5000,"0-5k",S1146&lt;=10000,"5k-10k",S1146&lt;=15000,"10k-15k",TRUE,"15k+")</f>
        <v>5k-10k</v>
      </c>
      <c r="AN1146" t="str" cm="1">
        <f t="array" ref="AN1146">_xlfn.IFS(AF1146&lt;=10,"0-10",AF1146&lt;=20,"10-20",AF1146&lt;=30,"20-30",TRUE,"30+")</f>
        <v>0-10</v>
      </c>
      <c r="AO1146" t="str" cm="1">
        <f t="array" ref="AO1146">_xlfn.IFS(Y1146=1,"Poor",Y1146=2,"Average",Y1146=3,"Good",TRUE,"Excellent")</f>
        <v>Good</v>
      </c>
      <c r="AP1146" t="str" cm="1">
        <f t="array" ref="AP1146">_xlfn.IFS(Q1146=1,"Low",Q1146=2,"Medium",Q1146=3,"High",TRUE,"Very High")</f>
        <v>Low</v>
      </c>
    </row>
    <row r="1147" spans="1:42" x14ac:dyDescent="0.25">
      <c r="A1147">
        <v>36</v>
      </c>
      <c r="B1147" t="s">
        <v>42</v>
      </c>
      <c r="C1147" t="s">
        <v>90</v>
      </c>
      <c r="D1147">
        <v>559</v>
      </c>
      <c r="E1147" t="s">
        <v>43</v>
      </c>
      <c r="F1147">
        <v>12</v>
      </c>
      <c r="G1147">
        <v>4</v>
      </c>
      <c r="H1147" t="s">
        <v>37</v>
      </c>
      <c r="I1147">
        <v>1</v>
      </c>
      <c r="J1147">
        <v>1614</v>
      </c>
      <c r="K1147">
        <v>3</v>
      </c>
      <c r="L1147" t="s">
        <v>38</v>
      </c>
      <c r="M1147">
        <v>76</v>
      </c>
      <c r="N1147">
        <v>3</v>
      </c>
      <c r="O1147">
        <v>2</v>
      </c>
      <c r="P1147" t="s">
        <v>51</v>
      </c>
      <c r="Q1147">
        <v>3</v>
      </c>
      <c r="R1147" t="s">
        <v>46</v>
      </c>
      <c r="S1147">
        <v>4663</v>
      </c>
      <c r="T1147">
        <v>12421</v>
      </c>
      <c r="U1147">
        <v>9</v>
      </c>
      <c r="V1147" t="s">
        <v>41</v>
      </c>
      <c r="W1147" t="s">
        <v>35</v>
      </c>
      <c r="X1147">
        <v>12</v>
      </c>
      <c r="Y1147">
        <v>3</v>
      </c>
      <c r="Z1147">
        <v>2</v>
      </c>
      <c r="AA1147">
        <v>80</v>
      </c>
      <c r="AB1147">
        <v>2</v>
      </c>
      <c r="AC1147">
        <v>7</v>
      </c>
      <c r="AD1147">
        <v>2</v>
      </c>
      <c r="AE1147">
        <v>3</v>
      </c>
      <c r="AF1147">
        <v>3</v>
      </c>
      <c r="AG1147">
        <v>2</v>
      </c>
      <c r="AH1147">
        <v>1</v>
      </c>
      <c r="AI1147">
        <v>1</v>
      </c>
      <c r="AJ1147">
        <f t="shared" si="17"/>
        <v>0</v>
      </c>
      <c r="AK1147" t="str" cm="1">
        <f t="array" ref="AK1147">_xlfn.IFS(A1147&lt;=30,"18-30",A1147&lt;=45,"31-45",A1147&lt;=60,"46-60",TRUE, "60+")</f>
        <v>31-45</v>
      </c>
      <c r="AL1147" t="str" cm="1">
        <f t="array" ref="AL1147">_xlfn.IFS(F1147&lt;=10,"0-10",F1147&lt;=20,"11-20",TRUE,"20+")</f>
        <v>11-20</v>
      </c>
      <c r="AM1147" t="str" cm="1">
        <f t="array" ref="AM1147">_xlfn.IFS(S1147&lt;=5000,"0-5k",S1147&lt;=10000,"5k-10k",S1147&lt;=15000,"10k-15k",TRUE,"15k+")</f>
        <v>0-5k</v>
      </c>
      <c r="AN1147" t="str" cm="1">
        <f t="array" ref="AN1147">_xlfn.IFS(AF1147&lt;=10,"0-10",AF1147&lt;=20,"10-20",AF1147&lt;=30,"20-30",TRUE,"30+")</f>
        <v>0-10</v>
      </c>
      <c r="AO1147" t="str" cm="1">
        <f t="array" ref="AO1147">_xlfn.IFS(Y1147=1,"Poor",Y1147=2,"Average",Y1147=3,"Good",TRUE,"Excellent")</f>
        <v>Good</v>
      </c>
      <c r="AP1147" t="str" cm="1">
        <f t="array" ref="AP1147">_xlfn.IFS(Q1147=1,"Low",Q1147=2,"Medium",Q1147=3,"High",TRUE,"Very High")</f>
        <v>High</v>
      </c>
    </row>
    <row r="1148" spans="1:42" x14ac:dyDescent="0.25">
      <c r="A1148">
        <v>34</v>
      </c>
      <c r="B1148" t="s">
        <v>42</v>
      </c>
      <c r="C1148" t="s">
        <v>91</v>
      </c>
      <c r="D1148">
        <v>426</v>
      </c>
      <c r="E1148" t="s">
        <v>43</v>
      </c>
      <c r="F1148">
        <v>10</v>
      </c>
      <c r="G1148">
        <v>4</v>
      </c>
      <c r="H1148" t="s">
        <v>37</v>
      </c>
      <c r="I1148">
        <v>1</v>
      </c>
      <c r="J1148">
        <v>1615</v>
      </c>
      <c r="K1148">
        <v>3</v>
      </c>
      <c r="L1148" t="s">
        <v>44</v>
      </c>
      <c r="M1148">
        <v>42</v>
      </c>
      <c r="N1148">
        <v>4</v>
      </c>
      <c r="O1148">
        <v>2</v>
      </c>
      <c r="P1148" t="s">
        <v>51</v>
      </c>
      <c r="Q1148">
        <v>4</v>
      </c>
      <c r="R1148" t="s">
        <v>50</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c r="AJ1148">
        <f t="shared" si="17"/>
        <v>0</v>
      </c>
      <c r="AK1148" t="str" cm="1">
        <f t="array" ref="AK1148">_xlfn.IFS(A1148&lt;=30,"18-30",A1148&lt;=45,"31-45",A1148&lt;=60,"46-60",TRUE, "60+")</f>
        <v>31-45</v>
      </c>
      <c r="AL1148" t="str" cm="1">
        <f t="array" ref="AL1148">_xlfn.IFS(F1148&lt;=10,"0-10",F1148&lt;=20,"11-20",TRUE,"20+")</f>
        <v>0-10</v>
      </c>
      <c r="AM1148" t="str" cm="1">
        <f t="array" ref="AM1148">_xlfn.IFS(S1148&lt;=5000,"0-5k",S1148&lt;=10000,"5k-10k",S1148&lt;=15000,"10k-15k",TRUE,"15k+")</f>
        <v>0-5k</v>
      </c>
      <c r="AN1148" t="str" cm="1">
        <f t="array" ref="AN1148">_xlfn.IFS(AF1148&lt;=10,"0-10",AF1148&lt;=20,"10-20",AF1148&lt;=30,"20-30",TRUE,"30+")</f>
        <v>0-10</v>
      </c>
      <c r="AO1148" t="str" cm="1">
        <f t="array" ref="AO1148">_xlfn.IFS(Y1148=1,"Poor",Y1148=2,"Average",Y1148=3,"Good",TRUE,"Excellent")</f>
        <v>Good</v>
      </c>
      <c r="AP1148" t="str" cm="1">
        <f t="array" ref="AP1148">_xlfn.IFS(Q1148=1,"Low",Q1148=2,"Medium",Q1148=3,"High",TRUE,"Very High")</f>
        <v>Very High</v>
      </c>
    </row>
    <row r="1149" spans="1:42" x14ac:dyDescent="0.25">
      <c r="A1149">
        <v>49</v>
      </c>
      <c r="B1149" t="s">
        <v>42</v>
      </c>
      <c r="C1149" t="s">
        <v>90</v>
      </c>
      <c r="D1149">
        <v>722</v>
      </c>
      <c r="E1149" t="s">
        <v>43</v>
      </c>
      <c r="F1149">
        <v>25</v>
      </c>
      <c r="G1149">
        <v>4</v>
      </c>
      <c r="H1149" t="s">
        <v>37</v>
      </c>
      <c r="I1149">
        <v>1</v>
      </c>
      <c r="J1149">
        <v>1617</v>
      </c>
      <c r="K1149">
        <v>3</v>
      </c>
      <c r="L1149" t="s">
        <v>38</v>
      </c>
      <c r="M1149">
        <v>84</v>
      </c>
      <c r="N1149">
        <v>3</v>
      </c>
      <c r="O1149">
        <v>1</v>
      </c>
      <c r="P1149" t="s">
        <v>48</v>
      </c>
      <c r="Q1149">
        <v>1</v>
      </c>
      <c r="R1149" t="s">
        <v>46</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c r="AJ1149">
        <f t="shared" si="17"/>
        <v>0</v>
      </c>
      <c r="AK1149" t="str" cm="1">
        <f t="array" ref="AK1149">_xlfn.IFS(A1149&lt;=30,"18-30",A1149&lt;=45,"31-45",A1149&lt;=60,"46-60",TRUE, "60+")</f>
        <v>46-60</v>
      </c>
      <c r="AL1149" t="str" cm="1">
        <f t="array" ref="AL1149">_xlfn.IFS(F1149&lt;=10,"0-10",F1149&lt;=20,"11-20",TRUE,"20+")</f>
        <v>20+</v>
      </c>
      <c r="AM1149" t="str" cm="1">
        <f t="array" ref="AM1149">_xlfn.IFS(S1149&lt;=5000,"0-5k",S1149&lt;=10000,"5k-10k",S1149&lt;=15000,"10k-15k",TRUE,"15k+")</f>
        <v>0-5k</v>
      </c>
      <c r="AN1149" t="str" cm="1">
        <f t="array" ref="AN1149">_xlfn.IFS(AF1149&lt;=10,"0-10",AF1149&lt;=20,"10-20",AF1149&lt;=30,"20-30",TRUE,"30+")</f>
        <v>0-10</v>
      </c>
      <c r="AO1149" t="str" cm="1">
        <f t="array" ref="AO1149">_xlfn.IFS(Y1149=1,"Poor",Y1149=2,"Average",Y1149=3,"Good",TRUE,"Excellent")</f>
        <v>Good</v>
      </c>
      <c r="AP1149" t="str" cm="1">
        <f t="array" ref="AP1149">_xlfn.IFS(Q1149=1,"Low",Q1149=2,"Medium",Q1149=3,"High",TRUE,"Very High")</f>
        <v>Low</v>
      </c>
    </row>
    <row r="1150" spans="1:42" x14ac:dyDescent="0.25">
      <c r="A1150">
        <v>39</v>
      </c>
      <c r="B1150" t="s">
        <v>42</v>
      </c>
      <c r="C1150" t="s">
        <v>90</v>
      </c>
      <c r="D1150">
        <v>1387</v>
      </c>
      <c r="E1150" t="s">
        <v>43</v>
      </c>
      <c r="F1150">
        <v>10</v>
      </c>
      <c r="G1150">
        <v>5</v>
      </c>
      <c r="H1150" t="s">
        <v>49</v>
      </c>
      <c r="I1150">
        <v>1</v>
      </c>
      <c r="J1150">
        <v>1618</v>
      </c>
      <c r="K1150">
        <v>2</v>
      </c>
      <c r="L1150" t="s">
        <v>44</v>
      </c>
      <c r="M1150">
        <v>76</v>
      </c>
      <c r="N1150">
        <v>3</v>
      </c>
      <c r="O1150">
        <v>2</v>
      </c>
      <c r="P1150" t="s">
        <v>51</v>
      </c>
      <c r="Q1150">
        <v>1</v>
      </c>
      <c r="R1150" t="s">
        <v>46</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c r="AJ1150">
        <f t="shared" si="17"/>
        <v>0</v>
      </c>
      <c r="AK1150" t="str" cm="1">
        <f t="array" ref="AK1150">_xlfn.IFS(A1150&lt;=30,"18-30",A1150&lt;=45,"31-45",A1150&lt;=60,"46-60",TRUE, "60+")</f>
        <v>31-45</v>
      </c>
      <c r="AL1150" t="str" cm="1">
        <f t="array" ref="AL1150">_xlfn.IFS(F1150&lt;=10,"0-10",F1150&lt;=20,"11-20",TRUE,"20+")</f>
        <v>0-10</v>
      </c>
      <c r="AM1150" t="str" cm="1">
        <f t="array" ref="AM1150">_xlfn.IFS(S1150&lt;=5000,"0-5k",S1150&lt;=10000,"5k-10k",S1150&lt;=15000,"10k-15k",TRUE,"15k+")</f>
        <v>5k-10k</v>
      </c>
      <c r="AN1150" t="str" cm="1">
        <f t="array" ref="AN1150">_xlfn.IFS(AF1150&lt;=10,"0-10",AF1150&lt;=20,"10-20",AF1150&lt;=30,"20-30",TRUE,"30+")</f>
        <v>0-10</v>
      </c>
      <c r="AO1150" t="str" cm="1">
        <f t="array" ref="AO1150">_xlfn.IFS(Y1150=1,"Poor",Y1150=2,"Average",Y1150=3,"Good",TRUE,"Excellent")</f>
        <v>Good</v>
      </c>
      <c r="AP1150" t="str" cm="1">
        <f t="array" ref="AP1150">_xlfn.IFS(Q1150=1,"Low",Q1150=2,"Medium",Q1150=3,"High",TRUE,"Very High")</f>
        <v>Low</v>
      </c>
    </row>
    <row r="1151" spans="1:42" x14ac:dyDescent="0.25">
      <c r="A1151">
        <v>27</v>
      </c>
      <c r="B1151" t="s">
        <v>42</v>
      </c>
      <c r="C1151" t="s">
        <v>90</v>
      </c>
      <c r="D1151">
        <v>1302</v>
      </c>
      <c r="E1151" t="s">
        <v>43</v>
      </c>
      <c r="F1151">
        <v>19</v>
      </c>
      <c r="G1151">
        <v>3</v>
      </c>
      <c r="H1151" t="s">
        <v>47</v>
      </c>
      <c r="I1151">
        <v>1</v>
      </c>
      <c r="J1151">
        <v>1619</v>
      </c>
      <c r="K1151">
        <v>4</v>
      </c>
      <c r="L1151" t="s">
        <v>44</v>
      </c>
      <c r="M1151">
        <v>67</v>
      </c>
      <c r="N1151">
        <v>2</v>
      </c>
      <c r="O1151">
        <v>1</v>
      </c>
      <c r="P1151" t="s">
        <v>48</v>
      </c>
      <c r="Q1151">
        <v>1</v>
      </c>
      <c r="R1151" t="s">
        <v>50</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c r="AJ1151">
        <f t="shared" si="17"/>
        <v>0</v>
      </c>
      <c r="AK1151" t="str" cm="1">
        <f t="array" ref="AK1151">_xlfn.IFS(A1151&lt;=30,"18-30",A1151&lt;=45,"31-45",A1151&lt;=60,"46-60",TRUE, "60+")</f>
        <v>18-30</v>
      </c>
      <c r="AL1151" t="str" cm="1">
        <f t="array" ref="AL1151">_xlfn.IFS(F1151&lt;=10,"0-10",F1151&lt;=20,"11-20",TRUE,"20+")</f>
        <v>11-20</v>
      </c>
      <c r="AM1151" t="str" cm="1">
        <f t="array" ref="AM1151">_xlfn.IFS(S1151&lt;=5000,"0-5k",S1151&lt;=10000,"5k-10k",S1151&lt;=15000,"10k-15k",TRUE,"15k+")</f>
        <v>0-5k</v>
      </c>
      <c r="AN1151" t="str" cm="1">
        <f t="array" ref="AN1151">_xlfn.IFS(AF1151&lt;=10,"0-10",AF1151&lt;=20,"10-20",AF1151&lt;=30,"20-30",TRUE,"30+")</f>
        <v>0-10</v>
      </c>
      <c r="AO1151" t="str" cm="1">
        <f t="array" ref="AO1151">_xlfn.IFS(Y1151=1,"Poor",Y1151=2,"Average",Y1151=3,"Good",TRUE,"Excellent")</f>
        <v>Good</v>
      </c>
      <c r="AP1151" t="str" cm="1">
        <f t="array" ref="AP1151">_xlfn.IFS(Q1151=1,"Low",Q1151=2,"Medium",Q1151=3,"High",TRUE,"Very High")</f>
        <v>Low</v>
      </c>
    </row>
    <row r="1152" spans="1:42" x14ac:dyDescent="0.25">
      <c r="A1152">
        <v>35</v>
      </c>
      <c r="B1152" t="s">
        <v>42</v>
      </c>
      <c r="C1152" t="s">
        <v>90</v>
      </c>
      <c r="D1152">
        <v>819</v>
      </c>
      <c r="E1152" t="s">
        <v>43</v>
      </c>
      <c r="F1152">
        <v>18</v>
      </c>
      <c r="G1152">
        <v>5</v>
      </c>
      <c r="H1152" t="s">
        <v>37</v>
      </c>
      <c r="I1152">
        <v>1</v>
      </c>
      <c r="J1152">
        <v>1621</v>
      </c>
      <c r="K1152">
        <v>2</v>
      </c>
      <c r="L1152" t="s">
        <v>44</v>
      </c>
      <c r="M1152">
        <v>48</v>
      </c>
      <c r="N1152">
        <v>4</v>
      </c>
      <c r="O1152">
        <v>2</v>
      </c>
      <c r="P1152" t="s">
        <v>45</v>
      </c>
      <c r="Q1152">
        <v>1</v>
      </c>
      <c r="R1152" t="s">
        <v>46</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c r="AJ1152">
        <f t="shared" si="17"/>
        <v>0</v>
      </c>
      <c r="AK1152" t="str" cm="1">
        <f t="array" ref="AK1152">_xlfn.IFS(A1152&lt;=30,"18-30",A1152&lt;=45,"31-45",A1152&lt;=60,"46-60",TRUE, "60+")</f>
        <v>31-45</v>
      </c>
      <c r="AL1152" t="str" cm="1">
        <f t="array" ref="AL1152">_xlfn.IFS(F1152&lt;=10,"0-10",F1152&lt;=20,"11-20",TRUE,"20+")</f>
        <v>11-20</v>
      </c>
      <c r="AM1152" t="str" cm="1">
        <f t="array" ref="AM1152">_xlfn.IFS(S1152&lt;=5000,"0-5k",S1152&lt;=10000,"5k-10k",S1152&lt;=15000,"10k-15k",TRUE,"15k+")</f>
        <v>5k-10k</v>
      </c>
      <c r="AN1152" t="str" cm="1">
        <f t="array" ref="AN1152">_xlfn.IFS(AF1152&lt;=10,"0-10",AF1152&lt;=20,"10-20",AF1152&lt;=30,"20-30",TRUE,"30+")</f>
        <v>10-20</v>
      </c>
      <c r="AO1152" t="str" cm="1">
        <f t="array" ref="AO1152">_xlfn.IFS(Y1152=1,"Poor",Y1152=2,"Average",Y1152=3,"Good",TRUE,"Excellent")</f>
        <v>Good</v>
      </c>
      <c r="AP1152" t="str" cm="1">
        <f t="array" ref="AP1152">_xlfn.IFS(Q1152=1,"Low",Q1152=2,"Medium",Q1152=3,"High",TRUE,"Very High")</f>
        <v>Low</v>
      </c>
    </row>
    <row r="1153" spans="1:42" x14ac:dyDescent="0.25">
      <c r="A1153">
        <v>28</v>
      </c>
      <c r="B1153" t="s">
        <v>42</v>
      </c>
      <c r="C1153" t="s">
        <v>90</v>
      </c>
      <c r="D1153">
        <v>580</v>
      </c>
      <c r="E1153" t="s">
        <v>43</v>
      </c>
      <c r="F1153">
        <v>27</v>
      </c>
      <c r="G1153">
        <v>3</v>
      </c>
      <c r="H1153" t="s">
        <v>49</v>
      </c>
      <c r="I1153">
        <v>1</v>
      </c>
      <c r="J1153">
        <v>1622</v>
      </c>
      <c r="K1153">
        <v>2</v>
      </c>
      <c r="L1153" t="s">
        <v>38</v>
      </c>
      <c r="M1153">
        <v>39</v>
      </c>
      <c r="N1153">
        <v>1</v>
      </c>
      <c r="O1153">
        <v>2</v>
      </c>
      <c r="P1153" t="s">
        <v>51</v>
      </c>
      <c r="Q1153">
        <v>1</v>
      </c>
      <c r="R1153" t="s">
        <v>50</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c r="AJ1153">
        <f t="shared" si="17"/>
        <v>0</v>
      </c>
      <c r="AK1153" t="str" cm="1">
        <f t="array" ref="AK1153">_xlfn.IFS(A1153&lt;=30,"18-30",A1153&lt;=45,"31-45",A1153&lt;=60,"46-60",TRUE, "60+")</f>
        <v>18-30</v>
      </c>
      <c r="AL1153" t="str" cm="1">
        <f t="array" ref="AL1153">_xlfn.IFS(F1153&lt;=10,"0-10",F1153&lt;=20,"11-20",TRUE,"20+")</f>
        <v>20+</v>
      </c>
      <c r="AM1153" t="str" cm="1">
        <f t="array" ref="AM1153">_xlfn.IFS(S1153&lt;=5000,"0-5k",S1153&lt;=10000,"5k-10k",S1153&lt;=15000,"10k-15k",TRUE,"15k+")</f>
        <v>0-5k</v>
      </c>
      <c r="AN1153" t="str" cm="1">
        <f t="array" ref="AN1153">_xlfn.IFS(AF1153&lt;=10,"0-10",AF1153&lt;=20,"10-20",AF1153&lt;=30,"20-30",TRUE,"30+")</f>
        <v>0-10</v>
      </c>
      <c r="AO1153" t="str" cm="1">
        <f t="array" ref="AO1153">_xlfn.IFS(Y1153=1,"Poor",Y1153=2,"Average",Y1153=3,"Good",TRUE,"Excellent")</f>
        <v>Excellent</v>
      </c>
      <c r="AP1153" t="str" cm="1">
        <f t="array" ref="AP1153">_xlfn.IFS(Q1153=1,"Low",Q1153=2,"Medium",Q1153=3,"High",TRUE,"Very High")</f>
        <v>Low</v>
      </c>
    </row>
    <row r="1154" spans="1:42" x14ac:dyDescent="0.25">
      <c r="A1154">
        <v>21</v>
      </c>
      <c r="B1154" t="s">
        <v>42</v>
      </c>
      <c r="C1154" t="s">
        <v>90</v>
      </c>
      <c r="D1154">
        <v>546</v>
      </c>
      <c r="E1154" t="s">
        <v>43</v>
      </c>
      <c r="F1154">
        <v>5</v>
      </c>
      <c r="G1154">
        <v>1</v>
      </c>
      <c r="H1154" t="s">
        <v>49</v>
      </c>
      <c r="I1154">
        <v>1</v>
      </c>
      <c r="J1154">
        <v>1623</v>
      </c>
      <c r="K1154">
        <v>3</v>
      </c>
      <c r="L1154" t="s">
        <v>44</v>
      </c>
      <c r="M1154">
        <v>97</v>
      </c>
      <c r="N1154">
        <v>3</v>
      </c>
      <c r="O1154">
        <v>1</v>
      </c>
      <c r="P1154" t="s">
        <v>45</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c r="AJ1154">
        <f t="shared" ref="AJ1154:AJ1217" si="18">IF(B1154="yes",1,0)</f>
        <v>0</v>
      </c>
      <c r="AK1154" t="str" cm="1">
        <f t="array" ref="AK1154">_xlfn.IFS(A1154&lt;=30,"18-30",A1154&lt;=45,"31-45",A1154&lt;=60,"46-60",TRUE, "60+")</f>
        <v>18-30</v>
      </c>
      <c r="AL1154" t="str" cm="1">
        <f t="array" ref="AL1154">_xlfn.IFS(F1154&lt;=10,"0-10",F1154&lt;=20,"11-20",TRUE,"20+")</f>
        <v>0-10</v>
      </c>
      <c r="AM1154" t="str" cm="1">
        <f t="array" ref="AM1154">_xlfn.IFS(S1154&lt;=5000,"0-5k",S1154&lt;=10000,"5k-10k",S1154&lt;=15000,"10k-15k",TRUE,"15k+")</f>
        <v>0-5k</v>
      </c>
      <c r="AN1154" t="str" cm="1">
        <f t="array" ref="AN1154">_xlfn.IFS(AF1154&lt;=10,"0-10",AF1154&lt;=20,"10-20",AF1154&lt;=30,"20-30",TRUE,"30+")</f>
        <v>0-10</v>
      </c>
      <c r="AO1154" t="str" cm="1">
        <f t="array" ref="AO1154">_xlfn.IFS(Y1154=1,"Poor",Y1154=2,"Average",Y1154=3,"Good",TRUE,"Excellent")</f>
        <v>Good</v>
      </c>
      <c r="AP1154" t="str" cm="1">
        <f t="array" ref="AP1154">_xlfn.IFS(Q1154=1,"Low",Q1154=2,"Medium",Q1154=3,"High",TRUE,"Very High")</f>
        <v>Very High</v>
      </c>
    </row>
    <row r="1155" spans="1:42" x14ac:dyDescent="0.25">
      <c r="A1155">
        <v>18</v>
      </c>
      <c r="B1155" t="s">
        <v>35</v>
      </c>
      <c r="C1155" t="s">
        <v>91</v>
      </c>
      <c r="D1155">
        <v>544</v>
      </c>
      <c r="E1155" t="s">
        <v>36</v>
      </c>
      <c r="F1155">
        <v>3</v>
      </c>
      <c r="G1155">
        <v>2</v>
      </c>
      <c r="H1155" t="s">
        <v>49</v>
      </c>
      <c r="I1155">
        <v>1</v>
      </c>
      <c r="J1155">
        <v>1624</v>
      </c>
      <c r="K1155">
        <v>2</v>
      </c>
      <c r="L1155" t="s">
        <v>38</v>
      </c>
      <c r="M1155">
        <v>70</v>
      </c>
      <c r="N1155">
        <v>3</v>
      </c>
      <c r="O1155">
        <v>1</v>
      </c>
      <c r="P1155" t="s">
        <v>55</v>
      </c>
      <c r="Q1155">
        <v>4</v>
      </c>
      <c r="R1155" t="s">
        <v>40</v>
      </c>
      <c r="S1155">
        <v>1569</v>
      </c>
      <c r="T1155">
        <v>18420</v>
      </c>
      <c r="U1155">
        <v>1</v>
      </c>
      <c r="V1155" t="s">
        <v>41</v>
      </c>
      <c r="W1155" t="s">
        <v>35</v>
      </c>
      <c r="X1155">
        <v>12</v>
      </c>
      <c r="Y1155">
        <v>3</v>
      </c>
      <c r="Z1155">
        <v>3</v>
      </c>
      <c r="AA1155">
        <v>80</v>
      </c>
      <c r="AB1155">
        <v>0</v>
      </c>
      <c r="AC1155">
        <v>0</v>
      </c>
      <c r="AD1155">
        <v>2</v>
      </c>
      <c r="AE1155">
        <v>4</v>
      </c>
      <c r="AF1155">
        <v>0</v>
      </c>
      <c r="AG1155">
        <v>0</v>
      </c>
      <c r="AH1155">
        <v>0</v>
      </c>
      <c r="AI1155">
        <v>0</v>
      </c>
      <c r="AJ1155">
        <f t="shared" si="18"/>
        <v>1</v>
      </c>
      <c r="AK1155" t="str" cm="1">
        <f t="array" ref="AK1155">_xlfn.IFS(A1155&lt;=30,"18-30",A1155&lt;=45,"31-45",A1155&lt;=60,"46-60",TRUE, "60+")</f>
        <v>18-30</v>
      </c>
      <c r="AL1155" t="str" cm="1">
        <f t="array" ref="AL1155">_xlfn.IFS(F1155&lt;=10,"0-10",F1155&lt;=20,"11-20",TRUE,"20+")</f>
        <v>0-10</v>
      </c>
      <c r="AM1155" t="str" cm="1">
        <f t="array" ref="AM1155">_xlfn.IFS(S1155&lt;=5000,"0-5k",S1155&lt;=10000,"5k-10k",S1155&lt;=15000,"10k-15k",TRUE,"15k+")</f>
        <v>0-5k</v>
      </c>
      <c r="AN1155" t="str" cm="1">
        <f t="array" ref="AN1155">_xlfn.IFS(AF1155&lt;=10,"0-10",AF1155&lt;=20,"10-20",AF1155&lt;=30,"20-30",TRUE,"30+")</f>
        <v>0-10</v>
      </c>
      <c r="AO1155" t="str" cm="1">
        <f t="array" ref="AO1155">_xlfn.IFS(Y1155=1,"Poor",Y1155=2,"Average",Y1155=3,"Good",TRUE,"Excellent")</f>
        <v>Good</v>
      </c>
      <c r="AP1155" t="str" cm="1">
        <f t="array" ref="AP1155">_xlfn.IFS(Q1155=1,"Low",Q1155=2,"Medium",Q1155=3,"High",TRUE,"Very High")</f>
        <v>Very High</v>
      </c>
    </row>
    <row r="1156" spans="1:42" x14ac:dyDescent="0.25">
      <c r="A1156">
        <v>47</v>
      </c>
      <c r="B1156" t="s">
        <v>42</v>
      </c>
      <c r="C1156" t="s">
        <v>90</v>
      </c>
      <c r="D1156">
        <v>1176</v>
      </c>
      <c r="E1156" t="s">
        <v>59</v>
      </c>
      <c r="F1156">
        <v>26</v>
      </c>
      <c r="G1156">
        <v>4</v>
      </c>
      <c r="H1156" t="s">
        <v>37</v>
      </c>
      <c r="I1156">
        <v>1</v>
      </c>
      <c r="J1156">
        <v>1625</v>
      </c>
      <c r="K1156">
        <v>4</v>
      </c>
      <c r="L1156" t="s">
        <v>38</v>
      </c>
      <c r="M1156">
        <v>98</v>
      </c>
      <c r="N1156">
        <v>3</v>
      </c>
      <c r="O1156">
        <v>5</v>
      </c>
      <c r="P1156" t="s">
        <v>54</v>
      </c>
      <c r="Q1156">
        <v>3</v>
      </c>
      <c r="R1156" t="s">
        <v>46</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c r="AJ1156">
        <f t="shared" si="18"/>
        <v>0</v>
      </c>
      <c r="AK1156" t="str" cm="1">
        <f t="array" ref="AK1156">_xlfn.IFS(A1156&lt;=30,"18-30",A1156&lt;=45,"31-45",A1156&lt;=60,"46-60",TRUE, "60+")</f>
        <v>46-60</v>
      </c>
      <c r="AL1156" t="str" cm="1">
        <f t="array" ref="AL1156">_xlfn.IFS(F1156&lt;=10,"0-10",F1156&lt;=20,"11-20",TRUE,"20+")</f>
        <v>20+</v>
      </c>
      <c r="AM1156" t="str" cm="1">
        <f t="array" ref="AM1156">_xlfn.IFS(S1156&lt;=5000,"0-5k",S1156&lt;=10000,"5k-10k",S1156&lt;=15000,"10k-15k",TRUE,"15k+")</f>
        <v>15k+</v>
      </c>
      <c r="AN1156" t="str" cm="1">
        <f t="array" ref="AN1156">_xlfn.IFS(AF1156&lt;=10,"0-10",AF1156&lt;=20,"10-20",AF1156&lt;=30,"20-30",TRUE,"30+")</f>
        <v>0-10</v>
      </c>
      <c r="AO1156" t="str" cm="1">
        <f t="array" ref="AO1156">_xlfn.IFS(Y1156=1,"Poor",Y1156=2,"Average",Y1156=3,"Good",TRUE,"Excellent")</f>
        <v>Good</v>
      </c>
      <c r="AP1156" t="str" cm="1">
        <f t="array" ref="AP1156">_xlfn.IFS(Q1156=1,"Low",Q1156=2,"Medium",Q1156=3,"High",TRUE,"Very High")</f>
        <v>High</v>
      </c>
    </row>
    <row r="1157" spans="1:42" x14ac:dyDescent="0.25">
      <c r="A1157">
        <v>39</v>
      </c>
      <c r="B1157" t="s">
        <v>42</v>
      </c>
      <c r="C1157" t="s">
        <v>90</v>
      </c>
      <c r="D1157">
        <v>170</v>
      </c>
      <c r="E1157" t="s">
        <v>43</v>
      </c>
      <c r="F1157">
        <v>3</v>
      </c>
      <c r="G1157">
        <v>2</v>
      </c>
      <c r="H1157" t="s">
        <v>49</v>
      </c>
      <c r="I1157">
        <v>1</v>
      </c>
      <c r="J1157">
        <v>1627</v>
      </c>
      <c r="K1157">
        <v>3</v>
      </c>
      <c r="L1157" t="s">
        <v>44</v>
      </c>
      <c r="M1157">
        <v>76</v>
      </c>
      <c r="N1157">
        <v>2</v>
      </c>
      <c r="O1157">
        <v>2</v>
      </c>
      <c r="P1157" t="s">
        <v>48</v>
      </c>
      <c r="Q1157">
        <v>3</v>
      </c>
      <c r="R1157" t="s">
        <v>50</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c r="AJ1157">
        <f t="shared" si="18"/>
        <v>0</v>
      </c>
      <c r="AK1157" t="str" cm="1">
        <f t="array" ref="AK1157">_xlfn.IFS(A1157&lt;=30,"18-30",A1157&lt;=45,"31-45",A1157&lt;=60,"46-60",TRUE, "60+")</f>
        <v>31-45</v>
      </c>
      <c r="AL1157" t="str" cm="1">
        <f t="array" ref="AL1157">_xlfn.IFS(F1157&lt;=10,"0-10",F1157&lt;=20,"11-20",TRUE,"20+")</f>
        <v>0-10</v>
      </c>
      <c r="AM1157" t="str" cm="1">
        <f t="array" ref="AM1157">_xlfn.IFS(S1157&lt;=5000,"0-5k",S1157&lt;=10000,"5k-10k",S1157&lt;=15000,"10k-15k",TRUE,"15k+")</f>
        <v>0-5k</v>
      </c>
      <c r="AN1157" t="str" cm="1">
        <f t="array" ref="AN1157">_xlfn.IFS(AF1157&lt;=10,"0-10",AF1157&lt;=20,"10-20",AF1157&lt;=30,"20-30",TRUE,"30+")</f>
        <v>0-10</v>
      </c>
      <c r="AO1157" t="str" cm="1">
        <f t="array" ref="AO1157">_xlfn.IFS(Y1157=1,"Poor",Y1157=2,"Average",Y1157=3,"Good",TRUE,"Excellent")</f>
        <v>Good</v>
      </c>
      <c r="AP1157" t="str" cm="1">
        <f t="array" ref="AP1157">_xlfn.IFS(Q1157=1,"Low",Q1157=2,"Medium",Q1157=3,"High",TRUE,"Very High")</f>
        <v>High</v>
      </c>
    </row>
    <row r="1158" spans="1:42" x14ac:dyDescent="0.25">
      <c r="A1158">
        <v>40</v>
      </c>
      <c r="B1158" t="s">
        <v>42</v>
      </c>
      <c r="C1158" t="s">
        <v>90</v>
      </c>
      <c r="D1158">
        <v>884</v>
      </c>
      <c r="E1158" t="s">
        <v>43</v>
      </c>
      <c r="F1158">
        <v>15</v>
      </c>
      <c r="G1158">
        <v>3</v>
      </c>
      <c r="H1158" t="s">
        <v>37</v>
      </c>
      <c r="I1158">
        <v>1</v>
      </c>
      <c r="J1158">
        <v>1628</v>
      </c>
      <c r="K1158">
        <v>1</v>
      </c>
      <c r="L1158" t="s">
        <v>38</v>
      </c>
      <c r="M1158">
        <v>80</v>
      </c>
      <c r="N1158">
        <v>2</v>
      </c>
      <c r="O1158">
        <v>3</v>
      </c>
      <c r="P1158" t="s">
        <v>51</v>
      </c>
      <c r="Q1158">
        <v>3</v>
      </c>
      <c r="R1158" t="s">
        <v>46</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c r="AJ1158">
        <f t="shared" si="18"/>
        <v>0</v>
      </c>
      <c r="AK1158" t="str" cm="1">
        <f t="array" ref="AK1158">_xlfn.IFS(A1158&lt;=30,"18-30",A1158&lt;=45,"31-45",A1158&lt;=60,"46-60",TRUE, "60+")</f>
        <v>31-45</v>
      </c>
      <c r="AL1158" t="str" cm="1">
        <f t="array" ref="AL1158">_xlfn.IFS(F1158&lt;=10,"0-10",F1158&lt;=20,"11-20",TRUE,"20+")</f>
        <v>11-20</v>
      </c>
      <c r="AM1158" t="str" cm="1">
        <f t="array" ref="AM1158">_xlfn.IFS(S1158&lt;=5000,"0-5k",S1158&lt;=10000,"5k-10k",S1158&lt;=15000,"10k-15k",TRUE,"15k+")</f>
        <v>10k-15k</v>
      </c>
      <c r="AN1158" t="str" cm="1">
        <f t="array" ref="AN1158">_xlfn.IFS(AF1158&lt;=10,"0-10",AF1158&lt;=20,"10-20",AF1158&lt;=30,"20-30",TRUE,"30+")</f>
        <v>10-20</v>
      </c>
      <c r="AO1158" t="str" cm="1">
        <f t="array" ref="AO1158">_xlfn.IFS(Y1158=1,"Poor",Y1158=2,"Average",Y1158=3,"Good",TRUE,"Excellent")</f>
        <v>Good</v>
      </c>
      <c r="AP1158" t="str" cm="1">
        <f t="array" ref="AP1158">_xlfn.IFS(Q1158=1,"Low",Q1158=2,"Medium",Q1158=3,"High",TRUE,"Very High")</f>
        <v>High</v>
      </c>
    </row>
    <row r="1159" spans="1:42" x14ac:dyDescent="0.25">
      <c r="A1159">
        <v>35</v>
      </c>
      <c r="B1159" t="s">
        <v>42</v>
      </c>
      <c r="C1159" t="s">
        <v>53</v>
      </c>
      <c r="D1159">
        <v>208</v>
      </c>
      <c r="E1159" t="s">
        <v>43</v>
      </c>
      <c r="F1159">
        <v>8</v>
      </c>
      <c r="G1159">
        <v>4</v>
      </c>
      <c r="H1159" t="s">
        <v>37</v>
      </c>
      <c r="I1159">
        <v>1</v>
      </c>
      <c r="J1159">
        <v>1630</v>
      </c>
      <c r="K1159">
        <v>3</v>
      </c>
      <c r="L1159" t="s">
        <v>38</v>
      </c>
      <c r="M1159">
        <v>52</v>
      </c>
      <c r="N1159">
        <v>3</v>
      </c>
      <c r="O1159">
        <v>2</v>
      </c>
      <c r="P1159" t="s">
        <v>52</v>
      </c>
      <c r="Q1159">
        <v>3</v>
      </c>
      <c r="R1159" t="s">
        <v>46</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c r="AJ1159">
        <f t="shared" si="18"/>
        <v>0</v>
      </c>
      <c r="AK1159" t="str" cm="1">
        <f t="array" ref="AK1159">_xlfn.IFS(A1159&lt;=30,"18-30",A1159&lt;=45,"31-45",A1159&lt;=60,"46-60",TRUE, "60+")</f>
        <v>31-45</v>
      </c>
      <c r="AL1159" t="str" cm="1">
        <f t="array" ref="AL1159">_xlfn.IFS(F1159&lt;=10,"0-10",F1159&lt;=20,"11-20",TRUE,"20+")</f>
        <v>0-10</v>
      </c>
      <c r="AM1159" t="str" cm="1">
        <f t="array" ref="AM1159">_xlfn.IFS(S1159&lt;=5000,"0-5k",S1159&lt;=10000,"5k-10k",S1159&lt;=15000,"10k-15k",TRUE,"15k+")</f>
        <v>0-5k</v>
      </c>
      <c r="AN1159" t="str" cm="1">
        <f t="array" ref="AN1159">_xlfn.IFS(AF1159&lt;=10,"0-10",AF1159&lt;=20,"10-20",AF1159&lt;=30,"20-30",TRUE,"30+")</f>
        <v>10-20</v>
      </c>
      <c r="AO1159" t="str" cm="1">
        <f t="array" ref="AO1159">_xlfn.IFS(Y1159=1,"Poor",Y1159=2,"Average",Y1159=3,"Good",TRUE,"Excellent")</f>
        <v>Good</v>
      </c>
      <c r="AP1159" t="str" cm="1">
        <f t="array" ref="AP1159">_xlfn.IFS(Q1159=1,"Low",Q1159=2,"Medium",Q1159=3,"High",TRUE,"Very High")</f>
        <v>High</v>
      </c>
    </row>
    <row r="1160" spans="1:42" x14ac:dyDescent="0.25">
      <c r="A1160">
        <v>37</v>
      </c>
      <c r="B1160" t="s">
        <v>42</v>
      </c>
      <c r="C1160" t="s">
        <v>90</v>
      </c>
      <c r="D1160">
        <v>671</v>
      </c>
      <c r="E1160" t="s">
        <v>43</v>
      </c>
      <c r="F1160">
        <v>19</v>
      </c>
      <c r="G1160">
        <v>3</v>
      </c>
      <c r="H1160" t="s">
        <v>37</v>
      </c>
      <c r="I1160">
        <v>1</v>
      </c>
      <c r="J1160">
        <v>1631</v>
      </c>
      <c r="K1160">
        <v>3</v>
      </c>
      <c r="L1160" t="s">
        <v>44</v>
      </c>
      <c r="M1160">
        <v>85</v>
      </c>
      <c r="N1160">
        <v>3</v>
      </c>
      <c r="O1160">
        <v>2</v>
      </c>
      <c r="P1160" t="s">
        <v>51</v>
      </c>
      <c r="Q1160">
        <v>3</v>
      </c>
      <c r="R1160" t="s">
        <v>46</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c r="AJ1160">
        <f t="shared" si="18"/>
        <v>0</v>
      </c>
      <c r="AK1160" t="str" cm="1">
        <f t="array" ref="AK1160">_xlfn.IFS(A1160&lt;=30,"18-30",A1160&lt;=45,"31-45",A1160&lt;=60,"46-60",TRUE, "60+")</f>
        <v>31-45</v>
      </c>
      <c r="AL1160" t="str" cm="1">
        <f t="array" ref="AL1160">_xlfn.IFS(F1160&lt;=10,"0-10",F1160&lt;=20,"11-20",TRUE,"20+")</f>
        <v>11-20</v>
      </c>
      <c r="AM1160" t="str" cm="1">
        <f t="array" ref="AM1160">_xlfn.IFS(S1160&lt;=5000,"0-5k",S1160&lt;=10000,"5k-10k",S1160&lt;=15000,"10k-15k",TRUE,"15k+")</f>
        <v>5k-10k</v>
      </c>
      <c r="AN1160" t="str" cm="1">
        <f t="array" ref="AN1160">_xlfn.IFS(AF1160&lt;=10,"0-10",AF1160&lt;=20,"10-20",AF1160&lt;=30,"20-30",TRUE,"30+")</f>
        <v>0-10</v>
      </c>
      <c r="AO1160" t="str" cm="1">
        <f t="array" ref="AO1160">_xlfn.IFS(Y1160=1,"Poor",Y1160=2,"Average",Y1160=3,"Good",TRUE,"Excellent")</f>
        <v>Good</v>
      </c>
      <c r="AP1160" t="str" cm="1">
        <f t="array" ref="AP1160">_xlfn.IFS(Q1160=1,"Low",Q1160=2,"Medium",Q1160=3,"High",TRUE,"Very High")</f>
        <v>High</v>
      </c>
    </row>
    <row r="1161" spans="1:42" x14ac:dyDescent="0.25">
      <c r="A1161">
        <v>39</v>
      </c>
      <c r="B1161" t="s">
        <v>42</v>
      </c>
      <c r="C1161" t="s">
        <v>91</v>
      </c>
      <c r="D1161">
        <v>711</v>
      </c>
      <c r="E1161" t="s">
        <v>43</v>
      </c>
      <c r="F1161">
        <v>4</v>
      </c>
      <c r="G1161">
        <v>3</v>
      </c>
      <c r="H1161" t="s">
        <v>49</v>
      </c>
      <c r="I1161">
        <v>1</v>
      </c>
      <c r="J1161">
        <v>1633</v>
      </c>
      <c r="K1161">
        <v>1</v>
      </c>
      <c r="L1161" t="s">
        <v>38</v>
      </c>
      <c r="M1161">
        <v>81</v>
      </c>
      <c r="N1161">
        <v>3</v>
      </c>
      <c r="O1161">
        <v>2</v>
      </c>
      <c r="P1161" t="s">
        <v>51</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c r="AJ1161">
        <f t="shared" si="18"/>
        <v>0</v>
      </c>
      <c r="AK1161" t="str" cm="1">
        <f t="array" ref="AK1161">_xlfn.IFS(A1161&lt;=30,"18-30",A1161&lt;=45,"31-45",A1161&lt;=60,"46-60",TRUE, "60+")</f>
        <v>31-45</v>
      </c>
      <c r="AL1161" t="str" cm="1">
        <f t="array" ref="AL1161">_xlfn.IFS(F1161&lt;=10,"0-10",F1161&lt;=20,"11-20",TRUE,"20+")</f>
        <v>0-10</v>
      </c>
      <c r="AM1161" t="str" cm="1">
        <f t="array" ref="AM1161">_xlfn.IFS(S1161&lt;=5000,"0-5k",S1161&lt;=10000,"5k-10k",S1161&lt;=15000,"10k-15k",TRUE,"15k+")</f>
        <v>5k-10k</v>
      </c>
      <c r="AN1161" t="str" cm="1">
        <f t="array" ref="AN1161">_xlfn.IFS(AF1161&lt;=10,"0-10",AF1161&lt;=20,"10-20",AF1161&lt;=30,"20-30",TRUE,"30+")</f>
        <v>0-10</v>
      </c>
      <c r="AO1161" t="str" cm="1">
        <f t="array" ref="AO1161">_xlfn.IFS(Y1161=1,"Poor",Y1161=2,"Average",Y1161=3,"Good",TRUE,"Excellent")</f>
        <v>Good</v>
      </c>
      <c r="AP1161" t="str" cm="1">
        <f t="array" ref="AP1161">_xlfn.IFS(Q1161=1,"Low",Q1161=2,"Medium",Q1161=3,"High",TRUE,"Very High")</f>
        <v>High</v>
      </c>
    </row>
    <row r="1162" spans="1:42" x14ac:dyDescent="0.25">
      <c r="A1162">
        <v>45</v>
      </c>
      <c r="B1162" t="s">
        <v>42</v>
      </c>
      <c r="C1162" t="s">
        <v>90</v>
      </c>
      <c r="D1162">
        <v>1329</v>
      </c>
      <c r="E1162" t="s">
        <v>43</v>
      </c>
      <c r="F1162">
        <v>2</v>
      </c>
      <c r="G1162">
        <v>2</v>
      </c>
      <c r="H1162" t="s">
        <v>47</v>
      </c>
      <c r="I1162">
        <v>1</v>
      </c>
      <c r="J1162">
        <v>1635</v>
      </c>
      <c r="K1162">
        <v>4</v>
      </c>
      <c r="L1162" t="s">
        <v>38</v>
      </c>
      <c r="M1162">
        <v>59</v>
      </c>
      <c r="N1162">
        <v>2</v>
      </c>
      <c r="O1162">
        <v>2</v>
      </c>
      <c r="P1162" t="s">
        <v>51</v>
      </c>
      <c r="Q1162">
        <v>4</v>
      </c>
      <c r="R1162" t="s">
        <v>50</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c r="AJ1162">
        <f t="shared" si="18"/>
        <v>0</v>
      </c>
      <c r="AK1162" t="str" cm="1">
        <f t="array" ref="AK1162">_xlfn.IFS(A1162&lt;=30,"18-30",A1162&lt;=45,"31-45",A1162&lt;=60,"46-60",TRUE, "60+")</f>
        <v>31-45</v>
      </c>
      <c r="AL1162" t="str" cm="1">
        <f t="array" ref="AL1162">_xlfn.IFS(F1162&lt;=10,"0-10",F1162&lt;=20,"11-20",TRUE,"20+")</f>
        <v>0-10</v>
      </c>
      <c r="AM1162" t="str" cm="1">
        <f t="array" ref="AM1162">_xlfn.IFS(S1162&lt;=5000,"0-5k",S1162&lt;=10000,"5k-10k",S1162&lt;=15000,"10k-15k",TRUE,"15k+")</f>
        <v>5k-10k</v>
      </c>
      <c r="AN1162" t="str" cm="1">
        <f t="array" ref="AN1162">_xlfn.IFS(AF1162&lt;=10,"0-10",AF1162&lt;=20,"10-20",AF1162&lt;=30,"20-30",TRUE,"30+")</f>
        <v>0-10</v>
      </c>
      <c r="AO1162" t="str" cm="1">
        <f t="array" ref="AO1162">_xlfn.IFS(Y1162=1,"Poor",Y1162=2,"Average",Y1162=3,"Good",TRUE,"Excellent")</f>
        <v>Good</v>
      </c>
      <c r="AP1162" t="str" cm="1">
        <f t="array" ref="AP1162">_xlfn.IFS(Q1162=1,"Low",Q1162=2,"Medium",Q1162=3,"High",TRUE,"Very High")</f>
        <v>Very High</v>
      </c>
    </row>
    <row r="1163" spans="1:42" x14ac:dyDescent="0.25">
      <c r="A1163">
        <v>38</v>
      </c>
      <c r="B1163" t="s">
        <v>42</v>
      </c>
      <c r="C1163" t="s">
        <v>90</v>
      </c>
      <c r="D1163">
        <v>397</v>
      </c>
      <c r="E1163" t="s">
        <v>43</v>
      </c>
      <c r="F1163">
        <v>2</v>
      </c>
      <c r="G1163">
        <v>2</v>
      </c>
      <c r="H1163" t="s">
        <v>49</v>
      </c>
      <c r="I1163">
        <v>1</v>
      </c>
      <c r="J1163">
        <v>1638</v>
      </c>
      <c r="K1163">
        <v>4</v>
      </c>
      <c r="L1163" t="s">
        <v>38</v>
      </c>
      <c r="M1163">
        <v>54</v>
      </c>
      <c r="N1163">
        <v>2</v>
      </c>
      <c r="O1163">
        <v>3</v>
      </c>
      <c r="P1163" t="s">
        <v>51</v>
      </c>
      <c r="Q1163">
        <v>3</v>
      </c>
      <c r="R1163" t="s">
        <v>46</v>
      </c>
      <c r="S1163">
        <v>7756</v>
      </c>
      <c r="T1163">
        <v>14199</v>
      </c>
      <c r="U1163">
        <v>3</v>
      </c>
      <c r="V1163" t="s">
        <v>41</v>
      </c>
      <c r="W1163" t="s">
        <v>35</v>
      </c>
      <c r="X1163">
        <v>19</v>
      </c>
      <c r="Y1163">
        <v>3</v>
      </c>
      <c r="Z1163">
        <v>4</v>
      </c>
      <c r="AA1163">
        <v>80</v>
      </c>
      <c r="AB1163">
        <v>1</v>
      </c>
      <c r="AC1163">
        <v>10</v>
      </c>
      <c r="AD1163">
        <v>6</v>
      </c>
      <c r="AE1163">
        <v>4</v>
      </c>
      <c r="AF1163">
        <v>5</v>
      </c>
      <c r="AG1163">
        <v>4</v>
      </c>
      <c r="AH1163">
        <v>0</v>
      </c>
      <c r="AI1163">
        <v>2</v>
      </c>
      <c r="AJ1163">
        <f t="shared" si="18"/>
        <v>0</v>
      </c>
      <c r="AK1163" t="str" cm="1">
        <f t="array" ref="AK1163">_xlfn.IFS(A1163&lt;=30,"18-30",A1163&lt;=45,"31-45",A1163&lt;=60,"46-60",TRUE, "60+")</f>
        <v>31-45</v>
      </c>
      <c r="AL1163" t="str" cm="1">
        <f t="array" ref="AL1163">_xlfn.IFS(F1163&lt;=10,"0-10",F1163&lt;=20,"11-20",TRUE,"20+")</f>
        <v>0-10</v>
      </c>
      <c r="AM1163" t="str" cm="1">
        <f t="array" ref="AM1163">_xlfn.IFS(S1163&lt;=5000,"0-5k",S1163&lt;=10000,"5k-10k",S1163&lt;=15000,"10k-15k",TRUE,"15k+")</f>
        <v>5k-10k</v>
      </c>
      <c r="AN1163" t="str" cm="1">
        <f t="array" ref="AN1163">_xlfn.IFS(AF1163&lt;=10,"0-10",AF1163&lt;=20,"10-20",AF1163&lt;=30,"20-30",TRUE,"30+")</f>
        <v>0-10</v>
      </c>
      <c r="AO1163" t="str" cm="1">
        <f t="array" ref="AO1163">_xlfn.IFS(Y1163=1,"Poor",Y1163=2,"Average",Y1163=3,"Good",TRUE,"Excellent")</f>
        <v>Good</v>
      </c>
      <c r="AP1163" t="str" cm="1">
        <f t="array" ref="AP1163">_xlfn.IFS(Q1163=1,"Low",Q1163=2,"Medium",Q1163=3,"High",TRUE,"Very High")</f>
        <v>High</v>
      </c>
    </row>
    <row r="1164" spans="1:42" x14ac:dyDescent="0.25">
      <c r="A1164">
        <v>35</v>
      </c>
      <c r="B1164" t="s">
        <v>35</v>
      </c>
      <c r="C1164" t="s">
        <v>90</v>
      </c>
      <c r="D1164">
        <v>737</v>
      </c>
      <c r="E1164" t="s">
        <v>36</v>
      </c>
      <c r="F1164">
        <v>10</v>
      </c>
      <c r="G1164">
        <v>3</v>
      </c>
      <c r="H1164" t="s">
        <v>49</v>
      </c>
      <c r="I1164">
        <v>1</v>
      </c>
      <c r="J1164">
        <v>1639</v>
      </c>
      <c r="K1164">
        <v>4</v>
      </c>
      <c r="L1164" t="s">
        <v>44</v>
      </c>
      <c r="M1164">
        <v>55</v>
      </c>
      <c r="N1164">
        <v>2</v>
      </c>
      <c r="O1164">
        <v>3</v>
      </c>
      <c r="P1164" t="s">
        <v>39</v>
      </c>
      <c r="Q1164">
        <v>1</v>
      </c>
      <c r="R1164" t="s">
        <v>46</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c r="AJ1164">
        <f t="shared" si="18"/>
        <v>1</v>
      </c>
      <c r="AK1164" t="str" cm="1">
        <f t="array" ref="AK1164">_xlfn.IFS(A1164&lt;=30,"18-30",A1164&lt;=45,"31-45",A1164&lt;=60,"46-60",TRUE, "60+")</f>
        <v>31-45</v>
      </c>
      <c r="AL1164" t="str" cm="1">
        <f t="array" ref="AL1164">_xlfn.IFS(F1164&lt;=10,"0-10",F1164&lt;=20,"11-20",TRUE,"20+")</f>
        <v>0-10</v>
      </c>
      <c r="AM1164" t="str" cm="1">
        <f t="array" ref="AM1164">_xlfn.IFS(S1164&lt;=5000,"0-5k",S1164&lt;=10000,"5k-10k",S1164&lt;=15000,"10k-15k",TRUE,"15k+")</f>
        <v>10k-15k</v>
      </c>
      <c r="AN1164" t="str" cm="1">
        <f t="array" ref="AN1164">_xlfn.IFS(AF1164&lt;=10,"0-10",AF1164&lt;=20,"10-20",AF1164&lt;=30,"20-30",TRUE,"30+")</f>
        <v>10-20</v>
      </c>
      <c r="AO1164" t="str" cm="1">
        <f t="array" ref="AO1164">_xlfn.IFS(Y1164=1,"Poor",Y1164=2,"Average",Y1164=3,"Good",TRUE,"Excellent")</f>
        <v>Good</v>
      </c>
      <c r="AP1164" t="str" cm="1">
        <f t="array" ref="AP1164">_xlfn.IFS(Q1164=1,"Low",Q1164=2,"Medium",Q1164=3,"High",TRUE,"Very High")</f>
        <v>Low</v>
      </c>
    </row>
    <row r="1165" spans="1:42" x14ac:dyDescent="0.25">
      <c r="A1165">
        <v>37</v>
      </c>
      <c r="B1165" t="s">
        <v>42</v>
      </c>
      <c r="C1165" t="s">
        <v>90</v>
      </c>
      <c r="D1165">
        <v>1470</v>
      </c>
      <c r="E1165" t="s">
        <v>43</v>
      </c>
      <c r="F1165">
        <v>10</v>
      </c>
      <c r="G1165">
        <v>3</v>
      </c>
      <c r="H1165" t="s">
        <v>49</v>
      </c>
      <c r="I1165">
        <v>1</v>
      </c>
      <c r="J1165">
        <v>1640</v>
      </c>
      <c r="K1165">
        <v>2</v>
      </c>
      <c r="L1165" t="s">
        <v>38</v>
      </c>
      <c r="M1165">
        <v>71</v>
      </c>
      <c r="N1165">
        <v>3</v>
      </c>
      <c r="O1165">
        <v>1</v>
      </c>
      <c r="P1165" t="s">
        <v>45</v>
      </c>
      <c r="Q1165">
        <v>2</v>
      </c>
      <c r="R1165" t="s">
        <v>46</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c r="AJ1165">
        <f t="shared" si="18"/>
        <v>0</v>
      </c>
      <c r="AK1165" t="str" cm="1">
        <f t="array" ref="AK1165">_xlfn.IFS(A1165&lt;=30,"18-30",A1165&lt;=45,"31-45",A1165&lt;=60,"46-60",TRUE, "60+")</f>
        <v>31-45</v>
      </c>
      <c r="AL1165" t="str" cm="1">
        <f t="array" ref="AL1165">_xlfn.IFS(F1165&lt;=10,"0-10",F1165&lt;=20,"11-20",TRUE,"20+")</f>
        <v>0-10</v>
      </c>
      <c r="AM1165" t="str" cm="1">
        <f t="array" ref="AM1165">_xlfn.IFS(S1165&lt;=5000,"0-5k",S1165&lt;=10000,"5k-10k",S1165&lt;=15000,"10k-15k",TRUE,"15k+")</f>
        <v>0-5k</v>
      </c>
      <c r="AN1165" t="str" cm="1">
        <f t="array" ref="AN1165">_xlfn.IFS(AF1165&lt;=10,"0-10",AF1165&lt;=20,"10-20",AF1165&lt;=30,"20-30",TRUE,"30+")</f>
        <v>0-10</v>
      </c>
      <c r="AO1165" t="str" cm="1">
        <f t="array" ref="AO1165">_xlfn.IFS(Y1165=1,"Poor",Y1165=2,"Average",Y1165=3,"Good",TRUE,"Excellent")</f>
        <v>Good</v>
      </c>
      <c r="AP1165" t="str" cm="1">
        <f t="array" ref="AP1165">_xlfn.IFS(Q1165=1,"Low",Q1165=2,"Medium",Q1165=3,"High",TRUE,"Very High")</f>
        <v>Medium</v>
      </c>
    </row>
    <row r="1166" spans="1:42" x14ac:dyDescent="0.25">
      <c r="A1166">
        <v>40</v>
      </c>
      <c r="B1166" t="s">
        <v>42</v>
      </c>
      <c r="C1166" t="s">
        <v>90</v>
      </c>
      <c r="D1166">
        <v>448</v>
      </c>
      <c r="E1166" t="s">
        <v>43</v>
      </c>
      <c r="F1166">
        <v>16</v>
      </c>
      <c r="G1166">
        <v>3</v>
      </c>
      <c r="H1166" t="s">
        <v>37</v>
      </c>
      <c r="I1166">
        <v>1</v>
      </c>
      <c r="J1166">
        <v>1641</v>
      </c>
      <c r="K1166">
        <v>3</v>
      </c>
      <c r="L1166" t="s">
        <v>38</v>
      </c>
      <c r="M1166">
        <v>84</v>
      </c>
      <c r="N1166">
        <v>3</v>
      </c>
      <c r="O1166">
        <v>3</v>
      </c>
      <c r="P1166" t="s">
        <v>51</v>
      </c>
      <c r="Q1166">
        <v>4</v>
      </c>
      <c r="R1166" t="s">
        <v>40</v>
      </c>
      <c r="S1166">
        <v>7945</v>
      </c>
      <c r="T1166">
        <v>19948</v>
      </c>
      <c r="U1166">
        <v>6</v>
      </c>
      <c r="V1166" t="s">
        <v>41</v>
      </c>
      <c r="W1166" t="s">
        <v>35</v>
      </c>
      <c r="X1166">
        <v>15</v>
      </c>
      <c r="Y1166">
        <v>3</v>
      </c>
      <c r="Z1166">
        <v>4</v>
      </c>
      <c r="AA1166">
        <v>80</v>
      </c>
      <c r="AB1166">
        <v>0</v>
      </c>
      <c r="AC1166">
        <v>18</v>
      </c>
      <c r="AD1166">
        <v>2</v>
      </c>
      <c r="AE1166">
        <v>2</v>
      </c>
      <c r="AF1166">
        <v>4</v>
      </c>
      <c r="AG1166">
        <v>2</v>
      </c>
      <c r="AH1166">
        <v>3</v>
      </c>
      <c r="AI1166">
        <v>3</v>
      </c>
      <c r="AJ1166">
        <f t="shared" si="18"/>
        <v>0</v>
      </c>
      <c r="AK1166" t="str" cm="1">
        <f t="array" ref="AK1166">_xlfn.IFS(A1166&lt;=30,"18-30",A1166&lt;=45,"31-45",A1166&lt;=60,"46-60",TRUE, "60+")</f>
        <v>31-45</v>
      </c>
      <c r="AL1166" t="str" cm="1">
        <f t="array" ref="AL1166">_xlfn.IFS(F1166&lt;=10,"0-10",F1166&lt;=20,"11-20",TRUE,"20+")</f>
        <v>11-20</v>
      </c>
      <c r="AM1166" t="str" cm="1">
        <f t="array" ref="AM1166">_xlfn.IFS(S1166&lt;=5000,"0-5k",S1166&lt;=10000,"5k-10k",S1166&lt;=15000,"10k-15k",TRUE,"15k+")</f>
        <v>5k-10k</v>
      </c>
      <c r="AN1166" t="str" cm="1">
        <f t="array" ref="AN1166">_xlfn.IFS(AF1166&lt;=10,"0-10",AF1166&lt;=20,"10-20",AF1166&lt;=30,"20-30",TRUE,"30+")</f>
        <v>0-10</v>
      </c>
      <c r="AO1166" t="str" cm="1">
        <f t="array" ref="AO1166">_xlfn.IFS(Y1166=1,"Poor",Y1166=2,"Average",Y1166=3,"Good",TRUE,"Excellent")</f>
        <v>Good</v>
      </c>
      <c r="AP1166" t="str" cm="1">
        <f t="array" ref="AP1166">_xlfn.IFS(Q1166=1,"Low",Q1166=2,"Medium",Q1166=3,"High",TRUE,"Very High")</f>
        <v>Very High</v>
      </c>
    </row>
    <row r="1167" spans="1:42" x14ac:dyDescent="0.25">
      <c r="A1167">
        <v>44</v>
      </c>
      <c r="B1167" t="s">
        <v>42</v>
      </c>
      <c r="C1167" t="s">
        <v>91</v>
      </c>
      <c r="D1167">
        <v>602</v>
      </c>
      <c r="E1167" t="s">
        <v>59</v>
      </c>
      <c r="F1167">
        <v>1</v>
      </c>
      <c r="G1167">
        <v>5</v>
      </c>
      <c r="H1167" t="s">
        <v>59</v>
      </c>
      <c r="I1167">
        <v>1</v>
      </c>
      <c r="J1167">
        <v>1642</v>
      </c>
      <c r="K1167">
        <v>1</v>
      </c>
      <c r="L1167" t="s">
        <v>44</v>
      </c>
      <c r="M1167">
        <v>37</v>
      </c>
      <c r="N1167">
        <v>3</v>
      </c>
      <c r="O1167">
        <v>2</v>
      </c>
      <c r="P1167" t="s">
        <v>59</v>
      </c>
      <c r="Q1167">
        <v>4</v>
      </c>
      <c r="R1167" t="s">
        <v>46</v>
      </c>
      <c r="S1167">
        <v>5743</v>
      </c>
      <c r="T1167">
        <v>10503</v>
      </c>
      <c r="U1167">
        <v>4</v>
      </c>
      <c r="V1167" t="s">
        <v>41</v>
      </c>
      <c r="W1167" t="s">
        <v>35</v>
      </c>
      <c r="X1167">
        <v>11</v>
      </c>
      <c r="Y1167">
        <v>3</v>
      </c>
      <c r="Z1167">
        <v>3</v>
      </c>
      <c r="AA1167">
        <v>80</v>
      </c>
      <c r="AB1167">
        <v>0</v>
      </c>
      <c r="AC1167">
        <v>14</v>
      </c>
      <c r="AD1167">
        <v>3</v>
      </c>
      <c r="AE1167">
        <v>3</v>
      </c>
      <c r="AF1167">
        <v>10</v>
      </c>
      <c r="AG1167">
        <v>7</v>
      </c>
      <c r="AH1167">
        <v>0</v>
      </c>
      <c r="AI1167">
        <v>2</v>
      </c>
      <c r="AJ1167">
        <f t="shared" si="18"/>
        <v>0</v>
      </c>
      <c r="AK1167" t="str" cm="1">
        <f t="array" ref="AK1167">_xlfn.IFS(A1167&lt;=30,"18-30",A1167&lt;=45,"31-45",A1167&lt;=60,"46-60",TRUE, "60+")</f>
        <v>31-45</v>
      </c>
      <c r="AL1167" t="str" cm="1">
        <f t="array" ref="AL1167">_xlfn.IFS(F1167&lt;=10,"0-10",F1167&lt;=20,"11-20",TRUE,"20+")</f>
        <v>0-10</v>
      </c>
      <c r="AM1167" t="str" cm="1">
        <f t="array" ref="AM1167">_xlfn.IFS(S1167&lt;=5000,"0-5k",S1167&lt;=10000,"5k-10k",S1167&lt;=15000,"10k-15k",TRUE,"15k+")</f>
        <v>5k-10k</v>
      </c>
      <c r="AN1167" t="str" cm="1">
        <f t="array" ref="AN1167">_xlfn.IFS(AF1167&lt;=10,"0-10",AF1167&lt;=20,"10-20",AF1167&lt;=30,"20-30",TRUE,"30+")</f>
        <v>0-10</v>
      </c>
      <c r="AO1167" t="str" cm="1">
        <f t="array" ref="AO1167">_xlfn.IFS(Y1167=1,"Poor",Y1167=2,"Average",Y1167=3,"Good",TRUE,"Excellent")</f>
        <v>Good</v>
      </c>
      <c r="AP1167" t="str" cm="1">
        <f t="array" ref="AP1167">_xlfn.IFS(Q1167=1,"Low",Q1167=2,"Medium",Q1167=3,"High",TRUE,"Very High")</f>
        <v>Very High</v>
      </c>
    </row>
    <row r="1168" spans="1:42" x14ac:dyDescent="0.25">
      <c r="A1168">
        <v>48</v>
      </c>
      <c r="B1168" t="s">
        <v>42</v>
      </c>
      <c r="C1168" t="s">
        <v>91</v>
      </c>
      <c r="D1168">
        <v>365</v>
      </c>
      <c r="E1168" t="s">
        <v>43</v>
      </c>
      <c r="F1168">
        <v>4</v>
      </c>
      <c r="G1168">
        <v>5</v>
      </c>
      <c r="H1168" t="s">
        <v>49</v>
      </c>
      <c r="I1168">
        <v>1</v>
      </c>
      <c r="J1168">
        <v>1644</v>
      </c>
      <c r="K1168">
        <v>3</v>
      </c>
      <c r="L1168" t="s">
        <v>44</v>
      </c>
      <c r="M1168">
        <v>89</v>
      </c>
      <c r="N1168">
        <v>2</v>
      </c>
      <c r="O1168">
        <v>4</v>
      </c>
      <c r="P1168" t="s">
        <v>54</v>
      </c>
      <c r="Q1168">
        <v>4</v>
      </c>
      <c r="R1168" t="s">
        <v>46</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c r="AJ1168">
        <f t="shared" si="18"/>
        <v>0</v>
      </c>
      <c r="AK1168" t="str" cm="1">
        <f t="array" ref="AK1168">_xlfn.IFS(A1168&lt;=30,"18-30",A1168&lt;=45,"31-45",A1168&lt;=60,"46-60",TRUE, "60+")</f>
        <v>46-60</v>
      </c>
      <c r="AL1168" t="str" cm="1">
        <f t="array" ref="AL1168">_xlfn.IFS(F1168&lt;=10,"0-10",F1168&lt;=20,"11-20",TRUE,"20+")</f>
        <v>0-10</v>
      </c>
      <c r="AM1168" t="str" cm="1">
        <f t="array" ref="AM1168">_xlfn.IFS(S1168&lt;=5000,"0-5k",S1168&lt;=10000,"5k-10k",S1168&lt;=15000,"10k-15k",TRUE,"15k+")</f>
        <v>15k+</v>
      </c>
      <c r="AN1168" t="str" cm="1">
        <f t="array" ref="AN1168">_xlfn.IFS(AF1168&lt;=10,"0-10",AF1168&lt;=20,"10-20",AF1168&lt;=30,"20-30",TRUE,"30+")</f>
        <v>0-10</v>
      </c>
      <c r="AO1168" t="str" cm="1">
        <f t="array" ref="AO1168">_xlfn.IFS(Y1168=1,"Poor",Y1168=2,"Average",Y1168=3,"Good",TRUE,"Excellent")</f>
        <v>Excellent</v>
      </c>
      <c r="AP1168" t="str" cm="1">
        <f t="array" ref="AP1168">_xlfn.IFS(Q1168=1,"Low",Q1168=2,"Medium",Q1168=3,"High",TRUE,"Very High")</f>
        <v>Very High</v>
      </c>
    </row>
    <row r="1169" spans="1:42" x14ac:dyDescent="0.25">
      <c r="A1169">
        <v>35</v>
      </c>
      <c r="B1169" t="s">
        <v>35</v>
      </c>
      <c r="C1169" t="s">
        <v>90</v>
      </c>
      <c r="D1169">
        <v>763</v>
      </c>
      <c r="E1169" t="s">
        <v>36</v>
      </c>
      <c r="F1169">
        <v>15</v>
      </c>
      <c r="G1169">
        <v>2</v>
      </c>
      <c r="H1169" t="s">
        <v>49</v>
      </c>
      <c r="I1169">
        <v>1</v>
      </c>
      <c r="J1169">
        <v>1645</v>
      </c>
      <c r="K1169">
        <v>1</v>
      </c>
      <c r="L1169" t="s">
        <v>44</v>
      </c>
      <c r="M1169">
        <v>59</v>
      </c>
      <c r="N1169">
        <v>1</v>
      </c>
      <c r="O1169">
        <v>2</v>
      </c>
      <c r="P1169" t="s">
        <v>39</v>
      </c>
      <c r="Q1169">
        <v>4</v>
      </c>
      <c r="R1169" t="s">
        <v>50</v>
      </c>
      <c r="S1169">
        <v>5440</v>
      </c>
      <c r="T1169">
        <v>22098</v>
      </c>
      <c r="U1169">
        <v>6</v>
      </c>
      <c r="V1169" t="s">
        <v>41</v>
      </c>
      <c r="W1169" t="s">
        <v>35</v>
      </c>
      <c r="X1169">
        <v>14</v>
      </c>
      <c r="Y1169">
        <v>3</v>
      </c>
      <c r="Z1169">
        <v>4</v>
      </c>
      <c r="AA1169">
        <v>80</v>
      </c>
      <c r="AB1169">
        <v>2</v>
      </c>
      <c r="AC1169">
        <v>7</v>
      </c>
      <c r="AD1169">
        <v>2</v>
      </c>
      <c r="AE1169">
        <v>2</v>
      </c>
      <c r="AF1169">
        <v>2</v>
      </c>
      <c r="AG1169">
        <v>2</v>
      </c>
      <c r="AH1169">
        <v>2</v>
      </c>
      <c r="AI1169">
        <v>2</v>
      </c>
      <c r="AJ1169">
        <f t="shared" si="18"/>
        <v>1</v>
      </c>
      <c r="AK1169" t="str" cm="1">
        <f t="array" ref="AK1169">_xlfn.IFS(A1169&lt;=30,"18-30",A1169&lt;=45,"31-45",A1169&lt;=60,"46-60",TRUE, "60+")</f>
        <v>31-45</v>
      </c>
      <c r="AL1169" t="str" cm="1">
        <f t="array" ref="AL1169">_xlfn.IFS(F1169&lt;=10,"0-10",F1169&lt;=20,"11-20",TRUE,"20+")</f>
        <v>11-20</v>
      </c>
      <c r="AM1169" t="str" cm="1">
        <f t="array" ref="AM1169">_xlfn.IFS(S1169&lt;=5000,"0-5k",S1169&lt;=10000,"5k-10k",S1169&lt;=15000,"10k-15k",TRUE,"15k+")</f>
        <v>5k-10k</v>
      </c>
      <c r="AN1169" t="str" cm="1">
        <f t="array" ref="AN1169">_xlfn.IFS(AF1169&lt;=10,"0-10",AF1169&lt;=20,"10-20",AF1169&lt;=30,"20-30",TRUE,"30+")</f>
        <v>0-10</v>
      </c>
      <c r="AO1169" t="str" cm="1">
        <f t="array" ref="AO1169">_xlfn.IFS(Y1169=1,"Poor",Y1169=2,"Average",Y1169=3,"Good",TRUE,"Excellent")</f>
        <v>Good</v>
      </c>
      <c r="AP1169" t="str" cm="1">
        <f t="array" ref="AP1169">_xlfn.IFS(Q1169=1,"Low",Q1169=2,"Medium",Q1169=3,"High",TRUE,"Very High")</f>
        <v>Very High</v>
      </c>
    </row>
    <row r="1170" spans="1:42" x14ac:dyDescent="0.25">
      <c r="A1170">
        <v>24</v>
      </c>
      <c r="B1170" t="s">
        <v>42</v>
      </c>
      <c r="C1170" t="s">
        <v>91</v>
      </c>
      <c r="D1170">
        <v>567</v>
      </c>
      <c r="E1170" t="s">
        <v>43</v>
      </c>
      <c r="F1170">
        <v>2</v>
      </c>
      <c r="G1170">
        <v>1</v>
      </c>
      <c r="H1170" t="s">
        <v>58</v>
      </c>
      <c r="I1170">
        <v>1</v>
      </c>
      <c r="J1170">
        <v>1646</v>
      </c>
      <c r="K1170">
        <v>1</v>
      </c>
      <c r="L1170" t="s">
        <v>38</v>
      </c>
      <c r="M1170">
        <v>32</v>
      </c>
      <c r="N1170">
        <v>3</v>
      </c>
      <c r="O1170">
        <v>1</v>
      </c>
      <c r="P1170" t="s">
        <v>45</v>
      </c>
      <c r="Q1170">
        <v>4</v>
      </c>
      <c r="R1170" t="s">
        <v>40</v>
      </c>
      <c r="S1170">
        <v>3760</v>
      </c>
      <c r="T1170">
        <v>17218</v>
      </c>
      <c r="U1170">
        <v>1</v>
      </c>
      <c r="V1170" t="s">
        <v>41</v>
      </c>
      <c r="W1170" t="s">
        <v>35</v>
      </c>
      <c r="X1170">
        <v>13</v>
      </c>
      <c r="Y1170">
        <v>3</v>
      </c>
      <c r="Z1170">
        <v>3</v>
      </c>
      <c r="AA1170">
        <v>80</v>
      </c>
      <c r="AB1170">
        <v>0</v>
      </c>
      <c r="AC1170">
        <v>6</v>
      </c>
      <c r="AD1170">
        <v>2</v>
      </c>
      <c r="AE1170">
        <v>3</v>
      </c>
      <c r="AF1170">
        <v>6</v>
      </c>
      <c r="AG1170">
        <v>3</v>
      </c>
      <c r="AH1170">
        <v>1</v>
      </c>
      <c r="AI1170">
        <v>3</v>
      </c>
      <c r="AJ1170">
        <f t="shared" si="18"/>
        <v>0</v>
      </c>
      <c r="AK1170" t="str" cm="1">
        <f t="array" ref="AK1170">_xlfn.IFS(A1170&lt;=30,"18-30",A1170&lt;=45,"31-45",A1170&lt;=60,"46-60",TRUE, "60+")</f>
        <v>18-30</v>
      </c>
      <c r="AL1170" t="str" cm="1">
        <f t="array" ref="AL1170">_xlfn.IFS(F1170&lt;=10,"0-10",F1170&lt;=20,"11-20",TRUE,"20+")</f>
        <v>0-10</v>
      </c>
      <c r="AM1170" t="str" cm="1">
        <f t="array" ref="AM1170">_xlfn.IFS(S1170&lt;=5000,"0-5k",S1170&lt;=10000,"5k-10k",S1170&lt;=15000,"10k-15k",TRUE,"15k+")</f>
        <v>0-5k</v>
      </c>
      <c r="AN1170" t="str" cm="1">
        <f t="array" ref="AN1170">_xlfn.IFS(AF1170&lt;=10,"0-10",AF1170&lt;=20,"10-20",AF1170&lt;=30,"20-30",TRUE,"30+")</f>
        <v>0-10</v>
      </c>
      <c r="AO1170" t="str" cm="1">
        <f t="array" ref="AO1170">_xlfn.IFS(Y1170=1,"Poor",Y1170=2,"Average",Y1170=3,"Good",TRUE,"Excellent")</f>
        <v>Good</v>
      </c>
      <c r="AP1170" t="str" cm="1">
        <f t="array" ref="AP1170">_xlfn.IFS(Q1170=1,"Low",Q1170=2,"Medium",Q1170=3,"High",TRUE,"Very High")</f>
        <v>Very High</v>
      </c>
    </row>
    <row r="1171" spans="1:42" x14ac:dyDescent="0.25">
      <c r="A1171">
        <v>27</v>
      </c>
      <c r="B1171" t="s">
        <v>42</v>
      </c>
      <c r="C1171" t="s">
        <v>90</v>
      </c>
      <c r="D1171">
        <v>486</v>
      </c>
      <c r="E1171" t="s">
        <v>43</v>
      </c>
      <c r="F1171">
        <v>8</v>
      </c>
      <c r="G1171">
        <v>3</v>
      </c>
      <c r="H1171" t="s">
        <v>49</v>
      </c>
      <c r="I1171">
        <v>1</v>
      </c>
      <c r="J1171">
        <v>1647</v>
      </c>
      <c r="K1171">
        <v>2</v>
      </c>
      <c r="L1171" t="s">
        <v>38</v>
      </c>
      <c r="M1171">
        <v>86</v>
      </c>
      <c r="N1171">
        <v>4</v>
      </c>
      <c r="O1171">
        <v>1</v>
      </c>
      <c r="P1171" t="s">
        <v>45</v>
      </c>
      <c r="Q1171">
        <v>3</v>
      </c>
      <c r="R1171" t="s">
        <v>46</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c r="AJ1171">
        <f t="shared" si="18"/>
        <v>0</v>
      </c>
      <c r="AK1171" t="str" cm="1">
        <f t="array" ref="AK1171">_xlfn.IFS(A1171&lt;=30,"18-30",A1171&lt;=45,"31-45",A1171&lt;=60,"46-60",TRUE, "60+")</f>
        <v>18-30</v>
      </c>
      <c r="AL1171" t="str" cm="1">
        <f t="array" ref="AL1171">_xlfn.IFS(F1171&lt;=10,"0-10",F1171&lt;=20,"11-20",TRUE,"20+")</f>
        <v>0-10</v>
      </c>
      <c r="AM1171" t="str" cm="1">
        <f t="array" ref="AM1171">_xlfn.IFS(S1171&lt;=5000,"0-5k",S1171&lt;=10000,"5k-10k",S1171&lt;=15000,"10k-15k",TRUE,"15k+")</f>
        <v>0-5k</v>
      </c>
      <c r="AN1171" t="str" cm="1">
        <f t="array" ref="AN1171">_xlfn.IFS(AF1171&lt;=10,"0-10",AF1171&lt;=20,"10-20",AF1171&lt;=30,"20-30",TRUE,"30+")</f>
        <v>0-10</v>
      </c>
      <c r="AO1171" t="str" cm="1">
        <f t="array" ref="AO1171">_xlfn.IFS(Y1171=1,"Poor",Y1171=2,"Average",Y1171=3,"Good",TRUE,"Excellent")</f>
        <v>Good</v>
      </c>
      <c r="AP1171" t="str" cm="1">
        <f t="array" ref="AP1171">_xlfn.IFS(Q1171=1,"Low",Q1171=2,"Medium",Q1171=3,"High",TRUE,"Very High")</f>
        <v>High</v>
      </c>
    </row>
    <row r="1172" spans="1:42" x14ac:dyDescent="0.25">
      <c r="A1172">
        <v>27</v>
      </c>
      <c r="B1172" t="s">
        <v>42</v>
      </c>
      <c r="C1172" t="s">
        <v>91</v>
      </c>
      <c r="D1172">
        <v>591</v>
      </c>
      <c r="E1172" t="s">
        <v>43</v>
      </c>
      <c r="F1172">
        <v>2</v>
      </c>
      <c r="G1172">
        <v>3</v>
      </c>
      <c r="H1172" t="s">
        <v>49</v>
      </c>
      <c r="I1172">
        <v>1</v>
      </c>
      <c r="J1172">
        <v>1648</v>
      </c>
      <c r="K1172">
        <v>4</v>
      </c>
      <c r="L1172" t="s">
        <v>44</v>
      </c>
      <c r="M1172">
        <v>87</v>
      </c>
      <c r="N1172">
        <v>3</v>
      </c>
      <c r="O1172">
        <v>1</v>
      </c>
      <c r="P1172" t="s">
        <v>45</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c r="AJ1172">
        <f t="shared" si="18"/>
        <v>0</v>
      </c>
      <c r="AK1172" t="str" cm="1">
        <f t="array" ref="AK1172">_xlfn.IFS(A1172&lt;=30,"18-30",A1172&lt;=45,"31-45",A1172&lt;=60,"46-60",TRUE, "60+")</f>
        <v>18-30</v>
      </c>
      <c r="AL1172" t="str" cm="1">
        <f t="array" ref="AL1172">_xlfn.IFS(F1172&lt;=10,"0-10",F1172&lt;=20,"11-20",TRUE,"20+")</f>
        <v>0-10</v>
      </c>
      <c r="AM1172" t="str" cm="1">
        <f t="array" ref="AM1172">_xlfn.IFS(S1172&lt;=5000,"0-5k",S1172&lt;=10000,"5k-10k",S1172&lt;=15000,"10k-15k",TRUE,"15k+")</f>
        <v>0-5k</v>
      </c>
      <c r="AN1172" t="str" cm="1">
        <f t="array" ref="AN1172">_xlfn.IFS(AF1172&lt;=10,"0-10",AF1172&lt;=20,"10-20",AF1172&lt;=30,"20-30",TRUE,"30+")</f>
        <v>0-10</v>
      </c>
      <c r="AO1172" t="str" cm="1">
        <f t="array" ref="AO1172">_xlfn.IFS(Y1172=1,"Poor",Y1172=2,"Average",Y1172=3,"Good",TRUE,"Excellent")</f>
        <v>Good</v>
      </c>
      <c r="AP1172" t="str" cm="1">
        <f t="array" ref="AP1172">_xlfn.IFS(Q1172=1,"Low",Q1172=2,"Medium",Q1172=3,"High",TRUE,"Very High")</f>
        <v>Very High</v>
      </c>
    </row>
    <row r="1173" spans="1:42" x14ac:dyDescent="0.25">
      <c r="A1173">
        <v>40</v>
      </c>
      <c r="B1173" t="s">
        <v>35</v>
      </c>
      <c r="C1173" t="s">
        <v>90</v>
      </c>
      <c r="D1173">
        <v>1329</v>
      </c>
      <c r="E1173" t="s">
        <v>43</v>
      </c>
      <c r="F1173">
        <v>7</v>
      </c>
      <c r="G1173">
        <v>3</v>
      </c>
      <c r="H1173" t="s">
        <v>37</v>
      </c>
      <c r="I1173">
        <v>1</v>
      </c>
      <c r="J1173">
        <v>1649</v>
      </c>
      <c r="K1173">
        <v>1</v>
      </c>
      <c r="L1173" t="s">
        <v>44</v>
      </c>
      <c r="M1173">
        <v>73</v>
      </c>
      <c r="N1173">
        <v>3</v>
      </c>
      <c r="O1173">
        <v>1</v>
      </c>
      <c r="P1173" t="s">
        <v>48</v>
      </c>
      <c r="Q1173">
        <v>1</v>
      </c>
      <c r="R1173" t="s">
        <v>40</v>
      </c>
      <c r="S1173">
        <v>2166</v>
      </c>
      <c r="T1173">
        <v>3339</v>
      </c>
      <c r="U1173">
        <v>3</v>
      </c>
      <c r="V1173" t="s">
        <v>41</v>
      </c>
      <c r="W1173" t="s">
        <v>35</v>
      </c>
      <c r="X1173">
        <v>14</v>
      </c>
      <c r="Y1173">
        <v>3</v>
      </c>
      <c r="Z1173">
        <v>2</v>
      </c>
      <c r="AA1173">
        <v>80</v>
      </c>
      <c r="AB1173">
        <v>0</v>
      </c>
      <c r="AC1173">
        <v>10</v>
      </c>
      <c r="AD1173">
        <v>3</v>
      </c>
      <c r="AE1173">
        <v>1</v>
      </c>
      <c r="AF1173">
        <v>4</v>
      </c>
      <c r="AG1173">
        <v>2</v>
      </c>
      <c r="AH1173">
        <v>0</v>
      </c>
      <c r="AI1173">
        <v>3</v>
      </c>
      <c r="AJ1173">
        <f t="shared" si="18"/>
        <v>1</v>
      </c>
      <c r="AK1173" t="str" cm="1">
        <f t="array" ref="AK1173">_xlfn.IFS(A1173&lt;=30,"18-30",A1173&lt;=45,"31-45",A1173&lt;=60,"46-60",TRUE, "60+")</f>
        <v>31-45</v>
      </c>
      <c r="AL1173" t="str" cm="1">
        <f t="array" ref="AL1173">_xlfn.IFS(F1173&lt;=10,"0-10",F1173&lt;=20,"11-20",TRUE,"20+")</f>
        <v>0-10</v>
      </c>
      <c r="AM1173" t="str" cm="1">
        <f t="array" ref="AM1173">_xlfn.IFS(S1173&lt;=5000,"0-5k",S1173&lt;=10000,"5k-10k",S1173&lt;=15000,"10k-15k",TRUE,"15k+")</f>
        <v>0-5k</v>
      </c>
      <c r="AN1173" t="str" cm="1">
        <f t="array" ref="AN1173">_xlfn.IFS(AF1173&lt;=10,"0-10",AF1173&lt;=20,"10-20",AF1173&lt;=30,"20-30",TRUE,"30+")</f>
        <v>0-10</v>
      </c>
      <c r="AO1173" t="str" cm="1">
        <f t="array" ref="AO1173">_xlfn.IFS(Y1173=1,"Poor",Y1173=2,"Average",Y1173=3,"Good",TRUE,"Excellent")</f>
        <v>Good</v>
      </c>
      <c r="AP1173" t="str" cm="1">
        <f t="array" ref="AP1173">_xlfn.IFS(Q1173=1,"Low",Q1173=2,"Medium",Q1173=3,"High",TRUE,"Very High")</f>
        <v>Low</v>
      </c>
    </row>
    <row r="1174" spans="1:42" x14ac:dyDescent="0.25">
      <c r="A1174">
        <v>29</v>
      </c>
      <c r="B1174" t="s">
        <v>42</v>
      </c>
      <c r="C1174" t="s">
        <v>90</v>
      </c>
      <c r="D1174">
        <v>469</v>
      </c>
      <c r="E1174" t="s">
        <v>36</v>
      </c>
      <c r="F1174">
        <v>10</v>
      </c>
      <c r="G1174">
        <v>3</v>
      </c>
      <c r="H1174" t="s">
        <v>49</v>
      </c>
      <c r="I1174">
        <v>1</v>
      </c>
      <c r="J1174">
        <v>1650</v>
      </c>
      <c r="K1174">
        <v>3</v>
      </c>
      <c r="L1174" t="s">
        <v>44</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c r="AJ1174">
        <f t="shared" si="18"/>
        <v>0</v>
      </c>
      <c r="AK1174" t="str" cm="1">
        <f t="array" ref="AK1174">_xlfn.IFS(A1174&lt;=30,"18-30",A1174&lt;=45,"31-45",A1174&lt;=60,"46-60",TRUE, "60+")</f>
        <v>18-30</v>
      </c>
      <c r="AL1174" t="str" cm="1">
        <f t="array" ref="AL1174">_xlfn.IFS(F1174&lt;=10,"0-10",F1174&lt;=20,"11-20",TRUE,"20+")</f>
        <v>0-10</v>
      </c>
      <c r="AM1174" t="str" cm="1">
        <f t="array" ref="AM1174">_xlfn.IFS(S1174&lt;=5000,"0-5k",S1174&lt;=10000,"5k-10k",S1174&lt;=15000,"10k-15k",TRUE,"15k+")</f>
        <v>5k-10k</v>
      </c>
      <c r="AN1174" t="str" cm="1">
        <f t="array" ref="AN1174">_xlfn.IFS(AF1174&lt;=10,"0-10",AF1174&lt;=20,"10-20",AF1174&lt;=30,"20-30",TRUE,"30+")</f>
        <v>0-10</v>
      </c>
      <c r="AO1174" t="str" cm="1">
        <f t="array" ref="AO1174">_xlfn.IFS(Y1174=1,"Poor",Y1174=2,"Average",Y1174=3,"Good",TRUE,"Excellent")</f>
        <v>Good</v>
      </c>
      <c r="AP1174" t="str" cm="1">
        <f t="array" ref="AP1174">_xlfn.IFS(Q1174=1,"Low",Q1174=2,"Medium",Q1174=3,"High",TRUE,"Very High")</f>
        <v>High</v>
      </c>
    </row>
    <row r="1175" spans="1:42" x14ac:dyDescent="0.25">
      <c r="A1175">
        <v>36</v>
      </c>
      <c r="B1175" t="s">
        <v>42</v>
      </c>
      <c r="C1175" t="s">
        <v>90</v>
      </c>
      <c r="D1175">
        <v>711</v>
      </c>
      <c r="E1175" t="s">
        <v>43</v>
      </c>
      <c r="F1175">
        <v>5</v>
      </c>
      <c r="G1175">
        <v>4</v>
      </c>
      <c r="H1175" t="s">
        <v>37</v>
      </c>
      <c r="I1175">
        <v>1</v>
      </c>
      <c r="J1175">
        <v>1651</v>
      </c>
      <c r="K1175">
        <v>2</v>
      </c>
      <c r="L1175" t="s">
        <v>38</v>
      </c>
      <c r="M1175">
        <v>42</v>
      </c>
      <c r="N1175">
        <v>3</v>
      </c>
      <c r="O1175">
        <v>3</v>
      </c>
      <c r="P1175" t="s">
        <v>52</v>
      </c>
      <c r="Q1175">
        <v>1</v>
      </c>
      <c r="R1175" t="s">
        <v>46</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c r="AJ1175">
        <f t="shared" si="18"/>
        <v>0</v>
      </c>
      <c r="AK1175" t="str" cm="1">
        <f t="array" ref="AK1175">_xlfn.IFS(A1175&lt;=30,"18-30",A1175&lt;=45,"31-45",A1175&lt;=60,"46-60",TRUE, "60+")</f>
        <v>31-45</v>
      </c>
      <c r="AL1175" t="str" cm="1">
        <f t="array" ref="AL1175">_xlfn.IFS(F1175&lt;=10,"0-10",F1175&lt;=20,"11-20",TRUE,"20+")</f>
        <v>0-10</v>
      </c>
      <c r="AM1175" t="str" cm="1">
        <f t="array" ref="AM1175">_xlfn.IFS(S1175&lt;=5000,"0-5k",S1175&lt;=10000,"5k-10k",S1175&lt;=15000,"10k-15k",TRUE,"15k+")</f>
        <v>5k-10k</v>
      </c>
      <c r="AN1175" t="str" cm="1">
        <f t="array" ref="AN1175">_xlfn.IFS(AF1175&lt;=10,"0-10",AF1175&lt;=20,"10-20",AF1175&lt;=30,"20-30",TRUE,"30+")</f>
        <v>0-10</v>
      </c>
      <c r="AO1175" t="str" cm="1">
        <f t="array" ref="AO1175">_xlfn.IFS(Y1175=1,"Poor",Y1175=2,"Average",Y1175=3,"Good",TRUE,"Excellent")</f>
        <v>Good</v>
      </c>
      <c r="AP1175" t="str" cm="1">
        <f t="array" ref="AP1175">_xlfn.IFS(Q1175=1,"Low",Q1175=2,"Medium",Q1175=3,"High",TRUE,"Very High")</f>
        <v>Low</v>
      </c>
    </row>
    <row r="1176" spans="1:42" x14ac:dyDescent="0.25">
      <c r="A1176">
        <v>25</v>
      </c>
      <c r="B1176" t="s">
        <v>42</v>
      </c>
      <c r="C1176" t="s">
        <v>91</v>
      </c>
      <c r="D1176">
        <v>772</v>
      </c>
      <c r="E1176" t="s">
        <v>43</v>
      </c>
      <c r="F1176">
        <v>2</v>
      </c>
      <c r="G1176">
        <v>1</v>
      </c>
      <c r="H1176" t="s">
        <v>37</v>
      </c>
      <c r="I1176">
        <v>1</v>
      </c>
      <c r="J1176">
        <v>1653</v>
      </c>
      <c r="K1176">
        <v>4</v>
      </c>
      <c r="L1176" t="s">
        <v>44</v>
      </c>
      <c r="M1176">
        <v>77</v>
      </c>
      <c r="N1176">
        <v>4</v>
      </c>
      <c r="O1176">
        <v>2</v>
      </c>
      <c r="P1176" t="s">
        <v>51</v>
      </c>
      <c r="Q1176">
        <v>3</v>
      </c>
      <c r="R1176" t="s">
        <v>50</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c r="AJ1176">
        <f t="shared" si="18"/>
        <v>0</v>
      </c>
      <c r="AK1176" t="str" cm="1">
        <f t="array" ref="AK1176">_xlfn.IFS(A1176&lt;=30,"18-30",A1176&lt;=45,"31-45",A1176&lt;=60,"46-60",TRUE, "60+")</f>
        <v>18-30</v>
      </c>
      <c r="AL1176" t="str" cm="1">
        <f t="array" ref="AL1176">_xlfn.IFS(F1176&lt;=10,"0-10",F1176&lt;=20,"11-20",TRUE,"20+")</f>
        <v>0-10</v>
      </c>
      <c r="AM1176" t="str" cm="1">
        <f t="array" ref="AM1176">_xlfn.IFS(S1176&lt;=5000,"0-5k",S1176&lt;=10000,"5k-10k",S1176&lt;=15000,"10k-15k",TRUE,"15k+")</f>
        <v>5k-10k</v>
      </c>
      <c r="AN1176" t="str" cm="1">
        <f t="array" ref="AN1176">_xlfn.IFS(AF1176&lt;=10,"0-10",AF1176&lt;=20,"10-20",AF1176&lt;=30,"20-30",TRUE,"30+")</f>
        <v>0-10</v>
      </c>
      <c r="AO1176" t="str" cm="1">
        <f t="array" ref="AO1176">_xlfn.IFS(Y1176=1,"Poor",Y1176=2,"Average",Y1176=3,"Good",TRUE,"Excellent")</f>
        <v>Good</v>
      </c>
      <c r="AP1176" t="str" cm="1">
        <f t="array" ref="AP1176">_xlfn.IFS(Q1176=1,"Low",Q1176=2,"Medium",Q1176=3,"High",TRUE,"Very High")</f>
        <v>High</v>
      </c>
    </row>
    <row r="1177" spans="1:42" x14ac:dyDescent="0.25">
      <c r="A1177">
        <v>39</v>
      </c>
      <c r="B1177" t="s">
        <v>42</v>
      </c>
      <c r="C1177" t="s">
        <v>90</v>
      </c>
      <c r="D1177">
        <v>492</v>
      </c>
      <c r="E1177" t="s">
        <v>43</v>
      </c>
      <c r="F1177">
        <v>12</v>
      </c>
      <c r="G1177">
        <v>3</v>
      </c>
      <c r="H1177" t="s">
        <v>49</v>
      </c>
      <c r="I1177">
        <v>1</v>
      </c>
      <c r="J1177">
        <v>1654</v>
      </c>
      <c r="K1177">
        <v>4</v>
      </c>
      <c r="L1177" t="s">
        <v>44</v>
      </c>
      <c r="M1177">
        <v>66</v>
      </c>
      <c r="N1177">
        <v>3</v>
      </c>
      <c r="O1177">
        <v>2</v>
      </c>
      <c r="P1177" t="s">
        <v>51</v>
      </c>
      <c r="Q1177">
        <v>2</v>
      </c>
      <c r="R1177" t="s">
        <v>46</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c r="AJ1177">
        <f t="shared" si="18"/>
        <v>0</v>
      </c>
      <c r="AK1177" t="str" cm="1">
        <f t="array" ref="AK1177">_xlfn.IFS(A1177&lt;=30,"18-30",A1177&lt;=45,"31-45",A1177&lt;=60,"46-60",TRUE, "60+")</f>
        <v>31-45</v>
      </c>
      <c r="AL1177" t="str" cm="1">
        <f t="array" ref="AL1177">_xlfn.IFS(F1177&lt;=10,"0-10",F1177&lt;=20,"11-20",TRUE,"20+")</f>
        <v>11-20</v>
      </c>
      <c r="AM1177" t="str" cm="1">
        <f t="array" ref="AM1177">_xlfn.IFS(S1177&lt;=5000,"0-5k",S1177&lt;=10000,"5k-10k",S1177&lt;=15000,"10k-15k",TRUE,"15k+")</f>
        <v>5k-10k</v>
      </c>
      <c r="AN1177" t="str" cm="1">
        <f t="array" ref="AN1177">_xlfn.IFS(AF1177&lt;=10,"0-10",AF1177&lt;=20,"10-20",AF1177&lt;=30,"20-30",TRUE,"30+")</f>
        <v>0-10</v>
      </c>
      <c r="AO1177" t="str" cm="1">
        <f t="array" ref="AO1177">_xlfn.IFS(Y1177=1,"Poor",Y1177=2,"Average",Y1177=3,"Good",TRUE,"Excellent")</f>
        <v>Excellent</v>
      </c>
      <c r="AP1177" t="str" cm="1">
        <f t="array" ref="AP1177">_xlfn.IFS(Q1177=1,"Low",Q1177=2,"Medium",Q1177=3,"High",TRUE,"Very High")</f>
        <v>Medium</v>
      </c>
    </row>
    <row r="1178" spans="1:42" x14ac:dyDescent="0.25">
      <c r="A1178">
        <v>49</v>
      </c>
      <c r="B1178" t="s">
        <v>42</v>
      </c>
      <c r="C1178" t="s">
        <v>90</v>
      </c>
      <c r="D1178">
        <v>301</v>
      </c>
      <c r="E1178" t="s">
        <v>43</v>
      </c>
      <c r="F1178">
        <v>22</v>
      </c>
      <c r="G1178">
        <v>4</v>
      </c>
      <c r="H1178" t="s">
        <v>47</v>
      </c>
      <c r="I1178">
        <v>1</v>
      </c>
      <c r="J1178">
        <v>1655</v>
      </c>
      <c r="K1178">
        <v>1</v>
      </c>
      <c r="L1178" t="s">
        <v>38</v>
      </c>
      <c r="M1178">
        <v>72</v>
      </c>
      <c r="N1178">
        <v>3</v>
      </c>
      <c r="O1178">
        <v>4</v>
      </c>
      <c r="P1178" t="s">
        <v>56</v>
      </c>
      <c r="Q1178">
        <v>2</v>
      </c>
      <c r="R1178" t="s">
        <v>46</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c r="AJ1178">
        <f t="shared" si="18"/>
        <v>0</v>
      </c>
      <c r="AK1178" t="str" cm="1">
        <f t="array" ref="AK1178">_xlfn.IFS(A1178&lt;=30,"18-30",A1178&lt;=45,"31-45",A1178&lt;=60,"46-60",TRUE, "60+")</f>
        <v>46-60</v>
      </c>
      <c r="AL1178" t="str" cm="1">
        <f t="array" ref="AL1178">_xlfn.IFS(F1178&lt;=10,"0-10",F1178&lt;=20,"11-20",TRUE,"20+")</f>
        <v>20+</v>
      </c>
      <c r="AM1178" t="str" cm="1">
        <f t="array" ref="AM1178">_xlfn.IFS(S1178&lt;=5000,"0-5k",S1178&lt;=10000,"5k-10k",S1178&lt;=15000,"10k-15k",TRUE,"15k+")</f>
        <v>15k+</v>
      </c>
      <c r="AN1178" t="str" cm="1">
        <f t="array" ref="AN1178">_xlfn.IFS(AF1178&lt;=10,"0-10",AF1178&lt;=20,"10-20",AF1178&lt;=30,"20-30",TRUE,"30+")</f>
        <v>0-10</v>
      </c>
      <c r="AO1178" t="str" cm="1">
        <f t="array" ref="AO1178">_xlfn.IFS(Y1178=1,"Poor",Y1178=2,"Average",Y1178=3,"Good",TRUE,"Excellent")</f>
        <v>Good</v>
      </c>
      <c r="AP1178" t="str" cm="1">
        <f t="array" ref="AP1178">_xlfn.IFS(Q1178=1,"Low",Q1178=2,"Medium",Q1178=3,"High",TRUE,"Very High")</f>
        <v>Medium</v>
      </c>
    </row>
    <row r="1179" spans="1:42" x14ac:dyDescent="0.25">
      <c r="A1179">
        <v>50</v>
      </c>
      <c r="B1179" t="s">
        <v>42</v>
      </c>
      <c r="C1179" t="s">
        <v>90</v>
      </c>
      <c r="D1179">
        <v>813</v>
      </c>
      <c r="E1179" t="s">
        <v>43</v>
      </c>
      <c r="F1179">
        <v>17</v>
      </c>
      <c r="G1179">
        <v>5</v>
      </c>
      <c r="H1179" t="s">
        <v>37</v>
      </c>
      <c r="I1179">
        <v>1</v>
      </c>
      <c r="J1179">
        <v>1656</v>
      </c>
      <c r="K1179">
        <v>4</v>
      </c>
      <c r="L1179" t="s">
        <v>38</v>
      </c>
      <c r="M1179">
        <v>50</v>
      </c>
      <c r="N1179">
        <v>2</v>
      </c>
      <c r="O1179">
        <v>3</v>
      </c>
      <c r="P1179" t="s">
        <v>56</v>
      </c>
      <c r="Q1179">
        <v>1</v>
      </c>
      <c r="R1179" t="s">
        <v>50</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c r="AJ1179">
        <f t="shared" si="18"/>
        <v>0</v>
      </c>
      <c r="AK1179" t="str" cm="1">
        <f t="array" ref="AK1179">_xlfn.IFS(A1179&lt;=30,"18-30",A1179&lt;=45,"31-45",A1179&lt;=60,"46-60",TRUE, "60+")</f>
        <v>46-60</v>
      </c>
      <c r="AL1179" t="str" cm="1">
        <f t="array" ref="AL1179">_xlfn.IFS(F1179&lt;=10,"0-10",F1179&lt;=20,"11-20",TRUE,"20+")</f>
        <v>11-20</v>
      </c>
      <c r="AM1179" t="str" cm="1">
        <f t="array" ref="AM1179">_xlfn.IFS(S1179&lt;=5000,"0-5k",S1179&lt;=10000,"5k-10k",S1179&lt;=15000,"10k-15k",TRUE,"15k+")</f>
        <v>10k-15k</v>
      </c>
      <c r="AN1179" t="str" cm="1">
        <f t="array" ref="AN1179">_xlfn.IFS(AF1179&lt;=10,"0-10",AF1179&lt;=20,"10-20",AF1179&lt;=30,"20-30",TRUE,"30+")</f>
        <v>10-20</v>
      </c>
      <c r="AO1179" t="str" cm="1">
        <f t="array" ref="AO1179">_xlfn.IFS(Y1179=1,"Poor",Y1179=2,"Average",Y1179=3,"Good",TRUE,"Excellent")</f>
        <v>Good</v>
      </c>
      <c r="AP1179" t="str" cm="1">
        <f t="array" ref="AP1179">_xlfn.IFS(Q1179=1,"Low",Q1179=2,"Medium",Q1179=3,"High",TRUE,"Very High")</f>
        <v>Low</v>
      </c>
    </row>
    <row r="1180" spans="1:42" x14ac:dyDescent="0.25">
      <c r="A1180">
        <v>20</v>
      </c>
      <c r="B1180" t="s">
        <v>42</v>
      </c>
      <c r="C1180" t="s">
        <v>90</v>
      </c>
      <c r="D1180">
        <v>1141</v>
      </c>
      <c r="E1180" t="s">
        <v>36</v>
      </c>
      <c r="F1180">
        <v>2</v>
      </c>
      <c r="G1180">
        <v>3</v>
      </c>
      <c r="H1180" t="s">
        <v>49</v>
      </c>
      <c r="I1180">
        <v>1</v>
      </c>
      <c r="J1180">
        <v>1657</v>
      </c>
      <c r="K1180">
        <v>3</v>
      </c>
      <c r="L1180" t="s">
        <v>38</v>
      </c>
      <c r="M1180">
        <v>31</v>
      </c>
      <c r="N1180">
        <v>3</v>
      </c>
      <c r="O1180">
        <v>1</v>
      </c>
      <c r="P1180" t="s">
        <v>55</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c r="AJ1180">
        <f t="shared" si="18"/>
        <v>0</v>
      </c>
      <c r="AK1180" t="str" cm="1">
        <f t="array" ref="AK1180">_xlfn.IFS(A1180&lt;=30,"18-30",A1180&lt;=45,"31-45",A1180&lt;=60,"46-60",TRUE, "60+")</f>
        <v>18-30</v>
      </c>
      <c r="AL1180" t="str" cm="1">
        <f t="array" ref="AL1180">_xlfn.IFS(F1180&lt;=10,"0-10",F1180&lt;=20,"11-20",TRUE,"20+")</f>
        <v>0-10</v>
      </c>
      <c r="AM1180" t="str" cm="1">
        <f t="array" ref="AM1180">_xlfn.IFS(S1180&lt;=5000,"0-5k",S1180&lt;=10000,"5k-10k",S1180&lt;=15000,"10k-15k",TRUE,"15k+")</f>
        <v>0-5k</v>
      </c>
      <c r="AN1180" t="str" cm="1">
        <f t="array" ref="AN1180">_xlfn.IFS(AF1180&lt;=10,"0-10",AF1180&lt;=20,"10-20",AF1180&lt;=30,"20-30",TRUE,"30+")</f>
        <v>0-10</v>
      </c>
      <c r="AO1180" t="str" cm="1">
        <f t="array" ref="AO1180">_xlfn.IFS(Y1180=1,"Poor",Y1180=2,"Average",Y1180=3,"Good",TRUE,"Excellent")</f>
        <v>Good</v>
      </c>
      <c r="AP1180" t="str" cm="1">
        <f t="array" ref="AP1180">_xlfn.IFS(Q1180=1,"Low",Q1180=2,"Medium",Q1180=3,"High",TRUE,"Very High")</f>
        <v>High</v>
      </c>
    </row>
    <row r="1181" spans="1:42" x14ac:dyDescent="0.25">
      <c r="A1181">
        <v>34</v>
      </c>
      <c r="B1181" t="s">
        <v>42</v>
      </c>
      <c r="C1181" t="s">
        <v>90</v>
      </c>
      <c r="D1181">
        <v>1130</v>
      </c>
      <c r="E1181" t="s">
        <v>43</v>
      </c>
      <c r="F1181">
        <v>3</v>
      </c>
      <c r="G1181">
        <v>3</v>
      </c>
      <c r="H1181" t="s">
        <v>37</v>
      </c>
      <c r="I1181">
        <v>1</v>
      </c>
      <c r="J1181">
        <v>1658</v>
      </c>
      <c r="K1181">
        <v>4</v>
      </c>
      <c r="L1181" t="s">
        <v>38</v>
      </c>
      <c r="M1181">
        <v>66</v>
      </c>
      <c r="N1181">
        <v>3</v>
      </c>
      <c r="O1181">
        <v>2</v>
      </c>
      <c r="P1181" t="s">
        <v>45</v>
      </c>
      <c r="Q1181">
        <v>2</v>
      </c>
      <c r="R1181" t="s">
        <v>50</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c r="AJ1181">
        <f t="shared" si="18"/>
        <v>0</v>
      </c>
      <c r="AK1181" t="str" cm="1">
        <f t="array" ref="AK1181">_xlfn.IFS(A1181&lt;=30,"18-30",A1181&lt;=45,"31-45",A1181&lt;=60,"46-60",TRUE, "60+")</f>
        <v>31-45</v>
      </c>
      <c r="AL1181" t="str" cm="1">
        <f t="array" ref="AL1181">_xlfn.IFS(F1181&lt;=10,"0-10",F1181&lt;=20,"11-20",TRUE,"20+")</f>
        <v>0-10</v>
      </c>
      <c r="AM1181" t="str" cm="1">
        <f t="array" ref="AM1181">_xlfn.IFS(S1181&lt;=5000,"0-5k",S1181&lt;=10000,"5k-10k",S1181&lt;=15000,"10k-15k",TRUE,"15k+")</f>
        <v>5k-10k</v>
      </c>
      <c r="AN1181" t="str" cm="1">
        <f t="array" ref="AN1181">_xlfn.IFS(AF1181&lt;=10,"0-10",AF1181&lt;=20,"10-20",AF1181&lt;=30,"20-30",TRUE,"30+")</f>
        <v>10-20</v>
      </c>
      <c r="AO1181" t="str" cm="1">
        <f t="array" ref="AO1181">_xlfn.IFS(Y1181=1,"Poor",Y1181=2,"Average",Y1181=3,"Good",TRUE,"Excellent")</f>
        <v>Good</v>
      </c>
      <c r="AP1181" t="str" cm="1">
        <f t="array" ref="AP1181">_xlfn.IFS(Q1181=1,"Low",Q1181=2,"Medium",Q1181=3,"High",TRUE,"Very High")</f>
        <v>Medium</v>
      </c>
    </row>
    <row r="1182" spans="1:42" x14ac:dyDescent="0.25">
      <c r="A1182">
        <v>36</v>
      </c>
      <c r="B1182" t="s">
        <v>42</v>
      </c>
      <c r="C1182" t="s">
        <v>90</v>
      </c>
      <c r="D1182">
        <v>311</v>
      </c>
      <c r="E1182" t="s">
        <v>43</v>
      </c>
      <c r="F1182">
        <v>7</v>
      </c>
      <c r="G1182">
        <v>3</v>
      </c>
      <c r="H1182" t="s">
        <v>37</v>
      </c>
      <c r="I1182">
        <v>1</v>
      </c>
      <c r="J1182">
        <v>1659</v>
      </c>
      <c r="K1182">
        <v>1</v>
      </c>
      <c r="L1182" t="s">
        <v>44</v>
      </c>
      <c r="M1182">
        <v>77</v>
      </c>
      <c r="N1182">
        <v>3</v>
      </c>
      <c r="O1182">
        <v>1</v>
      </c>
      <c r="P1182" t="s">
        <v>48</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c r="AJ1182">
        <f t="shared" si="18"/>
        <v>0</v>
      </c>
      <c r="AK1182" t="str" cm="1">
        <f t="array" ref="AK1182">_xlfn.IFS(A1182&lt;=30,"18-30",A1182&lt;=45,"31-45",A1182&lt;=60,"46-60",TRUE, "60+")</f>
        <v>31-45</v>
      </c>
      <c r="AL1182" t="str" cm="1">
        <f t="array" ref="AL1182">_xlfn.IFS(F1182&lt;=10,"0-10",F1182&lt;=20,"11-20",TRUE,"20+")</f>
        <v>0-10</v>
      </c>
      <c r="AM1182" t="str" cm="1">
        <f t="array" ref="AM1182">_xlfn.IFS(S1182&lt;=5000,"0-5k",S1182&lt;=10000,"5k-10k",S1182&lt;=15000,"10k-15k",TRUE,"15k+")</f>
        <v>0-5k</v>
      </c>
      <c r="AN1182" t="str" cm="1">
        <f t="array" ref="AN1182">_xlfn.IFS(AF1182&lt;=10,"0-10",AF1182&lt;=20,"10-20",AF1182&lt;=30,"20-30",TRUE,"30+")</f>
        <v>0-10</v>
      </c>
      <c r="AO1182" t="str" cm="1">
        <f t="array" ref="AO1182">_xlfn.IFS(Y1182=1,"Poor",Y1182=2,"Average",Y1182=3,"Good",TRUE,"Excellent")</f>
        <v>Good</v>
      </c>
      <c r="AP1182" t="str" cm="1">
        <f t="array" ref="AP1182">_xlfn.IFS(Q1182=1,"Low",Q1182=2,"Medium",Q1182=3,"High",TRUE,"Very High")</f>
        <v>Medium</v>
      </c>
    </row>
    <row r="1183" spans="1:42" x14ac:dyDescent="0.25">
      <c r="A1183">
        <v>49</v>
      </c>
      <c r="B1183" t="s">
        <v>42</v>
      </c>
      <c r="C1183" t="s">
        <v>90</v>
      </c>
      <c r="D1183">
        <v>465</v>
      </c>
      <c r="E1183" t="s">
        <v>43</v>
      </c>
      <c r="F1183">
        <v>6</v>
      </c>
      <c r="G1183">
        <v>1</v>
      </c>
      <c r="H1183" t="s">
        <v>37</v>
      </c>
      <c r="I1183">
        <v>1</v>
      </c>
      <c r="J1183">
        <v>1661</v>
      </c>
      <c r="K1183">
        <v>3</v>
      </c>
      <c r="L1183" t="s">
        <v>38</v>
      </c>
      <c r="M1183">
        <v>41</v>
      </c>
      <c r="N1183">
        <v>2</v>
      </c>
      <c r="O1183">
        <v>4</v>
      </c>
      <c r="P1183" t="s">
        <v>52</v>
      </c>
      <c r="Q1183">
        <v>3</v>
      </c>
      <c r="R1183" t="s">
        <v>46</v>
      </c>
      <c r="S1183">
        <v>13966</v>
      </c>
      <c r="T1183">
        <v>11652</v>
      </c>
      <c r="U1183">
        <v>2</v>
      </c>
      <c r="V1183" t="s">
        <v>41</v>
      </c>
      <c r="W1183" t="s">
        <v>35</v>
      </c>
      <c r="X1183">
        <v>19</v>
      </c>
      <c r="Y1183">
        <v>3</v>
      </c>
      <c r="Z1183">
        <v>2</v>
      </c>
      <c r="AA1183">
        <v>80</v>
      </c>
      <c r="AB1183">
        <v>1</v>
      </c>
      <c r="AC1183">
        <v>30</v>
      </c>
      <c r="AD1183">
        <v>3</v>
      </c>
      <c r="AE1183">
        <v>3</v>
      </c>
      <c r="AF1183">
        <v>15</v>
      </c>
      <c r="AG1183">
        <v>11</v>
      </c>
      <c r="AH1183">
        <v>2</v>
      </c>
      <c r="AI1183">
        <v>12</v>
      </c>
      <c r="AJ1183">
        <f t="shared" si="18"/>
        <v>0</v>
      </c>
      <c r="AK1183" t="str" cm="1">
        <f t="array" ref="AK1183">_xlfn.IFS(A1183&lt;=30,"18-30",A1183&lt;=45,"31-45",A1183&lt;=60,"46-60",TRUE, "60+")</f>
        <v>46-60</v>
      </c>
      <c r="AL1183" t="str" cm="1">
        <f t="array" ref="AL1183">_xlfn.IFS(F1183&lt;=10,"0-10",F1183&lt;=20,"11-20",TRUE,"20+")</f>
        <v>0-10</v>
      </c>
      <c r="AM1183" t="str" cm="1">
        <f t="array" ref="AM1183">_xlfn.IFS(S1183&lt;=5000,"0-5k",S1183&lt;=10000,"5k-10k",S1183&lt;=15000,"10k-15k",TRUE,"15k+")</f>
        <v>10k-15k</v>
      </c>
      <c r="AN1183" t="str" cm="1">
        <f t="array" ref="AN1183">_xlfn.IFS(AF1183&lt;=10,"0-10",AF1183&lt;=20,"10-20",AF1183&lt;=30,"20-30",TRUE,"30+")</f>
        <v>10-20</v>
      </c>
      <c r="AO1183" t="str" cm="1">
        <f t="array" ref="AO1183">_xlfn.IFS(Y1183=1,"Poor",Y1183=2,"Average",Y1183=3,"Good",TRUE,"Excellent")</f>
        <v>Good</v>
      </c>
      <c r="AP1183" t="str" cm="1">
        <f t="array" ref="AP1183">_xlfn.IFS(Q1183=1,"Low",Q1183=2,"Medium",Q1183=3,"High",TRUE,"Very High")</f>
        <v>High</v>
      </c>
    </row>
    <row r="1184" spans="1:42" x14ac:dyDescent="0.25">
      <c r="A1184">
        <v>36</v>
      </c>
      <c r="B1184" t="s">
        <v>42</v>
      </c>
      <c r="C1184" t="s">
        <v>53</v>
      </c>
      <c r="D1184">
        <v>894</v>
      </c>
      <c r="E1184" t="s">
        <v>43</v>
      </c>
      <c r="F1184">
        <v>1</v>
      </c>
      <c r="G1184">
        <v>4</v>
      </c>
      <c r="H1184" t="s">
        <v>49</v>
      </c>
      <c r="I1184">
        <v>1</v>
      </c>
      <c r="J1184">
        <v>1662</v>
      </c>
      <c r="K1184">
        <v>4</v>
      </c>
      <c r="L1184" t="s">
        <v>38</v>
      </c>
      <c r="M1184">
        <v>33</v>
      </c>
      <c r="N1184">
        <v>2</v>
      </c>
      <c r="O1184">
        <v>2</v>
      </c>
      <c r="P1184" t="s">
        <v>51</v>
      </c>
      <c r="Q1184">
        <v>3</v>
      </c>
      <c r="R1184" t="s">
        <v>46</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c r="AJ1184">
        <f t="shared" si="18"/>
        <v>0</v>
      </c>
      <c r="AK1184" t="str" cm="1">
        <f t="array" ref="AK1184">_xlfn.IFS(A1184&lt;=30,"18-30",A1184&lt;=45,"31-45",A1184&lt;=60,"46-60",TRUE, "60+")</f>
        <v>31-45</v>
      </c>
      <c r="AL1184" t="str" cm="1">
        <f t="array" ref="AL1184">_xlfn.IFS(F1184&lt;=10,"0-10",F1184&lt;=20,"11-20",TRUE,"20+")</f>
        <v>0-10</v>
      </c>
      <c r="AM1184" t="str" cm="1">
        <f t="array" ref="AM1184">_xlfn.IFS(S1184&lt;=5000,"0-5k",S1184&lt;=10000,"5k-10k",S1184&lt;=15000,"10k-15k",TRUE,"15k+")</f>
        <v>0-5k</v>
      </c>
      <c r="AN1184" t="str" cm="1">
        <f t="array" ref="AN1184">_xlfn.IFS(AF1184&lt;=10,"0-10",AF1184&lt;=20,"10-20",AF1184&lt;=30,"20-30",TRUE,"30+")</f>
        <v>0-10</v>
      </c>
      <c r="AO1184" t="str" cm="1">
        <f t="array" ref="AO1184">_xlfn.IFS(Y1184=1,"Poor",Y1184=2,"Average",Y1184=3,"Good",TRUE,"Excellent")</f>
        <v>Good</v>
      </c>
      <c r="AP1184" t="str" cm="1">
        <f t="array" ref="AP1184">_xlfn.IFS(Q1184=1,"Low",Q1184=2,"Medium",Q1184=3,"High",TRUE,"Very High")</f>
        <v>High</v>
      </c>
    </row>
    <row r="1185" spans="1:42" x14ac:dyDescent="0.25">
      <c r="A1185">
        <v>36</v>
      </c>
      <c r="B1185" t="s">
        <v>42</v>
      </c>
      <c r="C1185" t="s">
        <v>90</v>
      </c>
      <c r="D1185">
        <v>1040</v>
      </c>
      <c r="E1185" t="s">
        <v>43</v>
      </c>
      <c r="F1185">
        <v>3</v>
      </c>
      <c r="G1185">
        <v>2</v>
      </c>
      <c r="H1185" t="s">
        <v>37</v>
      </c>
      <c r="I1185">
        <v>1</v>
      </c>
      <c r="J1185">
        <v>1664</v>
      </c>
      <c r="K1185">
        <v>4</v>
      </c>
      <c r="L1185" t="s">
        <v>44</v>
      </c>
      <c r="M1185">
        <v>79</v>
      </c>
      <c r="N1185">
        <v>4</v>
      </c>
      <c r="O1185">
        <v>2</v>
      </c>
      <c r="P1185" t="s">
        <v>52</v>
      </c>
      <c r="Q1185">
        <v>1</v>
      </c>
      <c r="R1185" t="s">
        <v>50</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c r="AJ1185">
        <f t="shared" si="18"/>
        <v>0</v>
      </c>
      <c r="AK1185" t="str" cm="1">
        <f t="array" ref="AK1185">_xlfn.IFS(A1185&lt;=30,"18-30",A1185&lt;=45,"31-45",A1185&lt;=60,"46-60",TRUE, "60+")</f>
        <v>31-45</v>
      </c>
      <c r="AL1185" t="str" cm="1">
        <f t="array" ref="AL1185">_xlfn.IFS(F1185&lt;=10,"0-10",F1185&lt;=20,"11-20",TRUE,"20+")</f>
        <v>0-10</v>
      </c>
      <c r="AM1185" t="str" cm="1">
        <f t="array" ref="AM1185">_xlfn.IFS(S1185&lt;=5000,"0-5k",S1185&lt;=10000,"5k-10k",S1185&lt;=15000,"10k-15k",TRUE,"15k+")</f>
        <v>5k-10k</v>
      </c>
      <c r="AN1185" t="str" cm="1">
        <f t="array" ref="AN1185">_xlfn.IFS(AF1185&lt;=10,"0-10",AF1185&lt;=20,"10-20",AF1185&lt;=30,"20-30",TRUE,"30+")</f>
        <v>0-10</v>
      </c>
      <c r="AO1185" t="str" cm="1">
        <f t="array" ref="AO1185">_xlfn.IFS(Y1185=1,"Poor",Y1185=2,"Average",Y1185=3,"Good",TRUE,"Excellent")</f>
        <v>Excellent</v>
      </c>
      <c r="AP1185" t="str" cm="1">
        <f t="array" ref="AP1185">_xlfn.IFS(Q1185=1,"Low",Q1185=2,"Medium",Q1185=3,"High",TRUE,"Very High")</f>
        <v>Low</v>
      </c>
    </row>
    <row r="1186" spans="1:42" x14ac:dyDescent="0.25">
      <c r="A1186">
        <v>54</v>
      </c>
      <c r="B1186" t="s">
        <v>42</v>
      </c>
      <c r="C1186" t="s">
        <v>90</v>
      </c>
      <c r="D1186">
        <v>584</v>
      </c>
      <c r="E1186" t="s">
        <v>43</v>
      </c>
      <c r="F1186">
        <v>22</v>
      </c>
      <c r="G1186">
        <v>5</v>
      </c>
      <c r="H1186" t="s">
        <v>49</v>
      </c>
      <c r="I1186">
        <v>1</v>
      </c>
      <c r="J1186">
        <v>1665</v>
      </c>
      <c r="K1186">
        <v>2</v>
      </c>
      <c r="L1186" t="s">
        <v>38</v>
      </c>
      <c r="M1186">
        <v>91</v>
      </c>
      <c r="N1186">
        <v>3</v>
      </c>
      <c r="O1186">
        <v>4</v>
      </c>
      <c r="P1186" t="s">
        <v>54</v>
      </c>
      <c r="Q1186">
        <v>3</v>
      </c>
      <c r="R1186" t="s">
        <v>46</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c r="AJ1186">
        <f t="shared" si="18"/>
        <v>0</v>
      </c>
      <c r="AK1186" t="str" cm="1">
        <f t="array" ref="AK1186">_xlfn.IFS(A1186&lt;=30,"18-30",A1186&lt;=45,"31-45",A1186&lt;=60,"46-60",TRUE, "60+")</f>
        <v>46-60</v>
      </c>
      <c r="AL1186" t="str" cm="1">
        <f t="array" ref="AL1186">_xlfn.IFS(F1186&lt;=10,"0-10",F1186&lt;=20,"11-20",TRUE,"20+")</f>
        <v>20+</v>
      </c>
      <c r="AM1186" t="str" cm="1">
        <f t="array" ref="AM1186">_xlfn.IFS(S1186&lt;=5000,"0-5k",S1186&lt;=10000,"5k-10k",S1186&lt;=15000,"10k-15k",TRUE,"15k+")</f>
        <v>15k+</v>
      </c>
      <c r="AN1186" t="str" cm="1">
        <f t="array" ref="AN1186">_xlfn.IFS(AF1186&lt;=10,"0-10",AF1186&lt;=20,"10-20",AF1186&lt;=30,"20-30",TRUE,"30+")</f>
        <v>0-10</v>
      </c>
      <c r="AO1186" t="str" cm="1">
        <f t="array" ref="AO1186">_xlfn.IFS(Y1186=1,"Poor",Y1186=2,"Average",Y1186=3,"Good",TRUE,"Excellent")</f>
        <v>Excellent</v>
      </c>
      <c r="AP1186" t="str" cm="1">
        <f t="array" ref="AP1186">_xlfn.IFS(Q1186=1,"Low",Q1186=2,"Medium",Q1186=3,"High",TRUE,"Very High")</f>
        <v>High</v>
      </c>
    </row>
    <row r="1187" spans="1:42" x14ac:dyDescent="0.25">
      <c r="A1187">
        <v>43</v>
      </c>
      <c r="B1187" t="s">
        <v>42</v>
      </c>
      <c r="C1187" t="s">
        <v>90</v>
      </c>
      <c r="D1187">
        <v>1291</v>
      </c>
      <c r="E1187" t="s">
        <v>43</v>
      </c>
      <c r="F1187">
        <v>15</v>
      </c>
      <c r="G1187">
        <v>2</v>
      </c>
      <c r="H1187" t="s">
        <v>37</v>
      </c>
      <c r="I1187">
        <v>1</v>
      </c>
      <c r="J1187">
        <v>1666</v>
      </c>
      <c r="K1187">
        <v>3</v>
      </c>
      <c r="L1187" t="s">
        <v>44</v>
      </c>
      <c r="M1187">
        <v>65</v>
      </c>
      <c r="N1187">
        <v>2</v>
      </c>
      <c r="O1187">
        <v>4</v>
      </c>
      <c r="P1187" t="s">
        <v>56</v>
      </c>
      <c r="Q1187">
        <v>3</v>
      </c>
      <c r="R1187" t="s">
        <v>46</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c r="AJ1187">
        <f t="shared" si="18"/>
        <v>0</v>
      </c>
      <c r="AK1187" t="str" cm="1">
        <f t="array" ref="AK1187">_xlfn.IFS(A1187&lt;=30,"18-30",A1187&lt;=45,"31-45",A1187&lt;=60,"46-60",TRUE, "60+")</f>
        <v>31-45</v>
      </c>
      <c r="AL1187" t="str" cm="1">
        <f t="array" ref="AL1187">_xlfn.IFS(F1187&lt;=10,"0-10",F1187&lt;=20,"11-20",TRUE,"20+")</f>
        <v>11-20</v>
      </c>
      <c r="AM1187" t="str" cm="1">
        <f t="array" ref="AM1187">_xlfn.IFS(S1187&lt;=5000,"0-5k",S1187&lt;=10000,"5k-10k",S1187&lt;=15000,"10k-15k",TRUE,"15k+")</f>
        <v>15k+</v>
      </c>
      <c r="AN1187" t="str" cm="1">
        <f t="array" ref="AN1187">_xlfn.IFS(AF1187&lt;=10,"0-10",AF1187&lt;=20,"10-20",AF1187&lt;=30,"20-30",TRUE,"30+")</f>
        <v>10-20</v>
      </c>
      <c r="AO1187" t="str" cm="1">
        <f t="array" ref="AO1187">_xlfn.IFS(Y1187=1,"Poor",Y1187=2,"Average",Y1187=3,"Good",TRUE,"Excellent")</f>
        <v>Excellent</v>
      </c>
      <c r="AP1187" t="str" cm="1">
        <f t="array" ref="AP1187">_xlfn.IFS(Q1187=1,"Low",Q1187=2,"Medium",Q1187=3,"High",TRUE,"Very High")</f>
        <v>High</v>
      </c>
    </row>
    <row r="1188" spans="1:42" x14ac:dyDescent="0.25">
      <c r="A1188">
        <v>35</v>
      </c>
      <c r="B1188" t="s">
        <v>35</v>
      </c>
      <c r="C1188" t="s">
        <v>91</v>
      </c>
      <c r="D1188">
        <v>880</v>
      </c>
      <c r="E1188" t="s">
        <v>36</v>
      </c>
      <c r="F1188">
        <v>12</v>
      </c>
      <c r="G1188">
        <v>4</v>
      </c>
      <c r="H1188" t="s">
        <v>47</v>
      </c>
      <c r="I1188">
        <v>1</v>
      </c>
      <c r="J1188">
        <v>1667</v>
      </c>
      <c r="K1188">
        <v>4</v>
      </c>
      <c r="L1188" t="s">
        <v>44</v>
      </c>
      <c r="M1188">
        <v>36</v>
      </c>
      <c r="N1188">
        <v>3</v>
      </c>
      <c r="O1188">
        <v>2</v>
      </c>
      <c r="P1188" t="s">
        <v>39</v>
      </c>
      <c r="Q1188">
        <v>4</v>
      </c>
      <c r="R1188" t="s">
        <v>40</v>
      </c>
      <c r="S1188">
        <v>4581</v>
      </c>
      <c r="T1188">
        <v>10414</v>
      </c>
      <c r="U1188">
        <v>3</v>
      </c>
      <c r="V1188" t="s">
        <v>41</v>
      </c>
      <c r="W1188" t="s">
        <v>35</v>
      </c>
      <c r="X1188">
        <v>24</v>
      </c>
      <c r="Y1188">
        <v>4</v>
      </c>
      <c r="Z1188">
        <v>1</v>
      </c>
      <c r="AA1188">
        <v>80</v>
      </c>
      <c r="AB1188">
        <v>0</v>
      </c>
      <c r="AC1188">
        <v>13</v>
      </c>
      <c r="AD1188">
        <v>2</v>
      </c>
      <c r="AE1188">
        <v>4</v>
      </c>
      <c r="AF1188">
        <v>11</v>
      </c>
      <c r="AG1188">
        <v>9</v>
      </c>
      <c r="AH1188">
        <v>6</v>
      </c>
      <c r="AI1188">
        <v>7</v>
      </c>
      <c r="AJ1188">
        <f t="shared" si="18"/>
        <v>1</v>
      </c>
      <c r="AK1188" t="str" cm="1">
        <f t="array" ref="AK1188">_xlfn.IFS(A1188&lt;=30,"18-30",A1188&lt;=45,"31-45",A1188&lt;=60,"46-60",TRUE, "60+")</f>
        <v>31-45</v>
      </c>
      <c r="AL1188" t="str" cm="1">
        <f t="array" ref="AL1188">_xlfn.IFS(F1188&lt;=10,"0-10",F1188&lt;=20,"11-20",TRUE,"20+")</f>
        <v>11-20</v>
      </c>
      <c r="AM1188" t="str" cm="1">
        <f t="array" ref="AM1188">_xlfn.IFS(S1188&lt;=5000,"0-5k",S1188&lt;=10000,"5k-10k",S1188&lt;=15000,"10k-15k",TRUE,"15k+")</f>
        <v>0-5k</v>
      </c>
      <c r="AN1188" t="str" cm="1">
        <f t="array" ref="AN1188">_xlfn.IFS(AF1188&lt;=10,"0-10",AF1188&lt;=20,"10-20",AF1188&lt;=30,"20-30",TRUE,"30+")</f>
        <v>10-20</v>
      </c>
      <c r="AO1188" t="str" cm="1">
        <f t="array" ref="AO1188">_xlfn.IFS(Y1188=1,"Poor",Y1188=2,"Average",Y1188=3,"Good",TRUE,"Excellent")</f>
        <v>Excellent</v>
      </c>
      <c r="AP1188" t="str" cm="1">
        <f t="array" ref="AP1188">_xlfn.IFS(Q1188=1,"Low",Q1188=2,"Medium",Q1188=3,"High",TRUE,"Very High")</f>
        <v>Very High</v>
      </c>
    </row>
    <row r="1189" spans="1:42" x14ac:dyDescent="0.25">
      <c r="A1189">
        <v>38</v>
      </c>
      <c r="B1189" t="s">
        <v>42</v>
      </c>
      <c r="C1189" t="s">
        <v>91</v>
      </c>
      <c r="D1189">
        <v>1189</v>
      </c>
      <c r="E1189" t="s">
        <v>43</v>
      </c>
      <c r="F1189">
        <v>1</v>
      </c>
      <c r="G1189">
        <v>3</v>
      </c>
      <c r="H1189" t="s">
        <v>37</v>
      </c>
      <c r="I1189">
        <v>1</v>
      </c>
      <c r="J1189">
        <v>1668</v>
      </c>
      <c r="K1189">
        <v>4</v>
      </c>
      <c r="L1189" t="s">
        <v>44</v>
      </c>
      <c r="M1189">
        <v>90</v>
      </c>
      <c r="N1189">
        <v>3</v>
      </c>
      <c r="O1189">
        <v>2</v>
      </c>
      <c r="P1189" t="s">
        <v>45</v>
      </c>
      <c r="Q1189">
        <v>4</v>
      </c>
      <c r="R1189" t="s">
        <v>46</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c r="AJ1189">
        <f t="shared" si="18"/>
        <v>0</v>
      </c>
      <c r="AK1189" t="str" cm="1">
        <f t="array" ref="AK1189">_xlfn.IFS(A1189&lt;=30,"18-30",A1189&lt;=45,"31-45",A1189&lt;=60,"46-60",TRUE, "60+")</f>
        <v>31-45</v>
      </c>
      <c r="AL1189" t="str" cm="1">
        <f t="array" ref="AL1189">_xlfn.IFS(F1189&lt;=10,"0-10",F1189&lt;=20,"11-20",TRUE,"20+")</f>
        <v>0-10</v>
      </c>
      <c r="AM1189" t="str" cm="1">
        <f t="array" ref="AM1189">_xlfn.IFS(S1189&lt;=5000,"0-5k",S1189&lt;=10000,"5k-10k",S1189&lt;=15000,"10k-15k",TRUE,"15k+")</f>
        <v>0-5k</v>
      </c>
      <c r="AN1189" t="str" cm="1">
        <f t="array" ref="AN1189">_xlfn.IFS(AF1189&lt;=10,"0-10",AF1189&lt;=20,"10-20",AF1189&lt;=30,"20-30",TRUE,"30+")</f>
        <v>10-20</v>
      </c>
      <c r="AO1189" t="str" cm="1">
        <f t="array" ref="AO1189">_xlfn.IFS(Y1189=1,"Poor",Y1189=2,"Average",Y1189=3,"Good",TRUE,"Excellent")</f>
        <v>Good</v>
      </c>
      <c r="AP1189" t="str" cm="1">
        <f t="array" ref="AP1189">_xlfn.IFS(Q1189=1,"Low",Q1189=2,"Medium",Q1189=3,"High",TRUE,"Very High")</f>
        <v>Very High</v>
      </c>
    </row>
    <row r="1190" spans="1:42" x14ac:dyDescent="0.25">
      <c r="A1190">
        <v>29</v>
      </c>
      <c r="B1190" t="s">
        <v>42</v>
      </c>
      <c r="C1190" t="s">
        <v>90</v>
      </c>
      <c r="D1190">
        <v>991</v>
      </c>
      <c r="E1190" t="s">
        <v>36</v>
      </c>
      <c r="F1190">
        <v>5</v>
      </c>
      <c r="G1190">
        <v>3</v>
      </c>
      <c r="H1190" t="s">
        <v>49</v>
      </c>
      <c r="I1190">
        <v>1</v>
      </c>
      <c r="J1190">
        <v>1669</v>
      </c>
      <c r="K1190">
        <v>1</v>
      </c>
      <c r="L1190" t="s">
        <v>44</v>
      </c>
      <c r="M1190">
        <v>43</v>
      </c>
      <c r="N1190">
        <v>2</v>
      </c>
      <c r="O1190">
        <v>2</v>
      </c>
      <c r="P1190" t="s">
        <v>39</v>
      </c>
      <c r="Q1190">
        <v>2</v>
      </c>
      <c r="R1190" t="s">
        <v>50</v>
      </c>
      <c r="S1190">
        <v>4187</v>
      </c>
      <c r="T1190">
        <v>3356</v>
      </c>
      <c r="U1190">
        <v>1</v>
      </c>
      <c r="V1190" t="s">
        <v>41</v>
      </c>
      <c r="W1190" t="s">
        <v>35</v>
      </c>
      <c r="X1190">
        <v>13</v>
      </c>
      <c r="Y1190">
        <v>3</v>
      </c>
      <c r="Z1190">
        <v>2</v>
      </c>
      <c r="AA1190">
        <v>80</v>
      </c>
      <c r="AB1190">
        <v>1</v>
      </c>
      <c r="AC1190">
        <v>10</v>
      </c>
      <c r="AD1190">
        <v>3</v>
      </c>
      <c r="AE1190">
        <v>2</v>
      </c>
      <c r="AF1190">
        <v>10</v>
      </c>
      <c r="AG1190">
        <v>0</v>
      </c>
      <c r="AH1190">
        <v>0</v>
      </c>
      <c r="AI1190">
        <v>9</v>
      </c>
      <c r="AJ1190">
        <f t="shared" si="18"/>
        <v>0</v>
      </c>
      <c r="AK1190" t="str" cm="1">
        <f t="array" ref="AK1190">_xlfn.IFS(A1190&lt;=30,"18-30",A1190&lt;=45,"31-45",A1190&lt;=60,"46-60",TRUE, "60+")</f>
        <v>18-30</v>
      </c>
      <c r="AL1190" t="str" cm="1">
        <f t="array" ref="AL1190">_xlfn.IFS(F1190&lt;=10,"0-10",F1190&lt;=20,"11-20",TRUE,"20+")</f>
        <v>0-10</v>
      </c>
      <c r="AM1190" t="str" cm="1">
        <f t="array" ref="AM1190">_xlfn.IFS(S1190&lt;=5000,"0-5k",S1190&lt;=10000,"5k-10k",S1190&lt;=15000,"10k-15k",TRUE,"15k+")</f>
        <v>0-5k</v>
      </c>
      <c r="AN1190" t="str" cm="1">
        <f t="array" ref="AN1190">_xlfn.IFS(AF1190&lt;=10,"0-10",AF1190&lt;=20,"10-20",AF1190&lt;=30,"20-30",TRUE,"30+")</f>
        <v>0-10</v>
      </c>
      <c r="AO1190" t="str" cm="1">
        <f t="array" ref="AO1190">_xlfn.IFS(Y1190=1,"Poor",Y1190=2,"Average",Y1190=3,"Good",TRUE,"Excellent")</f>
        <v>Good</v>
      </c>
      <c r="AP1190" t="str" cm="1">
        <f t="array" ref="AP1190">_xlfn.IFS(Q1190=1,"Low",Q1190=2,"Medium",Q1190=3,"High",TRUE,"Very High")</f>
        <v>Medium</v>
      </c>
    </row>
    <row r="1191" spans="1:42" x14ac:dyDescent="0.25">
      <c r="A1191">
        <v>33</v>
      </c>
      <c r="B1191" t="s">
        <v>42</v>
      </c>
      <c r="C1191" t="s">
        <v>90</v>
      </c>
      <c r="D1191">
        <v>392</v>
      </c>
      <c r="E1191" t="s">
        <v>36</v>
      </c>
      <c r="F1191">
        <v>2</v>
      </c>
      <c r="G1191">
        <v>4</v>
      </c>
      <c r="H1191" t="s">
        <v>49</v>
      </c>
      <c r="I1191">
        <v>1</v>
      </c>
      <c r="J1191">
        <v>1670</v>
      </c>
      <c r="K1191">
        <v>4</v>
      </c>
      <c r="L1191" t="s">
        <v>44</v>
      </c>
      <c r="M1191">
        <v>93</v>
      </c>
      <c r="N1191">
        <v>3</v>
      </c>
      <c r="O1191">
        <v>2</v>
      </c>
      <c r="P1191" t="s">
        <v>39</v>
      </c>
      <c r="Q1191">
        <v>4</v>
      </c>
      <c r="R1191" t="s">
        <v>50</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c r="AJ1191">
        <f t="shared" si="18"/>
        <v>0</v>
      </c>
      <c r="AK1191" t="str" cm="1">
        <f t="array" ref="AK1191">_xlfn.IFS(A1191&lt;=30,"18-30",A1191&lt;=45,"31-45",A1191&lt;=60,"46-60",TRUE, "60+")</f>
        <v>31-45</v>
      </c>
      <c r="AL1191" t="str" cm="1">
        <f t="array" ref="AL1191">_xlfn.IFS(F1191&lt;=10,"0-10",F1191&lt;=20,"11-20",TRUE,"20+")</f>
        <v>0-10</v>
      </c>
      <c r="AM1191" t="str" cm="1">
        <f t="array" ref="AM1191">_xlfn.IFS(S1191&lt;=5000,"0-5k",S1191&lt;=10000,"5k-10k",S1191&lt;=15000,"10k-15k",TRUE,"15k+")</f>
        <v>5k-10k</v>
      </c>
      <c r="AN1191" t="str" cm="1">
        <f t="array" ref="AN1191">_xlfn.IFS(AF1191&lt;=10,"0-10",AF1191&lt;=20,"10-20",AF1191&lt;=30,"20-30",TRUE,"30+")</f>
        <v>0-10</v>
      </c>
      <c r="AO1191" t="str" cm="1">
        <f t="array" ref="AO1191">_xlfn.IFS(Y1191=1,"Poor",Y1191=2,"Average",Y1191=3,"Good",TRUE,"Excellent")</f>
        <v>Good</v>
      </c>
      <c r="AP1191" t="str" cm="1">
        <f t="array" ref="AP1191">_xlfn.IFS(Q1191=1,"Low",Q1191=2,"Medium",Q1191=3,"High",TRUE,"Very High")</f>
        <v>Very High</v>
      </c>
    </row>
    <row r="1192" spans="1:42" x14ac:dyDescent="0.25">
      <c r="A1192">
        <v>32</v>
      </c>
      <c r="B1192" t="s">
        <v>42</v>
      </c>
      <c r="C1192" t="s">
        <v>90</v>
      </c>
      <c r="D1192">
        <v>977</v>
      </c>
      <c r="E1192" t="s">
        <v>43</v>
      </c>
      <c r="F1192">
        <v>2</v>
      </c>
      <c r="G1192">
        <v>3</v>
      </c>
      <c r="H1192" t="s">
        <v>49</v>
      </c>
      <c r="I1192">
        <v>1</v>
      </c>
      <c r="J1192">
        <v>1671</v>
      </c>
      <c r="K1192">
        <v>4</v>
      </c>
      <c r="L1192" t="s">
        <v>44</v>
      </c>
      <c r="M1192">
        <v>45</v>
      </c>
      <c r="N1192">
        <v>3</v>
      </c>
      <c r="O1192">
        <v>2</v>
      </c>
      <c r="P1192" t="s">
        <v>45</v>
      </c>
      <c r="Q1192">
        <v>2</v>
      </c>
      <c r="R1192" t="s">
        <v>50</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c r="AJ1192">
        <f t="shared" si="18"/>
        <v>0</v>
      </c>
      <c r="AK1192" t="str" cm="1">
        <f t="array" ref="AK1192">_xlfn.IFS(A1192&lt;=30,"18-30",A1192&lt;=45,"31-45",A1192&lt;=60,"46-60",TRUE, "60+")</f>
        <v>31-45</v>
      </c>
      <c r="AL1192" t="str" cm="1">
        <f t="array" ref="AL1192">_xlfn.IFS(F1192&lt;=10,"0-10",F1192&lt;=20,"11-20",TRUE,"20+")</f>
        <v>0-10</v>
      </c>
      <c r="AM1192" t="str" cm="1">
        <f t="array" ref="AM1192">_xlfn.IFS(S1192&lt;=5000,"0-5k",S1192&lt;=10000,"5k-10k",S1192&lt;=15000,"10k-15k",TRUE,"15k+")</f>
        <v>5k-10k</v>
      </c>
      <c r="AN1192" t="str" cm="1">
        <f t="array" ref="AN1192">_xlfn.IFS(AF1192&lt;=10,"0-10",AF1192&lt;=20,"10-20",AF1192&lt;=30,"20-30",TRUE,"30+")</f>
        <v>0-10</v>
      </c>
      <c r="AO1192" t="str" cm="1">
        <f t="array" ref="AO1192">_xlfn.IFS(Y1192=1,"Poor",Y1192=2,"Average",Y1192=3,"Good",TRUE,"Excellent")</f>
        <v>Good</v>
      </c>
      <c r="AP1192" t="str" cm="1">
        <f t="array" ref="AP1192">_xlfn.IFS(Q1192=1,"Low",Q1192=2,"Medium",Q1192=3,"High",TRUE,"Very High")</f>
        <v>Medium</v>
      </c>
    </row>
    <row r="1193" spans="1:42" x14ac:dyDescent="0.25">
      <c r="A1193">
        <v>31</v>
      </c>
      <c r="B1193" t="s">
        <v>42</v>
      </c>
      <c r="C1193" t="s">
        <v>90</v>
      </c>
      <c r="D1193">
        <v>1112</v>
      </c>
      <c r="E1193" t="s">
        <v>36</v>
      </c>
      <c r="F1193">
        <v>5</v>
      </c>
      <c r="G1193">
        <v>4</v>
      </c>
      <c r="H1193" t="s">
        <v>37</v>
      </c>
      <c r="I1193">
        <v>1</v>
      </c>
      <c r="J1193">
        <v>1673</v>
      </c>
      <c r="K1193">
        <v>1</v>
      </c>
      <c r="L1193" t="s">
        <v>38</v>
      </c>
      <c r="M1193">
        <v>67</v>
      </c>
      <c r="N1193">
        <v>3</v>
      </c>
      <c r="O1193">
        <v>2</v>
      </c>
      <c r="P1193" t="s">
        <v>39</v>
      </c>
      <c r="Q1193">
        <v>4</v>
      </c>
      <c r="R1193" t="s">
        <v>46</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c r="AJ1193">
        <f t="shared" si="18"/>
        <v>0</v>
      </c>
      <c r="AK1193" t="str" cm="1">
        <f t="array" ref="AK1193">_xlfn.IFS(A1193&lt;=30,"18-30",A1193&lt;=45,"31-45",A1193&lt;=60,"46-60",TRUE, "60+")</f>
        <v>31-45</v>
      </c>
      <c r="AL1193" t="str" cm="1">
        <f t="array" ref="AL1193">_xlfn.IFS(F1193&lt;=10,"0-10",F1193&lt;=20,"11-20",TRUE,"20+")</f>
        <v>0-10</v>
      </c>
      <c r="AM1193" t="str" cm="1">
        <f t="array" ref="AM1193">_xlfn.IFS(S1193&lt;=5000,"0-5k",S1193&lt;=10000,"5k-10k",S1193&lt;=15000,"10k-15k",TRUE,"15k+")</f>
        <v>5k-10k</v>
      </c>
      <c r="AN1193" t="str" cm="1">
        <f t="array" ref="AN1193">_xlfn.IFS(AF1193&lt;=10,"0-10",AF1193&lt;=20,"10-20",AF1193&lt;=30,"20-30",TRUE,"30+")</f>
        <v>0-10</v>
      </c>
      <c r="AO1193" t="str" cm="1">
        <f t="array" ref="AO1193">_xlfn.IFS(Y1193=1,"Poor",Y1193=2,"Average",Y1193=3,"Good",TRUE,"Excellent")</f>
        <v>Good</v>
      </c>
      <c r="AP1193" t="str" cm="1">
        <f t="array" ref="AP1193">_xlfn.IFS(Q1193=1,"Low",Q1193=2,"Medium",Q1193=3,"High",TRUE,"Very High")</f>
        <v>Very High</v>
      </c>
    </row>
    <row r="1194" spans="1:42" x14ac:dyDescent="0.25">
      <c r="A1194">
        <v>49</v>
      </c>
      <c r="B1194" t="s">
        <v>42</v>
      </c>
      <c r="C1194" t="s">
        <v>90</v>
      </c>
      <c r="D1194">
        <v>464</v>
      </c>
      <c r="E1194" t="s">
        <v>43</v>
      </c>
      <c r="F1194">
        <v>16</v>
      </c>
      <c r="G1194">
        <v>3</v>
      </c>
      <c r="H1194" t="s">
        <v>49</v>
      </c>
      <c r="I1194">
        <v>1</v>
      </c>
      <c r="J1194">
        <v>1674</v>
      </c>
      <c r="K1194">
        <v>4</v>
      </c>
      <c r="L1194" t="s">
        <v>38</v>
      </c>
      <c r="M1194">
        <v>74</v>
      </c>
      <c r="N1194">
        <v>3</v>
      </c>
      <c r="O1194">
        <v>1</v>
      </c>
      <c r="P1194" t="s">
        <v>48</v>
      </c>
      <c r="Q1194">
        <v>1</v>
      </c>
      <c r="R1194" t="s">
        <v>50</v>
      </c>
      <c r="S1194">
        <v>2587</v>
      </c>
      <c r="T1194">
        <v>24941</v>
      </c>
      <c r="U1194">
        <v>4</v>
      </c>
      <c r="V1194" t="s">
        <v>41</v>
      </c>
      <c r="W1194" t="s">
        <v>35</v>
      </c>
      <c r="X1194">
        <v>16</v>
      </c>
      <c r="Y1194">
        <v>3</v>
      </c>
      <c r="Z1194">
        <v>2</v>
      </c>
      <c r="AA1194">
        <v>80</v>
      </c>
      <c r="AB1194">
        <v>1</v>
      </c>
      <c r="AC1194">
        <v>17</v>
      </c>
      <c r="AD1194">
        <v>2</v>
      </c>
      <c r="AE1194">
        <v>2</v>
      </c>
      <c r="AF1194">
        <v>2</v>
      </c>
      <c r="AG1194">
        <v>2</v>
      </c>
      <c r="AH1194">
        <v>2</v>
      </c>
      <c r="AI1194">
        <v>2</v>
      </c>
      <c r="AJ1194">
        <f t="shared" si="18"/>
        <v>0</v>
      </c>
      <c r="AK1194" t="str" cm="1">
        <f t="array" ref="AK1194">_xlfn.IFS(A1194&lt;=30,"18-30",A1194&lt;=45,"31-45",A1194&lt;=60,"46-60",TRUE, "60+")</f>
        <v>46-60</v>
      </c>
      <c r="AL1194" t="str" cm="1">
        <f t="array" ref="AL1194">_xlfn.IFS(F1194&lt;=10,"0-10",F1194&lt;=20,"11-20",TRUE,"20+")</f>
        <v>11-20</v>
      </c>
      <c r="AM1194" t="str" cm="1">
        <f t="array" ref="AM1194">_xlfn.IFS(S1194&lt;=5000,"0-5k",S1194&lt;=10000,"5k-10k",S1194&lt;=15000,"10k-15k",TRUE,"15k+")</f>
        <v>0-5k</v>
      </c>
      <c r="AN1194" t="str" cm="1">
        <f t="array" ref="AN1194">_xlfn.IFS(AF1194&lt;=10,"0-10",AF1194&lt;=20,"10-20",AF1194&lt;=30,"20-30",TRUE,"30+")</f>
        <v>0-10</v>
      </c>
      <c r="AO1194" t="str" cm="1">
        <f t="array" ref="AO1194">_xlfn.IFS(Y1194=1,"Poor",Y1194=2,"Average",Y1194=3,"Good",TRUE,"Excellent")</f>
        <v>Good</v>
      </c>
      <c r="AP1194" t="str" cm="1">
        <f t="array" ref="AP1194">_xlfn.IFS(Q1194=1,"Low",Q1194=2,"Medium",Q1194=3,"High",TRUE,"Very High")</f>
        <v>Low</v>
      </c>
    </row>
    <row r="1195" spans="1:42" x14ac:dyDescent="0.25">
      <c r="A1195">
        <v>38</v>
      </c>
      <c r="B1195" t="s">
        <v>42</v>
      </c>
      <c r="C1195" t="s">
        <v>91</v>
      </c>
      <c r="D1195">
        <v>148</v>
      </c>
      <c r="E1195" t="s">
        <v>43</v>
      </c>
      <c r="F1195">
        <v>2</v>
      </c>
      <c r="G1195">
        <v>3</v>
      </c>
      <c r="H1195" t="s">
        <v>49</v>
      </c>
      <c r="I1195">
        <v>1</v>
      </c>
      <c r="J1195">
        <v>1675</v>
      </c>
      <c r="K1195">
        <v>4</v>
      </c>
      <c r="L1195" t="s">
        <v>38</v>
      </c>
      <c r="M1195">
        <v>42</v>
      </c>
      <c r="N1195">
        <v>2</v>
      </c>
      <c r="O1195">
        <v>1</v>
      </c>
      <c r="P1195" t="s">
        <v>48</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c r="AJ1195">
        <f t="shared" si="18"/>
        <v>0</v>
      </c>
      <c r="AK1195" t="str" cm="1">
        <f t="array" ref="AK1195">_xlfn.IFS(A1195&lt;=30,"18-30",A1195&lt;=45,"31-45",A1195&lt;=60,"46-60",TRUE, "60+")</f>
        <v>31-45</v>
      </c>
      <c r="AL1195" t="str" cm="1">
        <f t="array" ref="AL1195">_xlfn.IFS(F1195&lt;=10,"0-10",F1195&lt;=20,"11-20",TRUE,"20+")</f>
        <v>0-10</v>
      </c>
      <c r="AM1195" t="str" cm="1">
        <f t="array" ref="AM1195">_xlfn.IFS(S1195&lt;=5000,"0-5k",S1195&lt;=10000,"5k-10k",S1195&lt;=15000,"10k-15k",TRUE,"15k+")</f>
        <v>0-5k</v>
      </c>
      <c r="AN1195" t="str" cm="1">
        <f t="array" ref="AN1195">_xlfn.IFS(AF1195&lt;=10,"0-10",AF1195&lt;=20,"10-20",AF1195&lt;=30,"20-30",TRUE,"30+")</f>
        <v>0-10</v>
      </c>
      <c r="AO1195" t="str" cm="1">
        <f t="array" ref="AO1195">_xlfn.IFS(Y1195=1,"Poor",Y1195=2,"Average",Y1195=3,"Good",TRUE,"Excellent")</f>
        <v>Excellent</v>
      </c>
      <c r="AP1195" t="str" cm="1">
        <f t="array" ref="AP1195">_xlfn.IFS(Q1195=1,"Low",Q1195=2,"Medium",Q1195=3,"High",TRUE,"Very High")</f>
        <v>Medium</v>
      </c>
    </row>
    <row r="1196" spans="1:42" x14ac:dyDescent="0.25">
      <c r="A1196">
        <v>47</v>
      </c>
      <c r="B1196" t="s">
        <v>42</v>
      </c>
      <c r="C1196" t="s">
        <v>90</v>
      </c>
      <c r="D1196">
        <v>1225</v>
      </c>
      <c r="E1196" t="s">
        <v>36</v>
      </c>
      <c r="F1196">
        <v>2</v>
      </c>
      <c r="G1196">
        <v>4</v>
      </c>
      <c r="H1196" t="s">
        <v>37</v>
      </c>
      <c r="I1196">
        <v>1</v>
      </c>
      <c r="J1196">
        <v>1676</v>
      </c>
      <c r="K1196">
        <v>2</v>
      </c>
      <c r="L1196" t="s">
        <v>38</v>
      </c>
      <c r="M1196">
        <v>47</v>
      </c>
      <c r="N1196">
        <v>4</v>
      </c>
      <c r="O1196">
        <v>4</v>
      </c>
      <c r="P1196" t="s">
        <v>54</v>
      </c>
      <c r="Q1196">
        <v>2</v>
      </c>
      <c r="R1196" t="s">
        <v>50</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c r="AJ1196">
        <f t="shared" si="18"/>
        <v>0</v>
      </c>
      <c r="AK1196" t="str" cm="1">
        <f t="array" ref="AK1196">_xlfn.IFS(A1196&lt;=30,"18-30",A1196&lt;=45,"31-45",A1196&lt;=60,"46-60",TRUE, "60+")</f>
        <v>46-60</v>
      </c>
      <c r="AL1196" t="str" cm="1">
        <f t="array" ref="AL1196">_xlfn.IFS(F1196&lt;=10,"0-10",F1196&lt;=20,"11-20",TRUE,"20+")</f>
        <v>0-10</v>
      </c>
      <c r="AM1196" t="str" cm="1">
        <f t="array" ref="AM1196">_xlfn.IFS(S1196&lt;=5000,"0-5k",S1196&lt;=10000,"5k-10k",S1196&lt;=15000,"10k-15k",TRUE,"15k+")</f>
        <v>15k+</v>
      </c>
      <c r="AN1196" t="str" cm="1">
        <f t="array" ref="AN1196">_xlfn.IFS(AF1196&lt;=10,"0-10",AF1196&lt;=20,"10-20",AF1196&lt;=30,"20-30",TRUE,"30+")</f>
        <v>0-10</v>
      </c>
      <c r="AO1196" t="str" cm="1">
        <f t="array" ref="AO1196">_xlfn.IFS(Y1196=1,"Poor",Y1196=2,"Average",Y1196=3,"Good",TRUE,"Excellent")</f>
        <v>Good</v>
      </c>
      <c r="AP1196" t="str" cm="1">
        <f t="array" ref="AP1196">_xlfn.IFS(Q1196=1,"Low",Q1196=2,"Medium",Q1196=3,"High",TRUE,"Very High")</f>
        <v>Medium</v>
      </c>
    </row>
    <row r="1197" spans="1:42" x14ac:dyDescent="0.25">
      <c r="A1197">
        <v>49</v>
      </c>
      <c r="B1197" t="s">
        <v>42</v>
      </c>
      <c r="C1197" t="s">
        <v>90</v>
      </c>
      <c r="D1197">
        <v>809</v>
      </c>
      <c r="E1197" t="s">
        <v>43</v>
      </c>
      <c r="F1197">
        <v>1</v>
      </c>
      <c r="G1197">
        <v>3</v>
      </c>
      <c r="H1197" t="s">
        <v>37</v>
      </c>
      <c r="I1197">
        <v>1</v>
      </c>
      <c r="J1197">
        <v>1677</v>
      </c>
      <c r="K1197">
        <v>3</v>
      </c>
      <c r="L1197" t="s">
        <v>44</v>
      </c>
      <c r="M1197">
        <v>36</v>
      </c>
      <c r="N1197">
        <v>3</v>
      </c>
      <c r="O1197">
        <v>4</v>
      </c>
      <c r="P1197" t="s">
        <v>54</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c r="AJ1197">
        <f t="shared" si="18"/>
        <v>0</v>
      </c>
      <c r="AK1197" t="str" cm="1">
        <f t="array" ref="AK1197">_xlfn.IFS(A1197&lt;=30,"18-30",A1197&lt;=45,"31-45",A1197&lt;=60,"46-60",TRUE, "60+")</f>
        <v>46-60</v>
      </c>
      <c r="AL1197" t="str" cm="1">
        <f t="array" ref="AL1197">_xlfn.IFS(F1197&lt;=10,"0-10",F1197&lt;=20,"11-20",TRUE,"20+")</f>
        <v>0-10</v>
      </c>
      <c r="AM1197" t="str" cm="1">
        <f t="array" ref="AM1197">_xlfn.IFS(S1197&lt;=5000,"0-5k",S1197&lt;=10000,"5k-10k",S1197&lt;=15000,"10k-15k",TRUE,"15k+")</f>
        <v>15k+</v>
      </c>
      <c r="AN1197" t="str" cm="1">
        <f t="array" ref="AN1197">_xlfn.IFS(AF1197&lt;=10,"0-10",AF1197&lt;=20,"10-20",AF1197&lt;=30,"20-30",TRUE,"30+")</f>
        <v>0-10</v>
      </c>
      <c r="AO1197" t="str" cm="1">
        <f t="array" ref="AO1197">_xlfn.IFS(Y1197=1,"Poor",Y1197=2,"Average",Y1197=3,"Good",TRUE,"Excellent")</f>
        <v>Good</v>
      </c>
      <c r="AP1197" t="str" cm="1">
        <f t="array" ref="AP1197">_xlfn.IFS(Q1197=1,"Low",Q1197=2,"Medium",Q1197=3,"High",TRUE,"Very High")</f>
        <v>High</v>
      </c>
    </row>
    <row r="1198" spans="1:42" x14ac:dyDescent="0.25">
      <c r="A1198">
        <v>41</v>
      </c>
      <c r="B1198" t="s">
        <v>42</v>
      </c>
      <c r="C1198" t="s">
        <v>90</v>
      </c>
      <c r="D1198">
        <v>1206</v>
      </c>
      <c r="E1198" t="s">
        <v>36</v>
      </c>
      <c r="F1198">
        <v>23</v>
      </c>
      <c r="G1198">
        <v>2</v>
      </c>
      <c r="H1198" t="s">
        <v>37</v>
      </c>
      <c r="I1198">
        <v>1</v>
      </c>
      <c r="J1198">
        <v>1678</v>
      </c>
      <c r="K1198">
        <v>4</v>
      </c>
      <c r="L1198" t="s">
        <v>44</v>
      </c>
      <c r="M1198">
        <v>80</v>
      </c>
      <c r="N1198">
        <v>3</v>
      </c>
      <c r="O1198">
        <v>3</v>
      </c>
      <c r="P1198" t="s">
        <v>39</v>
      </c>
      <c r="Q1198">
        <v>3</v>
      </c>
      <c r="R1198" t="s">
        <v>40</v>
      </c>
      <c r="S1198">
        <v>7082</v>
      </c>
      <c r="T1198">
        <v>11591</v>
      </c>
      <c r="U1198">
        <v>3</v>
      </c>
      <c r="V1198" t="s">
        <v>41</v>
      </c>
      <c r="W1198" t="s">
        <v>35</v>
      </c>
      <c r="X1198">
        <v>16</v>
      </c>
      <c r="Y1198">
        <v>3</v>
      </c>
      <c r="Z1198">
        <v>4</v>
      </c>
      <c r="AA1198">
        <v>80</v>
      </c>
      <c r="AB1198">
        <v>0</v>
      </c>
      <c r="AC1198">
        <v>21</v>
      </c>
      <c r="AD1198">
        <v>2</v>
      </c>
      <c r="AE1198">
        <v>3</v>
      </c>
      <c r="AF1198">
        <v>2</v>
      </c>
      <c r="AG1198">
        <v>0</v>
      </c>
      <c r="AH1198">
        <v>0</v>
      </c>
      <c r="AI1198">
        <v>2</v>
      </c>
      <c r="AJ1198">
        <f t="shared" si="18"/>
        <v>0</v>
      </c>
      <c r="AK1198" t="str" cm="1">
        <f t="array" ref="AK1198">_xlfn.IFS(A1198&lt;=30,"18-30",A1198&lt;=45,"31-45",A1198&lt;=60,"46-60",TRUE, "60+")</f>
        <v>31-45</v>
      </c>
      <c r="AL1198" t="str" cm="1">
        <f t="array" ref="AL1198">_xlfn.IFS(F1198&lt;=10,"0-10",F1198&lt;=20,"11-20",TRUE,"20+")</f>
        <v>20+</v>
      </c>
      <c r="AM1198" t="str" cm="1">
        <f t="array" ref="AM1198">_xlfn.IFS(S1198&lt;=5000,"0-5k",S1198&lt;=10000,"5k-10k",S1198&lt;=15000,"10k-15k",TRUE,"15k+")</f>
        <v>5k-10k</v>
      </c>
      <c r="AN1198" t="str" cm="1">
        <f t="array" ref="AN1198">_xlfn.IFS(AF1198&lt;=10,"0-10",AF1198&lt;=20,"10-20",AF1198&lt;=30,"20-30",TRUE,"30+")</f>
        <v>0-10</v>
      </c>
      <c r="AO1198" t="str" cm="1">
        <f t="array" ref="AO1198">_xlfn.IFS(Y1198=1,"Poor",Y1198=2,"Average",Y1198=3,"Good",TRUE,"Excellent")</f>
        <v>Good</v>
      </c>
      <c r="AP1198" t="str" cm="1">
        <f t="array" ref="AP1198">_xlfn.IFS(Q1198=1,"Low",Q1198=2,"Medium",Q1198=3,"High",TRUE,"Very High")</f>
        <v>High</v>
      </c>
    </row>
    <row r="1199" spans="1:42" x14ac:dyDescent="0.25">
      <c r="A1199">
        <v>20</v>
      </c>
      <c r="B1199" t="s">
        <v>42</v>
      </c>
      <c r="C1199" t="s">
        <v>90</v>
      </c>
      <c r="D1199">
        <v>727</v>
      </c>
      <c r="E1199" t="s">
        <v>36</v>
      </c>
      <c r="F1199">
        <v>9</v>
      </c>
      <c r="G1199">
        <v>1</v>
      </c>
      <c r="H1199" t="s">
        <v>37</v>
      </c>
      <c r="I1199">
        <v>1</v>
      </c>
      <c r="J1199">
        <v>1680</v>
      </c>
      <c r="K1199">
        <v>4</v>
      </c>
      <c r="L1199" t="s">
        <v>44</v>
      </c>
      <c r="M1199">
        <v>54</v>
      </c>
      <c r="N1199">
        <v>3</v>
      </c>
      <c r="O1199">
        <v>1</v>
      </c>
      <c r="P1199" t="s">
        <v>55</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c r="AJ1199">
        <f t="shared" si="18"/>
        <v>0</v>
      </c>
      <c r="AK1199" t="str" cm="1">
        <f t="array" ref="AK1199">_xlfn.IFS(A1199&lt;=30,"18-30",A1199&lt;=45,"31-45",A1199&lt;=60,"46-60",TRUE, "60+")</f>
        <v>18-30</v>
      </c>
      <c r="AL1199" t="str" cm="1">
        <f t="array" ref="AL1199">_xlfn.IFS(F1199&lt;=10,"0-10",F1199&lt;=20,"11-20",TRUE,"20+")</f>
        <v>0-10</v>
      </c>
      <c r="AM1199" t="str" cm="1">
        <f t="array" ref="AM1199">_xlfn.IFS(S1199&lt;=5000,"0-5k",S1199&lt;=10000,"5k-10k",S1199&lt;=15000,"10k-15k",TRUE,"15k+")</f>
        <v>0-5k</v>
      </c>
      <c r="AN1199" t="str" cm="1">
        <f t="array" ref="AN1199">_xlfn.IFS(AF1199&lt;=10,"0-10",AF1199&lt;=20,"10-20",AF1199&lt;=30,"20-30",TRUE,"30+")</f>
        <v>0-10</v>
      </c>
      <c r="AO1199" t="str" cm="1">
        <f t="array" ref="AO1199">_xlfn.IFS(Y1199=1,"Poor",Y1199=2,"Average",Y1199=3,"Good",TRUE,"Excellent")</f>
        <v>Good</v>
      </c>
      <c r="AP1199" t="str" cm="1">
        <f t="array" ref="AP1199">_xlfn.IFS(Q1199=1,"Low",Q1199=2,"Medium",Q1199=3,"High",TRUE,"Very High")</f>
        <v>Low</v>
      </c>
    </row>
    <row r="1200" spans="1:42" x14ac:dyDescent="0.25">
      <c r="A1200">
        <v>33</v>
      </c>
      <c r="B1200" t="s">
        <v>42</v>
      </c>
      <c r="C1200" t="s">
        <v>53</v>
      </c>
      <c r="D1200">
        <v>530</v>
      </c>
      <c r="E1200" t="s">
        <v>36</v>
      </c>
      <c r="F1200">
        <v>16</v>
      </c>
      <c r="G1200">
        <v>3</v>
      </c>
      <c r="H1200" t="s">
        <v>37</v>
      </c>
      <c r="I1200">
        <v>1</v>
      </c>
      <c r="J1200">
        <v>1681</v>
      </c>
      <c r="K1200">
        <v>3</v>
      </c>
      <c r="L1200" t="s">
        <v>38</v>
      </c>
      <c r="M1200">
        <v>36</v>
      </c>
      <c r="N1200">
        <v>3</v>
      </c>
      <c r="O1200">
        <v>2</v>
      </c>
      <c r="P1200" t="s">
        <v>39</v>
      </c>
      <c r="Q1200">
        <v>4</v>
      </c>
      <c r="R1200" t="s">
        <v>50</v>
      </c>
      <c r="S1200">
        <v>5368</v>
      </c>
      <c r="T1200">
        <v>16130</v>
      </c>
      <c r="U1200">
        <v>1</v>
      </c>
      <c r="V1200" t="s">
        <v>41</v>
      </c>
      <c r="W1200" t="s">
        <v>35</v>
      </c>
      <c r="X1200">
        <v>25</v>
      </c>
      <c r="Y1200">
        <v>4</v>
      </c>
      <c r="Z1200">
        <v>3</v>
      </c>
      <c r="AA1200">
        <v>80</v>
      </c>
      <c r="AB1200">
        <v>1</v>
      </c>
      <c r="AC1200">
        <v>7</v>
      </c>
      <c r="AD1200">
        <v>2</v>
      </c>
      <c r="AE1200">
        <v>3</v>
      </c>
      <c r="AF1200">
        <v>6</v>
      </c>
      <c r="AG1200">
        <v>5</v>
      </c>
      <c r="AH1200">
        <v>1</v>
      </c>
      <c r="AI1200">
        <v>2</v>
      </c>
      <c r="AJ1200">
        <f t="shared" si="18"/>
        <v>0</v>
      </c>
      <c r="AK1200" t="str" cm="1">
        <f t="array" ref="AK1200">_xlfn.IFS(A1200&lt;=30,"18-30",A1200&lt;=45,"31-45",A1200&lt;=60,"46-60",TRUE, "60+")</f>
        <v>31-45</v>
      </c>
      <c r="AL1200" t="str" cm="1">
        <f t="array" ref="AL1200">_xlfn.IFS(F1200&lt;=10,"0-10",F1200&lt;=20,"11-20",TRUE,"20+")</f>
        <v>11-20</v>
      </c>
      <c r="AM1200" t="str" cm="1">
        <f t="array" ref="AM1200">_xlfn.IFS(S1200&lt;=5000,"0-5k",S1200&lt;=10000,"5k-10k",S1200&lt;=15000,"10k-15k",TRUE,"15k+")</f>
        <v>5k-10k</v>
      </c>
      <c r="AN1200" t="str" cm="1">
        <f t="array" ref="AN1200">_xlfn.IFS(AF1200&lt;=10,"0-10",AF1200&lt;=20,"10-20",AF1200&lt;=30,"20-30",TRUE,"30+")</f>
        <v>0-10</v>
      </c>
      <c r="AO1200" t="str" cm="1">
        <f t="array" ref="AO1200">_xlfn.IFS(Y1200=1,"Poor",Y1200=2,"Average",Y1200=3,"Good",TRUE,"Excellent")</f>
        <v>Excellent</v>
      </c>
      <c r="AP1200" t="str" cm="1">
        <f t="array" ref="AP1200">_xlfn.IFS(Q1200=1,"Low",Q1200=2,"Medium",Q1200=3,"High",TRUE,"Very High")</f>
        <v>Very High</v>
      </c>
    </row>
    <row r="1201" spans="1:42" x14ac:dyDescent="0.25">
      <c r="A1201">
        <v>36</v>
      </c>
      <c r="B1201" t="s">
        <v>42</v>
      </c>
      <c r="C1201" t="s">
        <v>90</v>
      </c>
      <c r="D1201">
        <v>1351</v>
      </c>
      <c r="E1201" t="s">
        <v>43</v>
      </c>
      <c r="F1201">
        <v>26</v>
      </c>
      <c r="G1201">
        <v>4</v>
      </c>
      <c r="H1201" t="s">
        <v>37</v>
      </c>
      <c r="I1201">
        <v>1</v>
      </c>
      <c r="J1201">
        <v>1682</v>
      </c>
      <c r="K1201">
        <v>1</v>
      </c>
      <c r="L1201" t="s">
        <v>44</v>
      </c>
      <c r="M1201">
        <v>80</v>
      </c>
      <c r="N1201">
        <v>3</v>
      </c>
      <c r="O1201">
        <v>2</v>
      </c>
      <c r="P1201" t="s">
        <v>52</v>
      </c>
      <c r="Q1201">
        <v>3</v>
      </c>
      <c r="R1201" t="s">
        <v>46</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c r="AJ1201">
        <f t="shared" si="18"/>
        <v>0</v>
      </c>
      <c r="AK1201" t="str" cm="1">
        <f t="array" ref="AK1201">_xlfn.IFS(A1201&lt;=30,"18-30",A1201&lt;=45,"31-45",A1201&lt;=60,"46-60",TRUE, "60+")</f>
        <v>31-45</v>
      </c>
      <c r="AL1201" t="str" cm="1">
        <f t="array" ref="AL1201">_xlfn.IFS(F1201&lt;=10,"0-10",F1201&lt;=20,"11-20",TRUE,"20+")</f>
        <v>20+</v>
      </c>
      <c r="AM1201" t="str" cm="1">
        <f t="array" ref="AM1201">_xlfn.IFS(S1201&lt;=5000,"0-5k",S1201&lt;=10000,"5k-10k",S1201&lt;=15000,"10k-15k",TRUE,"15k+")</f>
        <v>5k-10k</v>
      </c>
      <c r="AN1201" t="str" cm="1">
        <f t="array" ref="AN1201">_xlfn.IFS(AF1201&lt;=10,"0-10",AF1201&lt;=20,"10-20",AF1201&lt;=30,"20-30",TRUE,"30+")</f>
        <v>0-10</v>
      </c>
      <c r="AO1201" t="str" cm="1">
        <f t="array" ref="AO1201">_xlfn.IFS(Y1201=1,"Poor",Y1201=2,"Average",Y1201=3,"Good",TRUE,"Excellent")</f>
        <v>Good</v>
      </c>
      <c r="AP1201" t="str" cm="1">
        <f t="array" ref="AP1201">_xlfn.IFS(Q1201=1,"Low",Q1201=2,"Medium",Q1201=3,"High",TRUE,"Very High")</f>
        <v>High</v>
      </c>
    </row>
    <row r="1202" spans="1:42" x14ac:dyDescent="0.25">
      <c r="A1202">
        <v>44</v>
      </c>
      <c r="B1202" t="s">
        <v>42</v>
      </c>
      <c r="C1202" t="s">
        <v>90</v>
      </c>
      <c r="D1202">
        <v>528</v>
      </c>
      <c r="E1202" t="s">
        <v>59</v>
      </c>
      <c r="F1202">
        <v>1</v>
      </c>
      <c r="G1202">
        <v>3</v>
      </c>
      <c r="H1202" t="s">
        <v>37</v>
      </c>
      <c r="I1202">
        <v>1</v>
      </c>
      <c r="J1202">
        <v>1683</v>
      </c>
      <c r="K1202">
        <v>3</v>
      </c>
      <c r="L1202" t="s">
        <v>38</v>
      </c>
      <c r="M1202">
        <v>44</v>
      </c>
      <c r="N1202">
        <v>3</v>
      </c>
      <c r="O1202">
        <v>1</v>
      </c>
      <c r="P1202" t="s">
        <v>59</v>
      </c>
      <c r="Q1202">
        <v>4</v>
      </c>
      <c r="R1202" t="s">
        <v>50</v>
      </c>
      <c r="S1202">
        <v>3195</v>
      </c>
      <c r="T1202">
        <v>4167</v>
      </c>
      <c r="U1202">
        <v>4</v>
      </c>
      <c r="V1202" t="s">
        <v>41</v>
      </c>
      <c r="W1202" t="s">
        <v>35</v>
      </c>
      <c r="X1202">
        <v>18</v>
      </c>
      <c r="Y1202">
        <v>3</v>
      </c>
      <c r="Z1202">
        <v>1</v>
      </c>
      <c r="AA1202">
        <v>80</v>
      </c>
      <c r="AB1202">
        <v>3</v>
      </c>
      <c r="AC1202">
        <v>8</v>
      </c>
      <c r="AD1202">
        <v>2</v>
      </c>
      <c r="AE1202">
        <v>3</v>
      </c>
      <c r="AF1202">
        <v>2</v>
      </c>
      <c r="AG1202">
        <v>2</v>
      </c>
      <c r="AH1202">
        <v>2</v>
      </c>
      <c r="AI1202">
        <v>2</v>
      </c>
      <c r="AJ1202">
        <f t="shared" si="18"/>
        <v>0</v>
      </c>
      <c r="AK1202" t="str" cm="1">
        <f t="array" ref="AK1202">_xlfn.IFS(A1202&lt;=30,"18-30",A1202&lt;=45,"31-45",A1202&lt;=60,"46-60",TRUE, "60+")</f>
        <v>31-45</v>
      </c>
      <c r="AL1202" t="str" cm="1">
        <f t="array" ref="AL1202">_xlfn.IFS(F1202&lt;=10,"0-10",F1202&lt;=20,"11-20",TRUE,"20+")</f>
        <v>0-10</v>
      </c>
      <c r="AM1202" t="str" cm="1">
        <f t="array" ref="AM1202">_xlfn.IFS(S1202&lt;=5000,"0-5k",S1202&lt;=10000,"5k-10k",S1202&lt;=15000,"10k-15k",TRUE,"15k+")</f>
        <v>0-5k</v>
      </c>
      <c r="AN1202" t="str" cm="1">
        <f t="array" ref="AN1202">_xlfn.IFS(AF1202&lt;=10,"0-10",AF1202&lt;=20,"10-20",AF1202&lt;=30,"20-30",TRUE,"30+")</f>
        <v>0-10</v>
      </c>
      <c r="AO1202" t="str" cm="1">
        <f t="array" ref="AO1202">_xlfn.IFS(Y1202=1,"Poor",Y1202=2,"Average",Y1202=3,"Good",TRUE,"Excellent")</f>
        <v>Good</v>
      </c>
      <c r="AP1202" t="str" cm="1">
        <f t="array" ref="AP1202">_xlfn.IFS(Q1202=1,"Low",Q1202=2,"Medium",Q1202=3,"High",TRUE,"Very High")</f>
        <v>Very High</v>
      </c>
    </row>
    <row r="1203" spans="1:42" x14ac:dyDescent="0.25">
      <c r="A1203">
        <v>23</v>
      </c>
      <c r="B1203" t="s">
        <v>35</v>
      </c>
      <c r="C1203" t="s">
        <v>90</v>
      </c>
      <c r="D1203">
        <v>1320</v>
      </c>
      <c r="E1203" t="s">
        <v>43</v>
      </c>
      <c r="F1203">
        <v>8</v>
      </c>
      <c r="G1203">
        <v>1</v>
      </c>
      <c r="H1203" t="s">
        <v>49</v>
      </c>
      <c r="I1203">
        <v>1</v>
      </c>
      <c r="J1203">
        <v>1684</v>
      </c>
      <c r="K1203">
        <v>4</v>
      </c>
      <c r="L1203" t="s">
        <v>44</v>
      </c>
      <c r="M1203">
        <v>93</v>
      </c>
      <c r="N1203">
        <v>2</v>
      </c>
      <c r="O1203">
        <v>1</v>
      </c>
      <c r="P1203" t="s">
        <v>48</v>
      </c>
      <c r="Q1203">
        <v>3</v>
      </c>
      <c r="R1203" t="s">
        <v>40</v>
      </c>
      <c r="S1203">
        <v>3989</v>
      </c>
      <c r="T1203">
        <v>20586</v>
      </c>
      <c r="U1203">
        <v>1</v>
      </c>
      <c r="V1203" t="s">
        <v>41</v>
      </c>
      <c r="W1203" t="s">
        <v>35</v>
      </c>
      <c r="X1203">
        <v>11</v>
      </c>
      <c r="Y1203">
        <v>3</v>
      </c>
      <c r="Z1203">
        <v>1</v>
      </c>
      <c r="AA1203">
        <v>80</v>
      </c>
      <c r="AB1203">
        <v>0</v>
      </c>
      <c r="AC1203">
        <v>5</v>
      </c>
      <c r="AD1203">
        <v>2</v>
      </c>
      <c r="AE1203">
        <v>3</v>
      </c>
      <c r="AF1203">
        <v>5</v>
      </c>
      <c r="AG1203">
        <v>4</v>
      </c>
      <c r="AH1203">
        <v>1</v>
      </c>
      <c r="AI1203">
        <v>2</v>
      </c>
      <c r="AJ1203">
        <f t="shared" si="18"/>
        <v>1</v>
      </c>
      <c r="AK1203" t="str" cm="1">
        <f t="array" ref="AK1203">_xlfn.IFS(A1203&lt;=30,"18-30",A1203&lt;=45,"31-45",A1203&lt;=60,"46-60",TRUE, "60+")</f>
        <v>18-30</v>
      </c>
      <c r="AL1203" t="str" cm="1">
        <f t="array" ref="AL1203">_xlfn.IFS(F1203&lt;=10,"0-10",F1203&lt;=20,"11-20",TRUE,"20+")</f>
        <v>0-10</v>
      </c>
      <c r="AM1203" t="str" cm="1">
        <f t="array" ref="AM1203">_xlfn.IFS(S1203&lt;=5000,"0-5k",S1203&lt;=10000,"5k-10k",S1203&lt;=15000,"10k-15k",TRUE,"15k+")</f>
        <v>0-5k</v>
      </c>
      <c r="AN1203" t="str" cm="1">
        <f t="array" ref="AN1203">_xlfn.IFS(AF1203&lt;=10,"0-10",AF1203&lt;=20,"10-20",AF1203&lt;=30,"20-30",TRUE,"30+")</f>
        <v>0-10</v>
      </c>
      <c r="AO1203" t="str" cm="1">
        <f t="array" ref="AO1203">_xlfn.IFS(Y1203=1,"Poor",Y1203=2,"Average",Y1203=3,"Good",TRUE,"Excellent")</f>
        <v>Good</v>
      </c>
      <c r="AP1203" t="str" cm="1">
        <f t="array" ref="AP1203">_xlfn.IFS(Q1203=1,"Low",Q1203=2,"Medium",Q1203=3,"High",TRUE,"Very High")</f>
        <v>High</v>
      </c>
    </row>
    <row r="1204" spans="1:42" x14ac:dyDescent="0.25">
      <c r="A1204">
        <v>38</v>
      </c>
      <c r="B1204" t="s">
        <v>42</v>
      </c>
      <c r="C1204" t="s">
        <v>90</v>
      </c>
      <c r="D1204">
        <v>1495</v>
      </c>
      <c r="E1204" t="s">
        <v>43</v>
      </c>
      <c r="F1204">
        <v>4</v>
      </c>
      <c r="G1204">
        <v>2</v>
      </c>
      <c r="H1204" t="s">
        <v>49</v>
      </c>
      <c r="I1204">
        <v>1</v>
      </c>
      <c r="J1204">
        <v>1687</v>
      </c>
      <c r="K1204">
        <v>4</v>
      </c>
      <c r="L1204" t="s">
        <v>38</v>
      </c>
      <c r="M1204">
        <v>87</v>
      </c>
      <c r="N1204">
        <v>3</v>
      </c>
      <c r="O1204">
        <v>1</v>
      </c>
      <c r="P1204" t="s">
        <v>48</v>
      </c>
      <c r="Q1204">
        <v>3</v>
      </c>
      <c r="R1204" t="s">
        <v>46</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c r="AJ1204">
        <f t="shared" si="18"/>
        <v>0</v>
      </c>
      <c r="AK1204" t="str" cm="1">
        <f t="array" ref="AK1204">_xlfn.IFS(A1204&lt;=30,"18-30",A1204&lt;=45,"31-45",A1204&lt;=60,"46-60",TRUE, "60+")</f>
        <v>31-45</v>
      </c>
      <c r="AL1204" t="str" cm="1">
        <f t="array" ref="AL1204">_xlfn.IFS(F1204&lt;=10,"0-10",F1204&lt;=20,"11-20",TRUE,"20+")</f>
        <v>0-10</v>
      </c>
      <c r="AM1204" t="str" cm="1">
        <f t="array" ref="AM1204">_xlfn.IFS(S1204&lt;=5000,"0-5k",S1204&lt;=10000,"5k-10k",S1204&lt;=15000,"10k-15k",TRUE,"15k+")</f>
        <v>0-5k</v>
      </c>
      <c r="AN1204" t="str" cm="1">
        <f t="array" ref="AN1204">_xlfn.IFS(AF1204&lt;=10,"0-10",AF1204&lt;=20,"10-20",AF1204&lt;=30,"20-30",TRUE,"30+")</f>
        <v>0-10</v>
      </c>
      <c r="AO1204" t="str" cm="1">
        <f t="array" ref="AO1204">_xlfn.IFS(Y1204=1,"Poor",Y1204=2,"Average",Y1204=3,"Good",TRUE,"Excellent")</f>
        <v>Good</v>
      </c>
      <c r="AP1204" t="str" cm="1">
        <f t="array" ref="AP1204">_xlfn.IFS(Q1204=1,"Low",Q1204=2,"Medium",Q1204=3,"High",TRUE,"Very High")</f>
        <v>High</v>
      </c>
    </row>
    <row r="1205" spans="1:42" x14ac:dyDescent="0.25">
      <c r="A1205">
        <v>53</v>
      </c>
      <c r="B1205" t="s">
        <v>42</v>
      </c>
      <c r="C1205" t="s">
        <v>90</v>
      </c>
      <c r="D1205">
        <v>1395</v>
      </c>
      <c r="E1205" t="s">
        <v>43</v>
      </c>
      <c r="F1205">
        <v>24</v>
      </c>
      <c r="G1205">
        <v>4</v>
      </c>
      <c r="H1205" t="s">
        <v>49</v>
      </c>
      <c r="I1205">
        <v>1</v>
      </c>
      <c r="J1205">
        <v>1689</v>
      </c>
      <c r="K1205">
        <v>2</v>
      </c>
      <c r="L1205" t="s">
        <v>44</v>
      </c>
      <c r="M1205">
        <v>48</v>
      </c>
      <c r="N1205">
        <v>4</v>
      </c>
      <c r="O1205">
        <v>3</v>
      </c>
      <c r="P1205" t="s">
        <v>52</v>
      </c>
      <c r="Q1205">
        <v>4</v>
      </c>
      <c r="R1205" t="s">
        <v>46</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c r="AJ1205">
        <f t="shared" si="18"/>
        <v>0</v>
      </c>
      <c r="AK1205" t="str" cm="1">
        <f t="array" ref="AK1205">_xlfn.IFS(A1205&lt;=30,"18-30",A1205&lt;=45,"31-45",A1205&lt;=60,"46-60",TRUE, "60+")</f>
        <v>46-60</v>
      </c>
      <c r="AL1205" t="str" cm="1">
        <f t="array" ref="AL1205">_xlfn.IFS(F1205&lt;=10,"0-10",F1205&lt;=20,"11-20",TRUE,"20+")</f>
        <v>20+</v>
      </c>
      <c r="AM1205" t="str" cm="1">
        <f t="array" ref="AM1205">_xlfn.IFS(S1205&lt;=5000,"0-5k",S1205&lt;=10000,"5k-10k",S1205&lt;=15000,"10k-15k",TRUE,"15k+")</f>
        <v>5k-10k</v>
      </c>
      <c r="AN1205" t="str" cm="1">
        <f t="array" ref="AN1205">_xlfn.IFS(AF1205&lt;=10,"0-10",AF1205&lt;=20,"10-20",AF1205&lt;=30,"20-30",TRUE,"30+")</f>
        <v>0-10</v>
      </c>
      <c r="AO1205" t="str" cm="1">
        <f t="array" ref="AO1205">_xlfn.IFS(Y1205=1,"Poor",Y1205=2,"Average",Y1205=3,"Good",TRUE,"Excellent")</f>
        <v>Good</v>
      </c>
      <c r="AP1205" t="str" cm="1">
        <f t="array" ref="AP1205">_xlfn.IFS(Q1205=1,"Low",Q1205=2,"Medium",Q1205=3,"High",TRUE,"Very High")</f>
        <v>Very High</v>
      </c>
    </row>
    <row r="1206" spans="1:42" x14ac:dyDescent="0.25">
      <c r="A1206">
        <v>48</v>
      </c>
      <c r="B1206" t="s">
        <v>35</v>
      </c>
      <c r="C1206" t="s">
        <v>91</v>
      </c>
      <c r="D1206">
        <v>708</v>
      </c>
      <c r="E1206" t="s">
        <v>36</v>
      </c>
      <c r="F1206">
        <v>7</v>
      </c>
      <c r="G1206">
        <v>2</v>
      </c>
      <c r="H1206" t="s">
        <v>49</v>
      </c>
      <c r="I1206">
        <v>1</v>
      </c>
      <c r="J1206">
        <v>1691</v>
      </c>
      <c r="K1206">
        <v>4</v>
      </c>
      <c r="L1206" t="s">
        <v>38</v>
      </c>
      <c r="M1206">
        <v>95</v>
      </c>
      <c r="N1206">
        <v>3</v>
      </c>
      <c r="O1206">
        <v>1</v>
      </c>
      <c r="P1206" t="s">
        <v>55</v>
      </c>
      <c r="Q1206">
        <v>3</v>
      </c>
      <c r="R1206" t="s">
        <v>46</v>
      </c>
      <c r="S1206">
        <v>2655</v>
      </c>
      <c r="T1206">
        <v>11740</v>
      </c>
      <c r="U1206">
        <v>2</v>
      </c>
      <c r="V1206" t="s">
        <v>41</v>
      </c>
      <c r="W1206" t="s">
        <v>35</v>
      </c>
      <c r="X1206">
        <v>11</v>
      </c>
      <c r="Y1206">
        <v>3</v>
      </c>
      <c r="Z1206">
        <v>3</v>
      </c>
      <c r="AA1206">
        <v>80</v>
      </c>
      <c r="AB1206">
        <v>2</v>
      </c>
      <c r="AC1206">
        <v>19</v>
      </c>
      <c r="AD1206">
        <v>3</v>
      </c>
      <c r="AE1206">
        <v>3</v>
      </c>
      <c r="AF1206">
        <v>9</v>
      </c>
      <c r="AG1206">
        <v>7</v>
      </c>
      <c r="AH1206">
        <v>7</v>
      </c>
      <c r="AI1206">
        <v>7</v>
      </c>
      <c r="AJ1206">
        <f t="shared" si="18"/>
        <v>1</v>
      </c>
      <c r="AK1206" t="str" cm="1">
        <f t="array" ref="AK1206">_xlfn.IFS(A1206&lt;=30,"18-30",A1206&lt;=45,"31-45",A1206&lt;=60,"46-60",TRUE, "60+")</f>
        <v>46-60</v>
      </c>
      <c r="AL1206" t="str" cm="1">
        <f t="array" ref="AL1206">_xlfn.IFS(F1206&lt;=10,"0-10",F1206&lt;=20,"11-20",TRUE,"20+")</f>
        <v>0-10</v>
      </c>
      <c r="AM1206" t="str" cm="1">
        <f t="array" ref="AM1206">_xlfn.IFS(S1206&lt;=5000,"0-5k",S1206&lt;=10000,"5k-10k",S1206&lt;=15000,"10k-15k",TRUE,"15k+")</f>
        <v>0-5k</v>
      </c>
      <c r="AN1206" t="str" cm="1">
        <f t="array" ref="AN1206">_xlfn.IFS(AF1206&lt;=10,"0-10",AF1206&lt;=20,"10-20",AF1206&lt;=30,"20-30",TRUE,"30+")</f>
        <v>0-10</v>
      </c>
      <c r="AO1206" t="str" cm="1">
        <f t="array" ref="AO1206">_xlfn.IFS(Y1206=1,"Poor",Y1206=2,"Average",Y1206=3,"Good",TRUE,"Excellent")</f>
        <v>Good</v>
      </c>
      <c r="AP1206" t="str" cm="1">
        <f t="array" ref="AP1206">_xlfn.IFS(Q1206=1,"Low",Q1206=2,"Medium",Q1206=3,"High",TRUE,"Very High")</f>
        <v>High</v>
      </c>
    </row>
    <row r="1207" spans="1:42" x14ac:dyDescent="0.25">
      <c r="A1207">
        <v>32</v>
      </c>
      <c r="B1207" t="s">
        <v>35</v>
      </c>
      <c r="C1207" t="s">
        <v>90</v>
      </c>
      <c r="D1207">
        <v>1259</v>
      </c>
      <c r="E1207" t="s">
        <v>43</v>
      </c>
      <c r="F1207">
        <v>2</v>
      </c>
      <c r="G1207">
        <v>4</v>
      </c>
      <c r="H1207" t="s">
        <v>37</v>
      </c>
      <c r="I1207">
        <v>1</v>
      </c>
      <c r="J1207">
        <v>1692</v>
      </c>
      <c r="K1207">
        <v>4</v>
      </c>
      <c r="L1207" t="s">
        <v>44</v>
      </c>
      <c r="M1207">
        <v>95</v>
      </c>
      <c r="N1207">
        <v>3</v>
      </c>
      <c r="O1207">
        <v>1</v>
      </c>
      <c r="P1207" t="s">
        <v>48</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c r="AJ1207">
        <f t="shared" si="18"/>
        <v>1</v>
      </c>
      <c r="AK1207" t="str" cm="1">
        <f t="array" ref="AK1207">_xlfn.IFS(A1207&lt;=30,"18-30",A1207&lt;=45,"31-45",A1207&lt;=60,"46-60",TRUE, "60+")</f>
        <v>31-45</v>
      </c>
      <c r="AL1207" t="str" cm="1">
        <f t="array" ref="AL1207">_xlfn.IFS(F1207&lt;=10,"0-10",F1207&lt;=20,"11-20",TRUE,"20+")</f>
        <v>0-10</v>
      </c>
      <c r="AM1207" t="str" cm="1">
        <f t="array" ref="AM1207">_xlfn.IFS(S1207&lt;=5000,"0-5k",S1207&lt;=10000,"5k-10k",S1207&lt;=15000,"10k-15k",TRUE,"15k+")</f>
        <v>0-5k</v>
      </c>
      <c r="AN1207" t="str" cm="1">
        <f t="array" ref="AN1207">_xlfn.IFS(AF1207&lt;=10,"0-10",AF1207&lt;=20,"10-20",AF1207&lt;=30,"20-30",TRUE,"30+")</f>
        <v>0-10</v>
      </c>
      <c r="AO1207" t="str" cm="1">
        <f t="array" ref="AO1207">_xlfn.IFS(Y1207=1,"Poor",Y1207=2,"Average",Y1207=3,"Good",TRUE,"Excellent")</f>
        <v>Good</v>
      </c>
      <c r="AP1207" t="str" cm="1">
        <f t="array" ref="AP1207">_xlfn.IFS(Q1207=1,"Low",Q1207=2,"Medium",Q1207=3,"High",TRUE,"Very High")</f>
        <v>Medium</v>
      </c>
    </row>
    <row r="1208" spans="1:42" x14ac:dyDescent="0.25">
      <c r="A1208">
        <v>26</v>
      </c>
      <c r="B1208" t="s">
        <v>42</v>
      </c>
      <c r="C1208" t="s">
        <v>53</v>
      </c>
      <c r="D1208">
        <v>786</v>
      </c>
      <c r="E1208" t="s">
        <v>43</v>
      </c>
      <c r="F1208">
        <v>7</v>
      </c>
      <c r="G1208">
        <v>3</v>
      </c>
      <c r="H1208" t="s">
        <v>49</v>
      </c>
      <c r="I1208">
        <v>1</v>
      </c>
      <c r="J1208">
        <v>1693</v>
      </c>
      <c r="K1208">
        <v>4</v>
      </c>
      <c r="L1208" t="s">
        <v>44</v>
      </c>
      <c r="M1208">
        <v>76</v>
      </c>
      <c r="N1208">
        <v>3</v>
      </c>
      <c r="O1208">
        <v>1</v>
      </c>
      <c r="P1208" t="s">
        <v>48</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c r="AJ1208">
        <f t="shared" si="18"/>
        <v>0</v>
      </c>
      <c r="AK1208" t="str" cm="1">
        <f t="array" ref="AK1208">_xlfn.IFS(A1208&lt;=30,"18-30",A1208&lt;=45,"31-45",A1208&lt;=60,"46-60",TRUE, "60+")</f>
        <v>18-30</v>
      </c>
      <c r="AL1208" t="str" cm="1">
        <f t="array" ref="AL1208">_xlfn.IFS(F1208&lt;=10,"0-10",F1208&lt;=20,"11-20",TRUE,"20+")</f>
        <v>0-10</v>
      </c>
      <c r="AM1208" t="str" cm="1">
        <f t="array" ref="AM1208">_xlfn.IFS(S1208&lt;=5000,"0-5k",S1208&lt;=10000,"5k-10k",S1208&lt;=15000,"10k-15k",TRUE,"15k+")</f>
        <v>0-5k</v>
      </c>
      <c r="AN1208" t="str" cm="1">
        <f t="array" ref="AN1208">_xlfn.IFS(AF1208&lt;=10,"0-10",AF1208&lt;=20,"10-20",AF1208&lt;=30,"20-30",TRUE,"30+")</f>
        <v>0-10</v>
      </c>
      <c r="AO1208" t="str" cm="1">
        <f t="array" ref="AO1208">_xlfn.IFS(Y1208=1,"Poor",Y1208=2,"Average",Y1208=3,"Good",TRUE,"Excellent")</f>
        <v>Excellent</v>
      </c>
      <c r="AP1208" t="str" cm="1">
        <f t="array" ref="AP1208">_xlfn.IFS(Q1208=1,"Low",Q1208=2,"Medium",Q1208=3,"High",TRUE,"Very High")</f>
        <v>Very High</v>
      </c>
    </row>
    <row r="1209" spans="1:42" x14ac:dyDescent="0.25">
      <c r="A1209">
        <v>55</v>
      </c>
      <c r="B1209" t="s">
        <v>42</v>
      </c>
      <c r="C1209" t="s">
        <v>90</v>
      </c>
      <c r="D1209">
        <v>1441</v>
      </c>
      <c r="E1209" t="s">
        <v>43</v>
      </c>
      <c r="F1209">
        <v>22</v>
      </c>
      <c r="G1209">
        <v>3</v>
      </c>
      <c r="H1209" t="s">
        <v>58</v>
      </c>
      <c r="I1209">
        <v>1</v>
      </c>
      <c r="J1209">
        <v>1694</v>
      </c>
      <c r="K1209">
        <v>1</v>
      </c>
      <c r="L1209" t="s">
        <v>44</v>
      </c>
      <c r="M1209">
        <v>94</v>
      </c>
      <c r="N1209">
        <v>2</v>
      </c>
      <c r="O1209">
        <v>1</v>
      </c>
      <c r="P1209" t="s">
        <v>45</v>
      </c>
      <c r="Q1209">
        <v>2</v>
      </c>
      <c r="R1209" t="s">
        <v>50</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c r="AJ1209">
        <f t="shared" si="18"/>
        <v>0</v>
      </c>
      <c r="AK1209" t="str" cm="1">
        <f t="array" ref="AK1209">_xlfn.IFS(A1209&lt;=30,"18-30",A1209&lt;=45,"31-45",A1209&lt;=60,"46-60",TRUE, "60+")</f>
        <v>46-60</v>
      </c>
      <c r="AL1209" t="str" cm="1">
        <f t="array" ref="AL1209">_xlfn.IFS(F1209&lt;=10,"0-10",F1209&lt;=20,"11-20",TRUE,"20+")</f>
        <v>20+</v>
      </c>
      <c r="AM1209" t="str" cm="1">
        <f t="array" ref="AM1209">_xlfn.IFS(S1209&lt;=5000,"0-5k",S1209&lt;=10000,"5k-10k",S1209&lt;=15000,"10k-15k",TRUE,"15k+")</f>
        <v>0-5k</v>
      </c>
      <c r="AN1209" t="str" cm="1">
        <f t="array" ref="AN1209">_xlfn.IFS(AF1209&lt;=10,"0-10",AF1209&lt;=20,"10-20",AF1209&lt;=30,"20-30",TRUE,"30+")</f>
        <v>0-10</v>
      </c>
      <c r="AO1209" t="str" cm="1">
        <f t="array" ref="AO1209">_xlfn.IFS(Y1209=1,"Poor",Y1209=2,"Average",Y1209=3,"Good",TRUE,"Excellent")</f>
        <v>Good</v>
      </c>
      <c r="AP1209" t="str" cm="1">
        <f t="array" ref="AP1209">_xlfn.IFS(Q1209=1,"Low",Q1209=2,"Medium",Q1209=3,"High",TRUE,"Very High")</f>
        <v>Medium</v>
      </c>
    </row>
    <row r="1210" spans="1:42" x14ac:dyDescent="0.25">
      <c r="A1210">
        <v>34</v>
      </c>
      <c r="B1210" t="s">
        <v>42</v>
      </c>
      <c r="C1210" t="s">
        <v>90</v>
      </c>
      <c r="D1210">
        <v>1157</v>
      </c>
      <c r="E1210" t="s">
        <v>43</v>
      </c>
      <c r="F1210">
        <v>5</v>
      </c>
      <c r="G1210">
        <v>2</v>
      </c>
      <c r="H1210" t="s">
        <v>49</v>
      </c>
      <c r="I1210">
        <v>1</v>
      </c>
      <c r="J1210">
        <v>1696</v>
      </c>
      <c r="K1210">
        <v>2</v>
      </c>
      <c r="L1210" t="s">
        <v>44</v>
      </c>
      <c r="M1210">
        <v>57</v>
      </c>
      <c r="N1210">
        <v>2</v>
      </c>
      <c r="O1210">
        <v>2</v>
      </c>
      <c r="P1210" t="s">
        <v>48</v>
      </c>
      <c r="Q1210">
        <v>4</v>
      </c>
      <c r="R1210" t="s">
        <v>46</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c r="AJ1210">
        <f t="shared" si="18"/>
        <v>0</v>
      </c>
      <c r="AK1210" t="str" cm="1">
        <f t="array" ref="AK1210">_xlfn.IFS(A1210&lt;=30,"18-30",A1210&lt;=45,"31-45",A1210&lt;=60,"46-60",TRUE, "60+")</f>
        <v>31-45</v>
      </c>
      <c r="AL1210" t="str" cm="1">
        <f t="array" ref="AL1210">_xlfn.IFS(F1210&lt;=10,"0-10",F1210&lt;=20,"11-20",TRUE,"20+")</f>
        <v>0-10</v>
      </c>
      <c r="AM1210" t="str" cm="1">
        <f t="array" ref="AM1210">_xlfn.IFS(S1210&lt;=5000,"0-5k",S1210&lt;=10000,"5k-10k",S1210&lt;=15000,"10k-15k",TRUE,"15k+")</f>
        <v>0-5k</v>
      </c>
      <c r="AN1210" t="str" cm="1">
        <f t="array" ref="AN1210">_xlfn.IFS(AF1210&lt;=10,"0-10",AF1210&lt;=20,"10-20",AF1210&lt;=30,"20-30",TRUE,"30+")</f>
        <v>10-20</v>
      </c>
      <c r="AO1210" t="str" cm="1">
        <f t="array" ref="AO1210">_xlfn.IFS(Y1210=1,"Poor",Y1210=2,"Average",Y1210=3,"Good",TRUE,"Excellent")</f>
        <v>Good</v>
      </c>
      <c r="AP1210" t="str" cm="1">
        <f t="array" ref="AP1210">_xlfn.IFS(Q1210=1,"Low",Q1210=2,"Medium",Q1210=3,"High",TRUE,"Very High")</f>
        <v>Very High</v>
      </c>
    </row>
    <row r="1211" spans="1:42" x14ac:dyDescent="0.25">
      <c r="A1211">
        <v>60</v>
      </c>
      <c r="B1211" t="s">
        <v>42</v>
      </c>
      <c r="C1211" t="s">
        <v>90</v>
      </c>
      <c r="D1211">
        <v>370</v>
      </c>
      <c r="E1211" t="s">
        <v>43</v>
      </c>
      <c r="F1211">
        <v>1</v>
      </c>
      <c r="G1211">
        <v>4</v>
      </c>
      <c r="H1211" t="s">
        <v>49</v>
      </c>
      <c r="I1211">
        <v>1</v>
      </c>
      <c r="J1211">
        <v>1697</v>
      </c>
      <c r="K1211">
        <v>3</v>
      </c>
      <c r="L1211" t="s">
        <v>44</v>
      </c>
      <c r="M1211">
        <v>92</v>
      </c>
      <c r="N1211">
        <v>1</v>
      </c>
      <c r="O1211">
        <v>3</v>
      </c>
      <c r="P1211" t="s">
        <v>52</v>
      </c>
      <c r="Q1211">
        <v>4</v>
      </c>
      <c r="R1211" t="s">
        <v>50</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c r="AJ1211">
        <f t="shared" si="18"/>
        <v>0</v>
      </c>
      <c r="AK1211" t="str" cm="1">
        <f t="array" ref="AK1211">_xlfn.IFS(A1211&lt;=30,"18-30",A1211&lt;=45,"31-45",A1211&lt;=60,"46-60",TRUE, "60+")</f>
        <v>46-60</v>
      </c>
      <c r="AL1211" t="str" cm="1">
        <f t="array" ref="AL1211">_xlfn.IFS(F1211&lt;=10,"0-10",F1211&lt;=20,"11-20",TRUE,"20+")</f>
        <v>0-10</v>
      </c>
      <c r="AM1211" t="str" cm="1">
        <f t="array" ref="AM1211">_xlfn.IFS(S1211&lt;=5000,"0-5k",S1211&lt;=10000,"5k-10k",S1211&lt;=15000,"10k-15k",TRUE,"15k+")</f>
        <v>10k-15k</v>
      </c>
      <c r="AN1211" t="str" cm="1">
        <f t="array" ref="AN1211">_xlfn.IFS(AF1211&lt;=10,"0-10",AF1211&lt;=20,"10-20",AF1211&lt;=30,"20-30",TRUE,"30+")</f>
        <v>0-10</v>
      </c>
      <c r="AO1211" t="str" cm="1">
        <f t="array" ref="AO1211">_xlfn.IFS(Y1211=1,"Poor",Y1211=2,"Average",Y1211=3,"Good",TRUE,"Excellent")</f>
        <v>Excellent</v>
      </c>
      <c r="AP1211" t="str" cm="1">
        <f t="array" ref="AP1211">_xlfn.IFS(Q1211=1,"Low",Q1211=2,"Medium",Q1211=3,"High",TRUE,"Very High")</f>
        <v>Very High</v>
      </c>
    </row>
    <row r="1212" spans="1:42" x14ac:dyDescent="0.25">
      <c r="A1212">
        <v>33</v>
      </c>
      <c r="B1212" t="s">
        <v>42</v>
      </c>
      <c r="C1212" t="s">
        <v>90</v>
      </c>
      <c r="D1212">
        <v>267</v>
      </c>
      <c r="E1212" t="s">
        <v>43</v>
      </c>
      <c r="F1212">
        <v>21</v>
      </c>
      <c r="G1212">
        <v>3</v>
      </c>
      <c r="H1212" t="s">
        <v>49</v>
      </c>
      <c r="I1212">
        <v>1</v>
      </c>
      <c r="J1212">
        <v>1698</v>
      </c>
      <c r="K1212">
        <v>2</v>
      </c>
      <c r="L1212" t="s">
        <v>44</v>
      </c>
      <c r="M1212">
        <v>79</v>
      </c>
      <c r="N1212">
        <v>4</v>
      </c>
      <c r="O1212">
        <v>1</v>
      </c>
      <c r="P1212" t="s">
        <v>48</v>
      </c>
      <c r="Q1212">
        <v>2</v>
      </c>
      <c r="R1212" t="s">
        <v>46</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c r="AJ1212">
        <f t="shared" si="18"/>
        <v>0</v>
      </c>
      <c r="AK1212" t="str" cm="1">
        <f t="array" ref="AK1212">_xlfn.IFS(A1212&lt;=30,"18-30",A1212&lt;=45,"31-45",A1212&lt;=60,"46-60",TRUE, "60+")</f>
        <v>31-45</v>
      </c>
      <c r="AL1212" t="str" cm="1">
        <f t="array" ref="AL1212">_xlfn.IFS(F1212&lt;=10,"0-10",F1212&lt;=20,"11-20",TRUE,"20+")</f>
        <v>20+</v>
      </c>
      <c r="AM1212" t="str" cm="1">
        <f t="array" ref="AM1212">_xlfn.IFS(S1212&lt;=5000,"0-5k",S1212&lt;=10000,"5k-10k",S1212&lt;=15000,"10k-15k",TRUE,"15k+")</f>
        <v>0-5k</v>
      </c>
      <c r="AN1212" t="str" cm="1">
        <f t="array" ref="AN1212">_xlfn.IFS(AF1212&lt;=10,"0-10",AF1212&lt;=20,"10-20",AF1212&lt;=30,"20-30",TRUE,"30+")</f>
        <v>10-20</v>
      </c>
      <c r="AO1212" t="str" cm="1">
        <f t="array" ref="AO1212">_xlfn.IFS(Y1212=1,"Poor",Y1212=2,"Average",Y1212=3,"Good",TRUE,"Excellent")</f>
        <v>Good</v>
      </c>
      <c r="AP1212" t="str" cm="1">
        <f t="array" ref="AP1212">_xlfn.IFS(Q1212=1,"Low",Q1212=2,"Medium",Q1212=3,"High",TRUE,"Very High")</f>
        <v>Medium</v>
      </c>
    </row>
    <row r="1213" spans="1:42" x14ac:dyDescent="0.25">
      <c r="A1213">
        <v>37</v>
      </c>
      <c r="B1213" t="s">
        <v>42</v>
      </c>
      <c r="C1213" t="s">
        <v>91</v>
      </c>
      <c r="D1213">
        <v>1278</v>
      </c>
      <c r="E1213" t="s">
        <v>36</v>
      </c>
      <c r="F1213">
        <v>1</v>
      </c>
      <c r="G1213">
        <v>4</v>
      </c>
      <c r="H1213" t="s">
        <v>49</v>
      </c>
      <c r="I1213">
        <v>1</v>
      </c>
      <c r="J1213">
        <v>1700</v>
      </c>
      <c r="K1213">
        <v>3</v>
      </c>
      <c r="L1213" t="s">
        <v>44</v>
      </c>
      <c r="M1213">
        <v>31</v>
      </c>
      <c r="N1213">
        <v>1</v>
      </c>
      <c r="O1213">
        <v>2</v>
      </c>
      <c r="P1213" t="s">
        <v>39</v>
      </c>
      <c r="Q1213">
        <v>4</v>
      </c>
      <c r="R1213" t="s">
        <v>50</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c r="AJ1213">
        <f t="shared" si="18"/>
        <v>0</v>
      </c>
      <c r="AK1213" t="str" cm="1">
        <f t="array" ref="AK1213">_xlfn.IFS(A1213&lt;=30,"18-30",A1213&lt;=45,"31-45",A1213&lt;=60,"46-60",TRUE, "60+")</f>
        <v>31-45</v>
      </c>
      <c r="AL1213" t="str" cm="1">
        <f t="array" ref="AL1213">_xlfn.IFS(F1213&lt;=10,"0-10",F1213&lt;=20,"11-20",TRUE,"20+")</f>
        <v>0-10</v>
      </c>
      <c r="AM1213" t="str" cm="1">
        <f t="array" ref="AM1213">_xlfn.IFS(S1213&lt;=5000,"0-5k",S1213&lt;=10000,"5k-10k",S1213&lt;=15000,"10k-15k",TRUE,"15k+")</f>
        <v>5k-10k</v>
      </c>
      <c r="AN1213" t="str" cm="1">
        <f t="array" ref="AN1213">_xlfn.IFS(AF1213&lt;=10,"0-10",AF1213&lt;=20,"10-20",AF1213&lt;=30,"20-30",TRUE,"30+")</f>
        <v>0-10</v>
      </c>
      <c r="AO1213" t="str" cm="1">
        <f t="array" ref="AO1213">_xlfn.IFS(Y1213=1,"Poor",Y1213=2,"Average",Y1213=3,"Good",TRUE,"Excellent")</f>
        <v>Good</v>
      </c>
      <c r="AP1213" t="str" cm="1">
        <f t="array" ref="AP1213">_xlfn.IFS(Q1213=1,"Low",Q1213=2,"Medium",Q1213=3,"High",TRUE,"Very High")</f>
        <v>Very High</v>
      </c>
    </row>
    <row r="1214" spans="1:42" x14ac:dyDescent="0.25">
      <c r="A1214">
        <v>34</v>
      </c>
      <c r="B1214" t="s">
        <v>42</v>
      </c>
      <c r="C1214" t="s">
        <v>90</v>
      </c>
      <c r="D1214">
        <v>678</v>
      </c>
      <c r="E1214" t="s">
        <v>43</v>
      </c>
      <c r="F1214">
        <v>19</v>
      </c>
      <c r="G1214">
        <v>3</v>
      </c>
      <c r="H1214" t="s">
        <v>37</v>
      </c>
      <c r="I1214">
        <v>1</v>
      </c>
      <c r="J1214">
        <v>1701</v>
      </c>
      <c r="K1214">
        <v>2</v>
      </c>
      <c r="L1214" t="s">
        <v>38</v>
      </c>
      <c r="M1214">
        <v>35</v>
      </c>
      <c r="N1214">
        <v>2</v>
      </c>
      <c r="O1214">
        <v>1</v>
      </c>
      <c r="P1214" t="s">
        <v>45</v>
      </c>
      <c r="Q1214">
        <v>4</v>
      </c>
      <c r="R1214" t="s">
        <v>46</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c r="AJ1214">
        <f t="shared" si="18"/>
        <v>0</v>
      </c>
      <c r="AK1214" t="str" cm="1">
        <f t="array" ref="AK1214">_xlfn.IFS(A1214&lt;=30,"18-30",A1214&lt;=45,"31-45",A1214&lt;=60,"46-60",TRUE, "60+")</f>
        <v>31-45</v>
      </c>
      <c r="AL1214" t="str" cm="1">
        <f t="array" ref="AL1214">_xlfn.IFS(F1214&lt;=10,"0-10",F1214&lt;=20,"11-20",TRUE,"20+")</f>
        <v>11-20</v>
      </c>
      <c r="AM1214" t="str" cm="1">
        <f t="array" ref="AM1214">_xlfn.IFS(S1214&lt;=5000,"0-5k",S1214&lt;=10000,"5k-10k",S1214&lt;=15000,"10k-15k",TRUE,"15k+")</f>
        <v>0-5k</v>
      </c>
      <c r="AN1214" t="str" cm="1">
        <f t="array" ref="AN1214">_xlfn.IFS(AF1214&lt;=10,"0-10",AF1214&lt;=20,"10-20",AF1214&lt;=30,"20-30",TRUE,"30+")</f>
        <v>0-10</v>
      </c>
      <c r="AO1214" t="str" cm="1">
        <f t="array" ref="AO1214">_xlfn.IFS(Y1214=1,"Poor",Y1214=2,"Average",Y1214=3,"Good",TRUE,"Excellent")</f>
        <v>Good</v>
      </c>
      <c r="AP1214" t="str" cm="1">
        <f t="array" ref="AP1214">_xlfn.IFS(Q1214=1,"Low",Q1214=2,"Medium",Q1214=3,"High",TRUE,"Very High")</f>
        <v>Very High</v>
      </c>
    </row>
    <row r="1215" spans="1:42" x14ac:dyDescent="0.25">
      <c r="A1215">
        <v>23</v>
      </c>
      <c r="B1215" t="s">
        <v>35</v>
      </c>
      <c r="C1215" t="s">
        <v>90</v>
      </c>
      <c r="D1215">
        <v>427</v>
      </c>
      <c r="E1215" t="s">
        <v>36</v>
      </c>
      <c r="F1215">
        <v>7</v>
      </c>
      <c r="G1215">
        <v>3</v>
      </c>
      <c r="H1215" t="s">
        <v>37</v>
      </c>
      <c r="I1215">
        <v>1</v>
      </c>
      <c r="J1215">
        <v>1702</v>
      </c>
      <c r="K1215">
        <v>3</v>
      </c>
      <c r="L1215" t="s">
        <v>44</v>
      </c>
      <c r="M1215">
        <v>99</v>
      </c>
      <c r="N1215">
        <v>3</v>
      </c>
      <c r="O1215">
        <v>1</v>
      </c>
      <c r="P1215" t="s">
        <v>55</v>
      </c>
      <c r="Q1215">
        <v>4</v>
      </c>
      <c r="R1215" t="s">
        <v>50</v>
      </c>
      <c r="S1215">
        <v>2275</v>
      </c>
      <c r="T1215">
        <v>25103</v>
      </c>
      <c r="U1215">
        <v>1</v>
      </c>
      <c r="V1215" t="s">
        <v>41</v>
      </c>
      <c r="W1215" t="s">
        <v>35</v>
      </c>
      <c r="X1215">
        <v>21</v>
      </c>
      <c r="Y1215">
        <v>4</v>
      </c>
      <c r="Z1215">
        <v>2</v>
      </c>
      <c r="AA1215">
        <v>80</v>
      </c>
      <c r="AB1215">
        <v>1</v>
      </c>
      <c r="AC1215">
        <v>3</v>
      </c>
      <c r="AD1215">
        <v>2</v>
      </c>
      <c r="AE1215">
        <v>3</v>
      </c>
      <c r="AF1215">
        <v>3</v>
      </c>
      <c r="AG1215">
        <v>2</v>
      </c>
      <c r="AH1215">
        <v>0</v>
      </c>
      <c r="AI1215">
        <v>2</v>
      </c>
      <c r="AJ1215">
        <f t="shared" si="18"/>
        <v>1</v>
      </c>
      <c r="AK1215" t="str" cm="1">
        <f t="array" ref="AK1215">_xlfn.IFS(A1215&lt;=30,"18-30",A1215&lt;=45,"31-45",A1215&lt;=60,"46-60",TRUE, "60+")</f>
        <v>18-30</v>
      </c>
      <c r="AL1215" t="str" cm="1">
        <f t="array" ref="AL1215">_xlfn.IFS(F1215&lt;=10,"0-10",F1215&lt;=20,"11-20",TRUE,"20+")</f>
        <v>0-10</v>
      </c>
      <c r="AM1215" t="str" cm="1">
        <f t="array" ref="AM1215">_xlfn.IFS(S1215&lt;=5000,"0-5k",S1215&lt;=10000,"5k-10k",S1215&lt;=15000,"10k-15k",TRUE,"15k+")</f>
        <v>0-5k</v>
      </c>
      <c r="AN1215" t="str" cm="1">
        <f t="array" ref="AN1215">_xlfn.IFS(AF1215&lt;=10,"0-10",AF1215&lt;=20,"10-20",AF1215&lt;=30,"20-30",TRUE,"30+")</f>
        <v>0-10</v>
      </c>
      <c r="AO1215" t="str" cm="1">
        <f t="array" ref="AO1215">_xlfn.IFS(Y1215=1,"Poor",Y1215=2,"Average",Y1215=3,"Good",TRUE,"Excellent")</f>
        <v>Excellent</v>
      </c>
      <c r="AP1215" t="str" cm="1">
        <f t="array" ref="AP1215">_xlfn.IFS(Q1215=1,"Low",Q1215=2,"Medium",Q1215=3,"High",TRUE,"Very High")</f>
        <v>Very High</v>
      </c>
    </row>
    <row r="1216" spans="1:42" x14ac:dyDescent="0.25">
      <c r="A1216">
        <v>44</v>
      </c>
      <c r="B1216" t="s">
        <v>42</v>
      </c>
      <c r="C1216" t="s">
        <v>90</v>
      </c>
      <c r="D1216">
        <v>921</v>
      </c>
      <c r="E1216" t="s">
        <v>43</v>
      </c>
      <c r="F1216">
        <v>2</v>
      </c>
      <c r="G1216">
        <v>3</v>
      </c>
      <c r="H1216" t="s">
        <v>37</v>
      </c>
      <c r="I1216">
        <v>1</v>
      </c>
      <c r="J1216">
        <v>1703</v>
      </c>
      <c r="K1216">
        <v>3</v>
      </c>
      <c r="L1216" t="s">
        <v>38</v>
      </c>
      <c r="M1216">
        <v>96</v>
      </c>
      <c r="N1216">
        <v>4</v>
      </c>
      <c r="O1216">
        <v>3</v>
      </c>
      <c r="P1216" t="s">
        <v>52</v>
      </c>
      <c r="Q1216">
        <v>4</v>
      </c>
      <c r="R1216" t="s">
        <v>46</v>
      </c>
      <c r="S1216">
        <v>7879</v>
      </c>
      <c r="T1216">
        <v>14810</v>
      </c>
      <c r="U1216">
        <v>1</v>
      </c>
      <c r="V1216" t="s">
        <v>41</v>
      </c>
      <c r="W1216" t="s">
        <v>35</v>
      </c>
      <c r="X1216">
        <v>19</v>
      </c>
      <c r="Y1216">
        <v>3</v>
      </c>
      <c r="Z1216">
        <v>2</v>
      </c>
      <c r="AA1216">
        <v>80</v>
      </c>
      <c r="AB1216">
        <v>1</v>
      </c>
      <c r="AC1216">
        <v>9</v>
      </c>
      <c r="AD1216">
        <v>2</v>
      </c>
      <c r="AE1216">
        <v>3</v>
      </c>
      <c r="AF1216">
        <v>8</v>
      </c>
      <c r="AG1216">
        <v>7</v>
      </c>
      <c r="AH1216">
        <v>6</v>
      </c>
      <c r="AI1216">
        <v>7</v>
      </c>
      <c r="AJ1216">
        <f t="shared" si="18"/>
        <v>0</v>
      </c>
      <c r="AK1216" t="str" cm="1">
        <f t="array" ref="AK1216">_xlfn.IFS(A1216&lt;=30,"18-30",A1216&lt;=45,"31-45",A1216&lt;=60,"46-60",TRUE, "60+")</f>
        <v>31-45</v>
      </c>
      <c r="AL1216" t="str" cm="1">
        <f t="array" ref="AL1216">_xlfn.IFS(F1216&lt;=10,"0-10",F1216&lt;=20,"11-20",TRUE,"20+")</f>
        <v>0-10</v>
      </c>
      <c r="AM1216" t="str" cm="1">
        <f t="array" ref="AM1216">_xlfn.IFS(S1216&lt;=5000,"0-5k",S1216&lt;=10000,"5k-10k",S1216&lt;=15000,"10k-15k",TRUE,"15k+")</f>
        <v>5k-10k</v>
      </c>
      <c r="AN1216" t="str" cm="1">
        <f t="array" ref="AN1216">_xlfn.IFS(AF1216&lt;=10,"0-10",AF1216&lt;=20,"10-20",AF1216&lt;=30,"20-30",TRUE,"30+")</f>
        <v>0-10</v>
      </c>
      <c r="AO1216" t="str" cm="1">
        <f t="array" ref="AO1216">_xlfn.IFS(Y1216=1,"Poor",Y1216=2,"Average",Y1216=3,"Good",TRUE,"Excellent")</f>
        <v>Good</v>
      </c>
      <c r="AP1216" t="str" cm="1">
        <f t="array" ref="AP1216">_xlfn.IFS(Q1216=1,"Low",Q1216=2,"Medium",Q1216=3,"High",TRUE,"Very High")</f>
        <v>Very High</v>
      </c>
    </row>
    <row r="1217" spans="1:42" x14ac:dyDescent="0.25">
      <c r="A1217">
        <v>35</v>
      </c>
      <c r="B1217" t="s">
        <v>42</v>
      </c>
      <c r="C1217" t="s">
        <v>91</v>
      </c>
      <c r="D1217">
        <v>146</v>
      </c>
      <c r="E1217" t="s">
        <v>43</v>
      </c>
      <c r="F1217">
        <v>2</v>
      </c>
      <c r="G1217">
        <v>4</v>
      </c>
      <c r="H1217" t="s">
        <v>49</v>
      </c>
      <c r="I1217">
        <v>1</v>
      </c>
      <c r="J1217">
        <v>1704</v>
      </c>
      <c r="K1217">
        <v>1</v>
      </c>
      <c r="L1217" t="s">
        <v>44</v>
      </c>
      <c r="M1217">
        <v>79</v>
      </c>
      <c r="N1217">
        <v>2</v>
      </c>
      <c r="O1217">
        <v>1</v>
      </c>
      <c r="P1217" t="s">
        <v>45</v>
      </c>
      <c r="Q1217">
        <v>4</v>
      </c>
      <c r="R1217" t="s">
        <v>40</v>
      </c>
      <c r="S1217">
        <v>4930</v>
      </c>
      <c r="T1217">
        <v>13970</v>
      </c>
      <c r="U1217">
        <v>0</v>
      </c>
      <c r="V1217" t="s">
        <v>41</v>
      </c>
      <c r="W1217" t="s">
        <v>35</v>
      </c>
      <c r="X1217">
        <v>14</v>
      </c>
      <c r="Y1217">
        <v>3</v>
      </c>
      <c r="Z1217">
        <v>3</v>
      </c>
      <c r="AA1217">
        <v>80</v>
      </c>
      <c r="AB1217">
        <v>0</v>
      </c>
      <c r="AC1217">
        <v>6</v>
      </c>
      <c r="AD1217">
        <v>2</v>
      </c>
      <c r="AE1217">
        <v>4</v>
      </c>
      <c r="AF1217">
        <v>5</v>
      </c>
      <c r="AG1217">
        <v>4</v>
      </c>
      <c r="AH1217">
        <v>1</v>
      </c>
      <c r="AI1217">
        <v>4</v>
      </c>
      <c r="AJ1217">
        <f t="shared" si="18"/>
        <v>0</v>
      </c>
      <c r="AK1217" t="str" cm="1">
        <f t="array" ref="AK1217">_xlfn.IFS(A1217&lt;=30,"18-30",A1217&lt;=45,"31-45",A1217&lt;=60,"46-60",TRUE, "60+")</f>
        <v>31-45</v>
      </c>
      <c r="AL1217" t="str" cm="1">
        <f t="array" ref="AL1217">_xlfn.IFS(F1217&lt;=10,"0-10",F1217&lt;=20,"11-20",TRUE,"20+")</f>
        <v>0-10</v>
      </c>
      <c r="AM1217" t="str" cm="1">
        <f t="array" ref="AM1217">_xlfn.IFS(S1217&lt;=5000,"0-5k",S1217&lt;=10000,"5k-10k",S1217&lt;=15000,"10k-15k",TRUE,"15k+")</f>
        <v>0-5k</v>
      </c>
      <c r="AN1217" t="str" cm="1">
        <f t="array" ref="AN1217">_xlfn.IFS(AF1217&lt;=10,"0-10",AF1217&lt;=20,"10-20",AF1217&lt;=30,"20-30",TRUE,"30+")</f>
        <v>0-10</v>
      </c>
      <c r="AO1217" t="str" cm="1">
        <f t="array" ref="AO1217">_xlfn.IFS(Y1217=1,"Poor",Y1217=2,"Average",Y1217=3,"Good",TRUE,"Excellent")</f>
        <v>Good</v>
      </c>
      <c r="AP1217" t="str" cm="1">
        <f t="array" ref="AP1217">_xlfn.IFS(Q1217=1,"Low",Q1217=2,"Medium",Q1217=3,"High",TRUE,"Very High")</f>
        <v>Very High</v>
      </c>
    </row>
    <row r="1218" spans="1:42" x14ac:dyDescent="0.25">
      <c r="A1218">
        <v>43</v>
      </c>
      <c r="B1218" t="s">
        <v>42</v>
      </c>
      <c r="C1218" t="s">
        <v>90</v>
      </c>
      <c r="D1218">
        <v>1179</v>
      </c>
      <c r="E1218" t="s">
        <v>36</v>
      </c>
      <c r="F1218">
        <v>2</v>
      </c>
      <c r="G1218">
        <v>3</v>
      </c>
      <c r="H1218" t="s">
        <v>49</v>
      </c>
      <c r="I1218">
        <v>1</v>
      </c>
      <c r="J1218">
        <v>1706</v>
      </c>
      <c r="K1218">
        <v>4</v>
      </c>
      <c r="L1218" t="s">
        <v>44</v>
      </c>
      <c r="M1218">
        <v>73</v>
      </c>
      <c r="N1218">
        <v>3</v>
      </c>
      <c r="O1218">
        <v>2</v>
      </c>
      <c r="P1218" t="s">
        <v>39</v>
      </c>
      <c r="Q1218">
        <v>4</v>
      </c>
      <c r="R1218" t="s">
        <v>46</v>
      </c>
      <c r="S1218">
        <v>7847</v>
      </c>
      <c r="T1218">
        <v>6069</v>
      </c>
      <c r="U1218">
        <v>1</v>
      </c>
      <c r="V1218" t="s">
        <v>41</v>
      </c>
      <c r="W1218" t="s">
        <v>35</v>
      </c>
      <c r="X1218">
        <v>17</v>
      </c>
      <c r="Y1218">
        <v>3</v>
      </c>
      <c r="Z1218">
        <v>1</v>
      </c>
      <c r="AA1218">
        <v>80</v>
      </c>
      <c r="AB1218">
        <v>1</v>
      </c>
      <c r="AC1218">
        <v>10</v>
      </c>
      <c r="AD1218">
        <v>3</v>
      </c>
      <c r="AE1218">
        <v>3</v>
      </c>
      <c r="AF1218">
        <v>10</v>
      </c>
      <c r="AG1218">
        <v>9</v>
      </c>
      <c r="AH1218">
        <v>8</v>
      </c>
      <c r="AI1218">
        <v>8</v>
      </c>
      <c r="AJ1218">
        <f t="shared" ref="AJ1218:AJ1281" si="19">IF(B1218="yes",1,0)</f>
        <v>0</v>
      </c>
      <c r="AK1218" t="str" cm="1">
        <f t="array" ref="AK1218">_xlfn.IFS(A1218&lt;=30,"18-30",A1218&lt;=45,"31-45",A1218&lt;=60,"46-60",TRUE, "60+")</f>
        <v>31-45</v>
      </c>
      <c r="AL1218" t="str" cm="1">
        <f t="array" ref="AL1218">_xlfn.IFS(F1218&lt;=10,"0-10",F1218&lt;=20,"11-20",TRUE,"20+")</f>
        <v>0-10</v>
      </c>
      <c r="AM1218" t="str" cm="1">
        <f t="array" ref="AM1218">_xlfn.IFS(S1218&lt;=5000,"0-5k",S1218&lt;=10000,"5k-10k",S1218&lt;=15000,"10k-15k",TRUE,"15k+")</f>
        <v>5k-10k</v>
      </c>
      <c r="AN1218" t="str" cm="1">
        <f t="array" ref="AN1218">_xlfn.IFS(AF1218&lt;=10,"0-10",AF1218&lt;=20,"10-20",AF1218&lt;=30,"20-30",TRUE,"30+")</f>
        <v>0-10</v>
      </c>
      <c r="AO1218" t="str" cm="1">
        <f t="array" ref="AO1218">_xlfn.IFS(Y1218=1,"Poor",Y1218=2,"Average",Y1218=3,"Good",TRUE,"Excellent")</f>
        <v>Good</v>
      </c>
      <c r="AP1218" t="str" cm="1">
        <f t="array" ref="AP1218">_xlfn.IFS(Q1218=1,"Low",Q1218=2,"Medium",Q1218=3,"High",TRUE,"Very High")</f>
        <v>Very High</v>
      </c>
    </row>
    <row r="1219" spans="1:42" x14ac:dyDescent="0.25">
      <c r="A1219">
        <v>24</v>
      </c>
      <c r="B1219" t="s">
        <v>42</v>
      </c>
      <c r="C1219" t="s">
        <v>90</v>
      </c>
      <c r="D1219">
        <v>581</v>
      </c>
      <c r="E1219" t="s">
        <v>43</v>
      </c>
      <c r="F1219">
        <v>9</v>
      </c>
      <c r="G1219">
        <v>3</v>
      </c>
      <c r="H1219" t="s">
        <v>49</v>
      </c>
      <c r="I1219">
        <v>1</v>
      </c>
      <c r="J1219">
        <v>1707</v>
      </c>
      <c r="K1219">
        <v>3</v>
      </c>
      <c r="L1219" t="s">
        <v>44</v>
      </c>
      <c r="M1219">
        <v>62</v>
      </c>
      <c r="N1219">
        <v>4</v>
      </c>
      <c r="O1219">
        <v>1</v>
      </c>
      <c r="P1219" t="s">
        <v>45</v>
      </c>
      <c r="Q1219">
        <v>3</v>
      </c>
      <c r="R1219" t="s">
        <v>46</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c r="AJ1219">
        <f t="shared" si="19"/>
        <v>0</v>
      </c>
      <c r="AK1219" t="str" cm="1">
        <f t="array" ref="AK1219">_xlfn.IFS(A1219&lt;=30,"18-30",A1219&lt;=45,"31-45",A1219&lt;=60,"46-60",TRUE, "60+")</f>
        <v>18-30</v>
      </c>
      <c r="AL1219" t="str" cm="1">
        <f t="array" ref="AL1219">_xlfn.IFS(F1219&lt;=10,"0-10",F1219&lt;=20,"11-20",TRUE,"20+")</f>
        <v>0-10</v>
      </c>
      <c r="AM1219" t="str" cm="1">
        <f t="array" ref="AM1219">_xlfn.IFS(S1219&lt;=5000,"0-5k",S1219&lt;=10000,"5k-10k",S1219&lt;=15000,"10k-15k",TRUE,"15k+")</f>
        <v>0-5k</v>
      </c>
      <c r="AN1219" t="str" cm="1">
        <f t="array" ref="AN1219">_xlfn.IFS(AF1219&lt;=10,"0-10",AF1219&lt;=20,"10-20",AF1219&lt;=30,"20-30",TRUE,"30+")</f>
        <v>0-10</v>
      </c>
      <c r="AO1219" t="str" cm="1">
        <f t="array" ref="AO1219">_xlfn.IFS(Y1219=1,"Poor",Y1219=2,"Average",Y1219=3,"Good",TRUE,"Excellent")</f>
        <v>Good</v>
      </c>
      <c r="AP1219" t="str" cm="1">
        <f t="array" ref="AP1219">_xlfn.IFS(Q1219=1,"Low",Q1219=2,"Medium",Q1219=3,"High",TRUE,"Very High")</f>
        <v>High</v>
      </c>
    </row>
    <row r="1220" spans="1:42" x14ac:dyDescent="0.25">
      <c r="A1220">
        <v>41</v>
      </c>
      <c r="B1220" t="s">
        <v>42</v>
      </c>
      <c r="C1220" t="s">
        <v>90</v>
      </c>
      <c r="D1220">
        <v>918</v>
      </c>
      <c r="E1220" t="s">
        <v>36</v>
      </c>
      <c r="F1220">
        <v>6</v>
      </c>
      <c r="G1220">
        <v>3</v>
      </c>
      <c r="H1220" t="s">
        <v>57</v>
      </c>
      <c r="I1220">
        <v>1</v>
      </c>
      <c r="J1220">
        <v>1708</v>
      </c>
      <c r="K1220">
        <v>4</v>
      </c>
      <c r="L1220" t="s">
        <v>44</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c r="AJ1220">
        <f t="shared" si="19"/>
        <v>0</v>
      </c>
      <c r="AK1220" t="str" cm="1">
        <f t="array" ref="AK1220">_xlfn.IFS(A1220&lt;=30,"18-30",A1220&lt;=45,"31-45",A1220&lt;=60,"46-60",TRUE, "60+")</f>
        <v>31-45</v>
      </c>
      <c r="AL1220" t="str" cm="1">
        <f t="array" ref="AL1220">_xlfn.IFS(F1220&lt;=10,"0-10",F1220&lt;=20,"11-20",TRUE,"20+")</f>
        <v>0-10</v>
      </c>
      <c r="AM1220" t="str" cm="1">
        <f t="array" ref="AM1220">_xlfn.IFS(S1220&lt;=5000,"0-5k",S1220&lt;=10000,"5k-10k",S1220&lt;=15000,"10k-15k",TRUE,"15k+")</f>
        <v>5k-10k</v>
      </c>
      <c r="AN1220" t="str" cm="1">
        <f t="array" ref="AN1220">_xlfn.IFS(AF1220&lt;=10,"0-10",AF1220&lt;=20,"10-20",AF1220&lt;=30,"20-30",TRUE,"30+")</f>
        <v>0-10</v>
      </c>
      <c r="AO1220" t="str" cm="1">
        <f t="array" ref="AO1220">_xlfn.IFS(Y1220=1,"Poor",Y1220=2,"Average",Y1220=3,"Good",TRUE,"Excellent")</f>
        <v>Good</v>
      </c>
      <c r="AP1220" t="str" cm="1">
        <f t="array" ref="AP1220">_xlfn.IFS(Q1220=1,"Low",Q1220=2,"Medium",Q1220=3,"High",TRUE,"Very High")</f>
        <v>High</v>
      </c>
    </row>
    <row r="1221" spans="1:42" x14ac:dyDescent="0.25">
      <c r="A1221">
        <v>29</v>
      </c>
      <c r="B1221" t="s">
        <v>42</v>
      </c>
      <c r="C1221" t="s">
        <v>90</v>
      </c>
      <c r="D1221">
        <v>1082</v>
      </c>
      <c r="E1221" t="s">
        <v>43</v>
      </c>
      <c r="F1221">
        <v>9</v>
      </c>
      <c r="G1221">
        <v>4</v>
      </c>
      <c r="H1221" t="s">
        <v>49</v>
      </c>
      <c r="I1221">
        <v>1</v>
      </c>
      <c r="J1221">
        <v>1709</v>
      </c>
      <c r="K1221">
        <v>4</v>
      </c>
      <c r="L1221" t="s">
        <v>38</v>
      </c>
      <c r="M1221">
        <v>43</v>
      </c>
      <c r="N1221">
        <v>3</v>
      </c>
      <c r="O1221">
        <v>1</v>
      </c>
      <c r="P1221" t="s">
        <v>48</v>
      </c>
      <c r="Q1221">
        <v>3</v>
      </c>
      <c r="R1221" t="s">
        <v>46</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c r="AJ1221">
        <f t="shared" si="19"/>
        <v>0</v>
      </c>
      <c r="AK1221" t="str" cm="1">
        <f t="array" ref="AK1221">_xlfn.IFS(A1221&lt;=30,"18-30",A1221&lt;=45,"31-45",A1221&lt;=60,"46-60",TRUE, "60+")</f>
        <v>18-30</v>
      </c>
      <c r="AL1221" t="str" cm="1">
        <f t="array" ref="AL1221">_xlfn.IFS(F1221&lt;=10,"0-10",F1221&lt;=20,"11-20",TRUE,"20+")</f>
        <v>0-10</v>
      </c>
      <c r="AM1221" t="str" cm="1">
        <f t="array" ref="AM1221">_xlfn.IFS(S1221&lt;=5000,"0-5k",S1221&lt;=10000,"5k-10k",S1221&lt;=15000,"10k-15k",TRUE,"15k+")</f>
        <v>0-5k</v>
      </c>
      <c r="AN1221" t="str" cm="1">
        <f t="array" ref="AN1221">_xlfn.IFS(AF1221&lt;=10,"0-10",AF1221&lt;=20,"10-20",AF1221&lt;=30,"20-30",TRUE,"30+")</f>
        <v>0-10</v>
      </c>
      <c r="AO1221" t="str" cm="1">
        <f t="array" ref="AO1221">_xlfn.IFS(Y1221=1,"Poor",Y1221=2,"Average",Y1221=3,"Good",TRUE,"Excellent")</f>
        <v>Good</v>
      </c>
      <c r="AP1221" t="str" cm="1">
        <f t="array" ref="AP1221">_xlfn.IFS(Q1221=1,"Low",Q1221=2,"Medium",Q1221=3,"High",TRUE,"Very High")</f>
        <v>High</v>
      </c>
    </row>
    <row r="1222" spans="1:42" x14ac:dyDescent="0.25">
      <c r="A1222">
        <v>36</v>
      </c>
      <c r="B1222" t="s">
        <v>42</v>
      </c>
      <c r="C1222" t="s">
        <v>90</v>
      </c>
      <c r="D1222">
        <v>530</v>
      </c>
      <c r="E1222" t="s">
        <v>36</v>
      </c>
      <c r="F1222">
        <v>2</v>
      </c>
      <c r="G1222">
        <v>4</v>
      </c>
      <c r="H1222" t="s">
        <v>37</v>
      </c>
      <c r="I1222">
        <v>1</v>
      </c>
      <c r="J1222">
        <v>1710</v>
      </c>
      <c r="K1222">
        <v>3</v>
      </c>
      <c r="L1222" t="s">
        <v>38</v>
      </c>
      <c r="M1222">
        <v>51</v>
      </c>
      <c r="N1222">
        <v>3</v>
      </c>
      <c r="O1222">
        <v>2</v>
      </c>
      <c r="P1222" t="s">
        <v>55</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c r="AJ1222">
        <f t="shared" si="19"/>
        <v>0</v>
      </c>
      <c r="AK1222" t="str" cm="1">
        <f t="array" ref="AK1222">_xlfn.IFS(A1222&lt;=30,"18-30",A1222&lt;=45,"31-45",A1222&lt;=60,"46-60",TRUE, "60+")</f>
        <v>31-45</v>
      </c>
      <c r="AL1222" t="str" cm="1">
        <f t="array" ref="AL1222">_xlfn.IFS(F1222&lt;=10,"0-10",F1222&lt;=20,"11-20",TRUE,"20+")</f>
        <v>0-10</v>
      </c>
      <c r="AM1222" t="str" cm="1">
        <f t="array" ref="AM1222">_xlfn.IFS(S1222&lt;=5000,"0-5k",S1222&lt;=10000,"5k-10k",S1222&lt;=15000,"10k-15k",TRUE,"15k+")</f>
        <v>0-5k</v>
      </c>
      <c r="AN1222" t="str" cm="1">
        <f t="array" ref="AN1222">_xlfn.IFS(AF1222&lt;=10,"0-10",AF1222&lt;=20,"10-20",AF1222&lt;=30,"20-30",TRUE,"30+")</f>
        <v>10-20</v>
      </c>
      <c r="AO1222" t="str" cm="1">
        <f t="array" ref="AO1222">_xlfn.IFS(Y1222=1,"Poor",Y1222=2,"Average",Y1222=3,"Good",TRUE,"Excellent")</f>
        <v>Good</v>
      </c>
      <c r="AP1222" t="str" cm="1">
        <f t="array" ref="AP1222">_xlfn.IFS(Q1222=1,"Low",Q1222=2,"Medium",Q1222=3,"High",TRUE,"Very High")</f>
        <v>Very High</v>
      </c>
    </row>
    <row r="1223" spans="1:42" x14ac:dyDescent="0.25">
      <c r="A1223">
        <v>45</v>
      </c>
      <c r="B1223" t="s">
        <v>42</v>
      </c>
      <c r="C1223" t="s">
        <v>53</v>
      </c>
      <c r="D1223">
        <v>1238</v>
      </c>
      <c r="E1223" t="s">
        <v>43</v>
      </c>
      <c r="F1223">
        <v>1</v>
      </c>
      <c r="G1223">
        <v>1</v>
      </c>
      <c r="H1223" t="s">
        <v>37</v>
      </c>
      <c r="I1223">
        <v>1</v>
      </c>
      <c r="J1223">
        <v>1712</v>
      </c>
      <c r="K1223">
        <v>3</v>
      </c>
      <c r="L1223" t="s">
        <v>44</v>
      </c>
      <c r="M1223">
        <v>74</v>
      </c>
      <c r="N1223">
        <v>2</v>
      </c>
      <c r="O1223">
        <v>3</v>
      </c>
      <c r="P1223" t="s">
        <v>52</v>
      </c>
      <c r="Q1223">
        <v>3</v>
      </c>
      <c r="R1223" t="s">
        <v>46</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c r="AJ1223">
        <f t="shared" si="19"/>
        <v>0</v>
      </c>
      <c r="AK1223" t="str" cm="1">
        <f t="array" ref="AK1223">_xlfn.IFS(A1223&lt;=30,"18-30",A1223&lt;=45,"31-45",A1223&lt;=60,"46-60",TRUE, "60+")</f>
        <v>31-45</v>
      </c>
      <c r="AL1223" t="str" cm="1">
        <f t="array" ref="AL1223">_xlfn.IFS(F1223&lt;=10,"0-10",F1223&lt;=20,"11-20",TRUE,"20+")</f>
        <v>0-10</v>
      </c>
      <c r="AM1223" t="str" cm="1">
        <f t="array" ref="AM1223">_xlfn.IFS(S1223&lt;=5000,"0-5k",S1223&lt;=10000,"5k-10k",S1223&lt;=15000,"10k-15k",TRUE,"15k+")</f>
        <v>10k-15k</v>
      </c>
      <c r="AN1223" t="str" cm="1">
        <f t="array" ref="AN1223">_xlfn.IFS(AF1223&lt;=10,"0-10",AF1223&lt;=20,"10-20",AF1223&lt;=30,"20-30",TRUE,"30+")</f>
        <v>20-30</v>
      </c>
      <c r="AO1223" t="str" cm="1">
        <f t="array" ref="AO1223">_xlfn.IFS(Y1223=1,"Poor",Y1223=2,"Average",Y1223=3,"Good",TRUE,"Excellent")</f>
        <v>Excellent</v>
      </c>
      <c r="AP1223" t="str" cm="1">
        <f t="array" ref="AP1223">_xlfn.IFS(Q1223=1,"Low",Q1223=2,"Medium",Q1223=3,"High",TRUE,"Very High")</f>
        <v>High</v>
      </c>
    </row>
    <row r="1224" spans="1:42" x14ac:dyDescent="0.25">
      <c r="A1224">
        <v>24</v>
      </c>
      <c r="B1224" t="s">
        <v>35</v>
      </c>
      <c r="C1224" t="s">
        <v>90</v>
      </c>
      <c r="D1224">
        <v>240</v>
      </c>
      <c r="E1224" t="s">
        <v>59</v>
      </c>
      <c r="F1224">
        <v>22</v>
      </c>
      <c r="G1224">
        <v>1</v>
      </c>
      <c r="H1224" t="s">
        <v>59</v>
      </c>
      <c r="I1224">
        <v>1</v>
      </c>
      <c r="J1224">
        <v>1714</v>
      </c>
      <c r="K1224">
        <v>4</v>
      </c>
      <c r="L1224" t="s">
        <v>44</v>
      </c>
      <c r="M1224">
        <v>58</v>
      </c>
      <c r="N1224">
        <v>1</v>
      </c>
      <c r="O1224">
        <v>1</v>
      </c>
      <c r="P1224" t="s">
        <v>59</v>
      </c>
      <c r="Q1224">
        <v>3</v>
      </c>
      <c r="R1224" t="s">
        <v>46</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c r="AJ1224">
        <f t="shared" si="19"/>
        <v>1</v>
      </c>
      <c r="AK1224" t="str" cm="1">
        <f t="array" ref="AK1224">_xlfn.IFS(A1224&lt;=30,"18-30",A1224&lt;=45,"31-45",A1224&lt;=60,"46-60",TRUE, "60+")</f>
        <v>18-30</v>
      </c>
      <c r="AL1224" t="str" cm="1">
        <f t="array" ref="AL1224">_xlfn.IFS(F1224&lt;=10,"0-10",F1224&lt;=20,"11-20",TRUE,"20+")</f>
        <v>20+</v>
      </c>
      <c r="AM1224" t="str" cm="1">
        <f t="array" ref="AM1224">_xlfn.IFS(S1224&lt;=5000,"0-5k",S1224&lt;=10000,"5k-10k",S1224&lt;=15000,"10k-15k",TRUE,"15k+")</f>
        <v>0-5k</v>
      </c>
      <c r="AN1224" t="str" cm="1">
        <f t="array" ref="AN1224">_xlfn.IFS(AF1224&lt;=10,"0-10",AF1224&lt;=20,"10-20",AF1224&lt;=30,"20-30",TRUE,"30+")</f>
        <v>0-10</v>
      </c>
      <c r="AO1224" t="str" cm="1">
        <f t="array" ref="AO1224">_xlfn.IFS(Y1224=1,"Poor",Y1224=2,"Average",Y1224=3,"Good",TRUE,"Excellent")</f>
        <v>Good</v>
      </c>
      <c r="AP1224" t="str" cm="1">
        <f t="array" ref="AP1224">_xlfn.IFS(Q1224=1,"Low",Q1224=2,"Medium",Q1224=3,"High",TRUE,"Very High")</f>
        <v>High</v>
      </c>
    </row>
    <row r="1225" spans="1:42" x14ac:dyDescent="0.25">
      <c r="A1225">
        <v>47</v>
      </c>
      <c r="B1225" t="s">
        <v>35</v>
      </c>
      <c r="C1225" t="s">
        <v>91</v>
      </c>
      <c r="D1225">
        <v>1093</v>
      </c>
      <c r="E1225" t="s">
        <v>36</v>
      </c>
      <c r="F1225">
        <v>9</v>
      </c>
      <c r="G1225">
        <v>3</v>
      </c>
      <c r="H1225" t="s">
        <v>37</v>
      </c>
      <c r="I1225">
        <v>1</v>
      </c>
      <c r="J1225">
        <v>1716</v>
      </c>
      <c r="K1225">
        <v>3</v>
      </c>
      <c r="L1225" t="s">
        <v>44</v>
      </c>
      <c r="M1225">
        <v>82</v>
      </c>
      <c r="N1225">
        <v>1</v>
      </c>
      <c r="O1225">
        <v>4</v>
      </c>
      <c r="P1225" t="s">
        <v>39</v>
      </c>
      <c r="Q1225">
        <v>3</v>
      </c>
      <c r="R1225" t="s">
        <v>46</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c r="AJ1225">
        <f t="shared" si="19"/>
        <v>1</v>
      </c>
      <c r="AK1225" t="str" cm="1">
        <f t="array" ref="AK1225">_xlfn.IFS(A1225&lt;=30,"18-30",A1225&lt;=45,"31-45",A1225&lt;=60,"46-60",TRUE, "60+")</f>
        <v>46-60</v>
      </c>
      <c r="AL1225" t="str" cm="1">
        <f t="array" ref="AL1225">_xlfn.IFS(F1225&lt;=10,"0-10",F1225&lt;=20,"11-20",TRUE,"20+")</f>
        <v>0-10</v>
      </c>
      <c r="AM1225" t="str" cm="1">
        <f t="array" ref="AM1225">_xlfn.IFS(S1225&lt;=5000,"0-5k",S1225&lt;=10000,"5k-10k",S1225&lt;=15000,"10k-15k",TRUE,"15k+")</f>
        <v>10k-15k</v>
      </c>
      <c r="AN1225" t="str" cm="1">
        <f t="array" ref="AN1225">_xlfn.IFS(AF1225&lt;=10,"0-10",AF1225&lt;=20,"10-20",AF1225&lt;=30,"20-30",TRUE,"30+")</f>
        <v>20-30</v>
      </c>
      <c r="AO1225" t="str" cm="1">
        <f t="array" ref="AO1225">_xlfn.IFS(Y1225=1,"Poor",Y1225=2,"Average",Y1225=3,"Good",TRUE,"Excellent")</f>
        <v>Good</v>
      </c>
      <c r="AP1225" t="str" cm="1">
        <f t="array" ref="AP1225">_xlfn.IFS(Q1225=1,"Low",Q1225=2,"Medium",Q1225=3,"High",TRUE,"Very High")</f>
        <v>High</v>
      </c>
    </row>
    <row r="1226" spans="1:42" x14ac:dyDescent="0.25">
      <c r="A1226">
        <v>26</v>
      </c>
      <c r="B1226" t="s">
        <v>42</v>
      </c>
      <c r="C1226" t="s">
        <v>90</v>
      </c>
      <c r="D1226">
        <v>390</v>
      </c>
      <c r="E1226" t="s">
        <v>43</v>
      </c>
      <c r="F1226">
        <v>17</v>
      </c>
      <c r="G1226">
        <v>4</v>
      </c>
      <c r="H1226" t="s">
        <v>49</v>
      </c>
      <c r="I1226">
        <v>1</v>
      </c>
      <c r="J1226">
        <v>1718</v>
      </c>
      <c r="K1226">
        <v>4</v>
      </c>
      <c r="L1226" t="s">
        <v>44</v>
      </c>
      <c r="M1226">
        <v>62</v>
      </c>
      <c r="N1226">
        <v>1</v>
      </c>
      <c r="O1226">
        <v>1</v>
      </c>
      <c r="P1226" t="s">
        <v>48</v>
      </c>
      <c r="Q1226">
        <v>3</v>
      </c>
      <c r="R1226" t="s">
        <v>46</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c r="AJ1226">
        <f t="shared" si="19"/>
        <v>0</v>
      </c>
      <c r="AK1226" t="str" cm="1">
        <f t="array" ref="AK1226">_xlfn.IFS(A1226&lt;=30,"18-30",A1226&lt;=45,"31-45",A1226&lt;=60,"46-60",TRUE, "60+")</f>
        <v>18-30</v>
      </c>
      <c r="AL1226" t="str" cm="1">
        <f t="array" ref="AL1226">_xlfn.IFS(F1226&lt;=10,"0-10",F1226&lt;=20,"11-20",TRUE,"20+")</f>
        <v>11-20</v>
      </c>
      <c r="AM1226" t="str" cm="1">
        <f t="array" ref="AM1226">_xlfn.IFS(S1226&lt;=5000,"0-5k",S1226&lt;=10000,"5k-10k",S1226&lt;=15000,"10k-15k",TRUE,"15k+")</f>
        <v>0-5k</v>
      </c>
      <c r="AN1226" t="str" cm="1">
        <f t="array" ref="AN1226">_xlfn.IFS(AF1226&lt;=10,"0-10",AF1226&lt;=20,"10-20",AF1226&lt;=30,"20-30",TRUE,"30+")</f>
        <v>0-10</v>
      </c>
      <c r="AO1226" t="str" cm="1">
        <f t="array" ref="AO1226">_xlfn.IFS(Y1226=1,"Poor",Y1226=2,"Average",Y1226=3,"Good",TRUE,"Excellent")</f>
        <v>Good</v>
      </c>
      <c r="AP1226" t="str" cm="1">
        <f t="array" ref="AP1226">_xlfn.IFS(Q1226=1,"Low",Q1226=2,"Medium",Q1226=3,"High",TRUE,"Very High")</f>
        <v>High</v>
      </c>
    </row>
    <row r="1227" spans="1:42" x14ac:dyDescent="0.25">
      <c r="A1227">
        <v>45</v>
      </c>
      <c r="B1227" t="s">
        <v>42</v>
      </c>
      <c r="C1227" t="s">
        <v>90</v>
      </c>
      <c r="D1227">
        <v>1005</v>
      </c>
      <c r="E1227" t="s">
        <v>43</v>
      </c>
      <c r="F1227">
        <v>28</v>
      </c>
      <c r="G1227">
        <v>2</v>
      </c>
      <c r="H1227" t="s">
        <v>58</v>
      </c>
      <c r="I1227">
        <v>1</v>
      </c>
      <c r="J1227">
        <v>1719</v>
      </c>
      <c r="K1227">
        <v>4</v>
      </c>
      <c r="L1227" t="s">
        <v>38</v>
      </c>
      <c r="M1227">
        <v>48</v>
      </c>
      <c r="N1227">
        <v>2</v>
      </c>
      <c r="O1227">
        <v>4</v>
      </c>
      <c r="P1227" t="s">
        <v>56</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c r="AJ1227">
        <f t="shared" si="19"/>
        <v>0</v>
      </c>
      <c r="AK1227" t="str" cm="1">
        <f t="array" ref="AK1227">_xlfn.IFS(A1227&lt;=30,"18-30",A1227&lt;=45,"31-45",A1227&lt;=60,"46-60",TRUE, "60+")</f>
        <v>31-45</v>
      </c>
      <c r="AL1227" t="str" cm="1">
        <f t="array" ref="AL1227">_xlfn.IFS(F1227&lt;=10,"0-10",F1227&lt;=20,"11-20",TRUE,"20+")</f>
        <v>20+</v>
      </c>
      <c r="AM1227" t="str" cm="1">
        <f t="array" ref="AM1227">_xlfn.IFS(S1227&lt;=5000,"0-5k",S1227&lt;=10000,"5k-10k",S1227&lt;=15000,"10k-15k",TRUE,"15k+")</f>
        <v>15k+</v>
      </c>
      <c r="AN1227" t="str" cm="1">
        <f t="array" ref="AN1227">_xlfn.IFS(AF1227&lt;=10,"0-10",AF1227&lt;=20,"10-20",AF1227&lt;=30,"20-30",TRUE,"30+")</f>
        <v>20-30</v>
      </c>
      <c r="AO1227" t="str" cm="1">
        <f t="array" ref="AO1227">_xlfn.IFS(Y1227=1,"Poor",Y1227=2,"Average",Y1227=3,"Good",TRUE,"Excellent")</f>
        <v>Good</v>
      </c>
      <c r="AP1227" t="str" cm="1">
        <f t="array" ref="AP1227">_xlfn.IFS(Q1227=1,"Low",Q1227=2,"Medium",Q1227=3,"High",TRUE,"Very High")</f>
        <v>Medium</v>
      </c>
    </row>
    <row r="1228" spans="1:42" x14ac:dyDescent="0.25">
      <c r="A1228">
        <v>32</v>
      </c>
      <c r="B1228" t="s">
        <v>42</v>
      </c>
      <c r="C1228" t="s">
        <v>91</v>
      </c>
      <c r="D1228">
        <v>585</v>
      </c>
      <c r="E1228" t="s">
        <v>43</v>
      </c>
      <c r="F1228">
        <v>10</v>
      </c>
      <c r="G1228">
        <v>3</v>
      </c>
      <c r="H1228" t="s">
        <v>37</v>
      </c>
      <c r="I1228">
        <v>1</v>
      </c>
      <c r="J1228">
        <v>1720</v>
      </c>
      <c r="K1228">
        <v>1</v>
      </c>
      <c r="L1228" t="s">
        <v>44</v>
      </c>
      <c r="M1228">
        <v>56</v>
      </c>
      <c r="N1228">
        <v>3</v>
      </c>
      <c r="O1228">
        <v>1</v>
      </c>
      <c r="P1228" t="s">
        <v>45</v>
      </c>
      <c r="Q1228">
        <v>3</v>
      </c>
      <c r="R1228" t="s">
        <v>46</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c r="AJ1228">
        <f t="shared" si="19"/>
        <v>0</v>
      </c>
      <c r="AK1228" t="str" cm="1">
        <f t="array" ref="AK1228">_xlfn.IFS(A1228&lt;=30,"18-30",A1228&lt;=45,"31-45",A1228&lt;=60,"46-60",TRUE, "60+")</f>
        <v>31-45</v>
      </c>
      <c r="AL1228" t="str" cm="1">
        <f t="array" ref="AL1228">_xlfn.IFS(F1228&lt;=10,"0-10",F1228&lt;=20,"11-20",TRUE,"20+")</f>
        <v>0-10</v>
      </c>
      <c r="AM1228" t="str" cm="1">
        <f t="array" ref="AM1228">_xlfn.IFS(S1228&lt;=5000,"0-5k",S1228&lt;=10000,"5k-10k",S1228&lt;=15000,"10k-15k",TRUE,"15k+")</f>
        <v>0-5k</v>
      </c>
      <c r="AN1228" t="str" cm="1">
        <f t="array" ref="AN1228">_xlfn.IFS(AF1228&lt;=10,"0-10",AF1228&lt;=20,"10-20",AF1228&lt;=30,"20-30",TRUE,"30+")</f>
        <v>0-10</v>
      </c>
      <c r="AO1228" t="str" cm="1">
        <f t="array" ref="AO1228">_xlfn.IFS(Y1228=1,"Poor",Y1228=2,"Average",Y1228=3,"Good",TRUE,"Excellent")</f>
        <v>Good</v>
      </c>
      <c r="AP1228" t="str" cm="1">
        <f t="array" ref="AP1228">_xlfn.IFS(Q1228=1,"Low",Q1228=2,"Medium",Q1228=3,"High",TRUE,"Very High")</f>
        <v>High</v>
      </c>
    </row>
    <row r="1229" spans="1:42" x14ac:dyDescent="0.25">
      <c r="A1229">
        <v>31</v>
      </c>
      <c r="B1229" t="s">
        <v>42</v>
      </c>
      <c r="C1229" t="s">
        <v>90</v>
      </c>
      <c r="D1229">
        <v>741</v>
      </c>
      <c r="E1229" t="s">
        <v>43</v>
      </c>
      <c r="F1229">
        <v>2</v>
      </c>
      <c r="G1229">
        <v>4</v>
      </c>
      <c r="H1229" t="s">
        <v>37</v>
      </c>
      <c r="I1229">
        <v>1</v>
      </c>
      <c r="J1229">
        <v>1721</v>
      </c>
      <c r="K1229">
        <v>2</v>
      </c>
      <c r="L1229" t="s">
        <v>44</v>
      </c>
      <c r="M1229">
        <v>69</v>
      </c>
      <c r="N1229">
        <v>3</v>
      </c>
      <c r="O1229">
        <v>1</v>
      </c>
      <c r="P1229" t="s">
        <v>48</v>
      </c>
      <c r="Q1229">
        <v>3</v>
      </c>
      <c r="R1229" t="s">
        <v>46</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c r="AJ1229">
        <f t="shared" si="19"/>
        <v>0</v>
      </c>
      <c r="AK1229" t="str" cm="1">
        <f t="array" ref="AK1229">_xlfn.IFS(A1229&lt;=30,"18-30",A1229&lt;=45,"31-45",A1229&lt;=60,"46-60",TRUE, "60+")</f>
        <v>31-45</v>
      </c>
      <c r="AL1229" t="str" cm="1">
        <f t="array" ref="AL1229">_xlfn.IFS(F1229&lt;=10,"0-10",F1229&lt;=20,"11-20",TRUE,"20+")</f>
        <v>0-10</v>
      </c>
      <c r="AM1229" t="str" cm="1">
        <f t="array" ref="AM1229">_xlfn.IFS(S1229&lt;=5000,"0-5k",S1229&lt;=10000,"5k-10k",S1229&lt;=15000,"10k-15k",TRUE,"15k+")</f>
        <v>0-5k</v>
      </c>
      <c r="AN1229" t="str" cm="1">
        <f t="array" ref="AN1229">_xlfn.IFS(AF1229&lt;=10,"0-10",AF1229&lt;=20,"10-20",AF1229&lt;=30,"20-30",TRUE,"30+")</f>
        <v>0-10</v>
      </c>
      <c r="AO1229" t="str" cm="1">
        <f t="array" ref="AO1229">_xlfn.IFS(Y1229=1,"Poor",Y1229=2,"Average",Y1229=3,"Good",TRUE,"Excellent")</f>
        <v>Good</v>
      </c>
      <c r="AP1229" t="str" cm="1">
        <f t="array" ref="AP1229">_xlfn.IFS(Q1229=1,"Low",Q1229=2,"Medium",Q1229=3,"High",TRUE,"Very High")</f>
        <v>High</v>
      </c>
    </row>
    <row r="1230" spans="1:42" x14ac:dyDescent="0.25">
      <c r="A1230">
        <v>41</v>
      </c>
      <c r="B1230" t="s">
        <v>42</v>
      </c>
      <c r="C1230" t="s">
        <v>53</v>
      </c>
      <c r="D1230">
        <v>552</v>
      </c>
      <c r="E1230" t="s">
        <v>59</v>
      </c>
      <c r="F1230">
        <v>4</v>
      </c>
      <c r="G1230">
        <v>3</v>
      </c>
      <c r="H1230" t="s">
        <v>59</v>
      </c>
      <c r="I1230">
        <v>1</v>
      </c>
      <c r="J1230">
        <v>1722</v>
      </c>
      <c r="K1230">
        <v>3</v>
      </c>
      <c r="L1230" t="s">
        <v>44</v>
      </c>
      <c r="M1230">
        <v>60</v>
      </c>
      <c r="N1230">
        <v>1</v>
      </c>
      <c r="O1230">
        <v>2</v>
      </c>
      <c r="P1230" t="s">
        <v>59</v>
      </c>
      <c r="Q1230">
        <v>2</v>
      </c>
      <c r="R1230" t="s">
        <v>46</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c r="AJ1230">
        <f t="shared" si="19"/>
        <v>0</v>
      </c>
      <c r="AK1230" t="str" cm="1">
        <f t="array" ref="AK1230">_xlfn.IFS(A1230&lt;=30,"18-30",A1230&lt;=45,"31-45",A1230&lt;=60,"46-60",TRUE, "60+")</f>
        <v>31-45</v>
      </c>
      <c r="AL1230" t="str" cm="1">
        <f t="array" ref="AL1230">_xlfn.IFS(F1230&lt;=10,"0-10",F1230&lt;=20,"11-20",TRUE,"20+")</f>
        <v>0-10</v>
      </c>
      <c r="AM1230" t="str" cm="1">
        <f t="array" ref="AM1230">_xlfn.IFS(S1230&lt;=5000,"0-5k",S1230&lt;=10000,"5k-10k",S1230&lt;=15000,"10k-15k",TRUE,"15k+")</f>
        <v>5k-10k</v>
      </c>
      <c r="AN1230" t="str" cm="1">
        <f t="array" ref="AN1230">_xlfn.IFS(AF1230&lt;=10,"0-10",AF1230&lt;=20,"10-20",AF1230&lt;=30,"20-30",TRUE,"30+")</f>
        <v>0-10</v>
      </c>
      <c r="AO1230" t="str" cm="1">
        <f t="array" ref="AO1230">_xlfn.IFS(Y1230=1,"Poor",Y1230=2,"Average",Y1230=3,"Good",TRUE,"Excellent")</f>
        <v>Good</v>
      </c>
      <c r="AP1230" t="str" cm="1">
        <f t="array" ref="AP1230">_xlfn.IFS(Q1230=1,"Low",Q1230=2,"Medium",Q1230=3,"High",TRUE,"Very High")</f>
        <v>Medium</v>
      </c>
    </row>
    <row r="1231" spans="1:42" x14ac:dyDescent="0.25">
      <c r="A1231">
        <v>40</v>
      </c>
      <c r="B1231" t="s">
        <v>42</v>
      </c>
      <c r="C1231" t="s">
        <v>90</v>
      </c>
      <c r="D1231">
        <v>369</v>
      </c>
      <c r="E1231" t="s">
        <v>43</v>
      </c>
      <c r="F1231">
        <v>8</v>
      </c>
      <c r="G1231">
        <v>2</v>
      </c>
      <c r="H1231" t="s">
        <v>37</v>
      </c>
      <c r="I1231">
        <v>1</v>
      </c>
      <c r="J1231">
        <v>1724</v>
      </c>
      <c r="K1231">
        <v>2</v>
      </c>
      <c r="L1231" t="s">
        <v>38</v>
      </c>
      <c r="M1231">
        <v>92</v>
      </c>
      <c r="N1231">
        <v>3</v>
      </c>
      <c r="O1231">
        <v>2</v>
      </c>
      <c r="P1231" t="s">
        <v>51</v>
      </c>
      <c r="Q1231">
        <v>1</v>
      </c>
      <c r="R1231" t="s">
        <v>46</v>
      </c>
      <c r="S1231">
        <v>6516</v>
      </c>
      <c r="T1231">
        <v>5041</v>
      </c>
      <c r="U1231">
        <v>2</v>
      </c>
      <c r="V1231" t="s">
        <v>41</v>
      </c>
      <c r="W1231" t="s">
        <v>35</v>
      </c>
      <c r="X1231">
        <v>16</v>
      </c>
      <c r="Y1231">
        <v>3</v>
      </c>
      <c r="Z1231">
        <v>2</v>
      </c>
      <c r="AA1231">
        <v>80</v>
      </c>
      <c r="AB1231">
        <v>1</v>
      </c>
      <c r="AC1231">
        <v>18</v>
      </c>
      <c r="AD1231">
        <v>3</v>
      </c>
      <c r="AE1231">
        <v>3</v>
      </c>
      <c r="AF1231">
        <v>1</v>
      </c>
      <c r="AG1231">
        <v>0</v>
      </c>
      <c r="AH1231">
        <v>0</v>
      </c>
      <c r="AI1231">
        <v>0</v>
      </c>
      <c r="AJ1231">
        <f t="shared" si="19"/>
        <v>0</v>
      </c>
      <c r="AK1231" t="str" cm="1">
        <f t="array" ref="AK1231">_xlfn.IFS(A1231&lt;=30,"18-30",A1231&lt;=45,"31-45",A1231&lt;=60,"46-60",TRUE, "60+")</f>
        <v>31-45</v>
      </c>
      <c r="AL1231" t="str" cm="1">
        <f t="array" ref="AL1231">_xlfn.IFS(F1231&lt;=10,"0-10",F1231&lt;=20,"11-20",TRUE,"20+")</f>
        <v>0-10</v>
      </c>
      <c r="AM1231" t="str" cm="1">
        <f t="array" ref="AM1231">_xlfn.IFS(S1231&lt;=5000,"0-5k",S1231&lt;=10000,"5k-10k",S1231&lt;=15000,"10k-15k",TRUE,"15k+")</f>
        <v>5k-10k</v>
      </c>
      <c r="AN1231" t="str" cm="1">
        <f t="array" ref="AN1231">_xlfn.IFS(AF1231&lt;=10,"0-10",AF1231&lt;=20,"10-20",AF1231&lt;=30,"20-30",TRUE,"30+")</f>
        <v>0-10</v>
      </c>
      <c r="AO1231" t="str" cm="1">
        <f t="array" ref="AO1231">_xlfn.IFS(Y1231=1,"Poor",Y1231=2,"Average",Y1231=3,"Good",TRUE,"Excellent")</f>
        <v>Good</v>
      </c>
      <c r="AP1231" t="str" cm="1">
        <f t="array" ref="AP1231">_xlfn.IFS(Q1231=1,"Low",Q1231=2,"Medium",Q1231=3,"High",TRUE,"Very High")</f>
        <v>Low</v>
      </c>
    </row>
    <row r="1232" spans="1:42" x14ac:dyDescent="0.25">
      <c r="A1232">
        <v>24</v>
      </c>
      <c r="B1232" t="s">
        <v>42</v>
      </c>
      <c r="C1232" t="s">
        <v>90</v>
      </c>
      <c r="D1232">
        <v>506</v>
      </c>
      <c r="E1232" t="s">
        <v>43</v>
      </c>
      <c r="F1232">
        <v>29</v>
      </c>
      <c r="G1232">
        <v>1</v>
      </c>
      <c r="H1232" t="s">
        <v>49</v>
      </c>
      <c r="I1232">
        <v>1</v>
      </c>
      <c r="J1232">
        <v>1725</v>
      </c>
      <c r="K1232">
        <v>2</v>
      </c>
      <c r="L1232" t="s">
        <v>44</v>
      </c>
      <c r="M1232">
        <v>91</v>
      </c>
      <c r="N1232">
        <v>3</v>
      </c>
      <c r="O1232">
        <v>1</v>
      </c>
      <c r="P1232" t="s">
        <v>48</v>
      </c>
      <c r="Q1232">
        <v>1</v>
      </c>
      <c r="R1232" t="s">
        <v>50</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c r="AJ1232">
        <f t="shared" si="19"/>
        <v>0</v>
      </c>
      <c r="AK1232" t="str" cm="1">
        <f t="array" ref="AK1232">_xlfn.IFS(A1232&lt;=30,"18-30",A1232&lt;=45,"31-45",A1232&lt;=60,"46-60",TRUE, "60+")</f>
        <v>18-30</v>
      </c>
      <c r="AL1232" t="str" cm="1">
        <f t="array" ref="AL1232">_xlfn.IFS(F1232&lt;=10,"0-10",F1232&lt;=20,"11-20",TRUE,"20+")</f>
        <v>20+</v>
      </c>
      <c r="AM1232" t="str" cm="1">
        <f t="array" ref="AM1232">_xlfn.IFS(S1232&lt;=5000,"0-5k",S1232&lt;=10000,"5k-10k",S1232&lt;=15000,"10k-15k",TRUE,"15k+")</f>
        <v>0-5k</v>
      </c>
      <c r="AN1232" t="str" cm="1">
        <f t="array" ref="AN1232">_xlfn.IFS(AF1232&lt;=10,"0-10",AF1232&lt;=20,"10-20",AF1232&lt;=30,"20-30",TRUE,"30+")</f>
        <v>0-10</v>
      </c>
      <c r="AO1232" t="str" cm="1">
        <f t="array" ref="AO1232">_xlfn.IFS(Y1232=1,"Poor",Y1232=2,"Average",Y1232=3,"Good",TRUE,"Excellent")</f>
        <v>Good</v>
      </c>
      <c r="AP1232" t="str" cm="1">
        <f t="array" ref="AP1232">_xlfn.IFS(Q1232=1,"Low",Q1232=2,"Medium",Q1232=3,"High",TRUE,"Very High")</f>
        <v>Low</v>
      </c>
    </row>
    <row r="1233" spans="1:42" x14ac:dyDescent="0.25">
      <c r="A1233">
        <v>46</v>
      </c>
      <c r="B1233" t="s">
        <v>42</v>
      </c>
      <c r="C1233" t="s">
        <v>90</v>
      </c>
      <c r="D1233">
        <v>717</v>
      </c>
      <c r="E1233" t="s">
        <v>43</v>
      </c>
      <c r="F1233">
        <v>13</v>
      </c>
      <c r="G1233">
        <v>4</v>
      </c>
      <c r="H1233" t="s">
        <v>37</v>
      </c>
      <c r="I1233">
        <v>1</v>
      </c>
      <c r="J1233">
        <v>1727</v>
      </c>
      <c r="K1233">
        <v>3</v>
      </c>
      <c r="L1233" t="s">
        <v>44</v>
      </c>
      <c r="M1233">
        <v>34</v>
      </c>
      <c r="N1233">
        <v>3</v>
      </c>
      <c r="O1233">
        <v>2</v>
      </c>
      <c r="P1233" t="s">
        <v>52</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c r="AJ1233">
        <f t="shared" si="19"/>
        <v>0</v>
      </c>
      <c r="AK1233" t="str" cm="1">
        <f t="array" ref="AK1233">_xlfn.IFS(A1233&lt;=30,"18-30",A1233&lt;=45,"31-45",A1233&lt;=60,"46-60",TRUE, "60+")</f>
        <v>46-60</v>
      </c>
      <c r="AL1233" t="str" cm="1">
        <f t="array" ref="AL1233">_xlfn.IFS(F1233&lt;=10,"0-10",F1233&lt;=20,"11-20",TRUE,"20+")</f>
        <v>11-20</v>
      </c>
      <c r="AM1233" t="str" cm="1">
        <f t="array" ref="AM1233">_xlfn.IFS(S1233&lt;=5000,"0-5k",S1233&lt;=10000,"5k-10k",S1233&lt;=15000,"10k-15k",TRUE,"15k+")</f>
        <v>5k-10k</v>
      </c>
      <c r="AN1233" t="str" cm="1">
        <f t="array" ref="AN1233">_xlfn.IFS(AF1233&lt;=10,"0-10",AF1233&lt;=20,"10-20",AF1233&lt;=30,"20-30",TRUE,"30+")</f>
        <v>0-10</v>
      </c>
      <c r="AO1233" t="str" cm="1">
        <f t="array" ref="AO1233">_xlfn.IFS(Y1233=1,"Poor",Y1233=2,"Average",Y1233=3,"Good",TRUE,"Excellent")</f>
        <v>Good</v>
      </c>
      <c r="AP1233" t="str" cm="1">
        <f t="array" ref="AP1233">_xlfn.IFS(Q1233=1,"Low",Q1233=2,"Medium",Q1233=3,"High",TRUE,"Very High")</f>
        <v>Medium</v>
      </c>
    </row>
    <row r="1234" spans="1:42" x14ac:dyDescent="0.25">
      <c r="A1234">
        <v>35</v>
      </c>
      <c r="B1234" t="s">
        <v>42</v>
      </c>
      <c r="C1234" t="s">
        <v>90</v>
      </c>
      <c r="D1234">
        <v>1370</v>
      </c>
      <c r="E1234" t="s">
        <v>43</v>
      </c>
      <c r="F1234">
        <v>27</v>
      </c>
      <c r="G1234">
        <v>4</v>
      </c>
      <c r="H1234" t="s">
        <v>37</v>
      </c>
      <c r="I1234">
        <v>1</v>
      </c>
      <c r="J1234">
        <v>1728</v>
      </c>
      <c r="K1234">
        <v>4</v>
      </c>
      <c r="L1234" t="s">
        <v>44</v>
      </c>
      <c r="M1234">
        <v>49</v>
      </c>
      <c r="N1234">
        <v>3</v>
      </c>
      <c r="O1234">
        <v>2</v>
      </c>
      <c r="P1234" t="s">
        <v>51</v>
      </c>
      <c r="Q1234">
        <v>3</v>
      </c>
      <c r="R1234" t="s">
        <v>46</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c r="AJ1234">
        <f t="shared" si="19"/>
        <v>0</v>
      </c>
      <c r="AK1234" t="str" cm="1">
        <f t="array" ref="AK1234">_xlfn.IFS(A1234&lt;=30,"18-30",A1234&lt;=45,"31-45",A1234&lt;=60,"46-60",TRUE, "60+")</f>
        <v>31-45</v>
      </c>
      <c r="AL1234" t="str" cm="1">
        <f t="array" ref="AL1234">_xlfn.IFS(F1234&lt;=10,"0-10",F1234&lt;=20,"11-20",TRUE,"20+")</f>
        <v>20+</v>
      </c>
      <c r="AM1234" t="str" cm="1">
        <f t="array" ref="AM1234">_xlfn.IFS(S1234&lt;=5000,"0-5k",S1234&lt;=10000,"5k-10k",S1234&lt;=15000,"10k-15k",TRUE,"15k+")</f>
        <v>5k-10k</v>
      </c>
      <c r="AN1234" t="str" cm="1">
        <f t="array" ref="AN1234">_xlfn.IFS(AF1234&lt;=10,"0-10",AF1234&lt;=20,"10-20",AF1234&lt;=30,"20-30",TRUE,"30+")</f>
        <v>0-10</v>
      </c>
      <c r="AO1234" t="str" cm="1">
        <f t="array" ref="AO1234">_xlfn.IFS(Y1234=1,"Poor",Y1234=2,"Average",Y1234=3,"Good",TRUE,"Excellent")</f>
        <v>Good</v>
      </c>
      <c r="AP1234" t="str" cm="1">
        <f t="array" ref="AP1234">_xlfn.IFS(Q1234=1,"Low",Q1234=2,"Medium",Q1234=3,"High",TRUE,"Very High")</f>
        <v>High</v>
      </c>
    </row>
    <row r="1235" spans="1:42" x14ac:dyDescent="0.25">
      <c r="A1235">
        <v>30</v>
      </c>
      <c r="B1235" t="s">
        <v>42</v>
      </c>
      <c r="C1235" t="s">
        <v>90</v>
      </c>
      <c r="D1235">
        <v>793</v>
      </c>
      <c r="E1235" t="s">
        <v>43</v>
      </c>
      <c r="F1235">
        <v>16</v>
      </c>
      <c r="G1235">
        <v>1</v>
      </c>
      <c r="H1235" t="s">
        <v>37</v>
      </c>
      <c r="I1235">
        <v>1</v>
      </c>
      <c r="J1235">
        <v>1729</v>
      </c>
      <c r="K1235">
        <v>2</v>
      </c>
      <c r="L1235" t="s">
        <v>44</v>
      </c>
      <c r="M1235">
        <v>33</v>
      </c>
      <c r="N1235">
        <v>3</v>
      </c>
      <c r="O1235">
        <v>1</v>
      </c>
      <c r="P1235" t="s">
        <v>45</v>
      </c>
      <c r="Q1235">
        <v>4</v>
      </c>
      <c r="R1235" t="s">
        <v>46</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c r="AJ1235">
        <f t="shared" si="19"/>
        <v>0</v>
      </c>
      <c r="AK1235" t="str" cm="1">
        <f t="array" ref="AK1235">_xlfn.IFS(A1235&lt;=30,"18-30",A1235&lt;=45,"31-45",A1235&lt;=60,"46-60",TRUE, "60+")</f>
        <v>18-30</v>
      </c>
      <c r="AL1235" t="str" cm="1">
        <f t="array" ref="AL1235">_xlfn.IFS(F1235&lt;=10,"0-10",F1235&lt;=20,"11-20",TRUE,"20+")</f>
        <v>11-20</v>
      </c>
      <c r="AM1235" t="str" cm="1">
        <f t="array" ref="AM1235">_xlfn.IFS(S1235&lt;=5000,"0-5k",S1235&lt;=10000,"5k-10k",S1235&lt;=15000,"10k-15k",TRUE,"15k+")</f>
        <v>0-5k</v>
      </c>
      <c r="AN1235" t="str" cm="1">
        <f t="array" ref="AN1235">_xlfn.IFS(AF1235&lt;=10,"0-10",AF1235&lt;=20,"10-20",AF1235&lt;=30,"20-30",TRUE,"30+")</f>
        <v>0-10</v>
      </c>
      <c r="AO1235" t="str" cm="1">
        <f t="array" ref="AO1235">_xlfn.IFS(Y1235=1,"Poor",Y1235=2,"Average",Y1235=3,"Good",TRUE,"Excellent")</f>
        <v>Good</v>
      </c>
      <c r="AP1235" t="str" cm="1">
        <f t="array" ref="AP1235">_xlfn.IFS(Q1235=1,"Low",Q1235=2,"Medium",Q1235=3,"High",TRUE,"Very High")</f>
        <v>Very High</v>
      </c>
    </row>
    <row r="1236" spans="1:42" x14ac:dyDescent="0.25">
      <c r="A1236">
        <v>47</v>
      </c>
      <c r="B1236" t="s">
        <v>42</v>
      </c>
      <c r="C1236" t="s">
        <v>53</v>
      </c>
      <c r="D1236">
        <v>543</v>
      </c>
      <c r="E1236" t="s">
        <v>36</v>
      </c>
      <c r="F1236">
        <v>2</v>
      </c>
      <c r="G1236">
        <v>4</v>
      </c>
      <c r="H1236" t="s">
        <v>57</v>
      </c>
      <c r="I1236">
        <v>1</v>
      </c>
      <c r="J1236">
        <v>1731</v>
      </c>
      <c r="K1236">
        <v>3</v>
      </c>
      <c r="L1236" t="s">
        <v>44</v>
      </c>
      <c r="M1236">
        <v>87</v>
      </c>
      <c r="N1236">
        <v>3</v>
      </c>
      <c r="O1236">
        <v>2</v>
      </c>
      <c r="P1236" t="s">
        <v>39</v>
      </c>
      <c r="Q1236">
        <v>2</v>
      </c>
      <c r="R1236" t="s">
        <v>46</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c r="AJ1236">
        <f t="shared" si="19"/>
        <v>0</v>
      </c>
      <c r="AK1236" t="str" cm="1">
        <f t="array" ref="AK1236">_xlfn.IFS(A1236&lt;=30,"18-30",A1236&lt;=45,"31-45",A1236&lt;=60,"46-60",TRUE, "60+")</f>
        <v>46-60</v>
      </c>
      <c r="AL1236" t="str" cm="1">
        <f t="array" ref="AL1236">_xlfn.IFS(F1236&lt;=10,"0-10",F1236&lt;=20,"11-20",TRUE,"20+")</f>
        <v>0-10</v>
      </c>
      <c r="AM1236" t="str" cm="1">
        <f t="array" ref="AM1236">_xlfn.IFS(S1236&lt;=5000,"0-5k",S1236&lt;=10000,"5k-10k",S1236&lt;=15000,"10k-15k",TRUE,"15k+")</f>
        <v>0-5k</v>
      </c>
      <c r="AN1236" t="str" cm="1">
        <f t="array" ref="AN1236">_xlfn.IFS(AF1236&lt;=10,"0-10",AF1236&lt;=20,"10-20",AF1236&lt;=30,"20-30",TRUE,"30+")</f>
        <v>0-10</v>
      </c>
      <c r="AO1236" t="str" cm="1">
        <f t="array" ref="AO1236">_xlfn.IFS(Y1236=1,"Poor",Y1236=2,"Average",Y1236=3,"Good",TRUE,"Excellent")</f>
        <v>Good</v>
      </c>
      <c r="AP1236" t="str" cm="1">
        <f t="array" ref="AP1236">_xlfn.IFS(Q1236=1,"Low",Q1236=2,"Medium",Q1236=3,"High",TRUE,"Very High")</f>
        <v>Medium</v>
      </c>
    </row>
    <row r="1237" spans="1:42" x14ac:dyDescent="0.25">
      <c r="A1237">
        <v>46</v>
      </c>
      <c r="B1237" t="s">
        <v>42</v>
      </c>
      <c r="C1237" t="s">
        <v>90</v>
      </c>
      <c r="D1237">
        <v>1277</v>
      </c>
      <c r="E1237" t="s">
        <v>36</v>
      </c>
      <c r="F1237">
        <v>2</v>
      </c>
      <c r="G1237">
        <v>3</v>
      </c>
      <c r="H1237" t="s">
        <v>37</v>
      </c>
      <c r="I1237">
        <v>1</v>
      </c>
      <c r="J1237">
        <v>1732</v>
      </c>
      <c r="K1237">
        <v>3</v>
      </c>
      <c r="L1237" t="s">
        <v>44</v>
      </c>
      <c r="M1237">
        <v>74</v>
      </c>
      <c r="N1237">
        <v>3</v>
      </c>
      <c r="O1237">
        <v>3</v>
      </c>
      <c r="P1237" t="s">
        <v>39</v>
      </c>
      <c r="Q1237">
        <v>4</v>
      </c>
      <c r="R1237" t="s">
        <v>50</v>
      </c>
      <c r="S1237">
        <v>10368</v>
      </c>
      <c r="T1237">
        <v>5596</v>
      </c>
      <c r="U1237">
        <v>4</v>
      </c>
      <c r="V1237" t="s">
        <v>41</v>
      </c>
      <c r="W1237" t="s">
        <v>35</v>
      </c>
      <c r="X1237">
        <v>12</v>
      </c>
      <c r="Y1237">
        <v>3</v>
      </c>
      <c r="Z1237">
        <v>2</v>
      </c>
      <c r="AA1237">
        <v>80</v>
      </c>
      <c r="AB1237">
        <v>1</v>
      </c>
      <c r="AC1237">
        <v>13</v>
      </c>
      <c r="AD1237">
        <v>5</v>
      </c>
      <c r="AE1237">
        <v>2</v>
      </c>
      <c r="AF1237">
        <v>10</v>
      </c>
      <c r="AG1237">
        <v>6</v>
      </c>
      <c r="AH1237">
        <v>0</v>
      </c>
      <c r="AI1237">
        <v>3</v>
      </c>
      <c r="AJ1237">
        <f t="shared" si="19"/>
        <v>0</v>
      </c>
      <c r="AK1237" t="str" cm="1">
        <f t="array" ref="AK1237">_xlfn.IFS(A1237&lt;=30,"18-30",A1237&lt;=45,"31-45",A1237&lt;=60,"46-60",TRUE, "60+")</f>
        <v>46-60</v>
      </c>
      <c r="AL1237" t="str" cm="1">
        <f t="array" ref="AL1237">_xlfn.IFS(F1237&lt;=10,"0-10",F1237&lt;=20,"11-20",TRUE,"20+")</f>
        <v>0-10</v>
      </c>
      <c r="AM1237" t="str" cm="1">
        <f t="array" ref="AM1237">_xlfn.IFS(S1237&lt;=5000,"0-5k",S1237&lt;=10000,"5k-10k",S1237&lt;=15000,"10k-15k",TRUE,"15k+")</f>
        <v>10k-15k</v>
      </c>
      <c r="AN1237" t="str" cm="1">
        <f t="array" ref="AN1237">_xlfn.IFS(AF1237&lt;=10,"0-10",AF1237&lt;=20,"10-20",AF1237&lt;=30,"20-30",TRUE,"30+")</f>
        <v>0-10</v>
      </c>
      <c r="AO1237" t="str" cm="1">
        <f t="array" ref="AO1237">_xlfn.IFS(Y1237=1,"Poor",Y1237=2,"Average",Y1237=3,"Good",TRUE,"Excellent")</f>
        <v>Good</v>
      </c>
      <c r="AP1237" t="str" cm="1">
        <f t="array" ref="AP1237">_xlfn.IFS(Q1237=1,"Low",Q1237=2,"Medium",Q1237=3,"High",TRUE,"Very High")</f>
        <v>Very High</v>
      </c>
    </row>
    <row r="1238" spans="1:42" x14ac:dyDescent="0.25">
      <c r="A1238">
        <v>36</v>
      </c>
      <c r="B1238" t="s">
        <v>35</v>
      </c>
      <c r="C1238" t="s">
        <v>90</v>
      </c>
      <c r="D1238">
        <v>1456</v>
      </c>
      <c r="E1238" t="s">
        <v>36</v>
      </c>
      <c r="F1238">
        <v>13</v>
      </c>
      <c r="G1238">
        <v>5</v>
      </c>
      <c r="H1238" t="s">
        <v>57</v>
      </c>
      <c r="I1238">
        <v>1</v>
      </c>
      <c r="J1238">
        <v>1733</v>
      </c>
      <c r="K1238">
        <v>2</v>
      </c>
      <c r="L1238" t="s">
        <v>44</v>
      </c>
      <c r="M1238">
        <v>96</v>
      </c>
      <c r="N1238">
        <v>2</v>
      </c>
      <c r="O1238">
        <v>2</v>
      </c>
      <c r="P1238" t="s">
        <v>39</v>
      </c>
      <c r="Q1238">
        <v>1</v>
      </c>
      <c r="R1238" t="s">
        <v>50</v>
      </c>
      <c r="S1238">
        <v>6134</v>
      </c>
      <c r="T1238">
        <v>8658</v>
      </c>
      <c r="U1238">
        <v>5</v>
      </c>
      <c r="V1238" t="s">
        <v>41</v>
      </c>
      <c r="W1238" t="s">
        <v>35</v>
      </c>
      <c r="X1238">
        <v>13</v>
      </c>
      <c r="Y1238">
        <v>3</v>
      </c>
      <c r="Z1238">
        <v>2</v>
      </c>
      <c r="AA1238">
        <v>80</v>
      </c>
      <c r="AB1238">
        <v>3</v>
      </c>
      <c r="AC1238">
        <v>16</v>
      </c>
      <c r="AD1238">
        <v>3</v>
      </c>
      <c r="AE1238">
        <v>3</v>
      </c>
      <c r="AF1238">
        <v>2</v>
      </c>
      <c r="AG1238">
        <v>2</v>
      </c>
      <c r="AH1238">
        <v>2</v>
      </c>
      <c r="AI1238">
        <v>2</v>
      </c>
      <c r="AJ1238">
        <f t="shared" si="19"/>
        <v>1</v>
      </c>
      <c r="AK1238" t="str" cm="1">
        <f t="array" ref="AK1238">_xlfn.IFS(A1238&lt;=30,"18-30",A1238&lt;=45,"31-45",A1238&lt;=60,"46-60",TRUE, "60+")</f>
        <v>31-45</v>
      </c>
      <c r="AL1238" t="str" cm="1">
        <f t="array" ref="AL1238">_xlfn.IFS(F1238&lt;=10,"0-10",F1238&lt;=20,"11-20",TRUE,"20+")</f>
        <v>11-20</v>
      </c>
      <c r="AM1238" t="str" cm="1">
        <f t="array" ref="AM1238">_xlfn.IFS(S1238&lt;=5000,"0-5k",S1238&lt;=10000,"5k-10k",S1238&lt;=15000,"10k-15k",TRUE,"15k+")</f>
        <v>5k-10k</v>
      </c>
      <c r="AN1238" t="str" cm="1">
        <f t="array" ref="AN1238">_xlfn.IFS(AF1238&lt;=10,"0-10",AF1238&lt;=20,"10-20",AF1238&lt;=30,"20-30",TRUE,"30+")</f>
        <v>0-10</v>
      </c>
      <c r="AO1238" t="str" cm="1">
        <f t="array" ref="AO1238">_xlfn.IFS(Y1238=1,"Poor",Y1238=2,"Average",Y1238=3,"Good",TRUE,"Excellent")</f>
        <v>Good</v>
      </c>
      <c r="AP1238" t="str" cm="1">
        <f t="array" ref="AP1238">_xlfn.IFS(Q1238=1,"Low",Q1238=2,"Medium",Q1238=3,"High",TRUE,"Very High")</f>
        <v>Low</v>
      </c>
    </row>
    <row r="1239" spans="1:42" x14ac:dyDescent="0.25">
      <c r="A1239">
        <v>32</v>
      </c>
      <c r="B1239" t="s">
        <v>35</v>
      </c>
      <c r="C1239" t="s">
        <v>90</v>
      </c>
      <c r="D1239">
        <v>964</v>
      </c>
      <c r="E1239" t="s">
        <v>36</v>
      </c>
      <c r="F1239">
        <v>1</v>
      </c>
      <c r="G1239">
        <v>2</v>
      </c>
      <c r="H1239" t="s">
        <v>37</v>
      </c>
      <c r="I1239">
        <v>1</v>
      </c>
      <c r="J1239">
        <v>1734</v>
      </c>
      <c r="K1239">
        <v>1</v>
      </c>
      <c r="L1239" t="s">
        <v>44</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c r="AJ1239">
        <f t="shared" si="19"/>
        <v>1</v>
      </c>
      <c r="AK1239" t="str" cm="1">
        <f t="array" ref="AK1239">_xlfn.IFS(A1239&lt;=30,"18-30",A1239&lt;=45,"31-45",A1239&lt;=60,"46-60",TRUE, "60+")</f>
        <v>31-45</v>
      </c>
      <c r="AL1239" t="str" cm="1">
        <f t="array" ref="AL1239">_xlfn.IFS(F1239&lt;=10,"0-10",F1239&lt;=20,"11-20",TRUE,"20+")</f>
        <v>0-10</v>
      </c>
      <c r="AM1239" t="str" cm="1">
        <f t="array" ref="AM1239">_xlfn.IFS(S1239&lt;=5000,"0-5k",S1239&lt;=10000,"5k-10k",S1239&lt;=15000,"10k-15k",TRUE,"15k+")</f>
        <v>5k-10k</v>
      </c>
      <c r="AN1239" t="str" cm="1">
        <f t="array" ref="AN1239">_xlfn.IFS(AF1239&lt;=10,"0-10",AF1239&lt;=20,"10-20",AF1239&lt;=30,"20-30",TRUE,"30+")</f>
        <v>0-10</v>
      </c>
      <c r="AO1239" t="str" cm="1">
        <f t="array" ref="AO1239">_xlfn.IFS(Y1239=1,"Poor",Y1239=2,"Average",Y1239=3,"Good",TRUE,"Excellent")</f>
        <v>Good</v>
      </c>
      <c r="AP1239" t="str" cm="1">
        <f t="array" ref="AP1239">_xlfn.IFS(Q1239=1,"Low",Q1239=2,"Medium",Q1239=3,"High",TRUE,"Very High")</f>
        <v>Medium</v>
      </c>
    </row>
    <row r="1240" spans="1:42" x14ac:dyDescent="0.25">
      <c r="A1240">
        <v>23</v>
      </c>
      <c r="B1240" t="s">
        <v>42</v>
      </c>
      <c r="C1240" t="s">
        <v>90</v>
      </c>
      <c r="D1240">
        <v>160</v>
      </c>
      <c r="E1240" t="s">
        <v>43</v>
      </c>
      <c r="F1240">
        <v>4</v>
      </c>
      <c r="G1240">
        <v>1</v>
      </c>
      <c r="H1240" t="s">
        <v>49</v>
      </c>
      <c r="I1240">
        <v>1</v>
      </c>
      <c r="J1240">
        <v>1735</v>
      </c>
      <c r="K1240">
        <v>3</v>
      </c>
      <c r="L1240" t="s">
        <v>38</v>
      </c>
      <c r="M1240">
        <v>51</v>
      </c>
      <c r="N1240">
        <v>3</v>
      </c>
      <c r="O1240">
        <v>1</v>
      </c>
      <c r="P1240" t="s">
        <v>48</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c r="AJ1240">
        <f t="shared" si="19"/>
        <v>0</v>
      </c>
      <c r="AK1240" t="str" cm="1">
        <f t="array" ref="AK1240">_xlfn.IFS(A1240&lt;=30,"18-30",A1240&lt;=45,"31-45",A1240&lt;=60,"46-60",TRUE, "60+")</f>
        <v>18-30</v>
      </c>
      <c r="AL1240" t="str" cm="1">
        <f t="array" ref="AL1240">_xlfn.IFS(F1240&lt;=10,"0-10",F1240&lt;=20,"11-20",TRUE,"20+")</f>
        <v>0-10</v>
      </c>
      <c r="AM1240" t="str" cm="1">
        <f t="array" ref="AM1240">_xlfn.IFS(S1240&lt;=5000,"0-5k",S1240&lt;=10000,"5k-10k",S1240&lt;=15000,"10k-15k",TRUE,"15k+")</f>
        <v>0-5k</v>
      </c>
      <c r="AN1240" t="str" cm="1">
        <f t="array" ref="AN1240">_xlfn.IFS(AF1240&lt;=10,"0-10",AF1240&lt;=20,"10-20",AF1240&lt;=30,"20-30",TRUE,"30+")</f>
        <v>0-10</v>
      </c>
      <c r="AO1240" t="str" cm="1">
        <f t="array" ref="AO1240">_xlfn.IFS(Y1240=1,"Poor",Y1240=2,"Average",Y1240=3,"Good",TRUE,"Excellent")</f>
        <v>Good</v>
      </c>
      <c r="AP1240" t="str" cm="1">
        <f t="array" ref="AP1240">_xlfn.IFS(Q1240=1,"Low",Q1240=2,"Medium",Q1240=3,"High",TRUE,"Very High")</f>
        <v>Medium</v>
      </c>
    </row>
    <row r="1241" spans="1:42" x14ac:dyDescent="0.25">
      <c r="A1241">
        <v>31</v>
      </c>
      <c r="B1241" t="s">
        <v>42</v>
      </c>
      <c r="C1241" t="s">
        <v>91</v>
      </c>
      <c r="D1241">
        <v>163</v>
      </c>
      <c r="E1241" t="s">
        <v>43</v>
      </c>
      <c r="F1241">
        <v>24</v>
      </c>
      <c r="G1241">
        <v>1</v>
      </c>
      <c r="H1241" t="s">
        <v>58</v>
      </c>
      <c r="I1241">
        <v>1</v>
      </c>
      <c r="J1241">
        <v>1736</v>
      </c>
      <c r="K1241">
        <v>4</v>
      </c>
      <c r="L1241" t="s">
        <v>38</v>
      </c>
      <c r="M1241">
        <v>30</v>
      </c>
      <c r="N1241">
        <v>3</v>
      </c>
      <c r="O1241">
        <v>2</v>
      </c>
      <c r="P1241" t="s">
        <v>51</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c r="AJ1241">
        <f t="shared" si="19"/>
        <v>0</v>
      </c>
      <c r="AK1241" t="str" cm="1">
        <f t="array" ref="AK1241">_xlfn.IFS(A1241&lt;=30,"18-30",A1241&lt;=45,"31-45",A1241&lt;=60,"46-60",TRUE, "60+")</f>
        <v>31-45</v>
      </c>
      <c r="AL1241" t="str" cm="1">
        <f t="array" ref="AL1241">_xlfn.IFS(F1241&lt;=10,"0-10",F1241&lt;=20,"11-20",TRUE,"20+")</f>
        <v>20+</v>
      </c>
      <c r="AM1241" t="str" cm="1">
        <f t="array" ref="AM1241">_xlfn.IFS(S1241&lt;=5000,"0-5k",S1241&lt;=10000,"5k-10k",S1241&lt;=15000,"10k-15k",TRUE,"15k+")</f>
        <v>5k-10k</v>
      </c>
      <c r="AN1241" t="str" cm="1">
        <f t="array" ref="AN1241">_xlfn.IFS(AF1241&lt;=10,"0-10",AF1241&lt;=20,"10-20",AF1241&lt;=30,"20-30",TRUE,"30+")</f>
        <v>0-10</v>
      </c>
      <c r="AO1241" t="str" cm="1">
        <f t="array" ref="AO1241">_xlfn.IFS(Y1241=1,"Poor",Y1241=2,"Average",Y1241=3,"Good",TRUE,"Excellent")</f>
        <v>Excellent</v>
      </c>
      <c r="AP1241" t="str" cm="1">
        <f t="array" ref="AP1241">_xlfn.IFS(Q1241=1,"Low",Q1241=2,"Medium",Q1241=3,"High",TRUE,"Very High")</f>
        <v>Very High</v>
      </c>
    </row>
    <row r="1242" spans="1:42" x14ac:dyDescent="0.25">
      <c r="A1242">
        <v>39</v>
      </c>
      <c r="B1242" t="s">
        <v>42</v>
      </c>
      <c r="C1242" t="s">
        <v>53</v>
      </c>
      <c r="D1242">
        <v>792</v>
      </c>
      <c r="E1242" t="s">
        <v>43</v>
      </c>
      <c r="F1242">
        <v>1</v>
      </c>
      <c r="G1242">
        <v>3</v>
      </c>
      <c r="H1242" t="s">
        <v>37</v>
      </c>
      <c r="I1242">
        <v>1</v>
      </c>
      <c r="J1242">
        <v>1737</v>
      </c>
      <c r="K1242">
        <v>4</v>
      </c>
      <c r="L1242" t="s">
        <v>44</v>
      </c>
      <c r="M1242">
        <v>77</v>
      </c>
      <c r="N1242">
        <v>3</v>
      </c>
      <c r="O1242">
        <v>2</v>
      </c>
      <c r="P1242" t="s">
        <v>48</v>
      </c>
      <c r="Q1242">
        <v>4</v>
      </c>
      <c r="R1242" t="s">
        <v>46</v>
      </c>
      <c r="S1242">
        <v>6472</v>
      </c>
      <c r="T1242">
        <v>8989</v>
      </c>
      <c r="U1242">
        <v>1</v>
      </c>
      <c r="V1242" t="s">
        <v>41</v>
      </c>
      <c r="W1242" t="s">
        <v>35</v>
      </c>
      <c r="X1242">
        <v>15</v>
      </c>
      <c r="Y1242">
        <v>3</v>
      </c>
      <c r="Z1242">
        <v>4</v>
      </c>
      <c r="AA1242">
        <v>80</v>
      </c>
      <c r="AB1242">
        <v>1</v>
      </c>
      <c r="AC1242">
        <v>9</v>
      </c>
      <c r="AD1242">
        <v>2</v>
      </c>
      <c r="AE1242">
        <v>3</v>
      </c>
      <c r="AF1242">
        <v>9</v>
      </c>
      <c r="AG1242">
        <v>8</v>
      </c>
      <c r="AH1242">
        <v>5</v>
      </c>
      <c r="AI1242">
        <v>8</v>
      </c>
      <c r="AJ1242">
        <f t="shared" si="19"/>
        <v>0</v>
      </c>
      <c r="AK1242" t="str" cm="1">
        <f t="array" ref="AK1242">_xlfn.IFS(A1242&lt;=30,"18-30",A1242&lt;=45,"31-45",A1242&lt;=60,"46-60",TRUE, "60+")</f>
        <v>31-45</v>
      </c>
      <c r="AL1242" t="str" cm="1">
        <f t="array" ref="AL1242">_xlfn.IFS(F1242&lt;=10,"0-10",F1242&lt;=20,"11-20",TRUE,"20+")</f>
        <v>0-10</v>
      </c>
      <c r="AM1242" t="str" cm="1">
        <f t="array" ref="AM1242">_xlfn.IFS(S1242&lt;=5000,"0-5k",S1242&lt;=10000,"5k-10k",S1242&lt;=15000,"10k-15k",TRUE,"15k+")</f>
        <v>5k-10k</v>
      </c>
      <c r="AN1242" t="str" cm="1">
        <f t="array" ref="AN1242">_xlfn.IFS(AF1242&lt;=10,"0-10",AF1242&lt;=20,"10-20",AF1242&lt;=30,"20-30",TRUE,"30+")</f>
        <v>0-10</v>
      </c>
      <c r="AO1242" t="str" cm="1">
        <f t="array" ref="AO1242">_xlfn.IFS(Y1242=1,"Poor",Y1242=2,"Average",Y1242=3,"Good",TRUE,"Excellent")</f>
        <v>Good</v>
      </c>
      <c r="AP1242" t="str" cm="1">
        <f t="array" ref="AP1242">_xlfn.IFS(Q1242=1,"Low",Q1242=2,"Medium",Q1242=3,"High",TRUE,"Very High")</f>
        <v>Very High</v>
      </c>
    </row>
    <row r="1243" spans="1:42" x14ac:dyDescent="0.25">
      <c r="A1243">
        <v>32</v>
      </c>
      <c r="B1243" t="s">
        <v>42</v>
      </c>
      <c r="C1243" t="s">
        <v>90</v>
      </c>
      <c r="D1243">
        <v>371</v>
      </c>
      <c r="E1243" t="s">
        <v>36</v>
      </c>
      <c r="F1243">
        <v>19</v>
      </c>
      <c r="G1243">
        <v>3</v>
      </c>
      <c r="H1243" t="s">
        <v>37</v>
      </c>
      <c r="I1243">
        <v>1</v>
      </c>
      <c r="J1243">
        <v>1739</v>
      </c>
      <c r="K1243">
        <v>4</v>
      </c>
      <c r="L1243" t="s">
        <v>44</v>
      </c>
      <c r="M1243">
        <v>80</v>
      </c>
      <c r="N1243">
        <v>1</v>
      </c>
      <c r="O1243">
        <v>3</v>
      </c>
      <c r="P1243" t="s">
        <v>39</v>
      </c>
      <c r="Q1243">
        <v>3</v>
      </c>
      <c r="R1243" t="s">
        <v>46</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c r="AJ1243">
        <f t="shared" si="19"/>
        <v>0</v>
      </c>
      <c r="AK1243" t="str" cm="1">
        <f t="array" ref="AK1243">_xlfn.IFS(A1243&lt;=30,"18-30",A1243&lt;=45,"31-45",A1243&lt;=60,"46-60",TRUE, "60+")</f>
        <v>31-45</v>
      </c>
      <c r="AL1243" t="str" cm="1">
        <f t="array" ref="AL1243">_xlfn.IFS(F1243&lt;=10,"0-10",F1243&lt;=20,"11-20",TRUE,"20+")</f>
        <v>11-20</v>
      </c>
      <c r="AM1243" t="str" cm="1">
        <f t="array" ref="AM1243">_xlfn.IFS(S1243&lt;=5000,"0-5k",S1243&lt;=10000,"5k-10k",S1243&lt;=15000,"10k-15k",TRUE,"15k+")</f>
        <v>5k-10k</v>
      </c>
      <c r="AN1243" t="str" cm="1">
        <f t="array" ref="AN1243">_xlfn.IFS(AF1243&lt;=10,"0-10",AF1243&lt;=20,"10-20",AF1243&lt;=30,"20-30",TRUE,"30+")</f>
        <v>0-10</v>
      </c>
      <c r="AO1243" t="str" cm="1">
        <f t="array" ref="AO1243">_xlfn.IFS(Y1243=1,"Poor",Y1243=2,"Average",Y1243=3,"Good",TRUE,"Excellent")</f>
        <v>Good</v>
      </c>
      <c r="AP1243" t="str" cm="1">
        <f t="array" ref="AP1243">_xlfn.IFS(Q1243=1,"Low",Q1243=2,"Medium",Q1243=3,"High",TRUE,"Very High")</f>
        <v>High</v>
      </c>
    </row>
    <row r="1244" spans="1:42" x14ac:dyDescent="0.25">
      <c r="A1244">
        <v>40</v>
      </c>
      <c r="B1244" t="s">
        <v>42</v>
      </c>
      <c r="C1244" t="s">
        <v>90</v>
      </c>
      <c r="D1244">
        <v>611</v>
      </c>
      <c r="E1244" t="s">
        <v>36</v>
      </c>
      <c r="F1244">
        <v>7</v>
      </c>
      <c r="G1244">
        <v>4</v>
      </c>
      <c r="H1244" t="s">
        <v>49</v>
      </c>
      <c r="I1244">
        <v>1</v>
      </c>
      <c r="J1244">
        <v>1740</v>
      </c>
      <c r="K1244">
        <v>2</v>
      </c>
      <c r="L1244" t="s">
        <v>44</v>
      </c>
      <c r="M1244">
        <v>88</v>
      </c>
      <c r="N1244">
        <v>3</v>
      </c>
      <c r="O1244">
        <v>5</v>
      </c>
      <c r="P1244" t="s">
        <v>54</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c r="AJ1244">
        <f t="shared" si="19"/>
        <v>0</v>
      </c>
      <c r="AK1244" t="str" cm="1">
        <f t="array" ref="AK1244">_xlfn.IFS(A1244&lt;=30,"18-30",A1244&lt;=45,"31-45",A1244&lt;=60,"46-60",TRUE, "60+")</f>
        <v>31-45</v>
      </c>
      <c r="AL1244" t="str" cm="1">
        <f t="array" ref="AL1244">_xlfn.IFS(F1244&lt;=10,"0-10",F1244&lt;=20,"11-20",TRUE,"20+")</f>
        <v>0-10</v>
      </c>
      <c r="AM1244" t="str" cm="1">
        <f t="array" ref="AM1244">_xlfn.IFS(S1244&lt;=5000,"0-5k",S1244&lt;=10000,"5k-10k",S1244&lt;=15000,"10k-15k",TRUE,"15k+")</f>
        <v>15k+</v>
      </c>
      <c r="AN1244" t="str" cm="1">
        <f t="array" ref="AN1244">_xlfn.IFS(AF1244&lt;=10,"0-10",AF1244&lt;=20,"10-20",AF1244&lt;=30,"20-30",TRUE,"30+")</f>
        <v>20-30</v>
      </c>
      <c r="AO1244" t="str" cm="1">
        <f t="array" ref="AO1244">_xlfn.IFS(Y1244=1,"Poor",Y1244=2,"Average",Y1244=3,"Good",TRUE,"Excellent")</f>
        <v>Good</v>
      </c>
      <c r="AP1244" t="str" cm="1">
        <f t="array" ref="AP1244">_xlfn.IFS(Q1244=1,"Low",Q1244=2,"Medium",Q1244=3,"High",TRUE,"Very High")</f>
        <v>Medium</v>
      </c>
    </row>
    <row r="1245" spans="1:42" x14ac:dyDescent="0.25">
      <c r="A1245">
        <v>45</v>
      </c>
      <c r="B1245" t="s">
        <v>42</v>
      </c>
      <c r="C1245" t="s">
        <v>90</v>
      </c>
      <c r="D1245">
        <v>176</v>
      </c>
      <c r="E1245" t="s">
        <v>59</v>
      </c>
      <c r="F1245">
        <v>4</v>
      </c>
      <c r="G1245">
        <v>3</v>
      </c>
      <c r="H1245" t="s">
        <v>37</v>
      </c>
      <c r="I1245">
        <v>1</v>
      </c>
      <c r="J1245">
        <v>1744</v>
      </c>
      <c r="K1245">
        <v>3</v>
      </c>
      <c r="L1245" t="s">
        <v>38</v>
      </c>
      <c r="M1245">
        <v>56</v>
      </c>
      <c r="N1245">
        <v>1</v>
      </c>
      <c r="O1245">
        <v>3</v>
      </c>
      <c r="P1245" t="s">
        <v>59</v>
      </c>
      <c r="Q1245">
        <v>3</v>
      </c>
      <c r="R1245" t="s">
        <v>46</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c r="AJ1245">
        <f t="shared" si="19"/>
        <v>0</v>
      </c>
      <c r="AK1245" t="str" cm="1">
        <f t="array" ref="AK1245">_xlfn.IFS(A1245&lt;=30,"18-30",A1245&lt;=45,"31-45",A1245&lt;=60,"46-60",TRUE, "60+")</f>
        <v>31-45</v>
      </c>
      <c r="AL1245" t="str" cm="1">
        <f t="array" ref="AL1245">_xlfn.IFS(F1245&lt;=10,"0-10",F1245&lt;=20,"11-20",TRUE,"20+")</f>
        <v>0-10</v>
      </c>
      <c r="AM1245" t="str" cm="1">
        <f t="array" ref="AM1245">_xlfn.IFS(S1245&lt;=5000,"0-5k",S1245&lt;=10000,"5k-10k",S1245&lt;=15000,"10k-15k",TRUE,"15k+")</f>
        <v>5k-10k</v>
      </c>
      <c r="AN1245" t="str" cm="1">
        <f t="array" ref="AN1245">_xlfn.IFS(AF1245&lt;=10,"0-10",AF1245&lt;=20,"10-20",AF1245&lt;=30,"20-30",TRUE,"30+")</f>
        <v>0-10</v>
      </c>
      <c r="AO1245" t="str" cm="1">
        <f t="array" ref="AO1245">_xlfn.IFS(Y1245=1,"Poor",Y1245=2,"Average",Y1245=3,"Good",TRUE,"Excellent")</f>
        <v>Excellent</v>
      </c>
      <c r="AP1245" t="str" cm="1">
        <f t="array" ref="AP1245">_xlfn.IFS(Q1245=1,"Low",Q1245=2,"Medium",Q1245=3,"High",TRUE,"Very High")</f>
        <v>High</v>
      </c>
    </row>
    <row r="1246" spans="1:42" x14ac:dyDescent="0.25">
      <c r="A1246">
        <v>30</v>
      </c>
      <c r="B1246" t="s">
        <v>42</v>
      </c>
      <c r="C1246" t="s">
        <v>91</v>
      </c>
      <c r="D1246">
        <v>1312</v>
      </c>
      <c r="E1246" t="s">
        <v>43</v>
      </c>
      <c r="F1246">
        <v>2</v>
      </c>
      <c r="G1246">
        <v>4</v>
      </c>
      <c r="H1246" t="s">
        <v>58</v>
      </c>
      <c r="I1246">
        <v>1</v>
      </c>
      <c r="J1246">
        <v>1745</v>
      </c>
      <c r="K1246">
        <v>4</v>
      </c>
      <c r="L1246" t="s">
        <v>38</v>
      </c>
      <c r="M1246">
        <v>78</v>
      </c>
      <c r="N1246">
        <v>2</v>
      </c>
      <c r="O1246">
        <v>1</v>
      </c>
      <c r="P1246" t="s">
        <v>45</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c r="AJ1246">
        <f t="shared" si="19"/>
        <v>0</v>
      </c>
      <c r="AK1246" t="str" cm="1">
        <f t="array" ref="AK1246">_xlfn.IFS(A1246&lt;=30,"18-30",A1246&lt;=45,"31-45",A1246&lt;=60,"46-60",TRUE, "60+")</f>
        <v>18-30</v>
      </c>
      <c r="AL1246" t="str" cm="1">
        <f t="array" ref="AL1246">_xlfn.IFS(F1246&lt;=10,"0-10",F1246&lt;=20,"11-20",TRUE,"20+")</f>
        <v>0-10</v>
      </c>
      <c r="AM1246" t="str" cm="1">
        <f t="array" ref="AM1246">_xlfn.IFS(S1246&lt;=5000,"0-5k",S1246&lt;=10000,"5k-10k",S1246&lt;=15000,"10k-15k",TRUE,"15k+")</f>
        <v>0-5k</v>
      </c>
      <c r="AN1246" t="str" cm="1">
        <f t="array" ref="AN1246">_xlfn.IFS(AF1246&lt;=10,"0-10",AF1246&lt;=20,"10-20",AF1246&lt;=30,"20-30",TRUE,"30+")</f>
        <v>0-10</v>
      </c>
      <c r="AO1246" t="str" cm="1">
        <f t="array" ref="AO1246">_xlfn.IFS(Y1246=1,"Poor",Y1246=2,"Average",Y1246=3,"Good",TRUE,"Excellent")</f>
        <v>Good</v>
      </c>
      <c r="AP1246" t="str" cm="1">
        <f t="array" ref="AP1246">_xlfn.IFS(Q1246=1,"Low",Q1246=2,"Medium",Q1246=3,"High",TRUE,"Very High")</f>
        <v>Low</v>
      </c>
    </row>
    <row r="1247" spans="1:42" x14ac:dyDescent="0.25">
      <c r="A1247">
        <v>24</v>
      </c>
      <c r="B1247" t="s">
        <v>42</v>
      </c>
      <c r="C1247" t="s">
        <v>91</v>
      </c>
      <c r="D1247">
        <v>897</v>
      </c>
      <c r="E1247" t="s">
        <v>59</v>
      </c>
      <c r="F1247">
        <v>10</v>
      </c>
      <c r="G1247">
        <v>3</v>
      </c>
      <c r="H1247" t="s">
        <v>49</v>
      </c>
      <c r="I1247">
        <v>1</v>
      </c>
      <c r="J1247">
        <v>1746</v>
      </c>
      <c r="K1247">
        <v>1</v>
      </c>
      <c r="L1247" t="s">
        <v>44</v>
      </c>
      <c r="M1247">
        <v>59</v>
      </c>
      <c r="N1247">
        <v>3</v>
      </c>
      <c r="O1247">
        <v>1</v>
      </c>
      <c r="P1247" t="s">
        <v>59</v>
      </c>
      <c r="Q1247">
        <v>4</v>
      </c>
      <c r="R1247" t="s">
        <v>46</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c r="AJ1247">
        <f t="shared" si="19"/>
        <v>0</v>
      </c>
      <c r="AK1247" t="str" cm="1">
        <f t="array" ref="AK1247">_xlfn.IFS(A1247&lt;=30,"18-30",A1247&lt;=45,"31-45",A1247&lt;=60,"46-60",TRUE, "60+")</f>
        <v>18-30</v>
      </c>
      <c r="AL1247" t="str" cm="1">
        <f t="array" ref="AL1247">_xlfn.IFS(F1247&lt;=10,"0-10",F1247&lt;=20,"11-20",TRUE,"20+")</f>
        <v>0-10</v>
      </c>
      <c r="AM1247" t="str" cm="1">
        <f t="array" ref="AM1247">_xlfn.IFS(S1247&lt;=5000,"0-5k",S1247&lt;=10000,"5k-10k",S1247&lt;=15000,"10k-15k",TRUE,"15k+")</f>
        <v>0-5k</v>
      </c>
      <c r="AN1247" t="str" cm="1">
        <f t="array" ref="AN1247">_xlfn.IFS(AF1247&lt;=10,"0-10",AF1247&lt;=20,"10-20",AF1247&lt;=30,"20-30",TRUE,"30+")</f>
        <v>0-10</v>
      </c>
      <c r="AO1247" t="str" cm="1">
        <f t="array" ref="AO1247">_xlfn.IFS(Y1247=1,"Poor",Y1247=2,"Average",Y1247=3,"Good",TRUE,"Excellent")</f>
        <v>Good</v>
      </c>
      <c r="AP1247" t="str" cm="1">
        <f t="array" ref="AP1247">_xlfn.IFS(Q1247=1,"Low",Q1247=2,"Medium",Q1247=3,"High",TRUE,"Very High")</f>
        <v>Very High</v>
      </c>
    </row>
    <row r="1248" spans="1:42" x14ac:dyDescent="0.25">
      <c r="A1248">
        <v>30</v>
      </c>
      <c r="B1248" t="s">
        <v>35</v>
      </c>
      <c r="C1248" t="s">
        <v>91</v>
      </c>
      <c r="D1248">
        <v>600</v>
      </c>
      <c r="E1248" t="s">
        <v>59</v>
      </c>
      <c r="F1248">
        <v>8</v>
      </c>
      <c r="G1248">
        <v>3</v>
      </c>
      <c r="H1248" t="s">
        <v>59</v>
      </c>
      <c r="I1248">
        <v>1</v>
      </c>
      <c r="J1248">
        <v>1747</v>
      </c>
      <c r="K1248">
        <v>3</v>
      </c>
      <c r="L1248" t="s">
        <v>38</v>
      </c>
      <c r="M1248">
        <v>66</v>
      </c>
      <c r="N1248">
        <v>2</v>
      </c>
      <c r="O1248">
        <v>1</v>
      </c>
      <c r="P1248" t="s">
        <v>59</v>
      </c>
      <c r="Q1248">
        <v>4</v>
      </c>
      <c r="R1248" t="s">
        <v>50</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c r="AJ1248">
        <f t="shared" si="19"/>
        <v>1</v>
      </c>
      <c r="AK1248" t="str" cm="1">
        <f t="array" ref="AK1248">_xlfn.IFS(A1248&lt;=30,"18-30",A1248&lt;=45,"31-45",A1248&lt;=60,"46-60",TRUE, "60+")</f>
        <v>18-30</v>
      </c>
      <c r="AL1248" t="str" cm="1">
        <f t="array" ref="AL1248">_xlfn.IFS(F1248&lt;=10,"0-10",F1248&lt;=20,"11-20",TRUE,"20+")</f>
        <v>0-10</v>
      </c>
      <c r="AM1248" t="str" cm="1">
        <f t="array" ref="AM1248">_xlfn.IFS(S1248&lt;=5000,"0-5k",S1248&lt;=10000,"5k-10k",S1248&lt;=15000,"10k-15k",TRUE,"15k+")</f>
        <v>0-5k</v>
      </c>
      <c r="AN1248" t="str" cm="1">
        <f t="array" ref="AN1248">_xlfn.IFS(AF1248&lt;=10,"0-10",AF1248&lt;=20,"10-20",AF1248&lt;=30,"20-30",TRUE,"30+")</f>
        <v>0-10</v>
      </c>
      <c r="AO1248" t="str" cm="1">
        <f t="array" ref="AO1248">_xlfn.IFS(Y1248=1,"Poor",Y1248=2,"Average",Y1248=3,"Good",TRUE,"Excellent")</f>
        <v>Good</v>
      </c>
      <c r="AP1248" t="str" cm="1">
        <f t="array" ref="AP1248">_xlfn.IFS(Q1248=1,"Low",Q1248=2,"Medium",Q1248=3,"High",TRUE,"Very High")</f>
        <v>Very High</v>
      </c>
    </row>
    <row r="1249" spans="1:42" x14ac:dyDescent="0.25">
      <c r="A1249">
        <v>31</v>
      </c>
      <c r="B1249" t="s">
        <v>42</v>
      </c>
      <c r="C1249" t="s">
        <v>90</v>
      </c>
      <c r="D1249">
        <v>1003</v>
      </c>
      <c r="E1249" t="s">
        <v>36</v>
      </c>
      <c r="F1249">
        <v>5</v>
      </c>
      <c r="G1249">
        <v>3</v>
      </c>
      <c r="H1249" t="s">
        <v>58</v>
      </c>
      <c r="I1249">
        <v>1</v>
      </c>
      <c r="J1249">
        <v>1749</v>
      </c>
      <c r="K1249">
        <v>1</v>
      </c>
      <c r="L1249" t="s">
        <v>44</v>
      </c>
      <c r="M1249">
        <v>51</v>
      </c>
      <c r="N1249">
        <v>3</v>
      </c>
      <c r="O1249">
        <v>2</v>
      </c>
      <c r="P1249" t="s">
        <v>39</v>
      </c>
      <c r="Q1249">
        <v>3</v>
      </c>
      <c r="R1249" t="s">
        <v>46</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c r="AJ1249">
        <f t="shared" si="19"/>
        <v>0</v>
      </c>
      <c r="AK1249" t="str" cm="1">
        <f t="array" ref="AK1249">_xlfn.IFS(A1249&lt;=30,"18-30",A1249&lt;=45,"31-45",A1249&lt;=60,"46-60",TRUE, "60+")</f>
        <v>31-45</v>
      </c>
      <c r="AL1249" t="str" cm="1">
        <f t="array" ref="AL1249">_xlfn.IFS(F1249&lt;=10,"0-10",F1249&lt;=20,"11-20",TRUE,"20+")</f>
        <v>0-10</v>
      </c>
      <c r="AM1249" t="str" cm="1">
        <f t="array" ref="AM1249">_xlfn.IFS(S1249&lt;=5000,"0-5k",S1249&lt;=10000,"5k-10k",S1249&lt;=15000,"10k-15k",TRUE,"15k+")</f>
        <v>5k-10k</v>
      </c>
      <c r="AN1249" t="str" cm="1">
        <f t="array" ref="AN1249">_xlfn.IFS(AF1249&lt;=10,"0-10",AF1249&lt;=20,"10-20",AF1249&lt;=30,"20-30",TRUE,"30+")</f>
        <v>0-10</v>
      </c>
      <c r="AO1249" t="str" cm="1">
        <f t="array" ref="AO1249">_xlfn.IFS(Y1249=1,"Poor",Y1249=2,"Average",Y1249=3,"Good",TRUE,"Excellent")</f>
        <v>Good</v>
      </c>
      <c r="AP1249" t="str" cm="1">
        <f t="array" ref="AP1249">_xlfn.IFS(Q1249=1,"Low",Q1249=2,"Medium",Q1249=3,"High",TRUE,"Very High")</f>
        <v>High</v>
      </c>
    </row>
    <row r="1250" spans="1:42" x14ac:dyDescent="0.25">
      <c r="A1250">
        <v>27</v>
      </c>
      <c r="B1250" t="s">
        <v>42</v>
      </c>
      <c r="C1250" t="s">
        <v>90</v>
      </c>
      <c r="D1250">
        <v>1054</v>
      </c>
      <c r="E1250" t="s">
        <v>43</v>
      </c>
      <c r="F1250">
        <v>8</v>
      </c>
      <c r="G1250">
        <v>3</v>
      </c>
      <c r="H1250" t="s">
        <v>49</v>
      </c>
      <c r="I1250">
        <v>1</v>
      </c>
      <c r="J1250">
        <v>1751</v>
      </c>
      <c r="K1250">
        <v>3</v>
      </c>
      <c r="L1250" t="s">
        <v>38</v>
      </c>
      <c r="M1250">
        <v>67</v>
      </c>
      <c r="N1250">
        <v>3</v>
      </c>
      <c r="O1250">
        <v>1</v>
      </c>
      <c r="P1250" t="s">
        <v>45</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c r="AJ1250">
        <f t="shared" si="19"/>
        <v>0</v>
      </c>
      <c r="AK1250" t="str" cm="1">
        <f t="array" ref="AK1250">_xlfn.IFS(A1250&lt;=30,"18-30",A1250&lt;=45,"31-45",A1250&lt;=60,"46-60",TRUE, "60+")</f>
        <v>18-30</v>
      </c>
      <c r="AL1250" t="str" cm="1">
        <f t="array" ref="AL1250">_xlfn.IFS(F1250&lt;=10,"0-10",F1250&lt;=20,"11-20",TRUE,"20+")</f>
        <v>0-10</v>
      </c>
      <c r="AM1250" t="str" cm="1">
        <f t="array" ref="AM1250">_xlfn.IFS(S1250&lt;=5000,"0-5k",S1250&lt;=10000,"5k-10k",S1250&lt;=15000,"10k-15k",TRUE,"15k+")</f>
        <v>0-5k</v>
      </c>
      <c r="AN1250" t="str" cm="1">
        <f t="array" ref="AN1250">_xlfn.IFS(AF1250&lt;=10,"0-10",AF1250&lt;=20,"10-20",AF1250&lt;=30,"20-30",TRUE,"30+")</f>
        <v>0-10</v>
      </c>
      <c r="AO1250" t="str" cm="1">
        <f t="array" ref="AO1250">_xlfn.IFS(Y1250=1,"Poor",Y1250=2,"Average",Y1250=3,"Good",TRUE,"Excellent")</f>
        <v>Good</v>
      </c>
      <c r="AP1250" t="str" cm="1">
        <f t="array" ref="AP1250">_xlfn.IFS(Q1250=1,"Low",Q1250=2,"Medium",Q1250=3,"High",TRUE,"Very High")</f>
        <v>Very High</v>
      </c>
    </row>
    <row r="1251" spans="1:42" x14ac:dyDescent="0.25">
      <c r="A1251">
        <v>29</v>
      </c>
      <c r="B1251" t="s">
        <v>35</v>
      </c>
      <c r="C1251" t="s">
        <v>90</v>
      </c>
      <c r="D1251">
        <v>428</v>
      </c>
      <c r="E1251" t="s">
        <v>36</v>
      </c>
      <c r="F1251">
        <v>9</v>
      </c>
      <c r="G1251">
        <v>3</v>
      </c>
      <c r="H1251" t="s">
        <v>57</v>
      </c>
      <c r="I1251">
        <v>1</v>
      </c>
      <c r="J1251">
        <v>1752</v>
      </c>
      <c r="K1251">
        <v>2</v>
      </c>
      <c r="L1251" t="s">
        <v>38</v>
      </c>
      <c r="M1251">
        <v>52</v>
      </c>
      <c r="N1251">
        <v>1</v>
      </c>
      <c r="O1251">
        <v>1</v>
      </c>
      <c r="P1251" t="s">
        <v>55</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c r="AJ1251">
        <f t="shared" si="19"/>
        <v>1</v>
      </c>
      <c r="AK1251" t="str" cm="1">
        <f t="array" ref="AK1251">_xlfn.IFS(A1251&lt;=30,"18-30",A1251&lt;=45,"31-45",A1251&lt;=60,"46-60",TRUE, "60+")</f>
        <v>18-30</v>
      </c>
      <c r="AL1251" t="str" cm="1">
        <f t="array" ref="AL1251">_xlfn.IFS(F1251&lt;=10,"0-10",F1251&lt;=20,"11-20",TRUE,"20+")</f>
        <v>0-10</v>
      </c>
      <c r="AM1251" t="str" cm="1">
        <f t="array" ref="AM1251">_xlfn.IFS(S1251&lt;=5000,"0-5k",S1251&lt;=10000,"5k-10k",S1251&lt;=15000,"10k-15k",TRUE,"15k+")</f>
        <v>0-5k</v>
      </c>
      <c r="AN1251" t="str" cm="1">
        <f t="array" ref="AN1251">_xlfn.IFS(AF1251&lt;=10,"0-10",AF1251&lt;=20,"10-20",AF1251&lt;=30,"20-30",TRUE,"30+")</f>
        <v>0-10</v>
      </c>
      <c r="AO1251" t="str" cm="1">
        <f t="array" ref="AO1251">_xlfn.IFS(Y1251=1,"Poor",Y1251=2,"Average",Y1251=3,"Good",TRUE,"Excellent")</f>
        <v>Good</v>
      </c>
      <c r="AP1251" t="str" cm="1">
        <f t="array" ref="AP1251">_xlfn.IFS(Q1251=1,"Low",Q1251=2,"Medium",Q1251=3,"High",TRUE,"Very High")</f>
        <v>Medium</v>
      </c>
    </row>
    <row r="1252" spans="1:42" x14ac:dyDescent="0.25">
      <c r="A1252">
        <v>29</v>
      </c>
      <c r="B1252" t="s">
        <v>42</v>
      </c>
      <c r="C1252" t="s">
        <v>91</v>
      </c>
      <c r="D1252">
        <v>461</v>
      </c>
      <c r="E1252" t="s">
        <v>43</v>
      </c>
      <c r="F1252">
        <v>1</v>
      </c>
      <c r="G1252">
        <v>3</v>
      </c>
      <c r="H1252" t="s">
        <v>37</v>
      </c>
      <c r="I1252">
        <v>1</v>
      </c>
      <c r="J1252">
        <v>1753</v>
      </c>
      <c r="K1252">
        <v>4</v>
      </c>
      <c r="L1252" t="s">
        <v>44</v>
      </c>
      <c r="M1252">
        <v>70</v>
      </c>
      <c r="N1252">
        <v>4</v>
      </c>
      <c r="O1252">
        <v>2</v>
      </c>
      <c r="P1252" t="s">
        <v>52</v>
      </c>
      <c r="Q1252">
        <v>3</v>
      </c>
      <c r="R1252" t="s">
        <v>40</v>
      </c>
      <c r="S1252">
        <v>6294</v>
      </c>
      <c r="T1252">
        <v>23060</v>
      </c>
      <c r="U1252">
        <v>8</v>
      </c>
      <c r="V1252" t="s">
        <v>41</v>
      </c>
      <c r="W1252" t="s">
        <v>35</v>
      </c>
      <c r="X1252">
        <v>12</v>
      </c>
      <c r="Y1252">
        <v>3</v>
      </c>
      <c r="Z1252">
        <v>4</v>
      </c>
      <c r="AA1252">
        <v>80</v>
      </c>
      <c r="AB1252">
        <v>0</v>
      </c>
      <c r="AC1252">
        <v>10</v>
      </c>
      <c r="AD1252">
        <v>5</v>
      </c>
      <c r="AE1252">
        <v>4</v>
      </c>
      <c r="AF1252">
        <v>3</v>
      </c>
      <c r="AG1252">
        <v>2</v>
      </c>
      <c r="AH1252">
        <v>0</v>
      </c>
      <c r="AI1252">
        <v>2</v>
      </c>
      <c r="AJ1252">
        <f t="shared" si="19"/>
        <v>0</v>
      </c>
      <c r="AK1252" t="str" cm="1">
        <f t="array" ref="AK1252">_xlfn.IFS(A1252&lt;=30,"18-30",A1252&lt;=45,"31-45",A1252&lt;=60,"46-60",TRUE, "60+")</f>
        <v>18-30</v>
      </c>
      <c r="AL1252" t="str" cm="1">
        <f t="array" ref="AL1252">_xlfn.IFS(F1252&lt;=10,"0-10",F1252&lt;=20,"11-20",TRUE,"20+")</f>
        <v>0-10</v>
      </c>
      <c r="AM1252" t="str" cm="1">
        <f t="array" ref="AM1252">_xlfn.IFS(S1252&lt;=5000,"0-5k",S1252&lt;=10000,"5k-10k",S1252&lt;=15000,"10k-15k",TRUE,"15k+")</f>
        <v>5k-10k</v>
      </c>
      <c r="AN1252" t="str" cm="1">
        <f t="array" ref="AN1252">_xlfn.IFS(AF1252&lt;=10,"0-10",AF1252&lt;=20,"10-20",AF1252&lt;=30,"20-30",TRUE,"30+")</f>
        <v>0-10</v>
      </c>
      <c r="AO1252" t="str" cm="1">
        <f t="array" ref="AO1252">_xlfn.IFS(Y1252=1,"Poor",Y1252=2,"Average",Y1252=3,"Good",TRUE,"Excellent")</f>
        <v>Good</v>
      </c>
      <c r="AP1252" t="str" cm="1">
        <f t="array" ref="AP1252">_xlfn.IFS(Q1252=1,"Low",Q1252=2,"Medium",Q1252=3,"High",TRUE,"Very High")</f>
        <v>High</v>
      </c>
    </row>
    <row r="1253" spans="1:42" x14ac:dyDescent="0.25">
      <c r="A1253">
        <v>30</v>
      </c>
      <c r="B1253" t="s">
        <v>42</v>
      </c>
      <c r="C1253" t="s">
        <v>90</v>
      </c>
      <c r="D1253">
        <v>979</v>
      </c>
      <c r="E1253" t="s">
        <v>36</v>
      </c>
      <c r="F1253">
        <v>15</v>
      </c>
      <c r="G1253">
        <v>2</v>
      </c>
      <c r="H1253" t="s">
        <v>57</v>
      </c>
      <c r="I1253">
        <v>1</v>
      </c>
      <c r="J1253">
        <v>1754</v>
      </c>
      <c r="K1253">
        <v>3</v>
      </c>
      <c r="L1253" t="s">
        <v>44</v>
      </c>
      <c r="M1253">
        <v>94</v>
      </c>
      <c r="N1253">
        <v>2</v>
      </c>
      <c r="O1253">
        <v>3</v>
      </c>
      <c r="P1253" t="s">
        <v>39</v>
      </c>
      <c r="Q1253">
        <v>1</v>
      </c>
      <c r="R1253" t="s">
        <v>50</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c r="AJ1253">
        <f t="shared" si="19"/>
        <v>0</v>
      </c>
      <c r="AK1253" t="str" cm="1">
        <f t="array" ref="AK1253">_xlfn.IFS(A1253&lt;=30,"18-30",A1253&lt;=45,"31-45",A1253&lt;=60,"46-60",TRUE, "60+")</f>
        <v>18-30</v>
      </c>
      <c r="AL1253" t="str" cm="1">
        <f t="array" ref="AL1253">_xlfn.IFS(F1253&lt;=10,"0-10",F1253&lt;=20,"11-20",TRUE,"20+")</f>
        <v>11-20</v>
      </c>
      <c r="AM1253" t="str" cm="1">
        <f t="array" ref="AM1253">_xlfn.IFS(S1253&lt;=5000,"0-5k",S1253&lt;=10000,"5k-10k",S1253&lt;=15000,"10k-15k",TRUE,"15k+")</f>
        <v>5k-10k</v>
      </c>
      <c r="AN1253" t="str" cm="1">
        <f t="array" ref="AN1253">_xlfn.IFS(AF1253&lt;=10,"0-10",AF1253&lt;=20,"10-20",AF1253&lt;=30,"20-30",TRUE,"30+")</f>
        <v>0-10</v>
      </c>
      <c r="AO1253" t="str" cm="1">
        <f t="array" ref="AO1253">_xlfn.IFS(Y1253=1,"Poor",Y1253=2,"Average",Y1253=3,"Good",TRUE,"Excellent")</f>
        <v>Good</v>
      </c>
      <c r="AP1253" t="str" cm="1">
        <f t="array" ref="AP1253">_xlfn.IFS(Q1253=1,"Low",Q1253=2,"Medium",Q1253=3,"High",TRUE,"Very High")</f>
        <v>Low</v>
      </c>
    </row>
    <row r="1254" spans="1:42" x14ac:dyDescent="0.25">
      <c r="A1254">
        <v>34</v>
      </c>
      <c r="B1254" t="s">
        <v>42</v>
      </c>
      <c r="C1254" t="s">
        <v>90</v>
      </c>
      <c r="D1254">
        <v>181</v>
      </c>
      <c r="E1254" t="s">
        <v>43</v>
      </c>
      <c r="F1254">
        <v>2</v>
      </c>
      <c r="G1254">
        <v>4</v>
      </c>
      <c r="H1254" t="s">
        <v>49</v>
      </c>
      <c r="I1254">
        <v>1</v>
      </c>
      <c r="J1254">
        <v>1755</v>
      </c>
      <c r="K1254">
        <v>4</v>
      </c>
      <c r="L1254" t="s">
        <v>44</v>
      </c>
      <c r="M1254">
        <v>97</v>
      </c>
      <c r="N1254">
        <v>4</v>
      </c>
      <c r="O1254">
        <v>1</v>
      </c>
      <c r="P1254" t="s">
        <v>45</v>
      </c>
      <c r="Q1254">
        <v>4</v>
      </c>
      <c r="R1254" t="s">
        <v>46</v>
      </c>
      <c r="S1254">
        <v>2932</v>
      </c>
      <c r="T1254">
        <v>5586</v>
      </c>
      <c r="U1254">
        <v>0</v>
      </c>
      <c r="V1254" t="s">
        <v>41</v>
      </c>
      <c r="W1254" t="s">
        <v>35</v>
      </c>
      <c r="X1254">
        <v>14</v>
      </c>
      <c r="Y1254">
        <v>3</v>
      </c>
      <c r="Z1254">
        <v>1</v>
      </c>
      <c r="AA1254">
        <v>80</v>
      </c>
      <c r="AB1254">
        <v>3</v>
      </c>
      <c r="AC1254">
        <v>6</v>
      </c>
      <c r="AD1254">
        <v>3</v>
      </c>
      <c r="AE1254">
        <v>3</v>
      </c>
      <c r="AF1254">
        <v>5</v>
      </c>
      <c r="AG1254">
        <v>0</v>
      </c>
      <c r="AH1254">
        <v>1</v>
      </c>
      <c r="AI1254">
        <v>2</v>
      </c>
      <c r="AJ1254">
        <f t="shared" si="19"/>
        <v>0</v>
      </c>
      <c r="AK1254" t="str" cm="1">
        <f t="array" ref="AK1254">_xlfn.IFS(A1254&lt;=30,"18-30",A1254&lt;=45,"31-45",A1254&lt;=60,"46-60",TRUE, "60+")</f>
        <v>31-45</v>
      </c>
      <c r="AL1254" t="str" cm="1">
        <f t="array" ref="AL1254">_xlfn.IFS(F1254&lt;=10,"0-10",F1254&lt;=20,"11-20",TRUE,"20+")</f>
        <v>0-10</v>
      </c>
      <c r="AM1254" t="str" cm="1">
        <f t="array" ref="AM1254">_xlfn.IFS(S1254&lt;=5000,"0-5k",S1254&lt;=10000,"5k-10k",S1254&lt;=15000,"10k-15k",TRUE,"15k+")</f>
        <v>0-5k</v>
      </c>
      <c r="AN1254" t="str" cm="1">
        <f t="array" ref="AN1254">_xlfn.IFS(AF1254&lt;=10,"0-10",AF1254&lt;=20,"10-20",AF1254&lt;=30,"20-30",TRUE,"30+")</f>
        <v>0-10</v>
      </c>
      <c r="AO1254" t="str" cm="1">
        <f t="array" ref="AO1254">_xlfn.IFS(Y1254=1,"Poor",Y1254=2,"Average",Y1254=3,"Good",TRUE,"Excellent")</f>
        <v>Good</v>
      </c>
      <c r="AP1254" t="str" cm="1">
        <f t="array" ref="AP1254">_xlfn.IFS(Q1254=1,"Low",Q1254=2,"Medium",Q1254=3,"High",TRUE,"Very High")</f>
        <v>Very High</v>
      </c>
    </row>
    <row r="1255" spans="1:42" x14ac:dyDescent="0.25">
      <c r="A1255">
        <v>33</v>
      </c>
      <c r="B1255" t="s">
        <v>42</v>
      </c>
      <c r="C1255" t="s">
        <v>53</v>
      </c>
      <c r="D1255">
        <v>1283</v>
      </c>
      <c r="E1255" t="s">
        <v>36</v>
      </c>
      <c r="F1255">
        <v>2</v>
      </c>
      <c r="G1255">
        <v>3</v>
      </c>
      <c r="H1255" t="s">
        <v>57</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c r="AJ1255">
        <f t="shared" si="19"/>
        <v>0</v>
      </c>
      <c r="AK1255" t="str" cm="1">
        <f t="array" ref="AK1255">_xlfn.IFS(A1255&lt;=30,"18-30",A1255&lt;=45,"31-45",A1255&lt;=60,"46-60",TRUE, "60+")</f>
        <v>31-45</v>
      </c>
      <c r="AL1255" t="str" cm="1">
        <f t="array" ref="AL1255">_xlfn.IFS(F1255&lt;=10,"0-10",F1255&lt;=20,"11-20",TRUE,"20+")</f>
        <v>0-10</v>
      </c>
      <c r="AM1255" t="str" cm="1">
        <f t="array" ref="AM1255">_xlfn.IFS(S1255&lt;=5000,"0-5k",S1255&lt;=10000,"5k-10k",S1255&lt;=15000,"10k-15k",TRUE,"15k+")</f>
        <v>5k-10k</v>
      </c>
      <c r="AN1255" t="str" cm="1">
        <f t="array" ref="AN1255">_xlfn.IFS(AF1255&lt;=10,"0-10",AF1255&lt;=20,"10-20",AF1255&lt;=30,"20-30",TRUE,"30+")</f>
        <v>10-20</v>
      </c>
      <c r="AO1255" t="str" cm="1">
        <f t="array" ref="AO1255">_xlfn.IFS(Y1255=1,"Poor",Y1255=2,"Average",Y1255=3,"Good",TRUE,"Excellent")</f>
        <v>Good</v>
      </c>
      <c r="AP1255" t="str" cm="1">
        <f t="array" ref="AP1255">_xlfn.IFS(Q1255=1,"Low",Q1255=2,"Medium",Q1255=3,"High",TRUE,"Very High")</f>
        <v>Medium</v>
      </c>
    </row>
    <row r="1256" spans="1:42" x14ac:dyDescent="0.25">
      <c r="A1256">
        <v>49</v>
      </c>
      <c r="B1256" t="s">
        <v>42</v>
      </c>
      <c r="C1256" t="s">
        <v>90</v>
      </c>
      <c r="D1256">
        <v>1313</v>
      </c>
      <c r="E1256" t="s">
        <v>36</v>
      </c>
      <c r="F1256">
        <v>11</v>
      </c>
      <c r="G1256">
        <v>4</v>
      </c>
      <c r="H1256" t="s">
        <v>57</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c r="AJ1256">
        <f t="shared" si="19"/>
        <v>0</v>
      </c>
      <c r="AK1256" t="str" cm="1">
        <f t="array" ref="AK1256">_xlfn.IFS(A1256&lt;=30,"18-30",A1256&lt;=45,"31-45",A1256&lt;=60,"46-60",TRUE, "60+")</f>
        <v>46-60</v>
      </c>
      <c r="AL1256" t="str" cm="1">
        <f t="array" ref="AL1256">_xlfn.IFS(F1256&lt;=10,"0-10",F1256&lt;=20,"11-20",TRUE,"20+")</f>
        <v>11-20</v>
      </c>
      <c r="AM1256" t="str" cm="1">
        <f t="array" ref="AM1256">_xlfn.IFS(S1256&lt;=5000,"0-5k",S1256&lt;=10000,"5k-10k",S1256&lt;=15000,"10k-15k",TRUE,"15k+")</f>
        <v>0-5k</v>
      </c>
      <c r="AN1256" t="str" cm="1">
        <f t="array" ref="AN1256">_xlfn.IFS(AF1256&lt;=10,"0-10",AF1256&lt;=20,"10-20",AF1256&lt;=30,"20-30",TRUE,"30+")</f>
        <v>0-10</v>
      </c>
      <c r="AO1256" t="str" cm="1">
        <f t="array" ref="AO1256">_xlfn.IFS(Y1256=1,"Poor",Y1256=2,"Average",Y1256=3,"Good",TRUE,"Excellent")</f>
        <v>Good</v>
      </c>
      <c r="AP1256" t="str" cm="1">
        <f t="array" ref="AP1256">_xlfn.IFS(Q1256=1,"Low",Q1256=2,"Medium",Q1256=3,"High",TRUE,"Very High")</f>
        <v>Very High</v>
      </c>
    </row>
    <row r="1257" spans="1:42" x14ac:dyDescent="0.25">
      <c r="A1257">
        <v>33</v>
      </c>
      <c r="B1257" t="s">
        <v>35</v>
      </c>
      <c r="C1257" t="s">
        <v>90</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35</v>
      </c>
      <c r="X1257">
        <v>20</v>
      </c>
      <c r="Y1257">
        <v>4</v>
      </c>
      <c r="Z1257">
        <v>3</v>
      </c>
      <c r="AA1257">
        <v>80</v>
      </c>
      <c r="AB1257">
        <v>0</v>
      </c>
      <c r="AC1257">
        <v>11</v>
      </c>
      <c r="AD1257">
        <v>2</v>
      </c>
      <c r="AE1257">
        <v>2</v>
      </c>
      <c r="AF1257">
        <v>0</v>
      </c>
      <c r="AG1257">
        <v>0</v>
      </c>
      <c r="AH1257">
        <v>0</v>
      </c>
      <c r="AI1257">
        <v>0</v>
      </c>
      <c r="AJ1257">
        <f t="shared" si="19"/>
        <v>1</v>
      </c>
      <c r="AK1257" t="str" cm="1">
        <f t="array" ref="AK1257">_xlfn.IFS(A1257&lt;=30,"18-30",A1257&lt;=45,"31-45",A1257&lt;=60,"46-60",TRUE, "60+")</f>
        <v>31-45</v>
      </c>
      <c r="AL1257" t="str" cm="1">
        <f t="array" ref="AL1257">_xlfn.IFS(F1257&lt;=10,"0-10",F1257&lt;=20,"11-20",TRUE,"20+")</f>
        <v>11-20</v>
      </c>
      <c r="AM1257" t="str" cm="1">
        <f t="array" ref="AM1257">_xlfn.IFS(S1257&lt;=5000,"0-5k",S1257&lt;=10000,"5k-10k",S1257&lt;=15000,"10k-15k",TRUE,"15k+")</f>
        <v>5k-10k</v>
      </c>
      <c r="AN1257" t="str" cm="1">
        <f t="array" ref="AN1257">_xlfn.IFS(AF1257&lt;=10,"0-10",AF1257&lt;=20,"10-20",AF1257&lt;=30,"20-30",TRUE,"30+")</f>
        <v>0-10</v>
      </c>
      <c r="AO1257" t="str" cm="1">
        <f t="array" ref="AO1257">_xlfn.IFS(Y1257=1,"Poor",Y1257=2,"Average",Y1257=3,"Good",TRUE,"Excellent")</f>
        <v>Excellent</v>
      </c>
      <c r="AP1257" t="str" cm="1">
        <f t="array" ref="AP1257">_xlfn.IFS(Q1257=1,"Low",Q1257=2,"Medium",Q1257=3,"High",TRUE,"Very High")</f>
        <v>Low</v>
      </c>
    </row>
    <row r="1258" spans="1:42" x14ac:dyDescent="0.25">
      <c r="A1258">
        <v>38</v>
      </c>
      <c r="B1258" t="s">
        <v>42</v>
      </c>
      <c r="C1258" t="s">
        <v>91</v>
      </c>
      <c r="D1258">
        <v>594</v>
      </c>
      <c r="E1258" t="s">
        <v>43</v>
      </c>
      <c r="F1258">
        <v>2</v>
      </c>
      <c r="G1258">
        <v>2</v>
      </c>
      <c r="H1258" t="s">
        <v>49</v>
      </c>
      <c r="I1258">
        <v>1</v>
      </c>
      <c r="J1258">
        <v>1760</v>
      </c>
      <c r="K1258">
        <v>3</v>
      </c>
      <c r="L1258" t="s">
        <v>38</v>
      </c>
      <c r="M1258">
        <v>75</v>
      </c>
      <c r="N1258">
        <v>2</v>
      </c>
      <c r="O1258">
        <v>1</v>
      </c>
      <c r="P1258" t="s">
        <v>48</v>
      </c>
      <c r="Q1258">
        <v>2</v>
      </c>
      <c r="R1258" t="s">
        <v>46</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c r="AJ1258">
        <f t="shared" si="19"/>
        <v>0</v>
      </c>
      <c r="AK1258" t="str" cm="1">
        <f t="array" ref="AK1258">_xlfn.IFS(A1258&lt;=30,"18-30",A1258&lt;=45,"31-45",A1258&lt;=60,"46-60",TRUE, "60+")</f>
        <v>31-45</v>
      </c>
      <c r="AL1258" t="str" cm="1">
        <f t="array" ref="AL1258">_xlfn.IFS(F1258&lt;=10,"0-10",F1258&lt;=20,"11-20",TRUE,"20+")</f>
        <v>0-10</v>
      </c>
      <c r="AM1258" t="str" cm="1">
        <f t="array" ref="AM1258">_xlfn.IFS(S1258&lt;=5000,"0-5k",S1258&lt;=10000,"5k-10k",S1258&lt;=15000,"10k-15k",TRUE,"15k+")</f>
        <v>0-5k</v>
      </c>
      <c r="AN1258" t="str" cm="1">
        <f t="array" ref="AN1258">_xlfn.IFS(AF1258&lt;=10,"0-10",AF1258&lt;=20,"10-20",AF1258&lt;=30,"20-30",TRUE,"30+")</f>
        <v>0-10</v>
      </c>
      <c r="AO1258" t="str" cm="1">
        <f t="array" ref="AO1258">_xlfn.IFS(Y1258=1,"Poor",Y1258=2,"Average",Y1258=3,"Good",TRUE,"Excellent")</f>
        <v>Good</v>
      </c>
      <c r="AP1258" t="str" cm="1">
        <f t="array" ref="AP1258">_xlfn.IFS(Q1258=1,"Low",Q1258=2,"Medium",Q1258=3,"High",TRUE,"Very High")</f>
        <v>Medium</v>
      </c>
    </row>
    <row r="1259" spans="1:42" x14ac:dyDescent="0.25">
      <c r="A1259">
        <v>31</v>
      </c>
      <c r="B1259" t="s">
        <v>35</v>
      </c>
      <c r="C1259" t="s">
        <v>90</v>
      </c>
      <c r="D1259">
        <v>1079</v>
      </c>
      <c r="E1259" t="s">
        <v>36</v>
      </c>
      <c r="F1259">
        <v>16</v>
      </c>
      <c r="G1259">
        <v>4</v>
      </c>
      <c r="H1259" t="s">
        <v>57</v>
      </c>
      <c r="I1259">
        <v>1</v>
      </c>
      <c r="J1259">
        <v>1761</v>
      </c>
      <c r="K1259">
        <v>1</v>
      </c>
      <c r="L1259" t="s">
        <v>44</v>
      </c>
      <c r="M1259">
        <v>70</v>
      </c>
      <c r="N1259">
        <v>3</v>
      </c>
      <c r="O1259">
        <v>3</v>
      </c>
      <c r="P1259" t="s">
        <v>39</v>
      </c>
      <c r="Q1259">
        <v>3</v>
      </c>
      <c r="R1259" t="s">
        <v>46</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c r="AJ1259">
        <f t="shared" si="19"/>
        <v>1</v>
      </c>
      <c r="AK1259" t="str" cm="1">
        <f t="array" ref="AK1259">_xlfn.IFS(A1259&lt;=30,"18-30",A1259&lt;=45,"31-45",A1259&lt;=60,"46-60",TRUE, "60+")</f>
        <v>31-45</v>
      </c>
      <c r="AL1259" t="str" cm="1">
        <f t="array" ref="AL1259">_xlfn.IFS(F1259&lt;=10,"0-10",F1259&lt;=20,"11-20",TRUE,"20+")</f>
        <v>11-20</v>
      </c>
      <c r="AM1259" t="str" cm="1">
        <f t="array" ref="AM1259">_xlfn.IFS(S1259&lt;=5000,"0-5k",S1259&lt;=10000,"5k-10k",S1259&lt;=15000,"10k-15k",TRUE,"15k+")</f>
        <v>5k-10k</v>
      </c>
      <c r="AN1259" t="str" cm="1">
        <f t="array" ref="AN1259">_xlfn.IFS(AF1259&lt;=10,"0-10",AF1259&lt;=20,"10-20",AF1259&lt;=30,"20-30",TRUE,"30+")</f>
        <v>0-10</v>
      </c>
      <c r="AO1259" t="str" cm="1">
        <f t="array" ref="AO1259">_xlfn.IFS(Y1259=1,"Poor",Y1259=2,"Average",Y1259=3,"Good",TRUE,"Excellent")</f>
        <v>Good</v>
      </c>
      <c r="AP1259" t="str" cm="1">
        <f t="array" ref="AP1259">_xlfn.IFS(Q1259=1,"Low",Q1259=2,"Medium",Q1259=3,"High",TRUE,"Very High")</f>
        <v>High</v>
      </c>
    </row>
    <row r="1260" spans="1:42" x14ac:dyDescent="0.25">
      <c r="A1260">
        <v>29</v>
      </c>
      <c r="B1260" t="s">
        <v>42</v>
      </c>
      <c r="C1260" t="s">
        <v>90</v>
      </c>
      <c r="D1260">
        <v>590</v>
      </c>
      <c r="E1260" t="s">
        <v>43</v>
      </c>
      <c r="F1260">
        <v>4</v>
      </c>
      <c r="G1260">
        <v>3</v>
      </c>
      <c r="H1260" t="s">
        <v>58</v>
      </c>
      <c r="I1260">
        <v>1</v>
      </c>
      <c r="J1260">
        <v>1762</v>
      </c>
      <c r="K1260">
        <v>4</v>
      </c>
      <c r="L1260" t="s">
        <v>38</v>
      </c>
      <c r="M1260">
        <v>91</v>
      </c>
      <c r="N1260">
        <v>2</v>
      </c>
      <c r="O1260">
        <v>1</v>
      </c>
      <c r="P1260" t="s">
        <v>45</v>
      </c>
      <c r="Q1260">
        <v>1</v>
      </c>
      <c r="R1260" t="s">
        <v>50</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c r="AJ1260">
        <f t="shared" si="19"/>
        <v>0</v>
      </c>
      <c r="AK1260" t="str" cm="1">
        <f t="array" ref="AK1260">_xlfn.IFS(A1260&lt;=30,"18-30",A1260&lt;=45,"31-45",A1260&lt;=60,"46-60",TRUE, "60+")</f>
        <v>18-30</v>
      </c>
      <c r="AL1260" t="str" cm="1">
        <f t="array" ref="AL1260">_xlfn.IFS(F1260&lt;=10,"0-10",F1260&lt;=20,"11-20",TRUE,"20+")</f>
        <v>0-10</v>
      </c>
      <c r="AM1260" t="str" cm="1">
        <f t="array" ref="AM1260">_xlfn.IFS(S1260&lt;=5000,"0-5k",S1260&lt;=10000,"5k-10k",S1260&lt;=15000,"10k-15k",TRUE,"15k+")</f>
        <v>0-5k</v>
      </c>
      <c r="AN1260" t="str" cm="1">
        <f t="array" ref="AN1260">_xlfn.IFS(AF1260&lt;=10,"0-10",AF1260&lt;=20,"10-20",AF1260&lt;=30,"20-30",TRUE,"30+")</f>
        <v>0-10</v>
      </c>
      <c r="AO1260" t="str" cm="1">
        <f t="array" ref="AO1260">_xlfn.IFS(Y1260=1,"Poor",Y1260=2,"Average",Y1260=3,"Good",TRUE,"Excellent")</f>
        <v>Good</v>
      </c>
      <c r="AP1260" t="str" cm="1">
        <f t="array" ref="AP1260">_xlfn.IFS(Q1260=1,"Low",Q1260=2,"Medium",Q1260=3,"High",TRUE,"Very High")</f>
        <v>Low</v>
      </c>
    </row>
    <row r="1261" spans="1:42" x14ac:dyDescent="0.25">
      <c r="A1261">
        <v>30</v>
      </c>
      <c r="B1261" t="s">
        <v>42</v>
      </c>
      <c r="C1261" t="s">
        <v>90</v>
      </c>
      <c r="D1261">
        <v>305</v>
      </c>
      <c r="E1261" t="s">
        <v>43</v>
      </c>
      <c r="F1261">
        <v>16</v>
      </c>
      <c r="G1261">
        <v>3</v>
      </c>
      <c r="H1261" t="s">
        <v>37</v>
      </c>
      <c r="I1261">
        <v>1</v>
      </c>
      <c r="J1261">
        <v>1763</v>
      </c>
      <c r="K1261">
        <v>3</v>
      </c>
      <c r="L1261" t="s">
        <v>44</v>
      </c>
      <c r="M1261">
        <v>58</v>
      </c>
      <c r="N1261">
        <v>4</v>
      </c>
      <c r="O1261">
        <v>2</v>
      </c>
      <c r="P1261" t="s">
        <v>52</v>
      </c>
      <c r="Q1261">
        <v>3</v>
      </c>
      <c r="R1261" t="s">
        <v>46</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c r="AJ1261">
        <f t="shared" si="19"/>
        <v>0</v>
      </c>
      <c r="AK1261" t="str" cm="1">
        <f t="array" ref="AK1261">_xlfn.IFS(A1261&lt;=30,"18-30",A1261&lt;=45,"31-45",A1261&lt;=60,"46-60",TRUE, "60+")</f>
        <v>18-30</v>
      </c>
      <c r="AL1261" t="str" cm="1">
        <f t="array" ref="AL1261">_xlfn.IFS(F1261&lt;=10,"0-10",F1261&lt;=20,"11-20",TRUE,"20+")</f>
        <v>11-20</v>
      </c>
      <c r="AM1261" t="str" cm="1">
        <f t="array" ref="AM1261">_xlfn.IFS(S1261&lt;=5000,"0-5k",S1261&lt;=10000,"5k-10k",S1261&lt;=15000,"10k-15k",TRUE,"15k+")</f>
        <v>5k-10k</v>
      </c>
      <c r="AN1261" t="str" cm="1">
        <f t="array" ref="AN1261">_xlfn.IFS(AF1261&lt;=10,"0-10",AF1261&lt;=20,"10-20",AF1261&lt;=30,"20-30",TRUE,"30+")</f>
        <v>0-10</v>
      </c>
      <c r="AO1261" t="str" cm="1">
        <f t="array" ref="AO1261">_xlfn.IFS(Y1261=1,"Poor",Y1261=2,"Average",Y1261=3,"Good",TRUE,"Excellent")</f>
        <v>Good</v>
      </c>
      <c r="AP1261" t="str" cm="1">
        <f t="array" ref="AP1261">_xlfn.IFS(Q1261=1,"Low",Q1261=2,"Medium",Q1261=3,"High",TRUE,"Very High")</f>
        <v>High</v>
      </c>
    </row>
    <row r="1262" spans="1:42" x14ac:dyDescent="0.25">
      <c r="A1262">
        <v>32</v>
      </c>
      <c r="B1262" t="s">
        <v>42</v>
      </c>
      <c r="C1262" t="s">
        <v>53</v>
      </c>
      <c r="D1262">
        <v>953</v>
      </c>
      <c r="E1262" t="s">
        <v>43</v>
      </c>
      <c r="F1262">
        <v>5</v>
      </c>
      <c r="G1262">
        <v>4</v>
      </c>
      <c r="H1262" t="s">
        <v>58</v>
      </c>
      <c r="I1262">
        <v>1</v>
      </c>
      <c r="J1262">
        <v>1764</v>
      </c>
      <c r="K1262">
        <v>2</v>
      </c>
      <c r="L1262" t="s">
        <v>44</v>
      </c>
      <c r="M1262">
        <v>65</v>
      </c>
      <c r="N1262">
        <v>3</v>
      </c>
      <c r="O1262">
        <v>1</v>
      </c>
      <c r="P1262" t="s">
        <v>45</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c r="AJ1262">
        <f t="shared" si="19"/>
        <v>0</v>
      </c>
      <c r="AK1262" t="str" cm="1">
        <f t="array" ref="AK1262">_xlfn.IFS(A1262&lt;=30,"18-30",A1262&lt;=45,"31-45",A1262&lt;=60,"46-60",TRUE, "60+")</f>
        <v>31-45</v>
      </c>
      <c r="AL1262" t="str" cm="1">
        <f t="array" ref="AL1262">_xlfn.IFS(F1262&lt;=10,"0-10",F1262&lt;=20,"11-20",TRUE,"20+")</f>
        <v>0-10</v>
      </c>
      <c r="AM1262" t="str" cm="1">
        <f t="array" ref="AM1262">_xlfn.IFS(S1262&lt;=5000,"0-5k",S1262&lt;=10000,"5k-10k",S1262&lt;=15000,"10k-15k",TRUE,"15k+")</f>
        <v>0-5k</v>
      </c>
      <c r="AN1262" t="str" cm="1">
        <f t="array" ref="AN1262">_xlfn.IFS(AF1262&lt;=10,"0-10",AF1262&lt;=20,"10-20",AF1262&lt;=30,"20-30",TRUE,"30+")</f>
        <v>0-10</v>
      </c>
      <c r="AO1262" t="str" cm="1">
        <f t="array" ref="AO1262">_xlfn.IFS(Y1262=1,"Poor",Y1262=2,"Average",Y1262=3,"Good",TRUE,"Excellent")</f>
        <v>Good</v>
      </c>
      <c r="AP1262" t="str" cm="1">
        <f t="array" ref="AP1262">_xlfn.IFS(Q1262=1,"Low",Q1262=2,"Medium",Q1262=3,"High",TRUE,"Very High")</f>
        <v>Medium</v>
      </c>
    </row>
    <row r="1263" spans="1:42" x14ac:dyDescent="0.25">
      <c r="A1263">
        <v>38</v>
      </c>
      <c r="B1263" t="s">
        <v>42</v>
      </c>
      <c r="C1263" t="s">
        <v>90</v>
      </c>
      <c r="D1263">
        <v>833</v>
      </c>
      <c r="E1263" t="s">
        <v>43</v>
      </c>
      <c r="F1263">
        <v>18</v>
      </c>
      <c r="G1263">
        <v>3</v>
      </c>
      <c r="H1263" t="s">
        <v>49</v>
      </c>
      <c r="I1263">
        <v>1</v>
      </c>
      <c r="J1263">
        <v>1766</v>
      </c>
      <c r="K1263">
        <v>2</v>
      </c>
      <c r="L1263" t="s">
        <v>44</v>
      </c>
      <c r="M1263">
        <v>60</v>
      </c>
      <c r="N1263">
        <v>1</v>
      </c>
      <c r="O1263">
        <v>2</v>
      </c>
      <c r="P1263" t="s">
        <v>52</v>
      </c>
      <c r="Q1263">
        <v>4</v>
      </c>
      <c r="R1263" t="s">
        <v>46</v>
      </c>
      <c r="S1263">
        <v>5811</v>
      </c>
      <c r="T1263">
        <v>24539</v>
      </c>
      <c r="U1263">
        <v>3</v>
      </c>
      <c r="V1263" t="s">
        <v>41</v>
      </c>
      <c r="W1263" t="s">
        <v>35</v>
      </c>
      <c r="X1263">
        <v>16</v>
      </c>
      <c r="Y1263">
        <v>3</v>
      </c>
      <c r="Z1263">
        <v>3</v>
      </c>
      <c r="AA1263">
        <v>80</v>
      </c>
      <c r="AB1263">
        <v>1</v>
      </c>
      <c r="AC1263">
        <v>15</v>
      </c>
      <c r="AD1263">
        <v>2</v>
      </c>
      <c r="AE1263">
        <v>3</v>
      </c>
      <c r="AF1263">
        <v>1</v>
      </c>
      <c r="AG1263">
        <v>0</v>
      </c>
      <c r="AH1263">
        <v>1</v>
      </c>
      <c r="AI1263">
        <v>0</v>
      </c>
      <c r="AJ1263">
        <f t="shared" si="19"/>
        <v>0</v>
      </c>
      <c r="AK1263" t="str" cm="1">
        <f t="array" ref="AK1263">_xlfn.IFS(A1263&lt;=30,"18-30",A1263&lt;=45,"31-45",A1263&lt;=60,"46-60",TRUE, "60+")</f>
        <v>31-45</v>
      </c>
      <c r="AL1263" t="str" cm="1">
        <f t="array" ref="AL1263">_xlfn.IFS(F1263&lt;=10,"0-10",F1263&lt;=20,"11-20",TRUE,"20+")</f>
        <v>11-20</v>
      </c>
      <c r="AM1263" t="str" cm="1">
        <f t="array" ref="AM1263">_xlfn.IFS(S1263&lt;=5000,"0-5k",S1263&lt;=10000,"5k-10k",S1263&lt;=15000,"10k-15k",TRUE,"15k+")</f>
        <v>5k-10k</v>
      </c>
      <c r="AN1263" t="str" cm="1">
        <f t="array" ref="AN1263">_xlfn.IFS(AF1263&lt;=10,"0-10",AF1263&lt;=20,"10-20",AF1263&lt;=30,"20-30",TRUE,"30+")</f>
        <v>0-10</v>
      </c>
      <c r="AO1263" t="str" cm="1">
        <f t="array" ref="AO1263">_xlfn.IFS(Y1263=1,"Poor",Y1263=2,"Average",Y1263=3,"Good",TRUE,"Excellent")</f>
        <v>Good</v>
      </c>
      <c r="AP1263" t="str" cm="1">
        <f t="array" ref="AP1263">_xlfn.IFS(Q1263=1,"Low",Q1263=2,"Medium",Q1263=3,"High",TRUE,"Very High")</f>
        <v>Very High</v>
      </c>
    </row>
    <row r="1264" spans="1:42" x14ac:dyDescent="0.25">
      <c r="A1264">
        <v>43</v>
      </c>
      <c r="B1264" t="s">
        <v>35</v>
      </c>
      <c r="C1264" t="s">
        <v>91</v>
      </c>
      <c r="D1264">
        <v>807</v>
      </c>
      <c r="E1264" t="s">
        <v>43</v>
      </c>
      <c r="F1264">
        <v>17</v>
      </c>
      <c r="G1264">
        <v>3</v>
      </c>
      <c r="H1264" t="s">
        <v>58</v>
      </c>
      <c r="I1264">
        <v>1</v>
      </c>
      <c r="J1264">
        <v>1767</v>
      </c>
      <c r="K1264">
        <v>3</v>
      </c>
      <c r="L1264" t="s">
        <v>44</v>
      </c>
      <c r="M1264">
        <v>38</v>
      </c>
      <c r="N1264">
        <v>2</v>
      </c>
      <c r="O1264">
        <v>1</v>
      </c>
      <c r="P1264" t="s">
        <v>45</v>
      </c>
      <c r="Q1264">
        <v>3</v>
      </c>
      <c r="R1264" t="s">
        <v>46</v>
      </c>
      <c r="S1264">
        <v>2437</v>
      </c>
      <c r="T1264">
        <v>15587</v>
      </c>
      <c r="U1264">
        <v>9</v>
      </c>
      <c r="V1264" t="s">
        <v>41</v>
      </c>
      <c r="W1264" t="s">
        <v>35</v>
      </c>
      <c r="X1264">
        <v>16</v>
      </c>
      <c r="Y1264">
        <v>3</v>
      </c>
      <c r="Z1264">
        <v>4</v>
      </c>
      <c r="AA1264">
        <v>80</v>
      </c>
      <c r="AB1264">
        <v>1</v>
      </c>
      <c r="AC1264">
        <v>6</v>
      </c>
      <c r="AD1264">
        <v>4</v>
      </c>
      <c r="AE1264">
        <v>3</v>
      </c>
      <c r="AF1264">
        <v>1</v>
      </c>
      <c r="AG1264">
        <v>0</v>
      </c>
      <c r="AH1264">
        <v>0</v>
      </c>
      <c r="AI1264">
        <v>0</v>
      </c>
      <c r="AJ1264">
        <f t="shared" si="19"/>
        <v>1</v>
      </c>
      <c r="AK1264" t="str" cm="1">
        <f t="array" ref="AK1264">_xlfn.IFS(A1264&lt;=30,"18-30",A1264&lt;=45,"31-45",A1264&lt;=60,"46-60",TRUE, "60+")</f>
        <v>31-45</v>
      </c>
      <c r="AL1264" t="str" cm="1">
        <f t="array" ref="AL1264">_xlfn.IFS(F1264&lt;=10,"0-10",F1264&lt;=20,"11-20",TRUE,"20+")</f>
        <v>11-20</v>
      </c>
      <c r="AM1264" t="str" cm="1">
        <f t="array" ref="AM1264">_xlfn.IFS(S1264&lt;=5000,"0-5k",S1264&lt;=10000,"5k-10k",S1264&lt;=15000,"10k-15k",TRUE,"15k+")</f>
        <v>0-5k</v>
      </c>
      <c r="AN1264" t="str" cm="1">
        <f t="array" ref="AN1264">_xlfn.IFS(AF1264&lt;=10,"0-10",AF1264&lt;=20,"10-20",AF1264&lt;=30,"20-30",TRUE,"30+")</f>
        <v>0-10</v>
      </c>
      <c r="AO1264" t="str" cm="1">
        <f t="array" ref="AO1264">_xlfn.IFS(Y1264=1,"Poor",Y1264=2,"Average",Y1264=3,"Good",TRUE,"Excellent")</f>
        <v>Good</v>
      </c>
      <c r="AP1264" t="str" cm="1">
        <f t="array" ref="AP1264">_xlfn.IFS(Q1264=1,"Low",Q1264=2,"Medium",Q1264=3,"High",TRUE,"Very High")</f>
        <v>High</v>
      </c>
    </row>
    <row r="1265" spans="1:42" x14ac:dyDescent="0.25">
      <c r="A1265">
        <v>42</v>
      </c>
      <c r="B1265" t="s">
        <v>42</v>
      </c>
      <c r="C1265" t="s">
        <v>90</v>
      </c>
      <c r="D1265">
        <v>855</v>
      </c>
      <c r="E1265" t="s">
        <v>43</v>
      </c>
      <c r="F1265">
        <v>12</v>
      </c>
      <c r="G1265">
        <v>3</v>
      </c>
      <c r="H1265" t="s">
        <v>49</v>
      </c>
      <c r="I1265">
        <v>1</v>
      </c>
      <c r="J1265">
        <v>1768</v>
      </c>
      <c r="K1265">
        <v>2</v>
      </c>
      <c r="L1265" t="s">
        <v>44</v>
      </c>
      <c r="M1265">
        <v>57</v>
      </c>
      <c r="N1265">
        <v>3</v>
      </c>
      <c r="O1265">
        <v>1</v>
      </c>
      <c r="P1265" t="s">
        <v>48</v>
      </c>
      <c r="Q1265">
        <v>2</v>
      </c>
      <c r="R1265" t="s">
        <v>50</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c r="AJ1265">
        <f t="shared" si="19"/>
        <v>0</v>
      </c>
      <c r="AK1265" t="str" cm="1">
        <f t="array" ref="AK1265">_xlfn.IFS(A1265&lt;=30,"18-30",A1265&lt;=45,"31-45",A1265&lt;=60,"46-60",TRUE, "60+")</f>
        <v>31-45</v>
      </c>
      <c r="AL1265" t="str" cm="1">
        <f t="array" ref="AL1265">_xlfn.IFS(F1265&lt;=10,"0-10",F1265&lt;=20,"11-20",TRUE,"20+")</f>
        <v>11-20</v>
      </c>
      <c r="AM1265" t="str" cm="1">
        <f t="array" ref="AM1265">_xlfn.IFS(S1265&lt;=5000,"0-5k",S1265&lt;=10000,"5k-10k",S1265&lt;=15000,"10k-15k",TRUE,"15k+")</f>
        <v>0-5k</v>
      </c>
      <c r="AN1265" t="str" cm="1">
        <f t="array" ref="AN1265">_xlfn.IFS(AF1265&lt;=10,"0-10",AF1265&lt;=20,"10-20",AF1265&lt;=30,"20-30",TRUE,"30+")</f>
        <v>0-10</v>
      </c>
      <c r="AO1265" t="str" cm="1">
        <f t="array" ref="AO1265">_xlfn.IFS(Y1265=1,"Poor",Y1265=2,"Average",Y1265=3,"Good",TRUE,"Excellent")</f>
        <v>Excellent</v>
      </c>
      <c r="AP1265" t="str" cm="1">
        <f t="array" ref="AP1265">_xlfn.IFS(Q1265=1,"Low",Q1265=2,"Medium",Q1265=3,"High",TRUE,"Very High")</f>
        <v>Medium</v>
      </c>
    </row>
    <row r="1266" spans="1:42" x14ac:dyDescent="0.25">
      <c r="A1266">
        <v>55</v>
      </c>
      <c r="B1266" t="s">
        <v>42</v>
      </c>
      <c r="C1266" t="s">
        <v>90</v>
      </c>
      <c r="D1266">
        <v>478</v>
      </c>
      <c r="E1266" t="s">
        <v>43</v>
      </c>
      <c r="F1266">
        <v>2</v>
      </c>
      <c r="G1266">
        <v>3</v>
      </c>
      <c r="H1266" t="s">
        <v>49</v>
      </c>
      <c r="I1266">
        <v>1</v>
      </c>
      <c r="J1266">
        <v>1770</v>
      </c>
      <c r="K1266">
        <v>3</v>
      </c>
      <c r="L1266" t="s">
        <v>44</v>
      </c>
      <c r="M1266">
        <v>60</v>
      </c>
      <c r="N1266">
        <v>2</v>
      </c>
      <c r="O1266">
        <v>5</v>
      </c>
      <c r="P1266" t="s">
        <v>56</v>
      </c>
      <c r="Q1266">
        <v>1</v>
      </c>
      <c r="R1266" t="s">
        <v>46</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c r="AJ1266">
        <f t="shared" si="19"/>
        <v>0</v>
      </c>
      <c r="AK1266" t="str" cm="1">
        <f t="array" ref="AK1266">_xlfn.IFS(A1266&lt;=30,"18-30",A1266&lt;=45,"31-45",A1266&lt;=60,"46-60",TRUE, "60+")</f>
        <v>46-60</v>
      </c>
      <c r="AL1266" t="str" cm="1">
        <f t="array" ref="AL1266">_xlfn.IFS(F1266&lt;=10,"0-10",F1266&lt;=20,"11-20",TRUE,"20+")</f>
        <v>0-10</v>
      </c>
      <c r="AM1266" t="str" cm="1">
        <f t="array" ref="AM1266">_xlfn.IFS(S1266&lt;=5000,"0-5k",S1266&lt;=10000,"5k-10k",S1266&lt;=15000,"10k-15k",TRUE,"15k+")</f>
        <v>15k+</v>
      </c>
      <c r="AN1266" t="str" cm="1">
        <f t="array" ref="AN1266">_xlfn.IFS(AF1266&lt;=10,"0-10",AF1266&lt;=20,"10-20",AF1266&lt;=30,"20-30",TRUE,"30+")</f>
        <v>0-10</v>
      </c>
      <c r="AO1266" t="str" cm="1">
        <f t="array" ref="AO1266">_xlfn.IFS(Y1266=1,"Poor",Y1266=2,"Average",Y1266=3,"Good",TRUE,"Excellent")</f>
        <v>Good</v>
      </c>
      <c r="AP1266" t="str" cm="1">
        <f t="array" ref="AP1266">_xlfn.IFS(Q1266=1,"Low",Q1266=2,"Medium",Q1266=3,"High",TRUE,"Very High")</f>
        <v>Low</v>
      </c>
    </row>
    <row r="1267" spans="1:42" x14ac:dyDescent="0.25">
      <c r="A1267">
        <v>33</v>
      </c>
      <c r="B1267" t="s">
        <v>42</v>
      </c>
      <c r="C1267" t="s">
        <v>53</v>
      </c>
      <c r="D1267">
        <v>775</v>
      </c>
      <c r="E1267" t="s">
        <v>43</v>
      </c>
      <c r="F1267">
        <v>4</v>
      </c>
      <c r="G1267">
        <v>3</v>
      </c>
      <c r="H1267" t="s">
        <v>58</v>
      </c>
      <c r="I1267">
        <v>1</v>
      </c>
      <c r="J1267">
        <v>1771</v>
      </c>
      <c r="K1267">
        <v>4</v>
      </c>
      <c r="L1267" t="s">
        <v>44</v>
      </c>
      <c r="M1267">
        <v>90</v>
      </c>
      <c r="N1267">
        <v>3</v>
      </c>
      <c r="O1267">
        <v>2</v>
      </c>
      <c r="P1267" t="s">
        <v>45</v>
      </c>
      <c r="Q1267">
        <v>2</v>
      </c>
      <c r="R1267" t="s">
        <v>50</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c r="AJ1267">
        <f t="shared" si="19"/>
        <v>0</v>
      </c>
      <c r="AK1267" t="str" cm="1">
        <f t="array" ref="AK1267">_xlfn.IFS(A1267&lt;=30,"18-30",A1267&lt;=45,"31-45",A1267&lt;=60,"46-60",TRUE, "60+")</f>
        <v>31-45</v>
      </c>
      <c r="AL1267" t="str" cm="1">
        <f t="array" ref="AL1267">_xlfn.IFS(F1267&lt;=10,"0-10",F1267&lt;=20,"11-20",TRUE,"20+")</f>
        <v>0-10</v>
      </c>
      <c r="AM1267" t="str" cm="1">
        <f t="array" ref="AM1267">_xlfn.IFS(S1267&lt;=5000,"0-5k",S1267&lt;=10000,"5k-10k",S1267&lt;=15000,"10k-15k",TRUE,"15k+")</f>
        <v>0-5k</v>
      </c>
      <c r="AN1267" t="str" cm="1">
        <f t="array" ref="AN1267">_xlfn.IFS(AF1267&lt;=10,"0-10",AF1267&lt;=20,"10-20",AF1267&lt;=30,"20-30",TRUE,"30+")</f>
        <v>0-10</v>
      </c>
      <c r="AO1267" t="str" cm="1">
        <f t="array" ref="AO1267">_xlfn.IFS(Y1267=1,"Poor",Y1267=2,"Average",Y1267=3,"Good",TRUE,"Excellent")</f>
        <v>Good</v>
      </c>
      <c r="AP1267" t="str" cm="1">
        <f t="array" ref="AP1267">_xlfn.IFS(Q1267=1,"Low",Q1267=2,"Medium",Q1267=3,"High",TRUE,"Very High")</f>
        <v>Medium</v>
      </c>
    </row>
    <row r="1268" spans="1:42" x14ac:dyDescent="0.25">
      <c r="A1268">
        <v>41</v>
      </c>
      <c r="B1268" t="s">
        <v>42</v>
      </c>
      <c r="C1268" t="s">
        <v>90</v>
      </c>
      <c r="D1268">
        <v>548</v>
      </c>
      <c r="E1268" t="s">
        <v>43</v>
      </c>
      <c r="F1268">
        <v>9</v>
      </c>
      <c r="G1268">
        <v>4</v>
      </c>
      <c r="H1268" t="s">
        <v>37</v>
      </c>
      <c r="I1268">
        <v>1</v>
      </c>
      <c r="J1268">
        <v>1772</v>
      </c>
      <c r="K1268">
        <v>3</v>
      </c>
      <c r="L1268" t="s">
        <v>44</v>
      </c>
      <c r="M1268">
        <v>94</v>
      </c>
      <c r="N1268">
        <v>3</v>
      </c>
      <c r="O1268">
        <v>1</v>
      </c>
      <c r="P1268" t="s">
        <v>48</v>
      </c>
      <c r="Q1268">
        <v>1</v>
      </c>
      <c r="R1268" t="s">
        <v>50</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c r="AJ1268">
        <f t="shared" si="19"/>
        <v>0</v>
      </c>
      <c r="AK1268" t="str" cm="1">
        <f t="array" ref="AK1268">_xlfn.IFS(A1268&lt;=30,"18-30",A1268&lt;=45,"31-45",A1268&lt;=60,"46-60",TRUE, "60+")</f>
        <v>31-45</v>
      </c>
      <c r="AL1268" t="str" cm="1">
        <f t="array" ref="AL1268">_xlfn.IFS(F1268&lt;=10,"0-10",F1268&lt;=20,"11-20",TRUE,"20+")</f>
        <v>0-10</v>
      </c>
      <c r="AM1268" t="str" cm="1">
        <f t="array" ref="AM1268">_xlfn.IFS(S1268&lt;=5000,"0-5k",S1268&lt;=10000,"5k-10k",S1268&lt;=15000,"10k-15k",TRUE,"15k+")</f>
        <v>0-5k</v>
      </c>
      <c r="AN1268" t="str" cm="1">
        <f t="array" ref="AN1268">_xlfn.IFS(AF1268&lt;=10,"0-10",AF1268&lt;=20,"10-20",AF1268&lt;=30,"20-30",TRUE,"30+")</f>
        <v>0-10</v>
      </c>
      <c r="AO1268" t="str" cm="1">
        <f t="array" ref="AO1268">_xlfn.IFS(Y1268=1,"Poor",Y1268=2,"Average",Y1268=3,"Good",TRUE,"Excellent")</f>
        <v>Excellent</v>
      </c>
      <c r="AP1268" t="str" cm="1">
        <f t="array" ref="AP1268">_xlfn.IFS(Q1268=1,"Low",Q1268=2,"Medium",Q1268=3,"High",TRUE,"Very High")</f>
        <v>Low</v>
      </c>
    </row>
    <row r="1269" spans="1:42" x14ac:dyDescent="0.25">
      <c r="A1269">
        <v>34</v>
      </c>
      <c r="B1269" t="s">
        <v>42</v>
      </c>
      <c r="C1269" t="s">
        <v>53</v>
      </c>
      <c r="D1269">
        <v>1375</v>
      </c>
      <c r="E1269" t="s">
        <v>36</v>
      </c>
      <c r="F1269">
        <v>10</v>
      </c>
      <c r="G1269">
        <v>3</v>
      </c>
      <c r="H1269" t="s">
        <v>37</v>
      </c>
      <c r="I1269">
        <v>1</v>
      </c>
      <c r="J1269">
        <v>1774</v>
      </c>
      <c r="K1269">
        <v>4</v>
      </c>
      <c r="L1269" t="s">
        <v>44</v>
      </c>
      <c r="M1269">
        <v>87</v>
      </c>
      <c r="N1269">
        <v>3</v>
      </c>
      <c r="O1269">
        <v>2</v>
      </c>
      <c r="P1269" t="s">
        <v>39</v>
      </c>
      <c r="Q1269">
        <v>3</v>
      </c>
      <c r="R1269" t="s">
        <v>50</v>
      </c>
      <c r="S1269">
        <v>4001</v>
      </c>
      <c r="T1269">
        <v>12313</v>
      </c>
      <c r="U1269">
        <v>1</v>
      </c>
      <c r="V1269" t="s">
        <v>41</v>
      </c>
      <c r="W1269" t="s">
        <v>35</v>
      </c>
      <c r="X1269">
        <v>14</v>
      </c>
      <c r="Y1269">
        <v>3</v>
      </c>
      <c r="Z1269">
        <v>3</v>
      </c>
      <c r="AA1269">
        <v>80</v>
      </c>
      <c r="AB1269">
        <v>1</v>
      </c>
      <c r="AC1269">
        <v>15</v>
      </c>
      <c r="AD1269">
        <v>3</v>
      </c>
      <c r="AE1269">
        <v>3</v>
      </c>
      <c r="AF1269">
        <v>15</v>
      </c>
      <c r="AG1269">
        <v>14</v>
      </c>
      <c r="AH1269">
        <v>0</v>
      </c>
      <c r="AI1269">
        <v>7</v>
      </c>
      <c r="AJ1269">
        <f t="shared" si="19"/>
        <v>0</v>
      </c>
      <c r="AK1269" t="str" cm="1">
        <f t="array" ref="AK1269">_xlfn.IFS(A1269&lt;=30,"18-30",A1269&lt;=45,"31-45",A1269&lt;=60,"46-60",TRUE, "60+")</f>
        <v>31-45</v>
      </c>
      <c r="AL1269" t="str" cm="1">
        <f t="array" ref="AL1269">_xlfn.IFS(F1269&lt;=10,"0-10",F1269&lt;=20,"11-20",TRUE,"20+")</f>
        <v>0-10</v>
      </c>
      <c r="AM1269" t="str" cm="1">
        <f t="array" ref="AM1269">_xlfn.IFS(S1269&lt;=5000,"0-5k",S1269&lt;=10000,"5k-10k",S1269&lt;=15000,"10k-15k",TRUE,"15k+")</f>
        <v>0-5k</v>
      </c>
      <c r="AN1269" t="str" cm="1">
        <f t="array" ref="AN1269">_xlfn.IFS(AF1269&lt;=10,"0-10",AF1269&lt;=20,"10-20",AF1269&lt;=30,"20-30",TRUE,"30+")</f>
        <v>10-20</v>
      </c>
      <c r="AO1269" t="str" cm="1">
        <f t="array" ref="AO1269">_xlfn.IFS(Y1269=1,"Poor",Y1269=2,"Average",Y1269=3,"Good",TRUE,"Excellent")</f>
        <v>Good</v>
      </c>
      <c r="AP1269" t="str" cm="1">
        <f t="array" ref="AP1269">_xlfn.IFS(Q1269=1,"Low",Q1269=2,"Medium",Q1269=3,"High",TRUE,"Very High")</f>
        <v>High</v>
      </c>
    </row>
    <row r="1270" spans="1:42" x14ac:dyDescent="0.25">
      <c r="A1270">
        <v>53</v>
      </c>
      <c r="B1270" t="s">
        <v>42</v>
      </c>
      <c r="C1270" t="s">
        <v>53</v>
      </c>
      <c r="D1270">
        <v>661</v>
      </c>
      <c r="E1270" t="s">
        <v>43</v>
      </c>
      <c r="F1270">
        <v>1</v>
      </c>
      <c r="G1270">
        <v>4</v>
      </c>
      <c r="H1270" t="s">
        <v>49</v>
      </c>
      <c r="I1270">
        <v>1</v>
      </c>
      <c r="J1270">
        <v>1775</v>
      </c>
      <c r="K1270">
        <v>1</v>
      </c>
      <c r="L1270" t="s">
        <v>38</v>
      </c>
      <c r="M1270">
        <v>60</v>
      </c>
      <c r="N1270">
        <v>2</v>
      </c>
      <c r="O1270">
        <v>4</v>
      </c>
      <c r="P1270" t="s">
        <v>51</v>
      </c>
      <c r="Q1270">
        <v>3</v>
      </c>
      <c r="R1270" t="s">
        <v>46</v>
      </c>
      <c r="S1270">
        <v>12965</v>
      </c>
      <c r="T1270">
        <v>22308</v>
      </c>
      <c r="U1270">
        <v>4</v>
      </c>
      <c r="V1270" t="s">
        <v>41</v>
      </c>
      <c r="W1270" t="s">
        <v>35</v>
      </c>
      <c r="X1270">
        <v>20</v>
      </c>
      <c r="Y1270">
        <v>4</v>
      </c>
      <c r="Z1270">
        <v>4</v>
      </c>
      <c r="AA1270">
        <v>80</v>
      </c>
      <c r="AB1270">
        <v>3</v>
      </c>
      <c r="AC1270">
        <v>27</v>
      </c>
      <c r="AD1270">
        <v>2</v>
      </c>
      <c r="AE1270">
        <v>2</v>
      </c>
      <c r="AF1270">
        <v>3</v>
      </c>
      <c r="AG1270">
        <v>2</v>
      </c>
      <c r="AH1270">
        <v>0</v>
      </c>
      <c r="AI1270">
        <v>2</v>
      </c>
      <c r="AJ1270">
        <f t="shared" si="19"/>
        <v>0</v>
      </c>
      <c r="AK1270" t="str" cm="1">
        <f t="array" ref="AK1270">_xlfn.IFS(A1270&lt;=30,"18-30",A1270&lt;=45,"31-45",A1270&lt;=60,"46-60",TRUE, "60+")</f>
        <v>46-60</v>
      </c>
      <c r="AL1270" t="str" cm="1">
        <f t="array" ref="AL1270">_xlfn.IFS(F1270&lt;=10,"0-10",F1270&lt;=20,"11-20",TRUE,"20+")</f>
        <v>0-10</v>
      </c>
      <c r="AM1270" t="str" cm="1">
        <f t="array" ref="AM1270">_xlfn.IFS(S1270&lt;=5000,"0-5k",S1270&lt;=10000,"5k-10k",S1270&lt;=15000,"10k-15k",TRUE,"15k+")</f>
        <v>10k-15k</v>
      </c>
      <c r="AN1270" t="str" cm="1">
        <f t="array" ref="AN1270">_xlfn.IFS(AF1270&lt;=10,"0-10",AF1270&lt;=20,"10-20",AF1270&lt;=30,"20-30",TRUE,"30+")</f>
        <v>0-10</v>
      </c>
      <c r="AO1270" t="str" cm="1">
        <f t="array" ref="AO1270">_xlfn.IFS(Y1270=1,"Poor",Y1270=2,"Average",Y1270=3,"Good",TRUE,"Excellent")</f>
        <v>Excellent</v>
      </c>
      <c r="AP1270" t="str" cm="1">
        <f t="array" ref="AP1270">_xlfn.IFS(Q1270=1,"Low",Q1270=2,"Medium",Q1270=3,"High",TRUE,"Very High")</f>
        <v>High</v>
      </c>
    </row>
    <row r="1271" spans="1:42" x14ac:dyDescent="0.25">
      <c r="A1271">
        <v>43</v>
      </c>
      <c r="B1271" t="s">
        <v>42</v>
      </c>
      <c r="C1271" t="s">
        <v>90</v>
      </c>
      <c r="D1271">
        <v>244</v>
      </c>
      <c r="E1271" t="s">
        <v>59</v>
      </c>
      <c r="F1271">
        <v>2</v>
      </c>
      <c r="G1271">
        <v>3</v>
      </c>
      <c r="H1271" t="s">
        <v>37</v>
      </c>
      <c r="I1271">
        <v>1</v>
      </c>
      <c r="J1271">
        <v>1778</v>
      </c>
      <c r="K1271">
        <v>2</v>
      </c>
      <c r="L1271" t="s">
        <v>44</v>
      </c>
      <c r="M1271">
        <v>97</v>
      </c>
      <c r="N1271">
        <v>3</v>
      </c>
      <c r="O1271">
        <v>1</v>
      </c>
      <c r="P1271" t="s">
        <v>59</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c r="AJ1271">
        <f t="shared" si="19"/>
        <v>0</v>
      </c>
      <c r="AK1271" t="str" cm="1">
        <f t="array" ref="AK1271">_xlfn.IFS(A1271&lt;=30,"18-30",A1271&lt;=45,"31-45",A1271&lt;=60,"46-60",TRUE, "60+")</f>
        <v>31-45</v>
      </c>
      <c r="AL1271" t="str" cm="1">
        <f t="array" ref="AL1271">_xlfn.IFS(F1271&lt;=10,"0-10",F1271&lt;=20,"11-20",TRUE,"20+")</f>
        <v>0-10</v>
      </c>
      <c r="AM1271" t="str" cm="1">
        <f t="array" ref="AM1271">_xlfn.IFS(S1271&lt;=5000,"0-5k",S1271&lt;=10000,"5k-10k",S1271&lt;=15000,"10k-15k",TRUE,"15k+")</f>
        <v>0-5k</v>
      </c>
      <c r="AN1271" t="str" cm="1">
        <f t="array" ref="AN1271">_xlfn.IFS(AF1271&lt;=10,"0-10",AF1271&lt;=20,"10-20",AF1271&lt;=30,"20-30",TRUE,"30+")</f>
        <v>0-10</v>
      </c>
      <c r="AO1271" t="str" cm="1">
        <f t="array" ref="AO1271">_xlfn.IFS(Y1271=1,"Poor",Y1271=2,"Average",Y1271=3,"Good",TRUE,"Excellent")</f>
        <v>Good</v>
      </c>
      <c r="AP1271" t="str" cm="1">
        <f t="array" ref="AP1271">_xlfn.IFS(Q1271=1,"Low",Q1271=2,"Medium",Q1271=3,"High",TRUE,"Very High")</f>
        <v>Very High</v>
      </c>
    </row>
    <row r="1272" spans="1:42" x14ac:dyDescent="0.25">
      <c r="A1272">
        <v>34</v>
      </c>
      <c r="B1272" t="s">
        <v>42</v>
      </c>
      <c r="C1272" t="s">
        <v>90</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c r="AJ1272">
        <f t="shared" si="19"/>
        <v>0</v>
      </c>
      <c r="AK1272" t="str" cm="1">
        <f t="array" ref="AK1272">_xlfn.IFS(A1272&lt;=30,"18-30",A1272&lt;=45,"31-45",A1272&lt;=60,"46-60",TRUE, "60+")</f>
        <v>31-45</v>
      </c>
      <c r="AL1272" t="str" cm="1">
        <f t="array" ref="AL1272">_xlfn.IFS(F1272&lt;=10,"0-10",F1272&lt;=20,"11-20",TRUE,"20+")</f>
        <v>0-10</v>
      </c>
      <c r="AM1272" t="str" cm="1">
        <f t="array" ref="AM1272">_xlfn.IFS(S1272&lt;=5000,"0-5k",S1272&lt;=10000,"5k-10k",S1272&lt;=15000,"10k-15k",TRUE,"15k+")</f>
        <v>5k-10k</v>
      </c>
      <c r="AN1272" t="str" cm="1">
        <f t="array" ref="AN1272">_xlfn.IFS(AF1272&lt;=10,"0-10",AF1272&lt;=20,"10-20",AF1272&lt;=30,"20-30",TRUE,"30+")</f>
        <v>0-10</v>
      </c>
      <c r="AO1272" t="str" cm="1">
        <f t="array" ref="AO1272">_xlfn.IFS(Y1272=1,"Poor",Y1272=2,"Average",Y1272=3,"Good",TRUE,"Excellent")</f>
        <v>Good</v>
      </c>
      <c r="AP1272" t="str" cm="1">
        <f t="array" ref="AP1272">_xlfn.IFS(Q1272=1,"Low",Q1272=2,"Medium",Q1272=3,"High",TRUE,"Very High")</f>
        <v>Very High</v>
      </c>
    </row>
    <row r="1273" spans="1:42" x14ac:dyDescent="0.25">
      <c r="A1273">
        <v>21</v>
      </c>
      <c r="B1273" t="s">
        <v>35</v>
      </c>
      <c r="C1273" t="s">
        <v>90</v>
      </c>
      <c r="D1273">
        <v>337</v>
      </c>
      <c r="E1273" t="s">
        <v>36</v>
      </c>
      <c r="F1273">
        <v>7</v>
      </c>
      <c r="G1273">
        <v>1</v>
      </c>
      <c r="H1273" t="s">
        <v>57</v>
      </c>
      <c r="I1273">
        <v>1</v>
      </c>
      <c r="J1273">
        <v>1780</v>
      </c>
      <c r="K1273">
        <v>2</v>
      </c>
      <c r="L1273" t="s">
        <v>44</v>
      </c>
      <c r="M1273">
        <v>31</v>
      </c>
      <c r="N1273">
        <v>3</v>
      </c>
      <c r="O1273">
        <v>1</v>
      </c>
      <c r="P1273" t="s">
        <v>55</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c r="AJ1273">
        <f t="shared" si="19"/>
        <v>1</v>
      </c>
      <c r="AK1273" t="str" cm="1">
        <f t="array" ref="AK1273">_xlfn.IFS(A1273&lt;=30,"18-30",A1273&lt;=45,"31-45",A1273&lt;=60,"46-60",TRUE, "60+")</f>
        <v>18-30</v>
      </c>
      <c r="AL1273" t="str" cm="1">
        <f t="array" ref="AL1273">_xlfn.IFS(F1273&lt;=10,"0-10",F1273&lt;=20,"11-20",TRUE,"20+")</f>
        <v>0-10</v>
      </c>
      <c r="AM1273" t="str" cm="1">
        <f t="array" ref="AM1273">_xlfn.IFS(S1273&lt;=5000,"0-5k",S1273&lt;=10000,"5k-10k",S1273&lt;=15000,"10k-15k",TRUE,"15k+")</f>
        <v>0-5k</v>
      </c>
      <c r="AN1273" t="str" cm="1">
        <f t="array" ref="AN1273">_xlfn.IFS(AF1273&lt;=10,"0-10",AF1273&lt;=20,"10-20",AF1273&lt;=30,"20-30",TRUE,"30+")</f>
        <v>0-10</v>
      </c>
      <c r="AO1273" t="str" cm="1">
        <f t="array" ref="AO1273">_xlfn.IFS(Y1273=1,"Poor",Y1273=2,"Average",Y1273=3,"Good",TRUE,"Excellent")</f>
        <v>Good</v>
      </c>
      <c r="AP1273" t="str" cm="1">
        <f t="array" ref="AP1273">_xlfn.IFS(Q1273=1,"Low",Q1273=2,"Medium",Q1273=3,"High",TRUE,"Very High")</f>
        <v>Medium</v>
      </c>
    </row>
    <row r="1274" spans="1:42" x14ac:dyDescent="0.25">
      <c r="A1274">
        <v>38</v>
      </c>
      <c r="B1274" t="s">
        <v>42</v>
      </c>
      <c r="C1274" t="s">
        <v>90</v>
      </c>
      <c r="D1274">
        <v>1153</v>
      </c>
      <c r="E1274" t="s">
        <v>43</v>
      </c>
      <c r="F1274">
        <v>6</v>
      </c>
      <c r="G1274">
        <v>2</v>
      </c>
      <c r="H1274" t="s">
        <v>47</v>
      </c>
      <c r="I1274">
        <v>1</v>
      </c>
      <c r="J1274">
        <v>1782</v>
      </c>
      <c r="K1274">
        <v>4</v>
      </c>
      <c r="L1274" t="s">
        <v>38</v>
      </c>
      <c r="M1274">
        <v>40</v>
      </c>
      <c r="N1274">
        <v>2</v>
      </c>
      <c r="O1274">
        <v>1</v>
      </c>
      <c r="P1274" t="s">
        <v>48</v>
      </c>
      <c r="Q1274">
        <v>3</v>
      </c>
      <c r="R1274" t="s">
        <v>46</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c r="AJ1274">
        <f t="shared" si="19"/>
        <v>0</v>
      </c>
      <c r="AK1274" t="str" cm="1">
        <f t="array" ref="AK1274">_xlfn.IFS(A1274&lt;=30,"18-30",A1274&lt;=45,"31-45",A1274&lt;=60,"46-60",TRUE, "60+")</f>
        <v>31-45</v>
      </c>
      <c r="AL1274" t="str" cm="1">
        <f t="array" ref="AL1274">_xlfn.IFS(F1274&lt;=10,"0-10",F1274&lt;=20,"11-20",TRUE,"20+")</f>
        <v>0-10</v>
      </c>
      <c r="AM1274" t="str" cm="1">
        <f t="array" ref="AM1274">_xlfn.IFS(S1274&lt;=5000,"0-5k",S1274&lt;=10000,"5k-10k",S1274&lt;=15000,"10k-15k",TRUE,"15k+")</f>
        <v>0-5k</v>
      </c>
      <c r="AN1274" t="str" cm="1">
        <f t="array" ref="AN1274">_xlfn.IFS(AF1274&lt;=10,"0-10",AF1274&lt;=20,"10-20",AF1274&lt;=30,"20-30",TRUE,"30+")</f>
        <v>0-10</v>
      </c>
      <c r="AO1274" t="str" cm="1">
        <f t="array" ref="AO1274">_xlfn.IFS(Y1274=1,"Poor",Y1274=2,"Average",Y1274=3,"Good",TRUE,"Excellent")</f>
        <v>Good</v>
      </c>
      <c r="AP1274" t="str" cm="1">
        <f t="array" ref="AP1274">_xlfn.IFS(Q1274=1,"Low",Q1274=2,"Medium",Q1274=3,"High",TRUE,"Very High")</f>
        <v>High</v>
      </c>
    </row>
    <row r="1275" spans="1:42" x14ac:dyDescent="0.25">
      <c r="A1275">
        <v>22</v>
      </c>
      <c r="B1275" t="s">
        <v>35</v>
      </c>
      <c r="C1275" t="s">
        <v>90</v>
      </c>
      <c r="D1275">
        <v>1294</v>
      </c>
      <c r="E1275" t="s">
        <v>43</v>
      </c>
      <c r="F1275">
        <v>8</v>
      </c>
      <c r="G1275">
        <v>1</v>
      </c>
      <c r="H1275" t="s">
        <v>49</v>
      </c>
      <c r="I1275">
        <v>1</v>
      </c>
      <c r="J1275">
        <v>1783</v>
      </c>
      <c r="K1275">
        <v>3</v>
      </c>
      <c r="L1275" t="s">
        <v>38</v>
      </c>
      <c r="M1275">
        <v>79</v>
      </c>
      <c r="N1275">
        <v>3</v>
      </c>
      <c r="O1275">
        <v>1</v>
      </c>
      <c r="P1275" t="s">
        <v>48</v>
      </c>
      <c r="Q1275">
        <v>1</v>
      </c>
      <c r="R1275" t="s">
        <v>46</v>
      </c>
      <c r="S1275">
        <v>2398</v>
      </c>
      <c r="T1275">
        <v>15999</v>
      </c>
      <c r="U1275">
        <v>1</v>
      </c>
      <c r="V1275" t="s">
        <v>41</v>
      </c>
      <c r="W1275" t="s">
        <v>35</v>
      </c>
      <c r="X1275">
        <v>17</v>
      </c>
      <c r="Y1275">
        <v>3</v>
      </c>
      <c r="Z1275">
        <v>3</v>
      </c>
      <c r="AA1275">
        <v>80</v>
      </c>
      <c r="AB1275">
        <v>0</v>
      </c>
      <c r="AC1275">
        <v>1</v>
      </c>
      <c r="AD1275">
        <v>6</v>
      </c>
      <c r="AE1275">
        <v>3</v>
      </c>
      <c r="AF1275">
        <v>1</v>
      </c>
      <c r="AG1275">
        <v>0</v>
      </c>
      <c r="AH1275">
        <v>0</v>
      </c>
      <c r="AI1275">
        <v>0</v>
      </c>
      <c r="AJ1275">
        <f t="shared" si="19"/>
        <v>1</v>
      </c>
      <c r="AK1275" t="str" cm="1">
        <f t="array" ref="AK1275">_xlfn.IFS(A1275&lt;=30,"18-30",A1275&lt;=45,"31-45",A1275&lt;=60,"46-60",TRUE, "60+")</f>
        <v>18-30</v>
      </c>
      <c r="AL1275" t="str" cm="1">
        <f t="array" ref="AL1275">_xlfn.IFS(F1275&lt;=10,"0-10",F1275&lt;=20,"11-20",TRUE,"20+")</f>
        <v>0-10</v>
      </c>
      <c r="AM1275" t="str" cm="1">
        <f t="array" ref="AM1275">_xlfn.IFS(S1275&lt;=5000,"0-5k",S1275&lt;=10000,"5k-10k",S1275&lt;=15000,"10k-15k",TRUE,"15k+")</f>
        <v>0-5k</v>
      </c>
      <c r="AN1275" t="str" cm="1">
        <f t="array" ref="AN1275">_xlfn.IFS(AF1275&lt;=10,"0-10",AF1275&lt;=20,"10-20",AF1275&lt;=30,"20-30",TRUE,"30+")</f>
        <v>0-10</v>
      </c>
      <c r="AO1275" t="str" cm="1">
        <f t="array" ref="AO1275">_xlfn.IFS(Y1275=1,"Poor",Y1275=2,"Average",Y1275=3,"Good",TRUE,"Excellent")</f>
        <v>Good</v>
      </c>
      <c r="AP1275" t="str" cm="1">
        <f t="array" ref="AP1275">_xlfn.IFS(Q1275=1,"Low",Q1275=2,"Medium",Q1275=3,"High",TRUE,"Very High")</f>
        <v>Low</v>
      </c>
    </row>
    <row r="1276" spans="1:42" x14ac:dyDescent="0.25">
      <c r="A1276">
        <v>31</v>
      </c>
      <c r="B1276" t="s">
        <v>42</v>
      </c>
      <c r="C1276" t="s">
        <v>90</v>
      </c>
      <c r="D1276">
        <v>196</v>
      </c>
      <c r="E1276" t="s">
        <v>36</v>
      </c>
      <c r="F1276">
        <v>29</v>
      </c>
      <c r="G1276">
        <v>4</v>
      </c>
      <c r="H1276" t="s">
        <v>57</v>
      </c>
      <c r="I1276">
        <v>1</v>
      </c>
      <c r="J1276">
        <v>1784</v>
      </c>
      <c r="K1276">
        <v>1</v>
      </c>
      <c r="L1276" t="s">
        <v>38</v>
      </c>
      <c r="M1276">
        <v>91</v>
      </c>
      <c r="N1276">
        <v>2</v>
      </c>
      <c r="O1276">
        <v>2</v>
      </c>
      <c r="P1276" t="s">
        <v>39</v>
      </c>
      <c r="Q1276">
        <v>4</v>
      </c>
      <c r="R1276" t="s">
        <v>46</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c r="AJ1276">
        <f t="shared" si="19"/>
        <v>0</v>
      </c>
      <c r="AK1276" t="str" cm="1">
        <f t="array" ref="AK1276">_xlfn.IFS(A1276&lt;=30,"18-30",A1276&lt;=45,"31-45",A1276&lt;=60,"46-60",TRUE, "60+")</f>
        <v>31-45</v>
      </c>
      <c r="AL1276" t="str" cm="1">
        <f t="array" ref="AL1276">_xlfn.IFS(F1276&lt;=10,"0-10",F1276&lt;=20,"11-20",TRUE,"20+")</f>
        <v>20+</v>
      </c>
      <c r="AM1276" t="str" cm="1">
        <f t="array" ref="AM1276">_xlfn.IFS(S1276&lt;=5000,"0-5k",S1276&lt;=10000,"5k-10k",S1276&lt;=15000,"10k-15k",TRUE,"15k+")</f>
        <v>5k-10k</v>
      </c>
      <c r="AN1276" t="str" cm="1">
        <f t="array" ref="AN1276">_xlfn.IFS(AF1276&lt;=10,"0-10",AF1276&lt;=20,"10-20",AF1276&lt;=30,"20-30",TRUE,"30+")</f>
        <v>10-20</v>
      </c>
      <c r="AO1276" t="str" cm="1">
        <f t="array" ref="AO1276">_xlfn.IFS(Y1276=1,"Poor",Y1276=2,"Average",Y1276=3,"Good",TRUE,"Excellent")</f>
        <v>Good</v>
      </c>
      <c r="AP1276" t="str" cm="1">
        <f t="array" ref="AP1276">_xlfn.IFS(Q1276=1,"Low",Q1276=2,"Medium",Q1276=3,"High",TRUE,"Very High")</f>
        <v>Very High</v>
      </c>
    </row>
    <row r="1277" spans="1:42" x14ac:dyDescent="0.25">
      <c r="A1277">
        <v>51</v>
      </c>
      <c r="B1277" t="s">
        <v>42</v>
      </c>
      <c r="C1277" t="s">
        <v>90</v>
      </c>
      <c r="D1277">
        <v>942</v>
      </c>
      <c r="E1277" t="s">
        <v>43</v>
      </c>
      <c r="F1277">
        <v>3</v>
      </c>
      <c r="G1277">
        <v>3</v>
      </c>
      <c r="H1277" t="s">
        <v>58</v>
      </c>
      <c r="I1277">
        <v>1</v>
      </c>
      <c r="J1277">
        <v>1786</v>
      </c>
      <c r="K1277">
        <v>1</v>
      </c>
      <c r="L1277" t="s">
        <v>38</v>
      </c>
      <c r="M1277">
        <v>53</v>
      </c>
      <c r="N1277">
        <v>3</v>
      </c>
      <c r="O1277">
        <v>3</v>
      </c>
      <c r="P1277" t="s">
        <v>54</v>
      </c>
      <c r="Q1277">
        <v>3</v>
      </c>
      <c r="R1277" t="s">
        <v>46</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c r="AJ1277">
        <f t="shared" si="19"/>
        <v>0</v>
      </c>
      <c r="AK1277" t="str" cm="1">
        <f t="array" ref="AK1277">_xlfn.IFS(A1277&lt;=30,"18-30",A1277&lt;=45,"31-45",A1277&lt;=60,"46-60",TRUE, "60+")</f>
        <v>46-60</v>
      </c>
      <c r="AL1277" t="str" cm="1">
        <f t="array" ref="AL1277">_xlfn.IFS(F1277&lt;=10,"0-10",F1277&lt;=20,"11-20",TRUE,"20+")</f>
        <v>0-10</v>
      </c>
      <c r="AM1277" t="str" cm="1">
        <f t="array" ref="AM1277">_xlfn.IFS(S1277&lt;=5000,"0-5k",S1277&lt;=10000,"5k-10k",S1277&lt;=15000,"10k-15k",TRUE,"15k+")</f>
        <v>10k-15k</v>
      </c>
      <c r="AN1277" t="str" cm="1">
        <f t="array" ref="AN1277">_xlfn.IFS(AF1277&lt;=10,"0-10",AF1277&lt;=20,"10-20",AF1277&lt;=30,"20-30",TRUE,"30+")</f>
        <v>0-10</v>
      </c>
      <c r="AO1277" t="str" cm="1">
        <f t="array" ref="AO1277">_xlfn.IFS(Y1277=1,"Poor",Y1277=2,"Average",Y1277=3,"Good",TRUE,"Excellent")</f>
        <v>Good</v>
      </c>
      <c r="AP1277" t="str" cm="1">
        <f t="array" ref="AP1277">_xlfn.IFS(Q1277=1,"Low",Q1277=2,"Medium",Q1277=3,"High",TRUE,"Very High")</f>
        <v>High</v>
      </c>
    </row>
    <row r="1278" spans="1:42" x14ac:dyDescent="0.25">
      <c r="A1278">
        <v>37</v>
      </c>
      <c r="B1278" t="s">
        <v>42</v>
      </c>
      <c r="C1278" t="s">
        <v>90</v>
      </c>
      <c r="D1278">
        <v>589</v>
      </c>
      <c r="E1278" t="s">
        <v>36</v>
      </c>
      <c r="F1278">
        <v>9</v>
      </c>
      <c r="G1278">
        <v>2</v>
      </c>
      <c r="H1278" t="s">
        <v>57</v>
      </c>
      <c r="I1278">
        <v>1</v>
      </c>
      <c r="J1278">
        <v>1787</v>
      </c>
      <c r="K1278">
        <v>2</v>
      </c>
      <c r="L1278" t="s">
        <v>44</v>
      </c>
      <c r="M1278">
        <v>46</v>
      </c>
      <c r="N1278">
        <v>2</v>
      </c>
      <c r="O1278">
        <v>2</v>
      </c>
      <c r="P1278" t="s">
        <v>39</v>
      </c>
      <c r="Q1278">
        <v>2</v>
      </c>
      <c r="R1278" t="s">
        <v>46</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c r="AJ1278">
        <f t="shared" si="19"/>
        <v>0</v>
      </c>
      <c r="AK1278" t="str" cm="1">
        <f t="array" ref="AK1278">_xlfn.IFS(A1278&lt;=30,"18-30",A1278&lt;=45,"31-45",A1278&lt;=60,"46-60",TRUE, "60+")</f>
        <v>31-45</v>
      </c>
      <c r="AL1278" t="str" cm="1">
        <f t="array" ref="AL1278">_xlfn.IFS(F1278&lt;=10,"0-10",F1278&lt;=20,"11-20",TRUE,"20+")</f>
        <v>0-10</v>
      </c>
      <c r="AM1278" t="str" cm="1">
        <f t="array" ref="AM1278">_xlfn.IFS(S1278&lt;=5000,"0-5k",S1278&lt;=10000,"5k-10k",S1278&lt;=15000,"10k-15k",TRUE,"15k+")</f>
        <v>0-5k</v>
      </c>
      <c r="AN1278" t="str" cm="1">
        <f t="array" ref="AN1278">_xlfn.IFS(AF1278&lt;=10,"0-10",AF1278&lt;=20,"10-20",AF1278&lt;=30,"20-30",TRUE,"30+")</f>
        <v>0-10</v>
      </c>
      <c r="AO1278" t="str" cm="1">
        <f t="array" ref="AO1278">_xlfn.IFS(Y1278=1,"Poor",Y1278=2,"Average",Y1278=3,"Good",TRUE,"Excellent")</f>
        <v>Good</v>
      </c>
      <c r="AP1278" t="str" cm="1">
        <f t="array" ref="AP1278">_xlfn.IFS(Q1278=1,"Low",Q1278=2,"Medium",Q1278=3,"High",TRUE,"Very High")</f>
        <v>Medium</v>
      </c>
    </row>
    <row r="1279" spans="1:42" x14ac:dyDescent="0.25">
      <c r="A1279">
        <v>46</v>
      </c>
      <c r="B1279" t="s">
        <v>42</v>
      </c>
      <c r="C1279" t="s">
        <v>90</v>
      </c>
      <c r="D1279">
        <v>734</v>
      </c>
      <c r="E1279" t="s">
        <v>43</v>
      </c>
      <c r="F1279">
        <v>2</v>
      </c>
      <c r="G1279">
        <v>4</v>
      </c>
      <c r="H1279" t="s">
        <v>49</v>
      </c>
      <c r="I1279">
        <v>1</v>
      </c>
      <c r="J1279">
        <v>1789</v>
      </c>
      <c r="K1279">
        <v>3</v>
      </c>
      <c r="L1279" t="s">
        <v>44</v>
      </c>
      <c r="M1279">
        <v>46</v>
      </c>
      <c r="N1279">
        <v>3</v>
      </c>
      <c r="O1279">
        <v>5</v>
      </c>
      <c r="P1279" t="s">
        <v>56</v>
      </c>
      <c r="Q1279">
        <v>4</v>
      </c>
      <c r="R1279" t="s">
        <v>50</v>
      </c>
      <c r="S1279">
        <v>19328</v>
      </c>
      <c r="T1279">
        <v>14218</v>
      </c>
      <c r="U1279">
        <v>7</v>
      </c>
      <c r="V1279" t="s">
        <v>41</v>
      </c>
      <c r="W1279" t="s">
        <v>35</v>
      </c>
      <c r="X1279">
        <v>17</v>
      </c>
      <c r="Y1279">
        <v>3</v>
      </c>
      <c r="Z1279">
        <v>3</v>
      </c>
      <c r="AA1279">
        <v>80</v>
      </c>
      <c r="AB1279">
        <v>1</v>
      </c>
      <c r="AC1279">
        <v>24</v>
      </c>
      <c r="AD1279">
        <v>3</v>
      </c>
      <c r="AE1279">
        <v>3</v>
      </c>
      <c r="AF1279">
        <v>2</v>
      </c>
      <c r="AG1279">
        <v>1</v>
      </c>
      <c r="AH1279">
        <v>2</v>
      </c>
      <c r="AI1279">
        <v>2</v>
      </c>
      <c r="AJ1279">
        <f t="shared" si="19"/>
        <v>0</v>
      </c>
      <c r="AK1279" t="str" cm="1">
        <f t="array" ref="AK1279">_xlfn.IFS(A1279&lt;=30,"18-30",A1279&lt;=45,"31-45",A1279&lt;=60,"46-60",TRUE, "60+")</f>
        <v>46-60</v>
      </c>
      <c r="AL1279" t="str" cm="1">
        <f t="array" ref="AL1279">_xlfn.IFS(F1279&lt;=10,"0-10",F1279&lt;=20,"11-20",TRUE,"20+")</f>
        <v>0-10</v>
      </c>
      <c r="AM1279" t="str" cm="1">
        <f t="array" ref="AM1279">_xlfn.IFS(S1279&lt;=5000,"0-5k",S1279&lt;=10000,"5k-10k",S1279&lt;=15000,"10k-15k",TRUE,"15k+")</f>
        <v>15k+</v>
      </c>
      <c r="AN1279" t="str" cm="1">
        <f t="array" ref="AN1279">_xlfn.IFS(AF1279&lt;=10,"0-10",AF1279&lt;=20,"10-20",AF1279&lt;=30,"20-30",TRUE,"30+")</f>
        <v>0-10</v>
      </c>
      <c r="AO1279" t="str" cm="1">
        <f t="array" ref="AO1279">_xlfn.IFS(Y1279=1,"Poor",Y1279=2,"Average",Y1279=3,"Good",TRUE,"Excellent")</f>
        <v>Good</v>
      </c>
      <c r="AP1279" t="str" cm="1">
        <f t="array" ref="AP1279">_xlfn.IFS(Q1279=1,"Low",Q1279=2,"Medium",Q1279=3,"High",TRUE,"Very High")</f>
        <v>Very High</v>
      </c>
    </row>
    <row r="1280" spans="1:42" x14ac:dyDescent="0.25">
      <c r="A1280">
        <v>36</v>
      </c>
      <c r="B1280" t="s">
        <v>42</v>
      </c>
      <c r="C1280" t="s">
        <v>90</v>
      </c>
      <c r="D1280">
        <v>1383</v>
      </c>
      <c r="E1280" t="s">
        <v>43</v>
      </c>
      <c r="F1280">
        <v>10</v>
      </c>
      <c r="G1280">
        <v>3</v>
      </c>
      <c r="H1280" t="s">
        <v>37</v>
      </c>
      <c r="I1280">
        <v>1</v>
      </c>
      <c r="J1280">
        <v>1790</v>
      </c>
      <c r="K1280">
        <v>4</v>
      </c>
      <c r="L1280" t="s">
        <v>44</v>
      </c>
      <c r="M1280">
        <v>90</v>
      </c>
      <c r="N1280">
        <v>3</v>
      </c>
      <c r="O1280">
        <v>3</v>
      </c>
      <c r="P1280" t="s">
        <v>52</v>
      </c>
      <c r="Q1280">
        <v>1</v>
      </c>
      <c r="R1280" t="s">
        <v>46</v>
      </c>
      <c r="S1280">
        <v>8321</v>
      </c>
      <c r="T1280">
        <v>25949</v>
      </c>
      <c r="U1280">
        <v>7</v>
      </c>
      <c r="V1280" t="s">
        <v>41</v>
      </c>
      <c r="W1280" t="s">
        <v>35</v>
      </c>
      <c r="X1280">
        <v>13</v>
      </c>
      <c r="Y1280">
        <v>3</v>
      </c>
      <c r="Z1280">
        <v>4</v>
      </c>
      <c r="AA1280">
        <v>80</v>
      </c>
      <c r="AB1280">
        <v>1</v>
      </c>
      <c r="AC1280">
        <v>15</v>
      </c>
      <c r="AD1280">
        <v>1</v>
      </c>
      <c r="AE1280">
        <v>3</v>
      </c>
      <c r="AF1280">
        <v>12</v>
      </c>
      <c r="AG1280">
        <v>8</v>
      </c>
      <c r="AH1280">
        <v>5</v>
      </c>
      <c r="AI1280">
        <v>7</v>
      </c>
      <c r="AJ1280">
        <f t="shared" si="19"/>
        <v>0</v>
      </c>
      <c r="AK1280" t="str" cm="1">
        <f t="array" ref="AK1280">_xlfn.IFS(A1280&lt;=30,"18-30",A1280&lt;=45,"31-45",A1280&lt;=60,"46-60",TRUE, "60+")</f>
        <v>31-45</v>
      </c>
      <c r="AL1280" t="str" cm="1">
        <f t="array" ref="AL1280">_xlfn.IFS(F1280&lt;=10,"0-10",F1280&lt;=20,"11-20",TRUE,"20+")</f>
        <v>0-10</v>
      </c>
      <c r="AM1280" t="str" cm="1">
        <f t="array" ref="AM1280">_xlfn.IFS(S1280&lt;=5000,"0-5k",S1280&lt;=10000,"5k-10k",S1280&lt;=15000,"10k-15k",TRUE,"15k+")</f>
        <v>5k-10k</v>
      </c>
      <c r="AN1280" t="str" cm="1">
        <f t="array" ref="AN1280">_xlfn.IFS(AF1280&lt;=10,"0-10",AF1280&lt;=20,"10-20",AF1280&lt;=30,"20-30",TRUE,"30+")</f>
        <v>10-20</v>
      </c>
      <c r="AO1280" t="str" cm="1">
        <f t="array" ref="AO1280">_xlfn.IFS(Y1280=1,"Poor",Y1280=2,"Average",Y1280=3,"Good",TRUE,"Excellent")</f>
        <v>Good</v>
      </c>
      <c r="AP1280" t="str" cm="1">
        <f t="array" ref="AP1280">_xlfn.IFS(Q1280=1,"Low",Q1280=2,"Medium",Q1280=3,"High",TRUE,"Very High")</f>
        <v>Low</v>
      </c>
    </row>
    <row r="1281" spans="1:42" x14ac:dyDescent="0.25">
      <c r="A1281">
        <v>44</v>
      </c>
      <c r="B1281" t="s">
        <v>35</v>
      </c>
      <c r="C1281" t="s">
        <v>91</v>
      </c>
      <c r="D1281">
        <v>429</v>
      </c>
      <c r="E1281" t="s">
        <v>43</v>
      </c>
      <c r="F1281">
        <v>1</v>
      </c>
      <c r="G1281">
        <v>2</v>
      </c>
      <c r="H1281" t="s">
        <v>49</v>
      </c>
      <c r="I1281">
        <v>1</v>
      </c>
      <c r="J1281">
        <v>1792</v>
      </c>
      <c r="K1281">
        <v>3</v>
      </c>
      <c r="L1281" t="s">
        <v>44</v>
      </c>
      <c r="M1281">
        <v>99</v>
      </c>
      <c r="N1281">
        <v>3</v>
      </c>
      <c r="O1281">
        <v>1</v>
      </c>
      <c r="P1281" t="s">
        <v>45</v>
      </c>
      <c r="Q1281">
        <v>2</v>
      </c>
      <c r="R1281" t="s">
        <v>50</v>
      </c>
      <c r="S1281">
        <v>2342</v>
      </c>
      <c r="T1281">
        <v>11092</v>
      </c>
      <c r="U1281">
        <v>1</v>
      </c>
      <c r="V1281" t="s">
        <v>41</v>
      </c>
      <c r="W1281" t="s">
        <v>35</v>
      </c>
      <c r="X1281">
        <v>12</v>
      </c>
      <c r="Y1281">
        <v>3</v>
      </c>
      <c r="Z1281">
        <v>3</v>
      </c>
      <c r="AA1281">
        <v>80</v>
      </c>
      <c r="AB1281">
        <v>3</v>
      </c>
      <c r="AC1281">
        <v>6</v>
      </c>
      <c r="AD1281">
        <v>2</v>
      </c>
      <c r="AE1281">
        <v>2</v>
      </c>
      <c r="AF1281">
        <v>5</v>
      </c>
      <c r="AG1281">
        <v>3</v>
      </c>
      <c r="AH1281">
        <v>2</v>
      </c>
      <c r="AI1281">
        <v>3</v>
      </c>
      <c r="AJ1281">
        <f t="shared" si="19"/>
        <v>1</v>
      </c>
      <c r="AK1281" t="str" cm="1">
        <f t="array" ref="AK1281">_xlfn.IFS(A1281&lt;=30,"18-30",A1281&lt;=45,"31-45",A1281&lt;=60,"46-60",TRUE, "60+")</f>
        <v>31-45</v>
      </c>
      <c r="AL1281" t="str" cm="1">
        <f t="array" ref="AL1281">_xlfn.IFS(F1281&lt;=10,"0-10",F1281&lt;=20,"11-20",TRUE,"20+")</f>
        <v>0-10</v>
      </c>
      <c r="AM1281" t="str" cm="1">
        <f t="array" ref="AM1281">_xlfn.IFS(S1281&lt;=5000,"0-5k",S1281&lt;=10000,"5k-10k",S1281&lt;=15000,"10k-15k",TRUE,"15k+")</f>
        <v>0-5k</v>
      </c>
      <c r="AN1281" t="str" cm="1">
        <f t="array" ref="AN1281">_xlfn.IFS(AF1281&lt;=10,"0-10",AF1281&lt;=20,"10-20",AF1281&lt;=30,"20-30",TRUE,"30+")</f>
        <v>0-10</v>
      </c>
      <c r="AO1281" t="str" cm="1">
        <f t="array" ref="AO1281">_xlfn.IFS(Y1281=1,"Poor",Y1281=2,"Average",Y1281=3,"Good",TRUE,"Excellent")</f>
        <v>Good</v>
      </c>
      <c r="AP1281" t="str" cm="1">
        <f t="array" ref="AP1281">_xlfn.IFS(Q1281=1,"Low",Q1281=2,"Medium",Q1281=3,"High",TRUE,"Very High")</f>
        <v>Medium</v>
      </c>
    </row>
    <row r="1282" spans="1:42" x14ac:dyDescent="0.25">
      <c r="A1282">
        <v>37</v>
      </c>
      <c r="B1282" t="s">
        <v>42</v>
      </c>
      <c r="C1282" t="s">
        <v>90</v>
      </c>
      <c r="D1282">
        <v>1239</v>
      </c>
      <c r="E1282" t="s">
        <v>59</v>
      </c>
      <c r="F1282">
        <v>8</v>
      </c>
      <c r="G1282">
        <v>2</v>
      </c>
      <c r="H1282" t="s">
        <v>47</v>
      </c>
      <c r="I1282">
        <v>1</v>
      </c>
      <c r="J1282">
        <v>1794</v>
      </c>
      <c r="K1282">
        <v>3</v>
      </c>
      <c r="L1282" t="s">
        <v>44</v>
      </c>
      <c r="M1282">
        <v>89</v>
      </c>
      <c r="N1282">
        <v>3</v>
      </c>
      <c r="O1282">
        <v>2</v>
      </c>
      <c r="P1282" t="s">
        <v>59</v>
      </c>
      <c r="Q1282">
        <v>2</v>
      </c>
      <c r="R1282" t="s">
        <v>50</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c r="AJ1282">
        <f t="shared" ref="AJ1282:AJ1345" si="20">IF(B1282="yes",1,0)</f>
        <v>0</v>
      </c>
      <c r="AK1282" t="str" cm="1">
        <f t="array" ref="AK1282">_xlfn.IFS(A1282&lt;=30,"18-30",A1282&lt;=45,"31-45",A1282&lt;=60,"46-60",TRUE, "60+")</f>
        <v>31-45</v>
      </c>
      <c r="AL1282" t="str" cm="1">
        <f t="array" ref="AL1282">_xlfn.IFS(F1282&lt;=10,"0-10",F1282&lt;=20,"11-20",TRUE,"20+")</f>
        <v>0-10</v>
      </c>
      <c r="AM1282" t="str" cm="1">
        <f t="array" ref="AM1282">_xlfn.IFS(S1282&lt;=5000,"0-5k",S1282&lt;=10000,"5k-10k",S1282&lt;=15000,"10k-15k",TRUE,"15k+")</f>
        <v>0-5k</v>
      </c>
      <c r="AN1282" t="str" cm="1">
        <f t="array" ref="AN1282">_xlfn.IFS(AF1282&lt;=10,"0-10",AF1282&lt;=20,"10-20",AF1282&lt;=30,"20-30",TRUE,"30+")</f>
        <v>0-10</v>
      </c>
      <c r="AO1282" t="str" cm="1">
        <f t="array" ref="AO1282">_xlfn.IFS(Y1282=1,"Poor",Y1282=2,"Average",Y1282=3,"Good",TRUE,"Excellent")</f>
        <v>Good</v>
      </c>
      <c r="AP1282" t="str" cm="1">
        <f t="array" ref="AP1282">_xlfn.IFS(Q1282=1,"Low",Q1282=2,"Medium",Q1282=3,"High",TRUE,"Very High")</f>
        <v>Medium</v>
      </c>
    </row>
    <row r="1283" spans="1:42" x14ac:dyDescent="0.25">
      <c r="A1283">
        <v>35</v>
      </c>
      <c r="B1283" t="s">
        <v>35</v>
      </c>
      <c r="C1283" t="s">
        <v>90</v>
      </c>
      <c r="D1283">
        <v>303</v>
      </c>
      <c r="E1283" t="s">
        <v>36</v>
      </c>
      <c r="F1283">
        <v>27</v>
      </c>
      <c r="G1283">
        <v>3</v>
      </c>
      <c r="H1283" t="s">
        <v>37</v>
      </c>
      <c r="I1283">
        <v>1</v>
      </c>
      <c r="J1283">
        <v>1797</v>
      </c>
      <c r="K1283">
        <v>3</v>
      </c>
      <c r="L1283" t="s">
        <v>44</v>
      </c>
      <c r="M1283">
        <v>84</v>
      </c>
      <c r="N1283">
        <v>3</v>
      </c>
      <c r="O1283">
        <v>2</v>
      </c>
      <c r="P1283" t="s">
        <v>39</v>
      </c>
      <c r="Q1283">
        <v>4</v>
      </c>
      <c r="R1283" t="s">
        <v>40</v>
      </c>
      <c r="S1283">
        <v>5813</v>
      </c>
      <c r="T1283">
        <v>13492</v>
      </c>
      <c r="U1283">
        <v>1</v>
      </c>
      <c r="V1283" t="s">
        <v>41</v>
      </c>
      <c r="W1283" t="s">
        <v>35</v>
      </c>
      <c r="X1283">
        <v>18</v>
      </c>
      <c r="Y1283">
        <v>3</v>
      </c>
      <c r="Z1283">
        <v>4</v>
      </c>
      <c r="AA1283">
        <v>80</v>
      </c>
      <c r="AB1283">
        <v>0</v>
      </c>
      <c r="AC1283">
        <v>10</v>
      </c>
      <c r="AD1283">
        <v>2</v>
      </c>
      <c r="AE1283">
        <v>3</v>
      </c>
      <c r="AF1283">
        <v>10</v>
      </c>
      <c r="AG1283">
        <v>7</v>
      </c>
      <c r="AH1283">
        <v>7</v>
      </c>
      <c r="AI1283">
        <v>7</v>
      </c>
      <c r="AJ1283">
        <f t="shared" si="20"/>
        <v>1</v>
      </c>
      <c r="AK1283" t="str" cm="1">
        <f t="array" ref="AK1283">_xlfn.IFS(A1283&lt;=30,"18-30",A1283&lt;=45,"31-45",A1283&lt;=60,"46-60",TRUE, "60+")</f>
        <v>31-45</v>
      </c>
      <c r="AL1283" t="str" cm="1">
        <f t="array" ref="AL1283">_xlfn.IFS(F1283&lt;=10,"0-10",F1283&lt;=20,"11-20",TRUE,"20+")</f>
        <v>20+</v>
      </c>
      <c r="AM1283" t="str" cm="1">
        <f t="array" ref="AM1283">_xlfn.IFS(S1283&lt;=5000,"0-5k",S1283&lt;=10000,"5k-10k",S1283&lt;=15000,"10k-15k",TRUE,"15k+")</f>
        <v>5k-10k</v>
      </c>
      <c r="AN1283" t="str" cm="1">
        <f t="array" ref="AN1283">_xlfn.IFS(AF1283&lt;=10,"0-10",AF1283&lt;=20,"10-20",AF1283&lt;=30,"20-30",TRUE,"30+")</f>
        <v>0-10</v>
      </c>
      <c r="AO1283" t="str" cm="1">
        <f t="array" ref="AO1283">_xlfn.IFS(Y1283=1,"Poor",Y1283=2,"Average",Y1283=3,"Good",TRUE,"Excellent")</f>
        <v>Good</v>
      </c>
      <c r="AP1283" t="str" cm="1">
        <f t="array" ref="AP1283">_xlfn.IFS(Q1283=1,"Low",Q1283=2,"Medium",Q1283=3,"High",TRUE,"Very High")</f>
        <v>Very High</v>
      </c>
    </row>
    <row r="1284" spans="1:42" x14ac:dyDescent="0.25">
      <c r="A1284">
        <v>33</v>
      </c>
      <c r="B1284" t="s">
        <v>42</v>
      </c>
      <c r="C1284" t="s">
        <v>90</v>
      </c>
      <c r="D1284">
        <v>867</v>
      </c>
      <c r="E1284" t="s">
        <v>43</v>
      </c>
      <c r="F1284">
        <v>8</v>
      </c>
      <c r="G1284">
        <v>4</v>
      </c>
      <c r="H1284" t="s">
        <v>37</v>
      </c>
      <c r="I1284">
        <v>1</v>
      </c>
      <c r="J1284">
        <v>1798</v>
      </c>
      <c r="K1284">
        <v>4</v>
      </c>
      <c r="L1284" t="s">
        <v>44</v>
      </c>
      <c r="M1284">
        <v>90</v>
      </c>
      <c r="N1284">
        <v>4</v>
      </c>
      <c r="O1284">
        <v>1</v>
      </c>
      <c r="P1284" t="s">
        <v>45</v>
      </c>
      <c r="Q1284">
        <v>1</v>
      </c>
      <c r="R1284" t="s">
        <v>46</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c r="AJ1284">
        <f t="shared" si="20"/>
        <v>0</v>
      </c>
      <c r="AK1284" t="str" cm="1">
        <f t="array" ref="AK1284">_xlfn.IFS(A1284&lt;=30,"18-30",A1284&lt;=45,"31-45",A1284&lt;=60,"46-60",TRUE, "60+")</f>
        <v>31-45</v>
      </c>
      <c r="AL1284" t="str" cm="1">
        <f t="array" ref="AL1284">_xlfn.IFS(F1284&lt;=10,"0-10",F1284&lt;=20,"11-20",TRUE,"20+")</f>
        <v>0-10</v>
      </c>
      <c r="AM1284" t="str" cm="1">
        <f t="array" ref="AM1284">_xlfn.IFS(S1284&lt;=5000,"0-5k",S1284&lt;=10000,"5k-10k",S1284&lt;=15000,"10k-15k",TRUE,"15k+")</f>
        <v>0-5k</v>
      </c>
      <c r="AN1284" t="str" cm="1">
        <f t="array" ref="AN1284">_xlfn.IFS(AF1284&lt;=10,"0-10",AF1284&lt;=20,"10-20",AF1284&lt;=30,"20-30",TRUE,"30+")</f>
        <v>0-10</v>
      </c>
      <c r="AO1284" t="str" cm="1">
        <f t="array" ref="AO1284">_xlfn.IFS(Y1284=1,"Poor",Y1284=2,"Average",Y1284=3,"Good",TRUE,"Excellent")</f>
        <v>Good</v>
      </c>
      <c r="AP1284" t="str" cm="1">
        <f t="array" ref="AP1284">_xlfn.IFS(Q1284=1,"Low",Q1284=2,"Medium",Q1284=3,"High",TRUE,"Very High")</f>
        <v>Low</v>
      </c>
    </row>
    <row r="1285" spans="1:42" x14ac:dyDescent="0.25">
      <c r="A1285">
        <v>28</v>
      </c>
      <c r="B1285" t="s">
        <v>42</v>
      </c>
      <c r="C1285" t="s">
        <v>90</v>
      </c>
      <c r="D1285">
        <v>1181</v>
      </c>
      <c r="E1285" t="s">
        <v>43</v>
      </c>
      <c r="F1285">
        <v>1</v>
      </c>
      <c r="G1285">
        <v>3</v>
      </c>
      <c r="H1285" t="s">
        <v>37</v>
      </c>
      <c r="I1285">
        <v>1</v>
      </c>
      <c r="J1285">
        <v>1799</v>
      </c>
      <c r="K1285">
        <v>3</v>
      </c>
      <c r="L1285" t="s">
        <v>44</v>
      </c>
      <c r="M1285">
        <v>82</v>
      </c>
      <c r="N1285">
        <v>3</v>
      </c>
      <c r="O1285">
        <v>1</v>
      </c>
      <c r="P1285" t="s">
        <v>45</v>
      </c>
      <c r="Q1285">
        <v>4</v>
      </c>
      <c r="R1285" t="s">
        <v>46</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c r="AJ1285">
        <f t="shared" si="20"/>
        <v>0</v>
      </c>
      <c r="AK1285" t="str" cm="1">
        <f t="array" ref="AK1285">_xlfn.IFS(A1285&lt;=30,"18-30",A1285&lt;=45,"31-45",A1285&lt;=60,"46-60",TRUE, "60+")</f>
        <v>18-30</v>
      </c>
      <c r="AL1285" t="str" cm="1">
        <f t="array" ref="AL1285">_xlfn.IFS(F1285&lt;=10,"0-10",F1285&lt;=20,"11-20",TRUE,"20+")</f>
        <v>0-10</v>
      </c>
      <c r="AM1285" t="str" cm="1">
        <f t="array" ref="AM1285">_xlfn.IFS(S1285&lt;=5000,"0-5k",S1285&lt;=10000,"5k-10k",S1285&lt;=15000,"10k-15k",TRUE,"15k+")</f>
        <v>0-5k</v>
      </c>
      <c r="AN1285" t="str" cm="1">
        <f t="array" ref="AN1285">_xlfn.IFS(AF1285&lt;=10,"0-10",AF1285&lt;=20,"10-20",AF1285&lt;=30,"20-30",TRUE,"30+")</f>
        <v>0-10</v>
      </c>
      <c r="AO1285" t="str" cm="1">
        <f t="array" ref="AO1285">_xlfn.IFS(Y1285=1,"Poor",Y1285=2,"Average",Y1285=3,"Good",TRUE,"Excellent")</f>
        <v>Good</v>
      </c>
      <c r="AP1285" t="str" cm="1">
        <f t="array" ref="AP1285">_xlfn.IFS(Q1285=1,"Low",Q1285=2,"Medium",Q1285=3,"High",TRUE,"Very High")</f>
        <v>Very High</v>
      </c>
    </row>
    <row r="1286" spans="1:42" x14ac:dyDescent="0.25">
      <c r="A1286">
        <v>39</v>
      </c>
      <c r="B1286" t="s">
        <v>42</v>
      </c>
      <c r="C1286" t="s">
        <v>90</v>
      </c>
      <c r="D1286">
        <v>1253</v>
      </c>
      <c r="E1286" t="s">
        <v>43</v>
      </c>
      <c r="F1286">
        <v>10</v>
      </c>
      <c r="G1286">
        <v>1</v>
      </c>
      <c r="H1286" t="s">
        <v>49</v>
      </c>
      <c r="I1286">
        <v>1</v>
      </c>
      <c r="J1286">
        <v>1800</v>
      </c>
      <c r="K1286">
        <v>3</v>
      </c>
      <c r="L1286" t="s">
        <v>44</v>
      </c>
      <c r="M1286">
        <v>65</v>
      </c>
      <c r="N1286">
        <v>3</v>
      </c>
      <c r="O1286">
        <v>3</v>
      </c>
      <c r="P1286" t="s">
        <v>56</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c r="AJ1286">
        <f t="shared" si="20"/>
        <v>0</v>
      </c>
      <c r="AK1286" t="str" cm="1">
        <f t="array" ref="AK1286">_xlfn.IFS(A1286&lt;=30,"18-30",A1286&lt;=45,"31-45",A1286&lt;=60,"46-60",TRUE, "60+")</f>
        <v>31-45</v>
      </c>
      <c r="AL1286" t="str" cm="1">
        <f t="array" ref="AL1286">_xlfn.IFS(F1286&lt;=10,"0-10",F1286&lt;=20,"11-20",TRUE,"20+")</f>
        <v>0-10</v>
      </c>
      <c r="AM1286" t="str" cm="1">
        <f t="array" ref="AM1286">_xlfn.IFS(S1286&lt;=5000,"0-5k",S1286&lt;=10000,"5k-10k",S1286&lt;=15000,"10k-15k",TRUE,"15k+")</f>
        <v>10k-15k</v>
      </c>
      <c r="AN1286" t="str" cm="1">
        <f t="array" ref="AN1286">_xlfn.IFS(AF1286&lt;=10,"0-10",AF1286&lt;=20,"10-20",AF1286&lt;=30,"20-30",TRUE,"30+")</f>
        <v>0-10</v>
      </c>
      <c r="AO1286" t="str" cm="1">
        <f t="array" ref="AO1286">_xlfn.IFS(Y1286=1,"Poor",Y1286=2,"Average",Y1286=3,"Good",TRUE,"Excellent")</f>
        <v>Excellent</v>
      </c>
      <c r="AP1286" t="str" cm="1">
        <f t="array" ref="AP1286">_xlfn.IFS(Q1286=1,"Low",Q1286=2,"Medium",Q1286=3,"High",TRUE,"Very High")</f>
        <v>High</v>
      </c>
    </row>
    <row r="1287" spans="1:42" x14ac:dyDescent="0.25">
      <c r="A1287">
        <v>46</v>
      </c>
      <c r="B1287" t="s">
        <v>42</v>
      </c>
      <c r="C1287" t="s">
        <v>53</v>
      </c>
      <c r="D1287">
        <v>849</v>
      </c>
      <c r="E1287" t="s">
        <v>36</v>
      </c>
      <c r="F1287">
        <v>26</v>
      </c>
      <c r="G1287">
        <v>2</v>
      </c>
      <c r="H1287" t="s">
        <v>37</v>
      </c>
      <c r="I1287">
        <v>1</v>
      </c>
      <c r="J1287">
        <v>1801</v>
      </c>
      <c r="K1287">
        <v>2</v>
      </c>
      <c r="L1287" t="s">
        <v>44</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c r="AJ1287">
        <f t="shared" si="20"/>
        <v>0</v>
      </c>
      <c r="AK1287" t="str" cm="1">
        <f t="array" ref="AK1287">_xlfn.IFS(A1287&lt;=30,"18-30",A1287&lt;=45,"31-45",A1287&lt;=60,"46-60",TRUE, "60+")</f>
        <v>46-60</v>
      </c>
      <c r="AL1287" t="str" cm="1">
        <f t="array" ref="AL1287">_xlfn.IFS(F1287&lt;=10,"0-10",F1287&lt;=20,"11-20",TRUE,"20+")</f>
        <v>20+</v>
      </c>
      <c r="AM1287" t="str" cm="1">
        <f t="array" ref="AM1287">_xlfn.IFS(S1287&lt;=5000,"0-5k",S1287&lt;=10000,"5k-10k",S1287&lt;=15000,"10k-15k",TRUE,"15k+")</f>
        <v>5k-10k</v>
      </c>
      <c r="AN1287" t="str" cm="1">
        <f t="array" ref="AN1287">_xlfn.IFS(AF1287&lt;=10,"0-10",AF1287&lt;=20,"10-20",AF1287&lt;=30,"20-30",TRUE,"30+")</f>
        <v>0-10</v>
      </c>
      <c r="AO1287" t="str" cm="1">
        <f t="array" ref="AO1287">_xlfn.IFS(Y1287=1,"Poor",Y1287=2,"Average",Y1287=3,"Good",TRUE,"Excellent")</f>
        <v>Good</v>
      </c>
      <c r="AP1287" t="str" cm="1">
        <f t="array" ref="AP1287">_xlfn.IFS(Q1287=1,"Low",Q1287=2,"Medium",Q1287=3,"High",TRUE,"Very High")</f>
        <v>Medium</v>
      </c>
    </row>
    <row r="1288" spans="1:42" x14ac:dyDescent="0.25">
      <c r="A1288">
        <v>40</v>
      </c>
      <c r="B1288" t="s">
        <v>42</v>
      </c>
      <c r="C1288" t="s">
        <v>90</v>
      </c>
      <c r="D1288">
        <v>616</v>
      </c>
      <c r="E1288" t="s">
        <v>43</v>
      </c>
      <c r="F1288">
        <v>2</v>
      </c>
      <c r="G1288">
        <v>2</v>
      </c>
      <c r="H1288" t="s">
        <v>37</v>
      </c>
      <c r="I1288">
        <v>1</v>
      </c>
      <c r="J1288">
        <v>1802</v>
      </c>
      <c r="K1288">
        <v>3</v>
      </c>
      <c r="L1288" t="s">
        <v>38</v>
      </c>
      <c r="M1288">
        <v>99</v>
      </c>
      <c r="N1288">
        <v>3</v>
      </c>
      <c r="O1288">
        <v>1</v>
      </c>
      <c r="P1288" t="s">
        <v>48</v>
      </c>
      <c r="Q1288">
        <v>1</v>
      </c>
      <c r="R1288" t="s">
        <v>46</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c r="AJ1288">
        <f t="shared" si="20"/>
        <v>0</v>
      </c>
      <c r="AK1288" t="str" cm="1">
        <f t="array" ref="AK1288">_xlfn.IFS(A1288&lt;=30,"18-30",A1288&lt;=45,"31-45",A1288&lt;=60,"46-60",TRUE, "60+")</f>
        <v>31-45</v>
      </c>
      <c r="AL1288" t="str" cm="1">
        <f t="array" ref="AL1288">_xlfn.IFS(F1288&lt;=10,"0-10",F1288&lt;=20,"11-20",TRUE,"20+")</f>
        <v>0-10</v>
      </c>
      <c r="AM1288" t="str" cm="1">
        <f t="array" ref="AM1288">_xlfn.IFS(S1288&lt;=5000,"0-5k",S1288&lt;=10000,"5k-10k",S1288&lt;=15000,"10k-15k",TRUE,"15k+")</f>
        <v>0-5k</v>
      </c>
      <c r="AN1288" t="str" cm="1">
        <f t="array" ref="AN1288">_xlfn.IFS(AF1288&lt;=10,"0-10",AF1288&lt;=20,"10-20",AF1288&lt;=30,"20-30",TRUE,"30+")</f>
        <v>0-10</v>
      </c>
      <c r="AO1288" t="str" cm="1">
        <f t="array" ref="AO1288">_xlfn.IFS(Y1288=1,"Poor",Y1288=2,"Average",Y1288=3,"Good",TRUE,"Excellent")</f>
        <v>Good</v>
      </c>
      <c r="AP1288" t="str" cm="1">
        <f t="array" ref="AP1288">_xlfn.IFS(Q1288=1,"Low",Q1288=2,"Medium",Q1288=3,"High",TRUE,"Very High")</f>
        <v>Low</v>
      </c>
    </row>
    <row r="1289" spans="1:42" x14ac:dyDescent="0.25">
      <c r="A1289">
        <v>42</v>
      </c>
      <c r="B1289" t="s">
        <v>42</v>
      </c>
      <c r="C1289" t="s">
        <v>90</v>
      </c>
      <c r="D1289">
        <v>1128</v>
      </c>
      <c r="E1289" t="s">
        <v>43</v>
      </c>
      <c r="F1289">
        <v>13</v>
      </c>
      <c r="G1289">
        <v>3</v>
      </c>
      <c r="H1289" t="s">
        <v>49</v>
      </c>
      <c r="I1289">
        <v>1</v>
      </c>
      <c r="J1289">
        <v>1803</v>
      </c>
      <c r="K1289">
        <v>2</v>
      </c>
      <c r="L1289" t="s">
        <v>44</v>
      </c>
      <c r="M1289">
        <v>95</v>
      </c>
      <c r="N1289">
        <v>4</v>
      </c>
      <c r="O1289">
        <v>2</v>
      </c>
      <c r="P1289" t="s">
        <v>52</v>
      </c>
      <c r="Q1289">
        <v>1</v>
      </c>
      <c r="R1289" t="s">
        <v>46</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c r="AJ1289">
        <f t="shared" si="20"/>
        <v>0</v>
      </c>
      <c r="AK1289" t="str" cm="1">
        <f t="array" ref="AK1289">_xlfn.IFS(A1289&lt;=30,"18-30",A1289&lt;=45,"31-45",A1289&lt;=60,"46-60",TRUE, "60+")</f>
        <v>31-45</v>
      </c>
      <c r="AL1289" t="str" cm="1">
        <f t="array" ref="AL1289">_xlfn.IFS(F1289&lt;=10,"0-10",F1289&lt;=20,"11-20",TRUE,"20+")</f>
        <v>11-20</v>
      </c>
      <c r="AM1289" t="str" cm="1">
        <f t="array" ref="AM1289">_xlfn.IFS(S1289&lt;=5000,"0-5k",S1289&lt;=10000,"5k-10k",S1289&lt;=15000,"10k-15k",TRUE,"15k+")</f>
        <v>5k-10k</v>
      </c>
      <c r="AN1289" t="str" cm="1">
        <f t="array" ref="AN1289">_xlfn.IFS(AF1289&lt;=10,"0-10",AF1289&lt;=20,"10-20",AF1289&lt;=30,"20-30",TRUE,"30+")</f>
        <v>0-10</v>
      </c>
      <c r="AO1289" t="str" cm="1">
        <f t="array" ref="AO1289">_xlfn.IFS(Y1289=1,"Poor",Y1289=2,"Average",Y1289=3,"Good",TRUE,"Excellent")</f>
        <v>Good</v>
      </c>
      <c r="AP1289" t="str" cm="1">
        <f t="array" ref="AP1289">_xlfn.IFS(Q1289=1,"Low",Q1289=2,"Medium",Q1289=3,"High",TRUE,"Very High")</f>
        <v>Low</v>
      </c>
    </row>
    <row r="1290" spans="1:42" x14ac:dyDescent="0.25">
      <c r="A1290">
        <v>35</v>
      </c>
      <c r="B1290" t="s">
        <v>42</v>
      </c>
      <c r="C1290" t="s">
        <v>53</v>
      </c>
      <c r="D1290">
        <v>1180</v>
      </c>
      <c r="E1290" t="s">
        <v>43</v>
      </c>
      <c r="F1290">
        <v>2</v>
      </c>
      <c r="G1290">
        <v>2</v>
      </c>
      <c r="H1290" t="s">
        <v>49</v>
      </c>
      <c r="I1290">
        <v>1</v>
      </c>
      <c r="J1290">
        <v>1804</v>
      </c>
      <c r="K1290">
        <v>2</v>
      </c>
      <c r="L1290" t="s">
        <v>44</v>
      </c>
      <c r="M1290">
        <v>90</v>
      </c>
      <c r="N1290">
        <v>3</v>
      </c>
      <c r="O1290">
        <v>2</v>
      </c>
      <c r="P1290" t="s">
        <v>51</v>
      </c>
      <c r="Q1290">
        <v>4</v>
      </c>
      <c r="R1290" t="s">
        <v>50</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c r="AJ1290">
        <f t="shared" si="20"/>
        <v>0</v>
      </c>
      <c r="AK1290" t="str" cm="1">
        <f t="array" ref="AK1290">_xlfn.IFS(A1290&lt;=30,"18-30",A1290&lt;=45,"31-45",A1290&lt;=60,"46-60",TRUE, "60+")</f>
        <v>31-45</v>
      </c>
      <c r="AL1290" t="str" cm="1">
        <f t="array" ref="AL1290">_xlfn.IFS(F1290&lt;=10,"0-10",F1290&lt;=20,"11-20",TRUE,"20+")</f>
        <v>0-10</v>
      </c>
      <c r="AM1290" t="str" cm="1">
        <f t="array" ref="AM1290">_xlfn.IFS(S1290&lt;=5000,"0-5k",S1290&lt;=10000,"5k-10k",S1290&lt;=15000,"10k-15k",TRUE,"15k+")</f>
        <v>5k-10k</v>
      </c>
      <c r="AN1290" t="str" cm="1">
        <f t="array" ref="AN1290">_xlfn.IFS(AF1290&lt;=10,"0-10",AF1290&lt;=20,"10-20",AF1290&lt;=30,"20-30",TRUE,"30+")</f>
        <v>0-10</v>
      </c>
      <c r="AO1290" t="str" cm="1">
        <f t="array" ref="AO1290">_xlfn.IFS(Y1290=1,"Poor",Y1290=2,"Average",Y1290=3,"Good",TRUE,"Excellent")</f>
        <v>Good</v>
      </c>
      <c r="AP1290" t="str" cm="1">
        <f t="array" ref="AP1290">_xlfn.IFS(Q1290=1,"Low",Q1290=2,"Medium",Q1290=3,"High",TRUE,"Very High")</f>
        <v>Very High</v>
      </c>
    </row>
    <row r="1291" spans="1:42" x14ac:dyDescent="0.25">
      <c r="A1291">
        <v>38</v>
      </c>
      <c r="B1291" t="s">
        <v>42</v>
      </c>
      <c r="C1291" t="s">
        <v>53</v>
      </c>
      <c r="D1291">
        <v>1336</v>
      </c>
      <c r="E1291" t="s">
        <v>59</v>
      </c>
      <c r="F1291">
        <v>2</v>
      </c>
      <c r="G1291">
        <v>3</v>
      </c>
      <c r="H1291" t="s">
        <v>59</v>
      </c>
      <c r="I1291">
        <v>1</v>
      </c>
      <c r="J1291">
        <v>1805</v>
      </c>
      <c r="K1291">
        <v>1</v>
      </c>
      <c r="L1291" t="s">
        <v>44</v>
      </c>
      <c r="M1291">
        <v>100</v>
      </c>
      <c r="N1291">
        <v>3</v>
      </c>
      <c r="O1291">
        <v>1</v>
      </c>
      <c r="P1291" t="s">
        <v>59</v>
      </c>
      <c r="Q1291">
        <v>2</v>
      </c>
      <c r="R1291" t="s">
        <v>50</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c r="AJ1291">
        <f t="shared" si="20"/>
        <v>0</v>
      </c>
      <c r="AK1291" t="str" cm="1">
        <f t="array" ref="AK1291">_xlfn.IFS(A1291&lt;=30,"18-30",A1291&lt;=45,"31-45",A1291&lt;=60,"46-60",TRUE, "60+")</f>
        <v>31-45</v>
      </c>
      <c r="AL1291" t="str" cm="1">
        <f t="array" ref="AL1291">_xlfn.IFS(F1291&lt;=10,"0-10",F1291&lt;=20,"11-20",TRUE,"20+")</f>
        <v>0-10</v>
      </c>
      <c r="AM1291" t="str" cm="1">
        <f t="array" ref="AM1291">_xlfn.IFS(S1291&lt;=5000,"0-5k",S1291&lt;=10000,"5k-10k",S1291&lt;=15000,"10k-15k",TRUE,"15k+")</f>
        <v>0-5k</v>
      </c>
      <c r="AN1291" t="str" cm="1">
        <f t="array" ref="AN1291">_xlfn.IFS(AF1291&lt;=10,"0-10",AF1291&lt;=20,"10-20",AF1291&lt;=30,"20-30",TRUE,"30+")</f>
        <v>10-20</v>
      </c>
      <c r="AO1291" t="str" cm="1">
        <f t="array" ref="AO1291">_xlfn.IFS(Y1291=1,"Poor",Y1291=2,"Average",Y1291=3,"Good",TRUE,"Excellent")</f>
        <v>Good</v>
      </c>
      <c r="AP1291" t="str" cm="1">
        <f t="array" ref="AP1291">_xlfn.IFS(Q1291=1,"Low",Q1291=2,"Medium",Q1291=3,"High",TRUE,"Very High")</f>
        <v>Medium</v>
      </c>
    </row>
    <row r="1292" spans="1:42" x14ac:dyDescent="0.25">
      <c r="A1292">
        <v>34</v>
      </c>
      <c r="B1292" t="s">
        <v>35</v>
      </c>
      <c r="C1292" t="s">
        <v>91</v>
      </c>
      <c r="D1292">
        <v>234</v>
      </c>
      <c r="E1292" t="s">
        <v>43</v>
      </c>
      <c r="F1292">
        <v>9</v>
      </c>
      <c r="G1292">
        <v>4</v>
      </c>
      <c r="H1292" t="s">
        <v>37</v>
      </c>
      <c r="I1292">
        <v>1</v>
      </c>
      <c r="J1292">
        <v>1807</v>
      </c>
      <c r="K1292">
        <v>4</v>
      </c>
      <c r="L1292" t="s">
        <v>44</v>
      </c>
      <c r="M1292">
        <v>93</v>
      </c>
      <c r="N1292">
        <v>3</v>
      </c>
      <c r="O1292">
        <v>2</v>
      </c>
      <c r="P1292" t="s">
        <v>48</v>
      </c>
      <c r="Q1292">
        <v>1</v>
      </c>
      <c r="R1292" t="s">
        <v>46</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c r="AJ1292">
        <f t="shared" si="20"/>
        <v>1</v>
      </c>
      <c r="AK1292" t="str" cm="1">
        <f t="array" ref="AK1292">_xlfn.IFS(A1292&lt;=30,"18-30",A1292&lt;=45,"31-45",A1292&lt;=60,"46-60",TRUE, "60+")</f>
        <v>31-45</v>
      </c>
      <c r="AL1292" t="str" cm="1">
        <f t="array" ref="AL1292">_xlfn.IFS(F1292&lt;=10,"0-10",F1292&lt;=20,"11-20",TRUE,"20+")</f>
        <v>0-10</v>
      </c>
      <c r="AM1292" t="str" cm="1">
        <f t="array" ref="AM1292">_xlfn.IFS(S1292&lt;=5000,"0-5k",S1292&lt;=10000,"5k-10k",S1292&lt;=15000,"10k-15k",TRUE,"15k+")</f>
        <v>5k-10k</v>
      </c>
      <c r="AN1292" t="str" cm="1">
        <f t="array" ref="AN1292">_xlfn.IFS(AF1292&lt;=10,"0-10",AF1292&lt;=20,"10-20",AF1292&lt;=30,"20-30",TRUE,"30+")</f>
        <v>0-10</v>
      </c>
      <c r="AO1292" t="str" cm="1">
        <f t="array" ref="AO1292">_xlfn.IFS(Y1292=1,"Poor",Y1292=2,"Average",Y1292=3,"Good",TRUE,"Excellent")</f>
        <v>Good</v>
      </c>
      <c r="AP1292" t="str" cm="1">
        <f t="array" ref="AP1292">_xlfn.IFS(Q1292=1,"Low",Q1292=2,"Medium",Q1292=3,"High",TRUE,"Very High")</f>
        <v>Low</v>
      </c>
    </row>
    <row r="1293" spans="1:42" x14ac:dyDescent="0.25">
      <c r="A1293">
        <v>37</v>
      </c>
      <c r="B1293" t="s">
        <v>35</v>
      </c>
      <c r="C1293" t="s">
        <v>90</v>
      </c>
      <c r="D1293">
        <v>370</v>
      </c>
      <c r="E1293" t="s">
        <v>43</v>
      </c>
      <c r="F1293">
        <v>10</v>
      </c>
      <c r="G1293">
        <v>4</v>
      </c>
      <c r="H1293" t="s">
        <v>49</v>
      </c>
      <c r="I1293">
        <v>1</v>
      </c>
      <c r="J1293">
        <v>1809</v>
      </c>
      <c r="K1293">
        <v>4</v>
      </c>
      <c r="L1293" t="s">
        <v>44</v>
      </c>
      <c r="M1293">
        <v>58</v>
      </c>
      <c r="N1293">
        <v>3</v>
      </c>
      <c r="O1293">
        <v>2</v>
      </c>
      <c r="P1293" t="s">
        <v>51</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c r="AJ1293">
        <f t="shared" si="20"/>
        <v>1</v>
      </c>
      <c r="AK1293" t="str" cm="1">
        <f t="array" ref="AK1293">_xlfn.IFS(A1293&lt;=30,"18-30",A1293&lt;=45,"31-45",A1293&lt;=60,"46-60",TRUE, "60+")</f>
        <v>31-45</v>
      </c>
      <c r="AL1293" t="str" cm="1">
        <f t="array" ref="AL1293">_xlfn.IFS(F1293&lt;=10,"0-10",F1293&lt;=20,"11-20",TRUE,"20+")</f>
        <v>0-10</v>
      </c>
      <c r="AM1293" t="str" cm="1">
        <f t="array" ref="AM1293">_xlfn.IFS(S1293&lt;=5000,"0-5k",S1293&lt;=10000,"5k-10k",S1293&lt;=15000,"10k-15k",TRUE,"15k+")</f>
        <v>0-5k</v>
      </c>
      <c r="AN1293" t="str" cm="1">
        <f t="array" ref="AN1293">_xlfn.IFS(AF1293&lt;=10,"0-10",AF1293&lt;=20,"10-20",AF1293&lt;=30,"20-30",TRUE,"30+")</f>
        <v>0-10</v>
      </c>
      <c r="AO1293" t="str" cm="1">
        <f t="array" ref="AO1293">_xlfn.IFS(Y1293=1,"Poor",Y1293=2,"Average",Y1293=3,"Good",TRUE,"Excellent")</f>
        <v>Good</v>
      </c>
      <c r="AP1293" t="str" cm="1">
        <f t="array" ref="AP1293">_xlfn.IFS(Q1293=1,"Low",Q1293=2,"Medium",Q1293=3,"High",TRUE,"Very High")</f>
        <v>Low</v>
      </c>
    </row>
    <row r="1294" spans="1:42" x14ac:dyDescent="0.25">
      <c r="A1294">
        <v>39</v>
      </c>
      <c r="B1294" t="s">
        <v>42</v>
      </c>
      <c r="C1294" t="s">
        <v>91</v>
      </c>
      <c r="D1294">
        <v>766</v>
      </c>
      <c r="E1294" t="s">
        <v>36</v>
      </c>
      <c r="F1294">
        <v>20</v>
      </c>
      <c r="G1294">
        <v>3</v>
      </c>
      <c r="H1294" t="s">
        <v>37</v>
      </c>
      <c r="I1294">
        <v>1</v>
      </c>
      <c r="J1294">
        <v>1812</v>
      </c>
      <c r="K1294">
        <v>3</v>
      </c>
      <c r="L1294" t="s">
        <v>44</v>
      </c>
      <c r="M1294">
        <v>83</v>
      </c>
      <c r="N1294">
        <v>3</v>
      </c>
      <c r="O1294">
        <v>2</v>
      </c>
      <c r="P1294" t="s">
        <v>39</v>
      </c>
      <c r="Q1294">
        <v>4</v>
      </c>
      <c r="R1294" t="s">
        <v>50</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c r="AJ1294">
        <f t="shared" si="20"/>
        <v>0</v>
      </c>
      <c r="AK1294" t="str" cm="1">
        <f t="array" ref="AK1294">_xlfn.IFS(A1294&lt;=30,"18-30",A1294&lt;=45,"31-45",A1294&lt;=60,"46-60",TRUE, "60+")</f>
        <v>31-45</v>
      </c>
      <c r="AL1294" t="str" cm="1">
        <f t="array" ref="AL1294">_xlfn.IFS(F1294&lt;=10,"0-10",F1294&lt;=20,"11-20",TRUE,"20+")</f>
        <v>11-20</v>
      </c>
      <c r="AM1294" t="str" cm="1">
        <f t="array" ref="AM1294">_xlfn.IFS(S1294&lt;=5000,"0-5k",S1294&lt;=10000,"5k-10k",S1294&lt;=15000,"10k-15k",TRUE,"15k+")</f>
        <v>0-5k</v>
      </c>
      <c r="AN1294" t="str" cm="1">
        <f t="array" ref="AN1294">_xlfn.IFS(AF1294&lt;=10,"0-10",AF1294&lt;=20,"10-20",AF1294&lt;=30,"20-30",TRUE,"30+")</f>
        <v>0-10</v>
      </c>
      <c r="AO1294" t="str" cm="1">
        <f t="array" ref="AO1294">_xlfn.IFS(Y1294=1,"Poor",Y1294=2,"Average",Y1294=3,"Good",TRUE,"Excellent")</f>
        <v>Good</v>
      </c>
      <c r="AP1294" t="str" cm="1">
        <f t="array" ref="AP1294">_xlfn.IFS(Q1294=1,"Low",Q1294=2,"Medium",Q1294=3,"High",TRUE,"Very High")</f>
        <v>Very High</v>
      </c>
    </row>
    <row r="1295" spans="1:42" x14ac:dyDescent="0.25">
      <c r="A1295">
        <v>43</v>
      </c>
      <c r="B1295" t="s">
        <v>42</v>
      </c>
      <c r="C1295" t="s">
        <v>53</v>
      </c>
      <c r="D1295">
        <v>343</v>
      </c>
      <c r="E1295" t="s">
        <v>43</v>
      </c>
      <c r="F1295">
        <v>9</v>
      </c>
      <c r="G1295">
        <v>3</v>
      </c>
      <c r="H1295" t="s">
        <v>37</v>
      </c>
      <c r="I1295">
        <v>1</v>
      </c>
      <c r="J1295">
        <v>1813</v>
      </c>
      <c r="K1295">
        <v>1</v>
      </c>
      <c r="L1295" t="s">
        <v>44</v>
      </c>
      <c r="M1295">
        <v>52</v>
      </c>
      <c r="N1295">
        <v>3</v>
      </c>
      <c r="O1295">
        <v>1</v>
      </c>
      <c r="P1295" t="s">
        <v>45</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c r="AJ1295">
        <f t="shared" si="20"/>
        <v>0</v>
      </c>
      <c r="AK1295" t="str" cm="1">
        <f t="array" ref="AK1295">_xlfn.IFS(A1295&lt;=30,"18-30",A1295&lt;=45,"31-45",A1295&lt;=60,"46-60",TRUE, "60+")</f>
        <v>31-45</v>
      </c>
      <c r="AL1295" t="str" cm="1">
        <f t="array" ref="AL1295">_xlfn.IFS(F1295&lt;=10,"0-10",F1295&lt;=20,"11-20",TRUE,"20+")</f>
        <v>0-10</v>
      </c>
      <c r="AM1295" t="str" cm="1">
        <f t="array" ref="AM1295">_xlfn.IFS(S1295&lt;=5000,"0-5k",S1295&lt;=10000,"5k-10k",S1295&lt;=15000,"10k-15k",TRUE,"15k+")</f>
        <v>0-5k</v>
      </c>
      <c r="AN1295" t="str" cm="1">
        <f t="array" ref="AN1295">_xlfn.IFS(AF1295&lt;=10,"0-10",AF1295&lt;=20,"10-20",AF1295&lt;=30,"20-30",TRUE,"30+")</f>
        <v>0-10</v>
      </c>
      <c r="AO1295" t="str" cm="1">
        <f t="array" ref="AO1295">_xlfn.IFS(Y1295=1,"Poor",Y1295=2,"Average",Y1295=3,"Good",TRUE,"Excellent")</f>
        <v>Good</v>
      </c>
      <c r="AP1295" t="str" cm="1">
        <f t="array" ref="AP1295">_xlfn.IFS(Q1295=1,"Low",Q1295=2,"Medium",Q1295=3,"High",TRUE,"Very High")</f>
        <v>High</v>
      </c>
    </row>
    <row r="1296" spans="1:42" x14ac:dyDescent="0.25">
      <c r="A1296">
        <v>41</v>
      </c>
      <c r="B1296" t="s">
        <v>42</v>
      </c>
      <c r="C1296" t="s">
        <v>90</v>
      </c>
      <c r="D1296">
        <v>447</v>
      </c>
      <c r="E1296" t="s">
        <v>43</v>
      </c>
      <c r="F1296">
        <v>5</v>
      </c>
      <c r="G1296">
        <v>3</v>
      </c>
      <c r="H1296" t="s">
        <v>37</v>
      </c>
      <c r="I1296">
        <v>1</v>
      </c>
      <c r="J1296">
        <v>1814</v>
      </c>
      <c r="K1296">
        <v>2</v>
      </c>
      <c r="L1296" t="s">
        <v>44</v>
      </c>
      <c r="M1296">
        <v>85</v>
      </c>
      <c r="N1296">
        <v>4</v>
      </c>
      <c r="O1296">
        <v>2</v>
      </c>
      <c r="P1296" t="s">
        <v>52</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c r="AJ1296">
        <f t="shared" si="20"/>
        <v>0</v>
      </c>
      <c r="AK1296" t="str" cm="1">
        <f t="array" ref="AK1296">_xlfn.IFS(A1296&lt;=30,"18-30",A1296&lt;=45,"31-45",A1296&lt;=60,"46-60",TRUE, "60+")</f>
        <v>31-45</v>
      </c>
      <c r="AL1296" t="str" cm="1">
        <f t="array" ref="AL1296">_xlfn.IFS(F1296&lt;=10,"0-10",F1296&lt;=20,"11-20",TRUE,"20+")</f>
        <v>0-10</v>
      </c>
      <c r="AM1296" t="str" cm="1">
        <f t="array" ref="AM1296">_xlfn.IFS(S1296&lt;=5000,"0-5k",S1296&lt;=10000,"5k-10k",S1296&lt;=15000,"10k-15k",TRUE,"15k+")</f>
        <v>5k-10k</v>
      </c>
      <c r="AN1296" t="str" cm="1">
        <f t="array" ref="AN1296">_xlfn.IFS(AF1296&lt;=10,"0-10",AF1296&lt;=20,"10-20",AF1296&lt;=30,"20-30",TRUE,"30+")</f>
        <v>0-10</v>
      </c>
      <c r="AO1296" t="str" cm="1">
        <f t="array" ref="AO1296">_xlfn.IFS(Y1296=1,"Poor",Y1296=2,"Average",Y1296=3,"Good",TRUE,"Excellent")</f>
        <v>Good</v>
      </c>
      <c r="AP1296" t="str" cm="1">
        <f t="array" ref="AP1296">_xlfn.IFS(Q1296=1,"Low",Q1296=2,"Medium",Q1296=3,"High",TRUE,"Very High")</f>
        <v>Medium</v>
      </c>
    </row>
    <row r="1297" spans="1:42" x14ac:dyDescent="0.25">
      <c r="A1297">
        <v>41</v>
      </c>
      <c r="B1297" t="s">
        <v>42</v>
      </c>
      <c r="C1297" t="s">
        <v>90</v>
      </c>
      <c r="D1297">
        <v>796</v>
      </c>
      <c r="E1297" t="s">
        <v>36</v>
      </c>
      <c r="F1297">
        <v>4</v>
      </c>
      <c r="G1297">
        <v>1</v>
      </c>
      <c r="H1297" t="s">
        <v>57</v>
      </c>
      <c r="I1297">
        <v>1</v>
      </c>
      <c r="J1297">
        <v>1815</v>
      </c>
      <c r="K1297">
        <v>3</v>
      </c>
      <c r="L1297" t="s">
        <v>38</v>
      </c>
      <c r="M1297">
        <v>81</v>
      </c>
      <c r="N1297">
        <v>3</v>
      </c>
      <c r="O1297">
        <v>3</v>
      </c>
      <c r="P1297" t="s">
        <v>39</v>
      </c>
      <c r="Q1297">
        <v>3</v>
      </c>
      <c r="R1297" t="s">
        <v>50</v>
      </c>
      <c r="S1297">
        <v>10447</v>
      </c>
      <c r="T1297">
        <v>26458</v>
      </c>
      <c r="U1297">
        <v>0</v>
      </c>
      <c r="V1297" t="s">
        <v>41</v>
      </c>
      <c r="W1297" t="s">
        <v>35</v>
      </c>
      <c r="X1297">
        <v>13</v>
      </c>
      <c r="Y1297">
        <v>3</v>
      </c>
      <c r="Z1297">
        <v>4</v>
      </c>
      <c r="AA1297">
        <v>80</v>
      </c>
      <c r="AB1297">
        <v>1</v>
      </c>
      <c r="AC1297">
        <v>23</v>
      </c>
      <c r="AD1297">
        <v>3</v>
      </c>
      <c r="AE1297">
        <v>4</v>
      </c>
      <c r="AF1297">
        <v>22</v>
      </c>
      <c r="AG1297">
        <v>14</v>
      </c>
      <c r="AH1297">
        <v>13</v>
      </c>
      <c r="AI1297">
        <v>5</v>
      </c>
      <c r="AJ1297">
        <f t="shared" si="20"/>
        <v>0</v>
      </c>
      <c r="AK1297" t="str" cm="1">
        <f t="array" ref="AK1297">_xlfn.IFS(A1297&lt;=30,"18-30",A1297&lt;=45,"31-45",A1297&lt;=60,"46-60",TRUE, "60+")</f>
        <v>31-45</v>
      </c>
      <c r="AL1297" t="str" cm="1">
        <f t="array" ref="AL1297">_xlfn.IFS(F1297&lt;=10,"0-10",F1297&lt;=20,"11-20",TRUE,"20+")</f>
        <v>0-10</v>
      </c>
      <c r="AM1297" t="str" cm="1">
        <f t="array" ref="AM1297">_xlfn.IFS(S1297&lt;=5000,"0-5k",S1297&lt;=10000,"5k-10k",S1297&lt;=15000,"10k-15k",TRUE,"15k+")</f>
        <v>10k-15k</v>
      </c>
      <c r="AN1297" t="str" cm="1">
        <f t="array" ref="AN1297">_xlfn.IFS(AF1297&lt;=10,"0-10",AF1297&lt;=20,"10-20",AF1297&lt;=30,"20-30",TRUE,"30+")</f>
        <v>20-30</v>
      </c>
      <c r="AO1297" t="str" cm="1">
        <f t="array" ref="AO1297">_xlfn.IFS(Y1297=1,"Poor",Y1297=2,"Average",Y1297=3,"Good",TRUE,"Excellent")</f>
        <v>Good</v>
      </c>
      <c r="AP1297" t="str" cm="1">
        <f t="array" ref="AP1297">_xlfn.IFS(Q1297=1,"Low",Q1297=2,"Medium",Q1297=3,"High",TRUE,"Very High")</f>
        <v>High</v>
      </c>
    </row>
    <row r="1298" spans="1:42" x14ac:dyDescent="0.25">
      <c r="A1298">
        <v>30</v>
      </c>
      <c r="B1298" t="s">
        <v>42</v>
      </c>
      <c r="C1298" t="s">
        <v>90</v>
      </c>
      <c r="D1298">
        <v>1092</v>
      </c>
      <c r="E1298" t="s">
        <v>43</v>
      </c>
      <c r="F1298">
        <v>10</v>
      </c>
      <c r="G1298">
        <v>3</v>
      </c>
      <c r="H1298" t="s">
        <v>49</v>
      </c>
      <c r="I1298">
        <v>1</v>
      </c>
      <c r="J1298">
        <v>1816</v>
      </c>
      <c r="K1298">
        <v>1</v>
      </c>
      <c r="L1298" t="s">
        <v>38</v>
      </c>
      <c r="M1298">
        <v>64</v>
      </c>
      <c r="N1298">
        <v>3</v>
      </c>
      <c r="O1298">
        <v>3</v>
      </c>
      <c r="P1298" t="s">
        <v>51</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c r="AJ1298">
        <f t="shared" si="20"/>
        <v>0</v>
      </c>
      <c r="AK1298" t="str" cm="1">
        <f t="array" ref="AK1298">_xlfn.IFS(A1298&lt;=30,"18-30",A1298&lt;=45,"31-45",A1298&lt;=60,"46-60",TRUE, "60+")</f>
        <v>18-30</v>
      </c>
      <c r="AL1298" t="str" cm="1">
        <f t="array" ref="AL1298">_xlfn.IFS(F1298&lt;=10,"0-10",F1298&lt;=20,"11-20",TRUE,"20+")</f>
        <v>0-10</v>
      </c>
      <c r="AM1298" t="str" cm="1">
        <f t="array" ref="AM1298">_xlfn.IFS(S1298&lt;=5000,"0-5k",S1298&lt;=10000,"5k-10k",S1298&lt;=15000,"10k-15k",TRUE,"15k+")</f>
        <v>5k-10k</v>
      </c>
      <c r="AN1298" t="str" cm="1">
        <f t="array" ref="AN1298">_xlfn.IFS(AF1298&lt;=10,"0-10",AF1298&lt;=20,"10-20",AF1298&lt;=30,"20-30",TRUE,"30+")</f>
        <v>0-10</v>
      </c>
      <c r="AO1298" t="str" cm="1">
        <f t="array" ref="AO1298">_xlfn.IFS(Y1298=1,"Poor",Y1298=2,"Average",Y1298=3,"Good",TRUE,"Excellent")</f>
        <v>Good</v>
      </c>
      <c r="AP1298" t="str" cm="1">
        <f t="array" ref="AP1298">_xlfn.IFS(Q1298=1,"Low",Q1298=2,"Medium",Q1298=3,"High",TRUE,"Very High")</f>
        <v>High</v>
      </c>
    </row>
    <row r="1299" spans="1:42" x14ac:dyDescent="0.25">
      <c r="A1299">
        <v>26</v>
      </c>
      <c r="B1299" t="s">
        <v>35</v>
      </c>
      <c r="C1299" t="s">
        <v>90</v>
      </c>
      <c r="D1299">
        <v>920</v>
      </c>
      <c r="E1299" t="s">
        <v>59</v>
      </c>
      <c r="F1299">
        <v>20</v>
      </c>
      <c r="G1299">
        <v>2</v>
      </c>
      <c r="H1299" t="s">
        <v>49</v>
      </c>
      <c r="I1299">
        <v>1</v>
      </c>
      <c r="J1299">
        <v>1818</v>
      </c>
      <c r="K1299">
        <v>4</v>
      </c>
      <c r="L1299" t="s">
        <v>38</v>
      </c>
      <c r="M1299">
        <v>69</v>
      </c>
      <c r="N1299">
        <v>3</v>
      </c>
      <c r="O1299">
        <v>1</v>
      </c>
      <c r="P1299" t="s">
        <v>59</v>
      </c>
      <c r="Q1299">
        <v>2</v>
      </c>
      <c r="R1299" t="s">
        <v>46</v>
      </c>
      <c r="S1299">
        <v>2148</v>
      </c>
      <c r="T1299">
        <v>6889</v>
      </c>
      <c r="U1299">
        <v>0</v>
      </c>
      <c r="V1299" t="s">
        <v>41</v>
      </c>
      <c r="W1299" t="s">
        <v>35</v>
      </c>
      <c r="X1299">
        <v>11</v>
      </c>
      <c r="Y1299">
        <v>3</v>
      </c>
      <c r="Z1299">
        <v>3</v>
      </c>
      <c r="AA1299">
        <v>80</v>
      </c>
      <c r="AB1299">
        <v>0</v>
      </c>
      <c r="AC1299">
        <v>6</v>
      </c>
      <c r="AD1299">
        <v>3</v>
      </c>
      <c r="AE1299">
        <v>3</v>
      </c>
      <c r="AF1299">
        <v>5</v>
      </c>
      <c r="AG1299">
        <v>1</v>
      </c>
      <c r="AH1299">
        <v>1</v>
      </c>
      <c r="AI1299">
        <v>4</v>
      </c>
      <c r="AJ1299">
        <f t="shared" si="20"/>
        <v>1</v>
      </c>
      <c r="AK1299" t="str" cm="1">
        <f t="array" ref="AK1299">_xlfn.IFS(A1299&lt;=30,"18-30",A1299&lt;=45,"31-45",A1299&lt;=60,"46-60",TRUE, "60+")</f>
        <v>18-30</v>
      </c>
      <c r="AL1299" t="str" cm="1">
        <f t="array" ref="AL1299">_xlfn.IFS(F1299&lt;=10,"0-10",F1299&lt;=20,"11-20",TRUE,"20+")</f>
        <v>11-20</v>
      </c>
      <c r="AM1299" t="str" cm="1">
        <f t="array" ref="AM1299">_xlfn.IFS(S1299&lt;=5000,"0-5k",S1299&lt;=10000,"5k-10k",S1299&lt;=15000,"10k-15k",TRUE,"15k+")</f>
        <v>0-5k</v>
      </c>
      <c r="AN1299" t="str" cm="1">
        <f t="array" ref="AN1299">_xlfn.IFS(AF1299&lt;=10,"0-10",AF1299&lt;=20,"10-20",AF1299&lt;=30,"20-30",TRUE,"30+")</f>
        <v>0-10</v>
      </c>
      <c r="AO1299" t="str" cm="1">
        <f t="array" ref="AO1299">_xlfn.IFS(Y1299=1,"Poor",Y1299=2,"Average",Y1299=3,"Good",TRUE,"Excellent")</f>
        <v>Good</v>
      </c>
      <c r="AP1299" t="str" cm="1">
        <f t="array" ref="AP1299">_xlfn.IFS(Q1299=1,"Low",Q1299=2,"Medium",Q1299=3,"High",TRUE,"Very High")</f>
        <v>Medium</v>
      </c>
    </row>
    <row r="1300" spans="1:42" x14ac:dyDescent="0.25">
      <c r="A1300">
        <v>46</v>
      </c>
      <c r="B1300" t="s">
        <v>35</v>
      </c>
      <c r="C1300" t="s">
        <v>90</v>
      </c>
      <c r="D1300">
        <v>261</v>
      </c>
      <c r="E1300" t="s">
        <v>43</v>
      </c>
      <c r="F1300">
        <v>21</v>
      </c>
      <c r="G1300">
        <v>2</v>
      </c>
      <c r="H1300" t="s">
        <v>49</v>
      </c>
      <c r="I1300">
        <v>1</v>
      </c>
      <c r="J1300">
        <v>1821</v>
      </c>
      <c r="K1300">
        <v>4</v>
      </c>
      <c r="L1300" t="s">
        <v>38</v>
      </c>
      <c r="M1300">
        <v>66</v>
      </c>
      <c r="N1300">
        <v>3</v>
      </c>
      <c r="O1300">
        <v>2</v>
      </c>
      <c r="P1300" t="s">
        <v>52</v>
      </c>
      <c r="Q1300">
        <v>2</v>
      </c>
      <c r="R1300" t="s">
        <v>46</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c r="AJ1300">
        <f t="shared" si="20"/>
        <v>1</v>
      </c>
      <c r="AK1300" t="str" cm="1">
        <f t="array" ref="AK1300">_xlfn.IFS(A1300&lt;=30,"18-30",A1300&lt;=45,"31-45",A1300&lt;=60,"46-60",TRUE, "60+")</f>
        <v>46-60</v>
      </c>
      <c r="AL1300" t="str" cm="1">
        <f t="array" ref="AL1300">_xlfn.IFS(F1300&lt;=10,"0-10",F1300&lt;=20,"11-20",TRUE,"20+")</f>
        <v>20+</v>
      </c>
      <c r="AM1300" t="str" cm="1">
        <f t="array" ref="AM1300">_xlfn.IFS(S1300&lt;=5000,"0-5k",S1300&lt;=10000,"5k-10k",S1300&lt;=15000,"10k-15k",TRUE,"15k+")</f>
        <v>5k-10k</v>
      </c>
      <c r="AN1300" t="str" cm="1">
        <f t="array" ref="AN1300">_xlfn.IFS(AF1300&lt;=10,"0-10",AF1300&lt;=20,"10-20",AF1300&lt;=30,"20-30",TRUE,"30+")</f>
        <v>0-10</v>
      </c>
      <c r="AO1300" t="str" cm="1">
        <f t="array" ref="AO1300">_xlfn.IFS(Y1300=1,"Poor",Y1300=2,"Average",Y1300=3,"Good",TRUE,"Excellent")</f>
        <v>Excellent</v>
      </c>
      <c r="AP1300" t="str" cm="1">
        <f t="array" ref="AP1300">_xlfn.IFS(Q1300=1,"Low",Q1300=2,"Medium",Q1300=3,"High",TRUE,"Very High")</f>
        <v>Medium</v>
      </c>
    </row>
    <row r="1301" spans="1:42" x14ac:dyDescent="0.25">
      <c r="A1301">
        <v>40</v>
      </c>
      <c r="B1301" t="s">
        <v>42</v>
      </c>
      <c r="C1301" t="s">
        <v>90</v>
      </c>
      <c r="D1301">
        <v>1194</v>
      </c>
      <c r="E1301" t="s">
        <v>43</v>
      </c>
      <c r="F1301">
        <v>1</v>
      </c>
      <c r="G1301">
        <v>3</v>
      </c>
      <c r="H1301" t="s">
        <v>37</v>
      </c>
      <c r="I1301">
        <v>1</v>
      </c>
      <c r="J1301">
        <v>1822</v>
      </c>
      <c r="K1301">
        <v>3</v>
      </c>
      <c r="L1301" t="s">
        <v>38</v>
      </c>
      <c r="M1301">
        <v>52</v>
      </c>
      <c r="N1301">
        <v>3</v>
      </c>
      <c r="O1301">
        <v>2</v>
      </c>
      <c r="P1301" t="s">
        <v>52</v>
      </c>
      <c r="Q1301">
        <v>4</v>
      </c>
      <c r="R1301" t="s">
        <v>50</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c r="AJ1301">
        <f t="shared" si="20"/>
        <v>0</v>
      </c>
      <c r="AK1301" t="str" cm="1">
        <f t="array" ref="AK1301">_xlfn.IFS(A1301&lt;=30,"18-30",A1301&lt;=45,"31-45",A1301&lt;=60,"46-60",TRUE, "60+")</f>
        <v>31-45</v>
      </c>
      <c r="AL1301" t="str" cm="1">
        <f t="array" ref="AL1301">_xlfn.IFS(F1301&lt;=10,"0-10",F1301&lt;=20,"11-20",TRUE,"20+")</f>
        <v>0-10</v>
      </c>
      <c r="AM1301" t="str" cm="1">
        <f t="array" ref="AM1301">_xlfn.IFS(S1301&lt;=5000,"0-5k",S1301&lt;=10000,"5k-10k",S1301&lt;=15000,"10k-15k",TRUE,"15k+")</f>
        <v>5k-10k</v>
      </c>
      <c r="AN1301" t="str" cm="1">
        <f t="array" ref="AN1301">_xlfn.IFS(AF1301&lt;=10,"0-10",AF1301&lt;=20,"10-20",AF1301&lt;=30,"20-30",TRUE,"30+")</f>
        <v>0-10</v>
      </c>
      <c r="AO1301" t="str" cm="1">
        <f t="array" ref="AO1301">_xlfn.IFS(Y1301=1,"Poor",Y1301=2,"Average",Y1301=3,"Good",TRUE,"Excellent")</f>
        <v>Good</v>
      </c>
      <c r="AP1301" t="str" cm="1">
        <f t="array" ref="AP1301">_xlfn.IFS(Q1301=1,"Low",Q1301=2,"Medium",Q1301=3,"High",TRUE,"Very High")</f>
        <v>Very High</v>
      </c>
    </row>
    <row r="1302" spans="1:42" x14ac:dyDescent="0.25">
      <c r="A1302">
        <v>34</v>
      </c>
      <c r="B1302" t="s">
        <v>42</v>
      </c>
      <c r="C1302" t="s">
        <v>90</v>
      </c>
      <c r="D1302">
        <v>810</v>
      </c>
      <c r="E1302" t="s">
        <v>36</v>
      </c>
      <c r="F1302">
        <v>8</v>
      </c>
      <c r="G1302">
        <v>2</v>
      </c>
      <c r="H1302" t="s">
        <v>58</v>
      </c>
      <c r="I1302">
        <v>1</v>
      </c>
      <c r="J1302">
        <v>1823</v>
      </c>
      <c r="K1302">
        <v>2</v>
      </c>
      <c r="L1302" t="s">
        <v>44</v>
      </c>
      <c r="M1302">
        <v>92</v>
      </c>
      <c r="N1302">
        <v>4</v>
      </c>
      <c r="O1302">
        <v>2</v>
      </c>
      <c r="P1302" t="s">
        <v>39</v>
      </c>
      <c r="Q1302">
        <v>3</v>
      </c>
      <c r="R1302" t="s">
        <v>46</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c r="AJ1302">
        <f t="shared" si="20"/>
        <v>0</v>
      </c>
      <c r="AK1302" t="str" cm="1">
        <f t="array" ref="AK1302">_xlfn.IFS(A1302&lt;=30,"18-30",A1302&lt;=45,"31-45",A1302&lt;=60,"46-60",TRUE, "60+")</f>
        <v>31-45</v>
      </c>
      <c r="AL1302" t="str" cm="1">
        <f t="array" ref="AL1302">_xlfn.IFS(F1302&lt;=10,"0-10",F1302&lt;=20,"11-20",TRUE,"20+")</f>
        <v>0-10</v>
      </c>
      <c r="AM1302" t="str" cm="1">
        <f t="array" ref="AM1302">_xlfn.IFS(S1302&lt;=5000,"0-5k",S1302&lt;=10000,"5k-10k",S1302&lt;=15000,"10k-15k",TRUE,"15k+")</f>
        <v>5k-10k</v>
      </c>
      <c r="AN1302" t="str" cm="1">
        <f t="array" ref="AN1302">_xlfn.IFS(AF1302&lt;=10,"0-10",AF1302&lt;=20,"10-20",AF1302&lt;=30,"20-30",TRUE,"30+")</f>
        <v>0-10</v>
      </c>
      <c r="AO1302" t="str" cm="1">
        <f t="array" ref="AO1302">_xlfn.IFS(Y1302=1,"Poor",Y1302=2,"Average",Y1302=3,"Good",TRUE,"Excellent")</f>
        <v>Excellent</v>
      </c>
      <c r="AP1302" t="str" cm="1">
        <f t="array" ref="AP1302">_xlfn.IFS(Q1302=1,"Low",Q1302=2,"Medium",Q1302=3,"High",TRUE,"Very High")</f>
        <v>High</v>
      </c>
    </row>
    <row r="1303" spans="1:42" x14ac:dyDescent="0.25">
      <c r="A1303">
        <v>58</v>
      </c>
      <c r="B1303" t="s">
        <v>42</v>
      </c>
      <c r="C1303" t="s">
        <v>53</v>
      </c>
      <c r="D1303">
        <v>350</v>
      </c>
      <c r="E1303" t="s">
        <v>36</v>
      </c>
      <c r="F1303">
        <v>2</v>
      </c>
      <c r="G1303">
        <v>3</v>
      </c>
      <c r="H1303" t="s">
        <v>49</v>
      </c>
      <c r="I1303">
        <v>1</v>
      </c>
      <c r="J1303">
        <v>1824</v>
      </c>
      <c r="K1303">
        <v>2</v>
      </c>
      <c r="L1303" t="s">
        <v>44</v>
      </c>
      <c r="M1303">
        <v>52</v>
      </c>
      <c r="N1303">
        <v>3</v>
      </c>
      <c r="O1303">
        <v>4</v>
      </c>
      <c r="P1303" t="s">
        <v>54</v>
      </c>
      <c r="Q1303">
        <v>2</v>
      </c>
      <c r="R1303" t="s">
        <v>50</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c r="AJ1303">
        <f t="shared" si="20"/>
        <v>0</v>
      </c>
      <c r="AK1303" t="str" cm="1">
        <f t="array" ref="AK1303">_xlfn.IFS(A1303&lt;=30,"18-30",A1303&lt;=45,"31-45",A1303&lt;=60,"46-60",TRUE, "60+")</f>
        <v>46-60</v>
      </c>
      <c r="AL1303" t="str" cm="1">
        <f t="array" ref="AL1303">_xlfn.IFS(F1303&lt;=10,"0-10",F1303&lt;=20,"11-20",TRUE,"20+")</f>
        <v>0-10</v>
      </c>
      <c r="AM1303" t="str" cm="1">
        <f t="array" ref="AM1303">_xlfn.IFS(S1303&lt;=5000,"0-5k",S1303&lt;=10000,"5k-10k",S1303&lt;=15000,"10k-15k",TRUE,"15k+")</f>
        <v>15k+</v>
      </c>
      <c r="AN1303" t="str" cm="1">
        <f t="array" ref="AN1303">_xlfn.IFS(AF1303&lt;=10,"0-10",AF1303&lt;=20,"10-20",AF1303&lt;=30,"20-30",TRUE,"30+")</f>
        <v>10-20</v>
      </c>
      <c r="AO1303" t="str" cm="1">
        <f t="array" ref="AO1303">_xlfn.IFS(Y1303=1,"Poor",Y1303=2,"Average",Y1303=3,"Good",TRUE,"Excellent")</f>
        <v>Excellent</v>
      </c>
      <c r="AP1303" t="str" cm="1">
        <f t="array" ref="AP1303">_xlfn.IFS(Q1303=1,"Low",Q1303=2,"Medium",Q1303=3,"High",TRUE,"Very High")</f>
        <v>Medium</v>
      </c>
    </row>
    <row r="1304" spans="1:42" x14ac:dyDescent="0.25">
      <c r="A1304">
        <v>35</v>
      </c>
      <c r="B1304" t="s">
        <v>42</v>
      </c>
      <c r="C1304" t="s">
        <v>90</v>
      </c>
      <c r="D1304">
        <v>185</v>
      </c>
      <c r="E1304" t="s">
        <v>43</v>
      </c>
      <c r="F1304">
        <v>23</v>
      </c>
      <c r="G1304">
        <v>4</v>
      </c>
      <c r="H1304" t="s">
        <v>49</v>
      </c>
      <c r="I1304">
        <v>1</v>
      </c>
      <c r="J1304">
        <v>1826</v>
      </c>
      <c r="K1304">
        <v>2</v>
      </c>
      <c r="L1304" t="s">
        <v>44</v>
      </c>
      <c r="M1304">
        <v>91</v>
      </c>
      <c r="N1304">
        <v>1</v>
      </c>
      <c r="O1304">
        <v>1</v>
      </c>
      <c r="P1304" t="s">
        <v>48</v>
      </c>
      <c r="Q1304">
        <v>3</v>
      </c>
      <c r="R1304" t="s">
        <v>46</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c r="AJ1304">
        <f t="shared" si="20"/>
        <v>0</v>
      </c>
      <c r="AK1304" t="str" cm="1">
        <f t="array" ref="AK1304">_xlfn.IFS(A1304&lt;=30,"18-30",A1304&lt;=45,"31-45",A1304&lt;=60,"46-60",TRUE, "60+")</f>
        <v>31-45</v>
      </c>
      <c r="AL1304" t="str" cm="1">
        <f t="array" ref="AL1304">_xlfn.IFS(F1304&lt;=10,"0-10",F1304&lt;=20,"11-20",TRUE,"20+")</f>
        <v>20+</v>
      </c>
      <c r="AM1304" t="str" cm="1">
        <f t="array" ref="AM1304">_xlfn.IFS(S1304&lt;=5000,"0-5k",S1304&lt;=10000,"5k-10k",S1304&lt;=15000,"10k-15k",TRUE,"15k+")</f>
        <v>0-5k</v>
      </c>
      <c r="AN1304" t="str" cm="1">
        <f t="array" ref="AN1304">_xlfn.IFS(AF1304&lt;=10,"0-10",AF1304&lt;=20,"10-20",AF1304&lt;=30,"20-30",TRUE,"30+")</f>
        <v>0-10</v>
      </c>
      <c r="AO1304" t="str" cm="1">
        <f t="array" ref="AO1304">_xlfn.IFS(Y1304=1,"Poor",Y1304=2,"Average",Y1304=3,"Good",TRUE,"Excellent")</f>
        <v>Good</v>
      </c>
      <c r="AP1304" t="str" cm="1">
        <f t="array" ref="AP1304">_xlfn.IFS(Q1304=1,"Low",Q1304=2,"Medium",Q1304=3,"High",TRUE,"Very High")</f>
        <v>High</v>
      </c>
    </row>
    <row r="1305" spans="1:42" x14ac:dyDescent="0.25">
      <c r="A1305">
        <v>47</v>
      </c>
      <c r="B1305" t="s">
        <v>42</v>
      </c>
      <c r="C1305" t="s">
        <v>90</v>
      </c>
      <c r="D1305">
        <v>1001</v>
      </c>
      <c r="E1305" t="s">
        <v>43</v>
      </c>
      <c r="F1305">
        <v>4</v>
      </c>
      <c r="G1305">
        <v>3</v>
      </c>
      <c r="H1305" t="s">
        <v>37</v>
      </c>
      <c r="I1305">
        <v>1</v>
      </c>
      <c r="J1305">
        <v>1827</v>
      </c>
      <c r="K1305">
        <v>3</v>
      </c>
      <c r="L1305" t="s">
        <v>38</v>
      </c>
      <c r="M1305">
        <v>92</v>
      </c>
      <c r="N1305">
        <v>2</v>
      </c>
      <c r="O1305">
        <v>3</v>
      </c>
      <c r="P1305" t="s">
        <v>51</v>
      </c>
      <c r="Q1305">
        <v>2</v>
      </c>
      <c r="R1305" t="s">
        <v>50</v>
      </c>
      <c r="S1305">
        <v>10333</v>
      </c>
      <c r="T1305">
        <v>19271</v>
      </c>
      <c r="U1305">
        <v>8</v>
      </c>
      <c r="V1305" t="s">
        <v>41</v>
      </c>
      <c r="W1305" t="s">
        <v>35</v>
      </c>
      <c r="X1305">
        <v>12</v>
      </c>
      <c r="Y1305">
        <v>3</v>
      </c>
      <c r="Z1305">
        <v>3</v>
      </c>
      <c r="AA1305">
        <v>80</v>
      </c>
      <c r="AB1305">
        <v>1</v>
      </c>
      <c r="AC1305">
        <v>28</v>
      </c>
      <c r="AD1305">
        <v>4</v>
      </c>
      <c r="AE1305">
        <v>3</v>
      </c>
      <c r="AF1305">
        <v>22</v>
      </c>
      <c r="AG1305">
        <v>11</v>
      </c>
      <c r="AH1305">
        <v>14</v>
      </c>
      <c r="AI1305">
        <v>10</v>
      </c>
      <c r="AJ1305">
        <f t="shared" si="20"/>
        <v>0</v>
      </c>
      <c r="AK1305" t="str" cm="1">
        <f t="array" ref="AK1305">_xlfn.IFS(A1305&lt;=30,"18-30",A1305&lt;=45,"31-45",A1305&lt;=60,"46-60",TRUE, "60+")</f>
        <v>46-60</v>
      </c>
      <c r="AL1305" t="str" cm="1">
        <f t="array" ref="AL1305">_xlfn.IFS(F1305&lt;=10,"0-10",F1305&lt;=20,"11-20",TRUE,"20+")</f>
        <v>0-10</v>
      </c>
      <c r="AM1305" t="str" cm="1">
        <f t="array" ref="AM1305">_xlfn.IFS(S1305&lt;=5000,"0-5k",S1305&lt;=10000,"5k-10k",S1305&lt;=15000,"10k-15k",TRUE,"15k+")</f>
        <v>10k-15k</v>
      </c>
      <c r="AN1305" t="str" cm="1">
        <f t="array" ref="AN1305">_xlfn.IFS(AF1305&lt;=10,"0-10",AF1305&lt;=20,"10-20",AF1305&lt;=30,"20-30",TRUE,"30+")</f>
        <v>20-30</v>
      </c>
      <c r="AO1305" t="str" cm="1">
        <f t="array" ref="AO1305">_xlfn.IFS(Y1305=1,"Poor",Y1305=2,"Average",Y1305=3,"Good",TRUE,"Excellent")</f>
        <v>Good</v>
      </c>
      <c r="AP1305" t="str" cm="1">
        <f t="array" ref="AP1305">_xlfn.IFS(Q1305=1,"Low",Q1305=2,"Medium",Q1305=3,"High",TRUE,"Very High")</f>
        <v>Medium</v>
      </c>
    </row>
    <row r="1306" spans="1:42" x14ac:dyDescent="0.25">
      <c r="A1306">
        <v>40</v>
      </c>
      <c r="B1306" t="s">
        <v>42</v>
      </c>
      <c r="C1306" t="s">
        <v>90</v>
      </c>
      <c r="D1306">
        <v>750</v>
      </c>
      <c r="E1306" t="s">
        <v>43</v>
      </c>
      <c r="F1306">
        <v>12</v>
      </c>
      <c r="G1306">
        <v>3</v>
      </c>
      <c r="H1306" t="s">
        <v>37</v>
      </c>
      <c r="I1306">
        <v>1</v>
      </c>
      <c r="J1306">
        <v>1829</v>
      </c>
      <c r="K1306">
        <v>2</v>
      </c>
      <c r="L1306" t="s">
        <v>38</v>
      </c>
      <c r="M1306">
        <v>47</v>
      </c>
      <c r="N1306">
        <v>3</v>
      </c>
      <c r="O1306">
        <v>2</v>
      </c>
      <c r="P1306" t="s">
        <v>52</v>
      </c>
      <c r="Q1306">
        <v>1</v>
      </c>
      <c r="R1306" t="s">
        <v>50</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c r="AJ1306">
        <f t="shared" si="20"/>
        <v>0</v>
      </c>
      <c r="AK1306" t="str" cm="1">
        <f t="array" ref="AK1306">_xlfn.IFS(A1306&lt;=30,"18-30",A1306&lt;=45,"31-45",A1306&lt;=60,"46-60",TRUE, "60+")</f>
        <v>31-45</v>
      </c>
      <c r="AL1306" t="str" cm="1">
        <f t="array" ref="AL1306">_xlfn.IFS(F1306&lt;=10,"0-10",F1306&lt;=20,"11-20",TRUE,"20+")</f>
        <v>11-20</v>
      </c>
      <c r="AM1306" t="str" cm="1">
        <f t="array" ref="AM1306">_xlfn.IFS(S1306&lt;=5000,"0-5k",S1306&lt;=10000,"5k-10k",S1306&lt;=15000,"10k-15k",TRUE,"15k+")</f>
        <v>0-5k</v>
      </c>
      <c r="AN1306" t="str" cm="1">
        <f t="array" ref="AN1306">_xlfn.IFS(AF1306&lt;=10,"0-10",AF1306&lt;=20,"10-20",AF1306&lt;=30,"20-30",TRUE,"30+")</f>
        <v>0-10</v>
      </c>
      <c r="AO1306" t="str" cm="1">
        <f t="array" ref="AO1306">_xlfn.IFS(Y1306=1,"Poor",Y1306=2,"Average",Y1306=3,"Good",TRUE,"Excellent")</f>
        <v>Good</v>
      </c>
      <c r="AP1306" t="str" cm="1">
        <f t="array" ref="AP1306">_xlfn.IFS(Q1306=1,"Low",Q1306=2,"Medium",Q1306=3,"High",TRUE,"Very High")</f>
        <v>Low</v>
      </c>
    </row>
    <row r="1307" spans="1:42" x14ac:dyDescent="0.25">
      <c r="A1307">
        <v>54</v>
      </c>
      <c r="B1307" t="s">
        <v>42</v>
      </c>
      <c r="C1307" t="s">
        <v>90</v>
      </c>
      <c r="D1307">
        <v>431</v>
      </c>
      <c r="E1307" t="s">
        <v>43</v>
      </c>
      <c r="F1307">
        <v>7</v>
      </c>
      <c r="G1307">
        <v>4</v>
      </c>
      <c r="H1307" t="s">
        <v>49</v>
      </c>
      <c r="I1307">
        <v>1</v>
      </c>
      <c r="J1307">
        <v>1830</v>
      </c>
      <c r="K1307">
        <v>4</v>
      </c>
      <c r="L1307" t="s">
        <v>38</v>
      </c>
      <c r="M1307">
        <v>68</v>
      </c>
      <c r="N1307">
        <v>3</v>
      </c>
      <c r="O1307">
        <v>2</v>
      </c>
      <c r="P1307" t="s">
        <v>45</v>
      </c>
      <c r="Q1307">
        <v>4</v>
      </c>
      <c r="R1307" t="s">
        <v>46</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c r="AJ1307">
        <f t="shared" si="20"/>
        <v>0</v>
      </c>
      <c r="AK1307" t="str" cm="1">
        <f t="array" ref="AK1307">_xlfn.IFS(A1307&lt;=30,"18-30",A1307&lt;=45,"31-45",A1307&lt;=60,"46-60",TRUE, "60+")</f>
        <v>46-60</v>
      </c>
      <c r="AL1307" t="str" cm="1">
        <f t="array" ref="AL1307">_xlfn.IFS(F1307&lt;=10,"0-10",F1307&lt;=20,"11-20",TRUE,"20+")</f>
        <v>0-10</v>
      </c>
      <c r="AM1307" t="str" cm="1">
        <f t="array" ref="AM1307">_xlfn.IFS(S1307&lt;=5000,"0-5k",S1307&lt;=10000,"5k-10k",S1307&lt;=15000,"10k-15k",TRUE,"15k+")</f>
        <v>5k-10k</v>
      </c>
      <c r="AN1307" t="str" cm="1">
        <f t="array" ref="AN1307">_xlfn.IFS(AF1307&lt;=10,"0-10",AF1307&lt;=20,"10-20",AF1307&lt;=30,"20-30",TRUE,"30+")</f>
        <v>0-10</v>
      </c>
      <c r="AO1307" t="str" cm="1">
        <f t="array" ref="AO1307">_xlfn.IFS(Y1307=1,"Poor",Y1307=2,"Average",Y1307=3,"Good",TRUE,"Excellent")</f>
        <v>Good</v>
      </c>
      <c r="AP1307" t="str" cm="1">
        <f t="array" ref="AP1307">_xlfn.IFS(Q1307=1,"Low",Q1307=2,"Medium",Q1307=3,"High",TRUE,"Very High")</f>
        <v>Very High</v>
      </c>
    </row>
    <row r="1308" spans="1:42" x14ac:dyDescent="0.25">
      <c r="A1308">
        <v>31</v>
      </c>
      <c r="B1308" t="s">
        <v>42</v>
      </c>
      <c r="C1308" t="s">
        <v>91</v>
      </c>
      <c r="D1308">
        <v>1125</v>
      </c>
      <c r="E1308" t="s">
        <v>36</v>
      </c>
      <c r="F1308">
        <v>7</v>
      </c>
      <c r="G1308">
        <v>4</v>
      </c>
      <c r="H1308" t="s">
        <v>57</v>
      </c>
      <c r="I1308">
        <v>1</v>
      </c>
      <c r="J1308">
        <v>1833</v>
      </c>
      <c r="K1308">
        <v>1</v>
      </c>
      <c r="L1308" t="s">
        <v>38</v>
      </c>
      <c r="M1308">
        <v>68</v>
      </c>
      <c r="N1308">
        <v>3</v>
      </c>
      <c r="O1308">
        <v>3</v>
      </c>
      <c r="P1308" t="s">
        <v>39</v>
      </c>
      <c r="Q1308">
        <v>1</v>
      </c>
      <c r="R1308" t="s">
        <v>46</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c r="AJ1308">
        <f t="shared" si="20"/>
        <v>0</v>
      </c>
      <c r="AK1308" t="str" cm="1">
        <f t="array" ref="AK1308">_xlfn.IFS(A1308&lt;=30,"18-30",A1308&lt;=45,"31-45",A1308&lt;=60,"46-60",TRUE, "60+")</f>
        <v>31-45</v>
      </c>
      <c r="AL1308" t="str" cm="1">
        <f t="array" ref="AL1308">_xlfn.IFS(F1308&lt;=10,"0-10",F1308&lt;=20,"11-20",TRUE,"20+")</f>
        <v>0-10</v>
      </c>
      <c r="AM1308" t="str" cm="1">
        <f t="array" ref="AM1308">_xlfn.IFS(S1308&lt;=5000,"0-5k",S1308&lt;=10000,"5k-10k",S1308&lt;=15000,"10k-15k",TRUE,"15k+")</f>
        <v>5k-10k</v>
      </c>
      <c r="AN1308" t="str" cm="1">
        <f t="array" ref="AN1308">_xlfn.IFS(AF1308&lt;=10,"0-10",AF1308&lt;=20,"10-20",AF1308&lt;=30,"20-30",TRUE,"30+")</f>
        <v>0-10</v>
      </c>
      <c r="AO1308" t="str" cm="1">
        <f t="array" ref="AO1308">_xlfn.IFS(Y1308=1,"Poor",Y1308=2,"Average",Y1308=3,"Good",TRUE,"Excellent")</f>
        <v>Good</v>
      </c>
      <c r="AP1308" t="str" cm="1">
        <f t="array" ref="AP1308">_xlfn.IFS(Q1308=1,"Low",Q1308=2,"Medium",Q1308=3,"High",TRUE,"Very High")</f>
        <v>Low</v>
      </c>
    </row>
    <row r="1309" spans="1:42" x14ac:dyDescent="0.25">
      <c r="A1309">
        <v>28</v>
      </c>
      <c r="B1309" t="s">
        <v>42</v>
      </c>
      <c r="C1309" t="s">
        <v>90</v>
      </c>
      <c r="D1309">
        <v>1217</v>
      </c>
      <c r="E1309" t="s">
        <v>43</v>
      </c>
      <c r="F1309">
        <v>1</v>
      </c>
      <c r="G1309">
        <v>3</v>
      </c>
      <c r="H1309" t="s">
        <v>49</v>
      </c>
      <c r="I1309">
        <v>1</v>
      </c>
      <c r="J1309">
        <v>1834</v>
      </c>
      <c r="K1309">
        <v>3</v>
      </c>
      <c r="L1309" t="s">
        <v>38</v>
      </c>
      <c r="M1309">
        <v>67</v>
      </c>
      <c r="N1309">
        <v>3</v>
      </c>
      <c r="O1309">
        <v>1</v>
      </c>
      <c r="P1309" t="s">
        <v>45</v>
      </c>
      <c r="Q1309">
        <v>1</v>
      </c>
      <c r="R1309" t="s">
        <v>46</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c r="AJ1309">
        <f t="shared" si="20"/>
        <v>0</v>
      </c>
      <c r="AK1309" t="str" cm="1">
        <f t="array" ref="AK1309">_xlfn.IFS(A1309&lt;=30,"18-30",A1309&lt;=45,"31-45",A1309&lt;=60,"46-60",TRUE, "60+")</f>
        <v>18-30</v>
      </c>
      <c r="AL1309" t="str" cm="1">
        <f t="array" ref="AL1309">_xlfn.IFS(F1309&lt;=10,"0-10",F1309&lt;=20,"11-20",TRUE,"20+")</f>
        <v>0-10</v>
      </c>
      <c r="AM1309" t="str" cm="1">
        <f t="array" ref="AM1309">_xlfn.IFS(S1309&lt;=5000,"0-5k",S1309&lt;=10000,"5k-10k",S1309&lt;=15000,"10k-15k",TRUE,"15k+")</f>
        <v>0-5k</v>
      </c>
      <c r="AN1309" t="str" cm="1">
        <f t="array" ref="AN1309">_xlfn.IFS(AF1309&lt;=10,"0-10",AF1309&lt;=20,"10-20",AF1309&lt;=30,"20-30",TRUE,"30+")</f>
        <v>0-10</v>
      </c>
      <c r="AO1309" t="str" cm="1">
        <f t="array" ref="AO1309">_xlfn.IFS(Y1309=1,"Poor",Y1309=2,"Average",Y1309=3,"Good",TRUE,"Excellent")</f>
        <v>Excellent</v>
      </c>
      <c r="AP1309" t="str" cm="1">
        <f t="array" ref="AP1309">_xlfn.IFS(Q1309=1,"Low",Q1309=2,"Medium",Q1309=3,"High",TRUE,"Very High")</f>
        <v>Low</v>
      </c>
    </row>
    <row r="1310" spans="1:42" x14ac:dyDescent="0.25">
      <c r="A1310">
        <v>38</v>
      </c>
      <c r="B1310" t="s">
        <v>42</v>
      </c>
      <c r="C1310" t="s">
        <v>90</v>
      </c>
      <c r="D1310">
        <v>723</v>
      </c>
      <c r="E1310" t="s">
        <v>36</v>
      </c>
      <c r="F1310">
        <v>2</v>
      </c>
      <c r="G1310">
        <v>4</v>
      </c>
      <c r="H1310" t="s">
        <v>57</v>
      </c>
      <c r="I1310">
        <v>1</v>
      </c>
      <c r="J1310">
        <v>1835</v>
      </c>
      <c r="K1310">
        <v>2</v>
      </c>
      <c r="L1310" t="s">
        <v>38</v>
      </c>
      <c r="M1310">
        <v>77</v>
      </c>
      <c r="N1310">
        <v>1</v>
      </c>
      <c r="O1310">
        <v>2</v>
      </c>
      <c r="P1310" t="s">
        <v>55</v>
      </c>
      <c r="Q1310">
        <v>4</v>
      </c>
      <c r="R1310" t="s">
        <v>46</v>
      </c>
      <c r="S1310">
        <v>5405</v>
      </c>
      <c r="T1310">
        <v>4244</v>
      </c>
      <c r="U1310">
        <v>2</v>
      </c>
      <c r="V1310" t="s">
        <v>41</v>
      </c>
      <c r="W1310" t="s">
        <v>35</v>
      </c>
      <c r="X1310">
        <v>20</v>
      </c>
      <c r="Y1310">
        <v>4</v>
      </c>
      <c r="Z1310">
        <v>1</v>
      </c>
      <c r="AA1310">
        <v>80</v>
      </c>
      <c r="AB1310">
        <v>2</v>
      </c>
      <c r="AC1310">
        <v>20</v>
      </c>
      <c r="AD1310">
        <v>4</v>
      </c>
      <c r="AE1310">
        <v>2</v>
      </c>
      <c r="AF1310">
        <v>4</v>
      </c>
      <c r="AG1310">
        <v>2</v>
      </c>
      <c r="AH1310">
        <v>0</v>
      </c>
      <c r="AI1310">
        <v>3</v>
      </c>
      <c r="AJ1310">
        <f t="shared" si="20"/>
        <v>0</v>
      </c>
      <c r="AK1310" t="str" cm="1">
        <f t="array" ref="AK1310">_xlfn.IFS(A1310&lt;=30,"18-30",A1310&lt;=45,"31-45",A1310&lt;=60,"46-60",TRUE, "60+")</f>
        <v>31-45</v>
      </c>
      <c r="AL1310" t="str" cm="1">
        <f t="array" ref="AL1310">_xlfn.IFS(F1310&lt;=10,"0-10",F1310&lt;=20,"11-20",TRUE,"20+")</f>
        <v>0-10</v>
      </c>
      <c r="AM1310" t="str" cm="1">
        <f t="array" ref="AM1310">_xlfn.IFS(S1310&lt;=5000,"0-5k",S1310&lt;=10000,"5k-10k",S1310&lt;=15000,"10k-15k",TRUE,"15k+")</f>
        <v>5k-10k</v>
      </c>
      <c r="AN1310" t="str" cm="1">
        <f t="array" ref="AN1310">_xlfn.IFS(AF1310&lt;=10,"0-10",AF1310&lt;=20,"10-20",AF1310&lt;=30,"20-30",TRUE,"30+")</f>
        <v>0-10</v>
      </c>
      <c r="AO1310" t="str" cm="1">
        <f t="array" ref="AO1310">_xlfn.IFS(Y1310=1,"Poor",Y1310=2,"Average",Y1310=3,"Good",TRUE,"Excellent")</f>
        <v>Excellent</v>
      </c>
      <c r="AP1310" t="str" cm="1">
        <f t="array" ref="AP1310">_xlfn.IFS(Q1310=1,"Low",Q1310=2,"Medium",Q1310=3,"High",TRUE,"Very High")</f>
        <v>Very High</v>
      </c>
    </row>
    <row r="1311" spans="1:42" x14ac:dyDescent="0.25">
      <c r="A1311">
        <v>26</v>
      </c>
      <c r="B1311" t="s">
        <v>42</v>
      </c>
      <c r="C1311" t="s">
        <v>90</v>
      </c>
      <c r="D1311">
        <v>572</v>
      </c>
      <c r="E1311" t="s">
        <v>36</v>
      </c>
      <c r="F1311">
        <v>10</v>
      </c>
      <c r="G1311">
        <v>3</v>
      </c>
      <c r="H1311" t="s">
        <v>49</v>
      </c>
      <c r="I1311">
        <v>1</v>
      </c>
      <c r="J1311">
        <v>1836</v>
      </c>
      <c r="K1311">
        <v>3</v>
      </c>
      <c r="L1311" t="s">
        <v>44</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c r="AJ1311">
        <f t="shared" si="20"/>
        <v>0</v>
      </c>
      <c r="AK1311" t="str" cm="1">
        <f t="array" ref="AK1311">_xlfn.IFS(A1311&lt;=30,"18-30",A1311&lt;=45,"31-45",A1311&lt;=60,"46-60",TRUE, "60+")</f>
        <v>18-30</v>
      </c>
      <c r="AL1311" t="str" cm="1">
        <f t="array" ref="AL1311">_xlfn.IFS(F1311&lt;=10,"0-10",F1311&lt;=20,"11-20",TRUE,"20+")</f>
        <v>0-10</v>
      </c>
      <c r="AM1311" t="str" cm="1">
        <f t="array" ref="AM1311">_xlfn.IFS(S1311&lt;=5000,"0-5k",S1311&lt;=10000,"5k-10k",S1311&lt;=15000,"10k-15k",TRUE,"15k+")</f>
        <v>0-5k</v>
      </c>
      <c r="AN1311" t="str" cm="1">
        <f t="array" ref="AN1311">_xlfn.IFS(AF1311&lt;=10,"0-10",AF1311&lt;=20,"10-20",AF1311&lt;=30,"20-30",TRUE,"30+")</f>
        <v>0-10</v>
      </c>
      <c r="AO1311" t="str" cm="1">
        <f t="array" ref="AO1311">_xlfn.IFS(Y1311=1,"Poor",Y1311=2,"Average",Y1311=3,"Good",TRUE,"Excellent")</f>
        <v>Good</v>
      </c>
      <c r="AP1311" t="str" cm="1">
        <f t="array" ref="AP1311">_xlfn.IFS(Q1311=1,"Low",Q1311=2,"Medium",Q1311=3,"High",TRUE,"Very High")</f>
        <v>Very High</v>
      </c>
    </row>
    <row r="1312" spans="1:42" x14ac:dyDescent="0.25">
      <c r="A1312">
        <v>58</v>
      </c>
      <c r="B1312" t="s">
        <v>42</v>
      </c>
      <c r="C1312" t="s">
        <v>91</v>
      </c>
      <c r="D1312">
        <v>1216</v>
      </c>
      <c r="E1312" t="s">
        <v>43</v>
      </c>
      <c r="F1312">
        <v>15</v>
      </c>
      <c r="G1312">
        <v>4</v>
      </c>
      <c r="H1312" t="s">
        <v>37</v>
      </c>
      <c r="I1312">
        <v>1</v>
      </c>
      <c r="J1312">
        <v>1837</v>
      </c>
      <c r="K1312">
        <v>1</v>
      </c>
      <c r="L1312" t="s">
        <v>44</v>
      </c>
      <c r="M1312">
        <v>87</v>
      </c>
      <c r="N1312">
        <v>3</v>
      </c>
      <c r="O1312">
        <v>4</v>
      </c>
      <c r="P1312" t="s">
        <v>56</v>
      </c>
      <c r="Q1312">
        <v>3</v>
      </c>
      <c r="R1312" t="s">
        <v>46</v>
      </c>
      <c r="S1312">
        <v>15787</v>
      </c>
      <c r="T1312">
        <v>21624</v>
      </c>
      <c r="U1312">
        <v>2</v>
      </c>
      <c r="V1312" t="s">
        <v>41</v>
      </c>
      <c r="W1312" t="s">
        <v>35</v>
      </c>
      <c r="X1312">
        <v>14</v>
      </c>
      <c r="Y1312">
        <v>3</v>
      </c>
      <c r="Z1312">
        <v>2</v>
      </c>
      <c r="AA1312">
        <v>80</v>
      </c>
      <c r="AB1312">
        <v>0</v>
      </c>
      <c r="AC1312">
        <v>23</v>
      </c>
      <c r="AD1312">
        <v>3</v>
      </c>
      <c r="AE1312">
        <v>3</v>
      </c>
      <c r="AF1312">
        <v>2</v>
      </c>
      <c r="AG1312">
        <v>2</v>
      </c>
      <c r="AH1312">
        <v>2</v>
      </c>
      <c r="AI1312">
        <v>2</v>
      </c>
      <c r="AJ1312">
        <f t="shared" si="20"/>
        <v>0</v>
      </c>
      <c r="AK1312" t="str" cm="1">
        <f t="array" ref="AK1312">_xlfn.IFS(A1312&lt;=30,"18-30",A1312&lt;=45,"31-45",A1312&lt;=60,"46-60",TRUE, "60+")</f>
        <v>46-60</v>
      </c>
      <c r="AL1312" t="str" cm="1">
        <f t="array" ref="AL1312">_xlfn.IFS(F1312&lt;=10,"0-10",F1312&lt;=20,"11-20",TRUE,"20+")</f>
        <v>11-20</v>
      </c>
      <c r="AM1312" t="str" cm="1">
        <f t="array" ref="AM1312">_xlfn.IFS(S1312&lt;=5000,"0-5k",S1312&lt;=10000,"5k-10k",S1312&lt;=15000,"10k-15k",TRUE,"15k+")</f>
        <v>15k+</v>
      </c>
      <c r="AN1312" t="str" cm="1">
        <f t="array" ref="AN1312">_xlfn.IFS(AF1312&lt;=10,"0-10",AF1312&lt;=20,"10-20",AF1312&lt;=30,"20-30",TRUE,"30+")</f>
        <v>0-10</v>
      </c>
      <c r="AO1312" t="str" cm="1">
        <f t="array" ref="AO1312">_xlfn.IFS(Y1312=1,"Poor",Y1312=2,"Average",Y1312=3,"Good",TRUE,"Excellent")</f>
        <v>Good</v>
      </c>
      <c r="AP1312" t="str" cm="1">
        <f t="array" ref="AP1312">_xlfn.IFS(Q1312=1,"Low",Q1312=2,"Medium",Q1312=3,"High",TRUE,"Very High")</f>
        <v>High</v>
      </c>
    </row>
    <row r="1313" spans="1:42" x14ac:dyDescent="0.25">
      <c r="A1313">
        <v>18</v>
      </c>
      <c r="B1313" t="s">
        <v>42</v>
      </c>
      <c r="C1313" t="s">
        <v>53</v>
      </c>
      <c r="D1313">
        <v>1431</v>
      </c>
      <c r="E1313" t="s">
        <v>43</v>
      </c>
      <c r="F1313">
        <v>14</v>
      </c>
      <c r="G1313">
        <v>3</v>
      </c>
      <c r="H1313" t="s">
        <v>49</v>
      </c>
      <c r="I1313">
        <v>1</v>
      </c>
      <c r="J1313">
        <v>1839</v>
      </c>
      <c r="K1313">
        <v>2</v>
      </c>
      <c r="L1313" t="s">
        <v>38</v>
      </c>
      <c r="M1313">
        <v>33</v>
      </c>
      <c r="N1313">
        <v>3</v>
      </c>
      <c r="O1313">
        <v>1</v>
      </c>
      <c r="P1313" t="s">
        <v>45</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c r="AJ1313">
        <f t="shared" si="20"/>
        <v>0</v>
      </c>
      <c r="AK1313" t="str" cm="1">
        <f t="array" ref="AK1313">_xlfn.IFS(A1313&lt;=30,"18-30",A1313&lt;=45,"31-45",A1313&lt;=60,"46-60",TRUE, "60+")</f>
        <v>18-30</v>
      </c>
      <c r="AL1313" t="str" cm="1">
        <f t="array" ref="AL1313">_xlfn.IFS(F1313&lt;=10,"0-10",F1313&lt;=20,"11-20",TRUE,"20+")</f>
        <v>11-20</v>
      </c>
      <c r="AM1313" t="str" cm="1">
        <f t="array" ref="AM1313">_xlfn.IFS(S1313&lt;=5000,"0-5k",S1313&lt;=10000,"5k-10k",S1313&lt;=15000,"10k-15k",TRUE,"15k+")</f>
        <v>0-5k</v>
      </c>
      <c r="AN1313" t="str" cm="1">
        <f t="array" ref="AN1313">_xlfn.IFS(AF1313&lt;=10,"0-10",AF1313&lt;=20,"10-20",AF1313&lt;=30,"20-30",TRUE,"30+")</f>
        <v>0-10</v>
      </c>
      <c r="AO1313" t="str" cm="1">
        <f t="array" ref="AO1313">_xlfn.IFS(Y1313=1,"Poor",Y1313=2,"Average",Y1313=3,"Good",TRUE,"Excellent")</f>
        <v>Good</v>
      </c>
      <c r="AP1313" t="str" cm="1">
        <f t="array" ref="AP1313">_xlfn.IFS(Q1313=1,"Low",Q1313=2,"Medium",Q1313=3,"High",TRUE,"Very High")</f>
        <v>High</v>
      </c>
    </row>
    <row r="1314" spans="1:42" x14ac:dyDescent="0.25">
      <c r="A1314">
        <v>31</v>
      </c>
      <c r="B1314" t="s">
        <v>35</v>
      </c>
      <c r="C1314" t="s">
        <v>90</v>
      </c>
      <c r="D1314">
        <v>359</v>
      </c>
      <c r="E1314" t="s">
        <v>59</v>
      </c>
      <c r="F1314">
        <v>18</v>
      </c>
      <c r="G1314">
        <v>5</v>
      </c>
      <c r="H1314" t="s">
        <v>59</v>
      </c>
      <c r="I1314">
        <v>1</v>
      </c>
      <c r="J1314">
        <v>1842</v>
      </c>
      <c r="K1314">
        <v>4</v>
      </c>
      <c r="L1314" t="s">
        <v>44</v>
      </c>
      <c r="M1314">
        <v>89</v>
      </c>
      <c r="N1314">
        <v>4</v>
      </c>
      <c r="O1314">
        <v>1</v>
      </c>
      <c r="P1314" t="s">
        <v>59</v>
      </c>
      <c r="Q1314">
        <v>1</v>
      </c>
      <c r="R1314" t="s">
        <v>46</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c r="AJ1314">
        <f t="shared" si="20"/>
        <v>1</v>
      </c>
      <c r="AK1314" t="str" cm="1">
        <f t="array" ref="AK1314">_xlfn.IFS(A1314&lt;=30,"18-30",A1314&lt;=45,"31-45",A1314&lt;=60,"46-60",TRUE, "60+")</f>
        <v>31-45</v>
      </c>
      <c r="AL1314" t="str" cm="1">
        <f t="array" ref="AL1314">_xlfn.IFS(F1314&lt;=10,"0-10",F1314&lt;=20,"11-20",TRUE,"20+")</f>
        <v>11-20</v>
      </c>
      <c r="AM1314" t="str" cm="1">
        <f t="array" ref="AM1314">_xlfn.IFS(S1314&lt;=5000,"0-5k",S1314&lt;=10000,"5k-10k",S1314&lt;=15000,"10k-15k",TRUE,"15k+")</f>
        <v>0-5k</v>
      </c>
      <c r="AN1314" t="str" cm="1">
        <f t="array" ref="AN1314">_xlfn.IFS(AF1314&lt;=10,"0-10",AF1314&lt;=20,"10-20",AF1314&lt;=30,"20-30",TRUE,"30+")</f>
        <v>0-10</v>
      </c>
      <c r="AO1314" t="str" cm="1">
        <f t="array" ref="AO1314">_xlfn.IFS(Y1314=1,"Poor",Y1314=2,"Average",Y1314=3,"Good",TRUE,"Excellent")</f>
        <v>Good</v>
      </c>
      <c r="AP1314" t="str" cm="1">
        <f t="array" ref="AP1314">_xlfn.IFS(Q1314=1,"Low",Q1314=2,"Medium",Q1314=3,"High",TRUE,"Very High")</f>
        <v>Low</v>
      </c>
    </row>
    <row r="1315" spans="1:42" x14ac:dyDescent="0.25">
      <c r="A1315">
        <v>29</v>
      </c>
      <c r="B1315" t="s">
        <v>35</v>
      </c>
      <c r="C1315" t="s">
        <v>90</v>
      </c>
      <c r="D1315">
        <v>350</v>
      </c>
      <c r="E1315" t="s">
        <v>59</v>
      </c>
      <c r="F1315">
        <v>13</v>
      </c>
      <c r="G1315">
        <v>3</v>
      </c>
      <c r="H1315" t="s">
        <v>59</v>
      </c>
      <c r="I1315">
        <v>1</v>
      </c>
      <c r="J1315">
        <v>1844</v>
      </c>
      <c r="K1315">
        <v>1</v>
      </c>
      <c r="L1315" t="s">
        <v>44</v>
      </c>
      <c r="M1315">
        <v>56</v>
      </c>
      <c r="N1315">
        <v>2</v>
      </c>
      <c r="O1315">
        <v>1</v>
      </c>
      <c r="P1315" t="s">
        <v>59</v>
      </c>
      <c r="Q1315">
        <v>1</v>
      </c>
      <c r="R1315" t="s">
        <v>50</v>
      </c>
      <c r="S1315">
        <v>2335</v>
      </c>
      <c r="T1315">
        <v>3157</v>
      </c>
      <c r="U1315">
        <v>4</v>
      </c>
      <c r="V1315" t="s">
        <v>41</v>
      </c>
      <c r="W1315" t="s">
        <v>35</v>
      </c>
      <c r="X1315">
        <v>15</v>
      </c>
      <c r="Y1315">
        <v>3</v>
      </c>
      <c r="Z1315">
        <v>4</v>
      </c>
      <c r="AA1315">
        <v>80</v>
      </c>
      <c r="AB1315">
        <v>3</v>
      </c>
      <c r="AC1315">
        <v>4</v>
      </c>
      <c r="AD1315">
        <v>3</v>
      </c>
      <c r="AE1315">
        <v>3</v>
      </c>
      <c r="AF1315">
        <v>2</v>
      </c>
      <c r="AG1315">
        <v>2</v>
      </c>
      <c r="AH1315">
        <v>2</v>
      </c>
      <c r="AI1315">
        <v>0</v>
      </c>
      <c r="AJ1315">
        <f t="shared" si="20"/>
        <v>1</v>
      </c>
      <c r="AK1315" t="str" cm="1">
        <f t="array" ref="AK1315">_xlfn.IFS(A1315&lt;=30,"18-30",A1315&lt;=45,"31-45",A1315&lt;=60,"46-60",TRUE, "60+")</f>
        <v>18-30</v>
      </c>
      <c r="AL1315" t="str" cm="1">
        <f t="array" ref="AL1315">_xlfn.IFS(F1315&lt;=10,"0-10",F1315&lt;=20,"11-20",TRUE,"20+")</f>
        <v>11-20</v>
      </c>
      <c r="AM1315" t="str" cm="1">
        <f t="array" ref="AM1315">_xlfn.IFS(S1315&lt;=5000,"0-5k",S1315&lt;=10000,"5k-10k",S1315&lt;=15000,"10k-15k",TRUE,"15k+")</f>
        <v>0-5k</v>
      </c>
      <c r="AN1315" t="str" cm="1">
        <f t="array" ref="AN1315">_xlfn.IFS(AF1315&lt;=10,"0-10",AF1315&lt;=20,"10-20",AF1315&lt;=30,"20-30",TRUE,"30+")</f>
        <v>0-10</v>
      </c>
      <c r="AO1315" t="str" cm="1">
        <f t="array" ref="AO1315">_xlfn.IFS(Y1315=1,"Poor",Y1315=2,"Average",Y1315=3,"Good",TRUE,"Excellent")</f>
        <v>Good</v>
      </c>
      <c r="AP1315" t="str" cm="1">
        <f t="array" ref="AP1315">_xlfn.IFS(Q1315=1,"Low",Q1315=2,"Medium",Q1315=3,"High",TRUE,"Very High")</f>
        <v>Low</v>
      </c>
    </row>
    <row r="1316" spans="1:42" x14ac:dyDescent="0.25">
      <c r="A1316">
        <v>45</v>
      </c>
      <c r="B1316" t="s">
        <v>42</v>
      </c>
      <c r="C1316" t="s">
        <v>53</v>
      </c>
      <c r="D1316">
        <v>589</v>
      </c>
      <c r="E1316" t="s">
        <v>36</v>
      </c>
      <c r="F1316">
        <v>2</v>
      </c>
      <c r="G1316">
        <v>4</v>
      </c>
      <c r="H1316" t="s">
        <v>37</v>
      </c>
      <c r="I1316">
        <v>1</v>
      </c>
      <c r="J1316">
        <v>1845</v>
      </c>
      <c r="K1316">
        <v>3</v>
      </c>
      <c r="L1316" t="s">
        <v>38</v>
      </c>
      <c r="M1316">
        <v>67</v>
      </c>
      <c r="N1316">
        <v>3</v>
      </c>
      <c r="O1316">
        <v>2</v>
      </c>
      <c r="P1316" t="s">
        <v>39</v>
      </c>
      <c r="Q1316">
        <v>3</v>
      </c>
      <c r="R1316" t="s">
        <v>46</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c r="AJ1316">
        <f t="shared" si="20"/>
        <v>0</v>
      </c>
      <c r="AK1316" t="str" cm="1">
        <f t="array" ref="AK1316">_xlfn.IFS(A1316&lt;=30,"18-30",A1316&lt;=45,"31-45",A1316&lt;=60,"46-60",TRUE, "60+")</f>
        <v>31-45</v>
      </c>
      <c r="AL1316" t="str" cm="1">
        <f t="array" ref="AL1316">_xlfn.IFS(F1316&lt;=10,"0-10",F1316&lt;=20,"11-20",TRUE,"20+")</f>
        <v>0-10</v>
      </c>
      <c r="AM1316" t="str" cm="1">
        <f t="array" ref="AM1316">_xlfn.IFS(S1316&lt;=5000,"0-5k",S1316&lt;=10000,"5k-10k",S1316&lt;=15000,"10k-15k",TRUE,"15k+")</f>
        <v>5k-10k</v>
      </c>
      <c r="AN1316" t="str" cm="1">
        <f t="array" ref="AN1316">_xlfn.IFS(AF1316&lt;=10,"0-10",AF1316&lt;=20,"10-20",AF1316&lt;=30,"20-30",TRUE,"30+")</f>
        <v>0-10</v>
      </c>
      <c r="AO1316" t="str" cm="1">
        <f t="array" ref="AO1316">_xlfn.IFS(Y1316=1,"Poor",Y1316=2,"Average",Y1316=3,"Good",TRUE,"Excellent")</f>
        <v>Excellent</v>
      </c>
      <c r="AP1316" t="str" cm="1">
        <f t="array" ref="AP1316">_xlfn.IFS(Q1316=1,"Low",Q1316=2,"Medium",Q1316=3,"High",TRUE,"Very High")</f>
        <v>High</v>
      </c>
    </row>
    <row r="1317" spans="1:42" x14ac:dyDescent="0.25">
      <c r="A1317">
        <v>36</v>
      </c>
      <c r="B1317" t="s">
        <v>42</v>
      </c>
      <c r="C1317" t="s">
        <v>90</v>
      </c>
      <c r="D1317">
        <v>430</v>
      </c>
      <c r="E1317" t="s">
        <v>43</v>
      </c>
      <c r="F1317">
        <v>2</v>
      </c>
      <c r="G1317">
        <v>4</v>
      </c>
      <c r="H1317" t="s">
        <v>47</v>
      </c>
      <c r="I1317">
        <v>1</v>
      </c>
      <c r="J1317">
        <v>1847</v>
      </c>
      <c r="K1317">
        <v>4</v>
      </c>
      <c r="L1317" t="s">
        <v>38</v>
      </c>
      <c r="M1317">
        <v>73</v>
      </c>
      <c r="N1317">
        <v>3</v>
      </c>
      <c r="O1317">
        <v>2</v>
      </c>
      <c r="P1317" t="s">
        <v>45</v>
      </c>
      <c r="Q1317">
        <v>2</v>
      </c>
      <c r="R1317" t="s">
        <v>46</v>
      </c>
      <c r="S1317">
        <v>6962</v>
      </c>
      <c r="T1317">
        <v>19573</v>
      </c>
      <c r="U1317">
        <v>4</v>
      </c>
      <c r="V1317" t="s">
        <v>41</v>
      </c>
      <c r="W1317" t="s">
        <v>35</v>
      </c>
      <c r="X1317">
        <v>22</v>
      </c>
      <c r="Y1317">
        <v>4</v>
      </c>
      <c r="Z1317">
        <v>4</v>
      </c>
      <c r="AA1317">
        <v>80</v>
      </c>
      <c r="AB1317">
        <v>1</v>
      </c>
      <c r="AC1317">
        <v>15</v>
      </c>
      <c r="AD1317">
        <v>2</v>
      </c>
      <c r="AE1317">
        <v>3</v>
      </c>
      <c r="AF1317">
        <v>1</v>
      </c>
      <c r="AG1317">
        <v>0</v>
      </c>
      <c r="AH1317">
        <v>0</v>
      </c>
      <c r="AI1317">
        <v>0</v>
      </c>
      <c r="AJ1317">
        <f t="shared" si="20"/>
        <v>0</v>
      </c>
      <c r="AK1317" t="str" cm="1">
        <f t="array" ref="AK1317">_xlfn.IFS(A1317&lt;=30,"18-30",A1317&lt;=45,"31-45",A1317&lt;=60,"46-60",TRUE, "60+")</f>
        <v>31-45</v>
      </c>
      <c r="AL1317" t="str" cm="1">
        <f t="array" ref="AL1317">_xlfn.IFS(F1317&lt;=10,"0-10",F1317&lt;=20,"11-20",TRUE,"20+")</f>
        <v>0-10</v>
      </c>
      <c r="AM1317" t="str" cm="1">
        <f t="array" ref="AM1317">_xlfn.IFS(S1317&lt;=5000,"0-5k",S1317&lt;=10000,"5k-10k",S1317&lt;=15000,"10k-15k",TRUE,"15k+")</f>
        <v>5k-10k</v>
      </c>
      <c r="AN1317" t="str" cm="1">
        <f t="array" ref="AN1317">_xlfn.IFS(AF1317&lt;=10,"0-10",AF1317&lt;=20,"10-20",AF1317&lt;=30,"20-30",TRUE,"30+")</f>
        <v>0-10</v>
      </c>
      <c r="AO1317" t="str" cm="1">
        <f t="array" ref="AO1317">_xlfn.IFS(Y1317=1,"Poor",Y1317=2,"Average",Y1317=3,"Good",TRUE,"Excellent")</f>
        <v>Excellent</v>
      </c>
      <c r="AP1317" t="str" cm="1">
        <f t="array" ref="AP1317">_xlfn.IFS(Q1317=1,"Low",Q1317=2,"Medium",Q1317=3,"High",TRUE,"Very High")</f>
        <v>Medium</v>
      </c>
    </row>
    <row r="1318" spans="1:42" x14ac:dyDescent="0.25">
      <c r="A1318">
        <v>43</v>
      </c>
      <c r="B1318" t="s">
        <v>42</v>
      </c>
      <c r="C1318" t="s">
        <v>91</v>
      </c>
      <c r="D1318">
        <v>1422</v>
      </c>
      <c r="E1318" t="s">
        <v>36</v>
      </c>
      <c r="F1318">
        <v>2</v>
      </c>
      <c r="G1318">
        <v>4</v>
      </c>
      <c r="H1318" t="s">
        <v>37</v>
      </c>
      <c r="I1318">
        <v>1</v>
      </c>
      <c r="J1318">
        <v>1849</v>
      </c>
      <c r="K1318">
        <v>1</v>
      </c>
      <c r="L1318" t="s">
        <v>44</v>
      </c>
      <c r="M1318">
        <v>92</v>
      </c>
      <c r="N1318">
        <v>3</v>
      </c>
      <c r="O1318">
        <v>2</v>
      </c>
      <c r="P1318" t="s">
        <v>39</v>
      </c>
      <c r="Q1318">
        <v>4</v>
      </c>
      <c r="R1318" t="s">
        <v>46</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c r="AJ1318">
        <f t="shared" si="20"/>
        <v>0</v>
      </c>
      <c r="AK1318" t="str" cm="1">
        <f t="array" ref="AK1318">_xlfn.IFS(A1318&lt;=30,"18-30",A1318&lt;=45,"31-45",A1318&lt;=60,"46-60",TRUE, "60+")</f>
        <v>31-45</v>
      </c>
      <c r="AL1318" t="str" cm="1">
        <f t="array" ref="AL1318">_xlfn.IFS(F1318&lt;=10,"0-10",F1318&lt;=20,"11-20",TRUE,"20+")</f>
        <v>0-10</v>
      </c>
      <c r="AM1318" t="str" cm="1">
        <f t="array" ref="AM1318">_xlfn.IFS(S1318&lt;=5000,"0-5k",S1318&lt;=10000,"5k-10k",S1318&lt;=15000,"10k-15k",TRUE,"15k+")</f>
        <v>5k-10k</v>
      </c>
      <c r="AN1318" t="str" cm="1">
        <f t="array" ref="AN1318">_xlfn.IFS(AF1318&lt;=10,"0-10",AF1318&lt;=20,"10-20",AF1318&lt;=30,"20-30",TRUE,"30+")</f>
        <v>0-10</v>
      </c>
      <c r="AO1318" t="str" cm="1">
        <f t="array" ref="AO1318">_xlfn.IFS(Y1318=1,"Poor",Y1318=2,"Average",Y1318=3,"Good",TRUE,"Excellent")</f>
        <v>Excellent</v>
      </c>
      <c r="AP1318" t="str" cm="1">
        <f t="array" ref="AP1318">_xlfn.IFS(Q1318=1,"Low",Q1318=2,"Medium",Q1318=3,"High",TRUE,"Very High")</f>
        <v>Very High</v>
      </c>
    </row>
    <row r="1319" spans="1:42" x14ac:dyDescent="0.25">
      <c r="A1319">
        <v>27</v>
      </c>
      <c r="B1319" t="s">
        <v>42</v>
      </c>
      <c r="C1319" t="s">
        <v>91</v>
      </c>
      <c r="D1319">
        <v>1297</v>
      </c>
      <c r="E1319" t="s">
        <v>43</v>
      </c>
      <c r="F1319">
        <v>5</v>
      </c>
      <c r="G1319">
        <v>2</v>
      </c>
      <c r="H1319" t="s">
        <v>37</v>
      </c>
      <c r="I1319">
        <v>1</v>
      </c>
      <c r="J1319">
        <v>1850</v>
      </c>
      <c r="K1319">
        <v>4</v>
      </c>
      <c r="L1319" t="s">
        <v>38</v>
      </c>
      <c r="M1319">
        <v>53</v>
      </c>
      <c r="N1319">
        <v>3</v>
      </c>
      <c r="O1319">
        <v>1</v>
      </c>
      <c r="P1319" t="s">
        <v>48</v>
      </c>
      <c r="Q1319">
        <v>4</v>
      </c>
      <c r="R1319" t="s">
        <v>40</v>
      </c>
      <c r="S1319">
        <v>2379</v>
      </c>
      <c r="T1319">
        <v>19826</v>
      </c>
      <c r="U1319">
        <v>0</v>
      </c>
      <c r="V1319" t="s">
        <v>41</v>
      </c>
      <c r="W1319" t="s">
        <v>35</v>
      </c>
      <c r="X1319">
        <v>14</v>
      </c>
      <c r="Y1319">
        <v>3</v>
      </c>
      <c r="Z1319">
        <v>3</v>
      </c>
      <c r="AA1319">
        <v>80</v>
      </c>
      <c r="AB1319">
        <v>0</v>
      </c>
      <c r="AC1319">
        <v>6</v>
      </c>
      <c r="AD1319">
        <v>3</v>
      </c>
      <c r="AE1319">
        <v>2</v>
      </c>
      <c r="AF1319">
        <v>5</v>
      </c>
      <c r="AG1319">
        <v>4</v>
      </c>
      <c r="AH1319">
        <v>0</v>
      </c>
      <c r="AI1319">
        <v>2</v>
      </c>
      <c r="AJ1319">
        <f t="shared" si="20"/>
        <v>0</v>
      </c>
      <c r="AK1319" t="str" cm="1">
        <f t="array" ref="AK1319">_xlfn.IFS(A1319&lt;=30,"18-30",A1319&lt;=45,"31-45",A1319&lt;=60,"46-60",TRUE, "60+")</f>
        <v>18-30</v>
      </c>
      <c r="AL1319" t="str" cm="1">
        <f t="array" ref="AL1319">_xlfn.IFS(F1319&lt;=10,"0-10",F1319&lt;=20,"11-20",TRUE,"20+")</f>
        <v>0-10</v>
      </c>
      <c r="AM1319" t="str" cm="1">
        <f t="array" ref="AM1319">_xlfn.IFS(S1319&lt;=5000,"0-5k",S1319&lt;=10000,"5k-10k",S1319&lt;=15000,"10k-15k",TRUE,"15k+")</f>
        <v>0-5k</v>
      </c>
      <c r="AN1319" t="str" cm="1">
        <f t="array" ref="AN1319">_xlfn.IFS(AF1319&lt;=10,"0-10",AF1319&lt;=20,"10-20",AF1319&lt;=30,"20-30",TRUE,"30+")</f>
        <v>0-10</v>
      </c>
      <c r="AO1319" t="str" cm="1">
        <f t="array" ref="AO1319">_xlfn.IFS(Y1319=1,"Poor",Y1319=2,"Average",Y1319=3,"Good",TRUE,"Excellent")</f>
        <v>Good</v>
      </c>
      <c r="AP1319" t="str" cm="1">
        <f t="array" ref="AP1319">_xlfn.IFS(Q1319=1,"Low",Q1319=2,"Medium",Q1319=3,"High",TRUE,"Very High")</f>
        <v>Very High</v>
      </c>
    </row>
    <row r="1320" spans="1:42" x14ac:dyDescent="0.25">
      <c r="A1320">
        <v>29</v>
      </c>
      <c r="B1320" t="s">
        <v>42</v>
      </c>
      <c r="C1320" t="s">
        <v>91</v>
      </c>
      <c r="D1320">
        <v>574</v>
      </c>
      <c r="E1320" t="s">
        <v>43</v>
      </c>
      <c r="F1320">
        <v>20</v>
      </c>
      <c r="G1320">
        <v>1</v>
      </c>
      <c r="H1320" t="s">
        <v>49</v>
      </c>
      <c r="I1320">
        <v>1</v>
      </c>
      <c r="J1320">
        <v>1852</v>
      </c>
      <c r="K1320">
        <v>4</v>
      </c>
      <c r="L1320" t="s">
        <v>44</v>
      </c>
      <c r="M1320">
        <v>40</v>
      </c>
      <c r="N1320">
        <v>3</v>
      </c>
      <c r="O1320">
        <v>1</v>
      </c>
      <c r="P1320" t="s">
        <v>48</v>
      </c>
      <c r="Q1320">
        <v>4</v>
      </c>
      <c r="R1320" t="s">
        <v>46</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c r="AJ1320">
        <f t="shared" si="20"/>
        <v>0</v>
      </c>
      <c r="AK1320" t="str" cm="1">
        <f t="array" ref="AK1320">_xlfn.IFS(A1320&lt;=30,"18-30",A1320&lt;=45,"31-45",A1320&lt;=60,"46-60",TRUE, "60+")</f>
        <v>18-30</v>
      </c>
      <c r="AL1320" t="str" cm="1">
        <f t="array" ref="AL1320">_xlfn.IFS(F1320&lt;=10,"0-10",F1320&lt;=20,"11-20",TRUE,"20+")</f>
        <v>11-20</v>
      </c>
      <c r="AM1320" t="str" cm="1">
        <f t="array" ref="AM1320">_xlfn.IFS(S1320&lt;=5000,"0-5k",S1320&lt;=10000,"5k-10k",S1320&lt;=15000,"10k-15k",TRUE,"15k+")</f>
        <v>0-5k</v>
      </c>
      <c r="AN1320" t="str" cm="1">
        <f t="array" ref="AN1320">_xlfn.IFS(AF1320&lt;=10,"0-10",AF1320&lt;=20,"10-20",AF1320&lt;=30,"20-30",TRUE,"30+")</f>
        <v>10-20</v>
      </c>
      <c r="AO1320" t="str" cm="1">
        <f t="array" ref="AO1320">_xlfn.IFS(Y1320=1,"Poor",Y1320=2,"Average",Y1320=3,"Good",TRUE,"Excellent")</f>
        <v>Good</v>
      </c>
      <c r="AP1320" t="str" cm="1">
        <f t="array" ref="AP1320">_xlfn.IFS(Q1320=1,"Low",Q1320=2,"Medium",Q1320=3,"High",TRUE,"Very High")</f>
        <v>Very High</v>
      </c>
    </row>
    <row r="1321" spans="1:42" x14ac:dyDescent="0.25">
      <c r="A1321">
        <v>32</v>
      </c>
      <c r="B1321" t="s">
        <v>42</v>
      </c>
      <c r="C1321" t="s">
        <v>91</v>
      </c>
      <c r="D1321">
        <v>1318</v>
      </c>
      <c r="E1321" t="s">
        <v>36</v>
      </c>
      <c r="F1321">
        <v>10</v>
      </c>
      <c r="G1321">
        <v>4</v>
      </c>
      <c r="H1321" t="s">
        <v>57</v>
      </c>
      <c r="I1321">
        <v>1</v>
      </c>
      <c r="J1321">
        <v>1853</v>
      </c>
      <c r="K1321">
        <v>4</v>
      </c>
      <c r="L1321" t="s">
        <v>44</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c r="AJ1321">
        <f t="shared" si="20"/>
        <v>0</v>
      </c>
      <c r="AK1321" t="str" cm="1">
        <f t="array" ref="AK1321">_xlfn.IFS(A1321&lt;=30,"18-30",A1321&lt;=45,"31-45",A1321&lt;=60,"46-60",TRUE, "60+")</f>
        <v>31-45</v>
      </c>
      <c r="AL1321" t="str" cm="1">
        <f t="array" ref="AL1321">_xlfn.IFS(F1321&lt;=10,"0-10",F1321&lt;=20,"11-20",TRUE,"20+")</f>
        <v>0-10</v>
      </c>
      <c r="AM1321" t="str" cm="1">
        <f t="array" ref="AM1321">_xlfn.IFS(S1321&lt;=5000,"0-5k",S1321&lt;=10000,"5k-10k",S1321&lt;=15000,"10k-15k",TRUE,"15k+")</f>
        <v>0-5k</v>
      </c>
      <c r="AN1321" t="str" cm="1">
        <f t="array" ref="AN1321">_xlfn.IFS(AF1321&lt;=10,"0-10",AF1321&lt;=20,"10-20",AF1321&lt;=30,"20-30",TRUE,"30+")</f>
        <v>0-10</v>
      </c>
      <c r="AO1321" t="str" cm="1">
        <f t="array" ref="AO1321">_xlfn.IFS(Y1321=1,"Poor",Y1321=2,"Average",Y1321=3,"Good",TRUE,"Excellent")</f>
        <v>Good</v>
      </c>
      <c r="AP1321" t="str" cm="1">
        <f t="array" ref="AP1321">_xlfn.IFS(Q1321=1,"Low",Q1321=2,"Medium",Q1321=3,"High",TRUE,"Very High")</f>
        <v>Very High</v>
      </c>
    </row>
    <row r="1322" spans="1:42" x14ac:dyDescent="0.25">
      <c r="A1322">
        <v>42</v>
      </c>
      <c r="B1322" t="s">
        <v>42</v>
      </c>
      <c r="C1322" t="s">
        <v>53</v>
      </c>
      <c r="D1322">
        <v>355</v>
      </c>
      <c r="E1322" t="s">
        <v>43</v>
      </c>
      <c r="F1322">
        <v>10</v>
      </c>
      <c r="G1322">
        <v>4</v>
      </c>
      <c r="H1322" t="s">
        <v>58</v>
      </c>
      <c r="I1322">
        <v>1</v>
      </c>
      <c r="J1322">
        <v>1854</v>
      </c>
      <c r="K1322">
        <v>3</v>
      </c>
      <c r="L1322" t="s">
        <v>44</v>
      </c>
      <c r="M1322">
        <v>38</v>
      </c>
      <c r="N1322">
        <v>3</v>
      </c>
      <c r="O1322">
        <v>1</v>
      </c>
      <c r="P1322" t="s">
        <v>45</v>
      </c>
      <c r="Q1322">
        <v>3</v>
      </c>
      <c r="R1322" t="s">
        <v>46</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c r="AJ1322">
        <f t="shared" si="20"/>
        <v>0</v>
      </c>
      <c r="AK1322" t="str" cm="1">
        <f t="array" ref="AK1322">_xlfn.IFS(A1322&lt;=30,"18-30",A1322&lt;=45,"31-45",A1322&lt;=60,"46-60",TRUE, "60+")</f>
        <v>31-45</v>
      </c>
      <c r="AL1322" t="str" cm="1">
        <f t="array" ref="AL1322">_xlfn.IFS(F1322&lt;=10,"0-10",F1322&lt;=20,"11-20",TRUE,"20+")</f>
        <v>0-10</v>
      </c>
      <c r="AM1322" t="str" cm="1">
        <f t="array" ref="AM1322">_xlfn.IFS(S1322&lt;=5000,"0-5k",S1322&lt;=10000,"5k-10k",S1322&lt;=15000,"10k-15k",TRUE,"15k+")</f>
        <v>0-5k</v>
      </c>
      <c r="AN1322" t="str" cm="1">
        <f t="array" ref="AN1322">_xlfn.IFS(AF1322&lt;=10,"0-10",AF1322&lt;=20,"10-20",AF1322&lt;=30,"20-30",TRUE,"30+")</f>
        <v>0-10</v>
      </c>
      <c r="AO1322" t="str" cm="1">
        <f t="array" ref="AO1322">_xlfn.IFS(Y1322=1,"Poor",Y1322=2,"Average",Y1322=3,"Good",TRUE,"Excellent")</f>
        <v>Excellent</v>
      </c>
      <c r="AP1322" t="str" cm="1">
        <f t="array" ref="AP1322">_xlfn.IFS(Q1322=1,"Low",Q1322=2,"Medium",Q1322=3,"High",TRUE,"Very High")</f>
        <v>High</v>
      </c>
    </row>
    <row r="1323" spans="1:42" x14ac:dyDescent="0.25">
      <c r="A1323">
        <v>47</v>
      </c>
      <c r="B1323" t="s">
        <v>42</v>
      </c>
      <c r="C1323" t="s">
        <v>90</v>
      </c>
      <c r="D1323">
        <v>207</v>
      </c>
      <c r="E1323" t="s">
        <v>43</v>
      </c>
      <c r="F1323">
        <v>9</v>
      </c>
      <c r="G1323">
        <v>4</v>
      </c>
      <c r="H1323" t="s">
        <v>37</v>
      </c>
      <c r="I1323">
        <v>1</v>
      </c>
      <c r="J1323">
        <v>1856</v>
      </c>
      <c r="K1323">
        <v>2</v>
      </c>
      <c r="L1323" t="s">
        <v>38</v>
      </c>
      <c r="M1323">
        <v>64</v>
      </c>
      <c r="N1323">
        <v>3</v>
      </c>
      <c r="O1323">
        <v>1</v>
      </c>
      <c r="P1323" t="s">
        <v>48</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c r="AJ1323">
        <f t="shared" si="20"/>
        <v>0</v>
      </c>
      <c r="AK1323" t="str" cm="1">
        <f t="array" ref="AK1323">_xlfn.IFS(A1323&lt;=30,"18-30",A1323&lt;=45,"31-45",A1323&lt;=60,"46-60",TRUE, "60+")</f>
        <v>46-60</v>
      </c>
      <c r="AL1323" t="str" cm="1">
        <f t="array" ref="AL1323">_xlfn.IFS(F1323&lt;=10,"0-10",F1323&lt;=20,"11-20",TRUE,"20+")</f>
        <v>0-10</v>
      </c>
      <c r="AM1323" t="str" cm="1">
        <f t="array" ref="AM1323">_xlfn.IFS(S1323&lt;=5000,"0-5k",S1323&lt;=10000,"5k-10k",S1323&lt;=15000,"10k-15k",TRUE,"15k+")</f>
        <v>0-5k</v>
      </c>
      <c r="AN1323" t="str" cm="1">
        <f t="array" ref="AN1323">_xlfn.IFS(AF1323&lt;=10,"0-10",AF1323&lt;=20,"10-20",AF1323&lt;=30,"20-30",TRUE,"30+")</f>
        <v>0-10</v>
      </c>
      <c r="AO1323" t="str" cm="1">
        <f t="array" ref="AO1323">_xlfn.IFS(Y1323=1,"Poor",Y1323=2,"Average",Y1323=3,"Good",TRUE,"Excellent")</f>
        <v>Good</v>
      </c>
      <c r="AP1323" t="str" cm="1">
        <f t="array" ref="AP1323">_xlfn.IFS(Q1323=1,"Low",Q1323=2,"Medium",Q1323=3,"High",TRUE,"Very High")</f>
        <v>High</v>
      </c>
    </row>
    <row r="1324" spans="1:42" x14ac:dyDescent="0.25">
      <c r="A1324">
        <v>46</v>
      </c>
      <c r="B1324" t="s">
        <v>42</v>
      </c>
      <c r="C1324" t="s">
        <v>90</v>
      </c>
      <c r="D1324">
        <v>706</v>
      </c>
      <c r="E1324" t="s">
        <v>43</v>
      </c>
      <c r="F1324">
        <v>2</v>
      </c>
      <c r="G1324">
        <v>2</v>
      </c>
      <c r="H1324" t="s">
        <v>37</v>
      </c>
      <c r="I1324">
        <v>1</v>
      </c>
      <c r="J1324">
        <v>1857</v>
      </c>
      <c r="K1324">
        <v>4</v>
      </c>
      <c r="L1324" t="s">
        <v>44</v>
      </c>
      <c r="M1324">
        <v>82</v>
      </c>
      <c r="N1324">
        <v>3</v>
      </c>
      <c r="O1324">
        <v>3</v>
      </c>
      <c r="P1324" t="s">
        <v>51</v>
      </c>
      <c r="Q1324">
        <v>4</v>
      </c>
      <c r="R1324" t="s">
        <v>50</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c r="AJ1324">
        <f t="shared" si="20"/>
        <v>0</v>
      </c>
      <c r="AK1324" t="str" cm="1">
        <f t="array" ref="AK1324">_xlfn.IFS(A1324&lt;=30,"18-30",A1324&lt;=45,"31-45",A1324&lt;=60,"46-60",TRUE, "60+")</f>
        <v>46-60</v>
      </c>
      <c r="AL1324" t="str" cm="1">
        <f t="array" ref="AL1324">_xlfn.IFS(F1324&lt;=10,"0-10",F1324&lt;=20,"11-20",TRUE,"20+")</f>
        <v>0-10</v>
      </c>
      <c r="AM1324" t="str" cm="1">
        <f t="array" ref="AM1324">_xlfn.IFS(S1324&lt;=5000,"0-5k",S1324&lt;=10000,"5k-10k",S1324&lt;=15000,"10k-15k",TRUE,"15k+")</f>
        <v>5k-10k</v>
      </c>
      <c r="AN1324" t="str" cm="1">
        <f t="array" ref="AN1324">_xlfn.IFS(AF1324&lt;=10,"0-10",AF1324&lt;=20,"10-20",AF1324&lt;=30,"20-30",TRUE,"30+")</f>
        <v>0-10</v>
      </c>
      <c r="AO1324" t="str" cm="1">
        <f t="array" ref="AO1324">_xlfn.IFS(Y1324=1,"Poor",Y1324=2,"Average",Y1324=3,"Good",TRUE,"Excellent")</f>
        <v>Good</v>
      </c>
      <c r="AP1324" t="str" cm="1">
        <f t="array" ref="AP1324">_xlfn.IFS(Q1324=1,"Low",Q1324=2,"Medium",Q1324=3,"High",TRUE,"Very High")</f>
        <v>Very High</v>
      </c>
    </row>
    <row r="1325" spans="1:42" x14ac:dyDescent="0.25">
      <c r="A1325">
        <v>28</v>
      </c>
      <c r="B1325" t="s">
        <v>42</v>
      </c>
      <c r="C1325" t="s">
        <v>53</v>
      </c>
      <c r="D1325">
        <v>280</v>
      </c>
      <c r="E1325" t="s">
        <v>59</v>
      </c>
      <c r="F1325">
        <v>1</v>
      </c>
      <c r="G1325">
        <v>2</v>
      </c>
      <c r="H1325" t="s">
        <v>37</v>
      </c>
      <c r="I1325">
        <v>1</v>
      </c>
      <c r="J1325">
        <v>1858</v>
      </c>
      <c r="K1325">
        <v>3</v>
      </c>
      <c r="L1325" t="s">
        <v>44</v>
      </c>
      <c r="M1325">
        <v>43</v>
      </c>
      <c r="N1325">
        <v>3</v>
      </c>
      <c r="O1325">
        <v>1</v>
      </c>
      <c r="P1325" t="s">
        <v>59</v>
      </c>
      <c r="Q1325">
        <v>4</v>
      </c>
      <c r="R1325" t="s">
        <v>50</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c r="AJ1325">
        <f t="shared" si="20"/>
        <v>0</v>
      </c>
      <c r="AK1325" t="str" cm="1">
        <f t="array" ref="AK1325">_xlfn.IFS(A1325&lt;=30,"18-30",A1325&lt;=45,"31-45",A1325&lt;=60,"46-60",TRUE, "60+")</f>
        <v>18-30</v>
      </c>
      <c r="AL1325" t="str" cm="1">
        <f t="array" ref="AL1325">_xlfn.IFS(F1325&lt;=10,"0-10",F1325&lt;=20,"11-20",TRUE,"20+")</f>
        <v>0-10</v>
      </c>
      <c r="AM1325" t="str" cm="1">
        <f t="array" ref="AM1325">_xlfn.IFS(S1325&lt;=5000,"0-5k",S1325&lt;=10000,"5k-10k",S1325&lt;=15000,"10k-15k",TRUE,"15k+")</f>
        <v>0-5k</v>
      </c>
      <c r="AN1325" t="str" cm="1">
        <f t="array" ref="AN1325">_xlfn.IFS(AF1325&lt;=10,"0-10",AF1325&lt;=20,"10-20",AF1325&lt;=30,"20-30",TRUE,"30+")</f>
        <v>0-10</v>
      </c>
      <c r="AO1325" t="str" cm="1">
        <f t="array" ref="AO1325">_xlfn.IFS(Y1325=1,"Poor",Y1325=2,"Average",Y1325=3,"Good",TRUE,"Excellent")</f>
        <v>Good</v>
      </c>
      <c r="AP1325" t="str" cm="1">
        <f t="array" ref="AP1325">_xlfn.IFS(Q1325=1,"Low",Q1325=2,"Medium",Q1325=3,"High",TRUE,"Very High")</f>
        <v>Very High</v>
      </c>
    </row>
    <row r="1326" spans="1:42" x14ac:dyDescent="0.25">
      <c r="A1326">
        <v>29</v>
      </c>
      <c r="B1326" t="s">
        <v>42</v>
      </c>
      <c r="C1326" t="s">
        <v>90</v>
      </c>
      <c r="D1326">
        <v>726</v>
      </c>
      <c r="E1326" t="s">
        <v>43</v>
      </c>
      <c r="F1326">
        <v>29</v>
      </c>
      <c r="G1326">
        <v>1</v>
      </c>
      <c r="H1326" t="s">
        <v>37</v>
      </c>
      <c r="I1326">
        <v>1</v>
      </c>
      <c r="J1326">
        <v>1859</v>
      </c>
      <c r="K1326">
        <v>4</v>
      </c>
      <c r="L1326" t="s">
        <v>44</v>
      </c>
      <c r="M1326">
        <v>93</v>
      </c>
      <c r="N1326">
        <v>1</v>
      </c>
      <c r="O1326">
        <v>2</v>
      </c>
      <c r="P1326" t="s">
        <v>52</v>
      </c>
      <c r="Q1326">
        <v>3</v>
      </c>
      <c r="R1326" t="s">
        <v>50</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c r="AJ1326">
        <f t="shared" si="20"/>
        <v>0</v>
      </c>
      <c r="AK1326" t="str" cm="1">
        <f t="array" ref="AK1326">_xlfn.IFS(A1326&lt;=30,"18-30",A1326&lt;=45,"31-45",A1326&lt;=60,"46-60",TRUE, "60+")</f>
        <v>18-30</v>
      </c>
      <c r="AL1326" t="str" cm="1">
        <f t="array" ref="AL1326">_xlfn.IFS(F1326&lt;=10,"0-10",F1326&lt;=20,"11-20",TRUE,"20+")</f>
        <v>20+</v>
      </c>
      <c r="AM1326" t="str" cm="1">
        <f t="array" ref="AM1326">_xlfn.IFS(S1326&lt;=5000,"0-5k",S1326&lt;=10000,"5k-10k",S1326&lt;=15000,"10k-15k",TRUE,"15k+")</f>
        <v>5k-10k</v>
      </c>
      <c r="AN1326" t="str" cm="1">
        <f t="array" ref="AN1326">_xlfn.IFS(AF1326&lt;=10,"0-10",AF1326&lt;=20,"10-20",AF1326&lt;=30,"20-30",TRUE,"30+")</f>
        <v>0-10</v>
      </c>
      <c r="AO1326" t="str" cm="1">
        <f t="array" ref="AO1326">_xlfn.IFS(Y1326=1,"Poor",Y1326=2,"Average",Y1326=3,"Good",TRUE,"Excellent")</f>
        <v>Good</v>
      </c>
      <c r="AP1326" t="str" cm="1">
        <f t="array" ref="AP1326">_xlfn.IFS(Q1326=1,"Low",Q1326=2,"Medium",Q1326=3,"High",TRUE,"Very High")</f>
        <v>High</v>
      </c>
    </row>
    <row r="1327" spans="1:42" x14ac:dyDescent="0.25">
      <c r="A1327">
        <v>42</v>
      </c>
      <c r="B1327" t="s">
        <v>42</v>
      </c>
      <c r="C1327" t="s">
        <v>90</v>
      </c>
      <c r="D1327">
        <v>1142</v>
      </c>
      <c r="E1327" t="s">
        <v>43</v>
      </c>
      <c r="F1327">
        <v>8</v>
      </c>
      <c r="G1327">
        <v>3</v>
      </c>
      <c r="H1327" t="s">
        <v>37</v>
      </c>
      <c r="I1327">
        <v>1</v>
      </c>
      <c r="J1327">
        <v>1860</v>
      </c>
      <c r="K1327">
        <v>4</v>
      </c>
      <c r="L1327" t="s">
        <v>44</v>
      </c>
      <c r="M1327">
        <v>81</v>
      </c>
      <c r="N1327">
        <v>3</v>
      </c>
      <c r="O1327">
        <v>1</v>
      </c>
      <c r="P1327" t="s">
        <v>48</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c r="AJ1327">
        <f t="shared" si="20"/>
        <v>0</v>
      </c>
      <c r="AK1327" t="str" cm="1">
        <f t="array" ref="AK1327">_xlfn.IFS(A1327&lt;=30,"18-30",A1327&lt;=45,"31-45",A1327&lt;=60,"46-60",TRUE, "60+")</f>
        <v>31-45</v>
      </c>
      <c r="AL1327" t="str" cm="1">
        <f t="array" ref="AL1327">_xlfn.IFS(F1327&lt;=10,"0-10",F1327&lt;=20,"11-20",TRUE,"20+")</f>
        <v>0-10</v>
      </c>
      <c r="AM1327" t="str" cm="1">
        <f t="array" ref="AM1327">_xlfn.IFS(S1327&lt;=5000,"0-5k",S1327&lt;=10000,"5k-10k",S1327&lt;=15000,"10k-15k",TRUE,"15k+")</f>
        <v>0-5k</v>
      </c>
      <c r="AN1327" t="str" cm="1">
        <f t="array" ref="AN1327">_xlfn.IFS(AF1327&lt;=10,"0-10",AF1327&lt;=20,"10-20",AF1327&lt;=30,"20-30",TRUE,"30+")</f>
        <v>0-10</v>
      </c>
      <c r="AO1327" t="str" cm="1">
        <f t="array" ref="AO1327">_xlfn.IFS(Y1327=1,"Poor",Y1327=2,"Average",Y1327=3,"Good",TRUE,"Excellent")</f>
        <v>Good</v>
      </c>
      <c r="AP1327" t="str" cm="1">
        <f t="array" ref="AP1327">_xlfn.IFS(Q1327=1,"Low",Q1327=2,"Medium",Q1327=3,"High",TRUE,"Very High")</f>
        <v>High</v>
      </c>
    </row>
    <row r="1328" spans="1:42" x14ac:dyDescent="0.25">
      <c r="A1328">
        <v>32</v>
      </c>
      <c r="B1328" t="s">
        <v>35</v>
      </c>
      <c r="C1328" t="s">
        <v>90</v>
      </c>
      <c r="D1328">
        <v>414</v>
      </c>
      <c r="E1328" t="s">
        <v>36</v>
      </c>
      <c r="F1328">
        <v>2</v>
      </c>
      <c r="G1328">
        <v>4</v>
      </c>
      <c r="H1328" t="s">
        <v>57</v>
      </c>
      <c r="I1328">
        <v>1</v>
      </c>
      <c r="J1328">
        <v>1862</v>
      </c>
      <c r="K1328">
        <v>3</v>
      </c>
      <c r="L1328" t="s">
        <v>44</v>
      </c>
      <c r="M1328">
        <v>82</v>
      </c>
      <c r="N1328">
        <v>2</v>
      </c>
      <c r="O1328">
        <v>2</v>
      </c>
      <c r="P1328" t="s">
        <v>39</v>
      </c>
      <c r="Q1328">
        <v>2</v>
      </c>
      <c r="R1328" t="s">
        <v>40</v>
      </c>
      <c r="S1328">
        <v>9907</v>
      </c>
      <c r="T1328">
        <v>26186</v>
      </c>
      <c r="U1328">
        <v>7</v>
      </c>
      <c r="V1328" t="s">
        <v>41</v>
      </c>
      <c r="W1328" t="s">
        <v>35</v>
      </c>
      <c r="X1328">
        <v>12</v>
      </c>
      <c r="Y1328">
        <v>3</v>
      </c>
      <c r="Z1328">
        <v>3</v>
      </c>
      <c r="AA1328">
        <v>80</v>
      </c>
      <c r="AB1328">
        <v>0</v>
      </c>
      <c r="AC1328">
        <v>7</v>
      </c>
      <c r="AD1328">
        <v>3</v>
      </c>
      <c r="AE1328">
        <v>2</v>
      </c>
      <c r="AF1328">
        <v>2</v>
      </c>
      <c r="AG1328">
        <v>2</v>
      </c>
      <c r="AH1328">
        <v>2</v>
      </c>
      <c r="AI1328">
        <v>2</v>
      </c>
      <c r="AJ1328">
        <f t="shared" si="20"/>
        <v>1</v>
      </c>
      <c r="AK1328" t="str" cm="1">
        <f t="array" ref="AK1328">_xlfn.IFS(A1328&lt;=30,"18-30",A1328&lt;=45,"31-45",A1328&lt;=60,"46-60",TRUE, "60+")</f>
        <v>31-45</v>
      </c>
      <c r="AL1328" t="str" cm="1">
        <f t="array" ref="AL1328">_xlfn.IFS(F1328&lt;=10,"0-10",F1328&lt;=20,"11-20",TRUE,"20+")</f>
        <v>0-10</v>
      </c>
      <c r="AM1328" t="str" cm="1">
        <f t="array" ref="AM1328">_xlfn.IFS(S1328&lt;=5000,"0-5k",S1328&lt;=10000,"5k-10k",S1328&lt;=15000,"10k-15k",TRUE,"15k+")</f>
        <v>5k-10k</v>
      </c>
      <c r="AN1328" t="str" cm="1">
        <f t="array" ref="AN1328">_xlfn.IFS(AF1328&lt;=10,"0-10",AF1328&lt;=20,"10-20",AF1328&lt;=30,"20-30",TRUE,"30+")</f>
        <v>0-10</v>
      </c>
      <c r="AO1328" t="str" cm="1">
        <f t="array" ref="AO1328">_xlfn.IFS(Y1328=1,"Poor",Y1328=2,"Average",Y1328=3,"Good",TRUE,"Excellent")</f>
        <v>Good</v>
      </c>
      <c r="AP1328" t="str" cm="1">
        <f t="array" ref="AP1328">_xlfn.IFS(Q1328=1,"Low",Q1328=2,"Medium",Q1328=3,"High",TRUE,"Very High")</f>
        <v>Medium</v>
      </c>
    </row>
    <row r="1329" spans="1:42" x14ac:dyDescent="0.25">
      <c r="A1329">
        <v>46</v>
      </c>
      <c r="B1329" t="s">
        <v>42</v>
      </c>
      <c r="C1329" t="s">
        <v>90</v>
      </c>
      <c r="D1329">
        <v>1319</v>
      </c>
      <c r="E1329" t="s">
        <v>36</v>
      </c>
      <c r="F1329">
        <v>3</v>
      </c>
      <c r="G1329">
        <v>3</v>
      </c>
      <c r="H1329" t="s">
        <v>58</v>
      </c>
      <c r="I1329">
        <v>1</v>
      </c>
      <c r="J1329">
        <v>1863</v>
      </c>
      <c r="K1329">
        <v>1</v>
      </c>
      <c r="L1329" t="s">
        <v>38</v>
      </c>
      <c r="M1329">
        <v>45</v>
      </c>
      <c r="N1329">
        <v>4</v>
      </c>
      <c r="O1329">
        <v>4</v>
      </c>
      <c r="P1329" t="s">
        <v>39</v>
      </c>
      <c r="Q1329">
        <v>1</v>
      </c>
      <c r="R1329" t="s">
        <v>50</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c r="AJ1329">
        <f t="shared" si="20"/>
        <v>0</v>
      </c>
      <c r="AK1329" t="str" cm="1">
        <f t="array" ref="AK1329">_xlfn.IFS(A1329&lt;=30,"18-30",A1329&lt;=45,"31-45",A1329&lt;=60,"46-60",TRUE, "60+")</f>
        <v>46-60</v>
      </c>
      <c r="AL1329" t="str" cm="1">
        <f t="array" ref="AL1329">_xlfn.IFS(F1329&lt;=10,"0-10",F1329&lt;=20,"11-20",TRUE,"20+")</f>
        <v>0-10</v>
      </c>
      <c r="AM1329" t="str" cm="1">
        <f t="array" ref="AM1329">_xlfn.IFS(S1329&lt;=5000,"0-5k",S1329&lt;=10000,"5k-10k",S1329&lt;=15000,"10k-15k",TRUE,"15k+")</f>
        <v>10k-15k</v>
      </c>
      <c r="AN1329" t="str" cm="1">
        <f t="array" ref="AN1329">_xlfn.IFS(AF1329&lt;=10,"0-10",AF1329&lt;=20,"10-20",AF1329&lt;=30,"20-30",TRUE,"30+")</f>
        <v>10-20</v>
      </c>
      <c r="AO1329" t="str" cm="1">
        <f t="array" ref="AO1329">_xlfn.IFS(Y1329=1,"Poor",Y1329=2,"Average",Y1329=3,"Good",TRUE,"Excellent")</f>
        <v>Good</v>
      </c>
      <c r="AP1329" t="str" cm="1">
        <f t="array" ref="AP1329">_xlfn.IFS(Q1329=1,"Low",Q1329=2,"Medium",Q1329=3,"High",TRUE,"Very High")</f>
        <v>Low</v>
      </c>
    </row>
    <row r="1330" spans="1:42" x14ac:dyDescent="0.25">
      <c r="A1330">
        <v>27</v>
      </c>
      <c r="B1330" t="s">
        <v>42</v>
      </c>
      <c r="C1330" t="s">
        <v>90</v>
      </c>
      <c r="D1330">
        <v>728</v>
      </c>
      <c r="E1330" t="s">
        <v>36</v>
      </c>
      <c r="F1330">
        <v>23</v>
      </c>
      <c r="G1330">
        <v>1</v>
      </c>
      <c r="H1330" t="s">
        <v>49</v>
      </c>
      <c r="I1330">
        <v>1</v>
      </c>
      <c r="J1330">
        <v>1864</v>
      </c>
      <c r="K1330">
        <v>2</v>
      </c>
      <c r="L1330" t="s">
        <v>38</v>
      </c>
      <c r="M1330">
        <v>36</v>
      </c>
      <c r="N1330">
        <v>2</v>
      </c>
      <c r="O1330">
        <v>2</v>
      </c>
      <c r="P1330" t="s">
        <v>55</v>
      </c>
      <c r="Q1330">
        <v>3</v>
      </c>
      <c r="R1330" t="s">
        <v>46</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c r="AJ1330">
        <f t="shared" si="20"/>
        <v>0</v>
      </c>
      <c r="AK1330" t="str" cm="1">
        <f t="array" ref="AK1330">_xlfn.IFS(A1330&lt;=30,"18-30",A1330&lt;=45,"31-45",A1330&lt;=60,"46-60",TRUE, "60+")</f>
        <v>18-30</v>
      </c>
      <c r="AL1330" t="str" cm="1">
        <f t="array" ref="AL1330">_xlfn.IFS(F1330&lt;=10,"0-10",F1330&lt;=20,"11-20",TRUE,"20+")</f>
        <v>20+</v>
      </c>
      <c r="AM1330" t="str" cm="1">
        <f t="array" ref="AM1330">_xlfn.IFS(S1330&lt;=5000,"0-5k",S1330&lt;=10000,"5k-10k",S1330&lt;=15000,"10k-15k",TRUE,"15k+")</f>
        <v>0-5k</v>
      </c>
      <c r="AN1330" t="str" cm="1">
        <f t="array" ref="AN1330">_xlfn.IFS(AF1330&lt;=10,"0-10",AF1330&lt;=20,"10-20",AF1330&lt;=30,"20-30",TRUE,"30+")</f>
        <v>0-10</v>
      </c>
      <c r="AO1330" t="str" cm="1">
        <f t="array" ref="AO1330">_xlfn.IFS(Y1330=1,"Poor",Y1330=2,"Average",Y1330=3,"Good",TRUE,"Excellent")</f>
        <v>Excellent</v>
      </c>
      <c r="AP1330" t="str" cm="1">
        <f t="array" ref="AP1330">_xlfn.IFS(Q1330=1,"Low",Q1330=2,"Medium",Q1330=3,"High",TRUE,"Very High")</f>
        <v>High</v>
      </c>
    </row>
    <row r="1331" spans="1:42" x14ac:dyDescent="0.25">
      <c r="A1331">
        <v>29</v>
      </c>
      <c r="B1331" t="s">
        <v>42</v>
      </c>
      <c r="C1331" t="s">
        <v>90</v>
      </c>
      <c r="D1331">
        <v>352</v>
      </c>
      <c r="E1331" t="s">
        <v>59</v>
      </c>
      <c r="F1331">
        <v>6</v>
      </c>
      <c r="G1331">
        <v>1</v>
      </c>
      <c r="H1331" t="s">
        <v>49</v>
      </c>
      <c r="I1331">
        <v>1</v>
      </c>
      <c r="J1331">
        <v>1865</v>
      </c>
      <c r="K1331">
        <v>4</v>
      </c>
      <c r="L1331" t="s">
        <v>44</v>
      </c>
      <c r="M1331">
        <v>87</v>
      </c>
      <c r="N1331">
        <v>2</v>
      </c>
      <c r="O1331">
        <v>1</v>
      </c>
      <c r="P1331" t="s">
        <v>59</v>
      </c>
      <c r="Q1331">
        <v>2</v>
      </c>
      <c r="R1331" t="s">
        <v>46</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c r="AJ1331">
        <f t="shared" si="20"/>
        <v>0</v>
      </c>
      <c r="AK1331" t="str" cm="1">
        <f t="array" ref="AK1331">_xlfn.IFS(A1331&lt;=30,"18-30",A1331&lt;=45,"31-45",A1331&lt;=60,"46-60",TRUE, "60+")</f>
        <v>18-30</v>
      </c>
      <c r="AL1331" t="str" cm="1">
        <f t="array" ref="AL1331">_xlfn.IFS(F1331&lt;=10,"0-10",F1331&lt;=20,"11-20",TRUE,"20+")</f>
        <v>0-10</v>
      </c>
      <c r="AM1331" t="str" cm="1">
        <f t="array" ref="AM1331">_xlfn.IFS(S1331&lt;=5000,"0-5k",S1331&lt;=10000,"5k-10k",S1331&lt;=15000,"10k-15k",TRUE,"15k+")</f>
        <v>0-5k</v>
      </c>
      <c r="AN1331" t="str" cm="1">
        <f t="array" ref="AN1331">_xlfn.IFS(AF1331&lt;=10,"0-10",AF1331&lt;=20,"10-20",AF1331&lt;=30,"20-30",TRUE,"30+")</f>
        <v>0-10</v>
      </c>
      <c r="AO1331" t="str" cm="1">
        <f t="array" ref="AO1331">_xlfn.IFS(Y1331=1,"Poor",Y1331=2,"Average",Y1331=3,"Good",TRUE,"Excellent")</f>
        <v>Good</v>
      </c>
      <c r="AP1331" t="str" cm="1">
        <f t="array" ref="AP1331">_xlfn.IFS(Q1331=1,"Low",Q1331=2,"Medium",Q1331=3,"High",TRUE,"Very High")</f>
        <v>Medium</v>
      </c>
    </row>
    <row r="1332" spans="1:42" x14ac:dyDescent="0.25">
      <c r="A1332">
        <v>43</v>
      </c>
      <c r="B1332" t="s">
        <v>42</v>
      </c>
      <c r="C1332" t="s">
        <v>90</v>
      </c>
      <c r="D1332">
        <v>823</v>
      </c>
      <c r="E1332" t="s">
        <v>43</v>
      </c>
      <c r="F1332">
        <v>6</v>
      </c>
      <c r="G1332">
        <v>3</v>
      </c>
      <c r="H1332" t="s">
        <v>49</v>
      </c>
      <c r="I1332">
        <v>1</v>
      </c>
      <c r="J1332">
        <v>1866</v>
      </c>
      <c r="K1332">
        <v>1</v>
      </c>
      <c r="L1332" t="s">
        <v>38</v>
      </c>
      <c r="M1332">
        <v>81</v>
      </c>
      <c r="N1332">
        <v>2</v>
      </c>
      <c r="O1332">
        <v>5</v>
      </c>
      <c r="P1332" t="s">
        <v>54</v>
      </c>
      <c r="Q1332">
        <v>3</v>
      </c>
      <c r="R1332" t="s">
        <v>46</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c r="AJ1332">
        <f t="shared" si="20"/>
        <v>0</v>
      </c>
      <c r="AK1332" t="str" cm="1">
        <f t="array" ref="AK1332">_xlfn.IFS(A1332&lt;=30,"18-30",A1332&lt;=45,"31-45",A1332&lt;=60,"46-60",TRUE, "60+")</f>
        <v>31-45</v>
      </c>
      <c r="AL1332" t="str" cm="1">
        <f t="array" ref="AL1332">_xlfn.IFS(F1332&lt;=10,"0-10",F1332&lt;=20,"11-20",TRUE,"20+")</f>
        <v>0-10</v>
      </c>
      <c r="AM1332" t="str" cm="1">
        <f t="array" ref="AM1332">_xlfn.IFS(S1332&lt;=5000,"0-5k",S1332&lt;=10000,"5k-10k",S1332&lt;=15000,"10k-15k",TRUE,"15k+")</f>
        <v>15k+</v>
      </c>
      <c r="AN1332" t="str" cm="1">
        <f t="array" ref="AN1332">_xlfn.IFS(AF1332&lt;=10,"0-10",AF1332&lt;=20,"10-20",AF1332&lt;=30,"20-30",TRUE,"30+")</f>
        <v>10-20</v>
      </c>
      <c r="AO1332" t="str" cm="1">
        <f t="array" ref="AO1332">_xlfn.IFS(Y1332=1,"Poor",Y1332=2,"Average",Y1332=3,"Good",TRUE,"Excellent")</f>
        <v>Good</v>
      </c>
      <c r="AP1332" t="str" cm="1">
        <f t="array" ref="AP1332">_xlfn.IFS(Q1332=1,"Low",Q1332=2,"Medium",Q1332=3,"High",TRUE,"Very High")</f>
        <v>High</v>
      </c>
    </row>
    <row r="1333" spans="1:42" x14ac:dyDescent="0.25">
      <c r="A1333">
        <v>48</v>
      </c>
      <c r="B1333" t="s">
        <v>42</v>
      </c>
      <c r="C1333" t="s">
        <v>90</v>
      </c>
      <c r="D1333">
        <v>1224</v>
      </c>
      <c r="E1333" t="s">
        <v>43</v>
      </c>
      <c r="F1333">
        <v>10</v>
      </c>
      <c r="G1333">
        <v>3</v>
      </c>
      <c r="H1333" t="s">
        <v>37</v>
      </c>
      <c r="I1333">
        <v>1</v>
      </c>
      <c r="J1333">
        <v>1867</v>
      </c>
      <c r="K1333">
        <v>4</v>
      </c>
      <c r="L1333" t="s">
        <v>44</v>
      </c>
      <c r="M1333">
        <v>91</v>
      </c>
      <c r="N1333">
        <v>2</v>
      </c>
      <c r="O1333">
        <v>5</v>
      </c>
      <c r="P1333" t="s">
        <v>56</v>
      </c>
      <c r="Q1333">
        <v>2</v>
      </c>
      <c r="R1333" t="s">
        <v>46</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c r="AJ1333">
        <f t="shared" si="20"/>
        <v>0</v>
      </c>
      <c r="AK1333" t="str" cm="1">
        <f t="array" ref="AK1333">_xlfn.IFS(A1333&lt;=30,"18-30",A1333&lt;=45,"31-45",A1333&lt;=60,"46-60",TRUE, "60+")</f>
        <v>46-60</v>
      </c>
      <c r="AL1333" t="str" cm="1">
        <f t="array" ref="AL1333">_xlfn.IFS(F1333&lt;=10,"0-10",F1333&lt;=20,"11-20",TRUE,"20+")</f>
        <v>0-10</v>
      </c>
      <c r="AM1333" t="str" cm="1">
        <f t="array" ref="AM1333">_xlfn.IFS(S1333&lt;=5000,"0-5k",S1333&lt;=10000,"5k-10k",S1333&lt;=15000,"10k-15k",TRUE,"15k+")</f>
        <v>15k+</v>
      </c>
      <c r="AN1333" t="str" cm="1">
        <f t="array" ref="AN1333">_xlfn.IFS(AF1333&lt;=10,"0-10",AF1333&lt;=20,"10-20",AF1333&lt;=30,"20-30",TRUE,"30+")</f>
        <v>20-30</v>
      </c>
      <c r="AO1333" t="str" cm="1">
        <f t="array" ref="AO1333">_xlfn.IFS(Y1333=1,"Poor",Y1333=2,"Average",Y1333=3,"Good",TRUE,"Excellent")</f>
        <v>Good</v>
      </c>
      <c r="AP1333" t="str" cm="1">
        <f t="array" ref="AP1333">_xlfn.IFS(Q1333=1,"Low",Q1333=2,"Medium",Q1333=3,"High",TRUE,"Very High")</f>
        <v>Medium</v>
      </c>
    </row>
    <row r="1334" spans="1:42" x14ac:dyDescent="0.25">
      <c r="A1334">
        <v>29</v>
      </c>
      <c r="B1334" t="s">
        <v>35</v>
      </c>
      <c r="C1334" t="s">
        <v>91</v>
      </c>
      <c r="D1334">
        <v>459</v>
      </c>
      <c r="E1334" t="s">
        <v>43</v>
      </c>
      <c r="F1334">
        <v>24</v>
      </c>
      <c r="G1334">
        <v>2</v>
      </c>
      <c r="H1334" t="s">
        <v>37</v>
      </c>
      <c r="I1334">
        <v>1</v>
      </c>
      <c r="J1334">
        <v>1868</v>
      </c>
      <c r="K1334">
        <v>4</v>
      </c>
      <c r="L1334" t="s">
        <v>44</v>
      </c>
      <c r="M1334">
        <v>73</v>
      </c>
      <c r="N1334">
        <v>2</v>
      </c>
      <c r="O1334">
        <v>1</v>
      </c>
      <c r="P1334" t="s">
        <v>45</v>
      </c>
      <c r="Q1334">
        <v>4</v>
      </c>
      <c r="R1334" t="s">
        <v>40</v>
      </c>
      <c r="S1334">
        <v>2439</v>
      </c>
      <c r="T1334">
        <v>14753</v>
      </c>
      <c r="U1334">
        <v>1</v>
      </c>
      <c r="V1334" t="s">
        <v>41</v>
      </c>
      <c r="W1334" t="s">
        <v>35</v>
      </c>
      <c r="X1334">
        <v>24</v>
      </c>
      <c r="Y1334">
        <v>4</v>
      </c>
      <c r="Z1334">
        <v>2</v>
      </c>
      <c r="AA1334">
        <v>80</v>
      </c>
      <c r="AB1334">
        <v>0</v>
      </c>
      <c r="AC1334">
        <v>1</v>
      </c>
      <c r="AD1334">
        <v>3</v>
      </c>
      <c r="AE1334">
        <v>2</v>
      </c>
      <c r="AF1334">
        <v>1</v>
      </c>
      <c r="AG1334">
        <v>0</v>
      </c>
      <c r="AH1334">
        <v>1</v>
      </c>
      <c r="AI1334">
        <v>0</v>
      </c>
      <c r="AJ1334">
        <f t="shared" si="20"/>
        <v>1</v>
      </c>
      <c r="AK1334" t="str" cm="1">
        <f t="array" ref="AK1334">_xlfn.IFS(A1334&lt;=30,"18-30",A1334&lt;=45,"31-45",A1334&lt;=60,"46-60",TRUE, "60+")</f>
        <v>18-30</v>
      </c>
      <c r="AL1334" t="str" cm="1">
        <f t="array" ref="AL1334">_xlfn.IFS(F1334&lt;=10,"0-10",F1334&lt;=20,"11-20",TRUE,"20+")</f>
        <v>20+</v>
      </c>
      <c r="AM1334" t="str" cm="1">
        <f t="array" ref="AM1334">_xlfn.IFS(S1334&lt;=5000,"0-5k",S1334&lt;=10000,"5k-10k",S1334&lt;=15000,"10k-15k",TRUE,"15k+")</f>
        <v>0-5k</v>
      </c>
      <c r="AN1334" t="str" cm="1">
        <f t="array" ref="AN1334">_xlfn.IFS(AF1334&lt;=10,"0-10",AF1334&lt;=20,"10-20",AF1334&lt;=30,"20-30",TRUE,"30+")</f>
        <v>0-10</v>
      </c>
      <c r="AO1334" t="str" cm="1">
        <f t="array" ref="AO1334">_xlfn.IFS(Y1334=1,"Poor",Y1334=2,"Average",Y1334=3,"Good",TRUE,"Excellent")</f>
        <v>Excellent</v>
      </c>
      <c r="AP1334" t="str" cm="1">
        <f t="array" ref="AP1334">_xlfn.IFS(Q1334=1,"Low",Q1334=2,"Medium",Q1334=3,"High",TRUE,"Very High")</f>
        <v>Very High</v>
      </c>
    </row>
    <row r="1335" spans="1:42" x14ac:dyDescent="0.25">
      <c r="A1335">
        <v>46</v>
      </c>
      <c r="B1335" t="s">
        <v>35</v>
      </c>
      <c r="C1335" t="s">
        <v>90</v>
      </c>
      <c r="D1335">
        <v>1254</v>
      </c>
      <c r="E1335" t="s">
        <v>36</v>
      </c>
      <c r="F1335">
        <v>10</v>
      </c>
      <c r="G1335">
        <v>3</v>
      </c>
      <c r="H1335" t="s">
        <v>37</v>
      </c>
      <c r="I1335">
        <v>1</v>
      </c>
      <c r="J1335">
        <v>1869</v>
      </c>
      <c r="K1335">
        <v>3</v>
      </c>
      <c r="L1335" t="s">
        <v>38</v>
      </c>
      <c r="M1335">
        <v>64</v>
      </c>
      <c r="N1335">
        <v>3</v>
      </c>
      <c r="O1335">
        <v>3</v>
      </c>
      <c r="P1335" t="s">
        <v>39</v>
      </c>
      <c r="Q1335">
        <v>2</v>
      </c>
      <c r="R1335" t="s">
        <v>46</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c r="AJ1335">
        <f t="shared" si="20"/>
        <v>1</v>
      </c>
      <c r="AK1335" t="str" cm="1">
        <f t="array" ref="AK1335">_xlfn.IFS(A1335&lt;=30,"18-30",A1335&lt;=45,"31-45",A1335&lt;=60,"46-60",TRUE, "60+")</f>
        <v>46-60</v>
      </c>
      <c r="AL1335" t="str" cm="1">
        <f t="array" ref="AL1335">_xlfn.IFS(F1335&lt;=10,"0-10",F1335&lt;=20,"11-20",TRUE,"20+")</f>
        <v>0-10</v>
      </c>
      <c r="AM1335" t="str" cm="1">
        <f t="array" ref="AM1335">_xlfn.IFS(S1335&lt;=5000,"0-5k",S1335&lt;=10000,"5k-10k",S1335&lt;=15000,"10k-15k",TRUE,"15k+")</f>
        <v>5k-10k</v>
      </c>
      <c r="AN1335" t="str" cm="1">
        <f t="array" ref="AN1335">_xlfn.IFS(AF1335&lt;=10,"0-10",AF1335&lt;=20,"10-20",AF1335&lt;=30,"20-30",TRUE,"30+")</f>
        <v>0-10</v>
      </c>
      <c r="AO1335" t="str" cm="1">
        <f t="array" ref="AO1335">_xlfn.IFS(Y1335=1,"Poor",Y1335=2,"Average",Y1335=3,"Good",TRUE,"Excellent")</f>
        <v>Excellent</v>
      </c>
      <c r="AP1335" t="str" cm="1">
        <f t="array" ref="AP1335">_xlfn.IFS(Q1335=1,"Low",Q1335=2,"Medium",Q1335=3,"High",TRUE,"Very High")</f>
        <v>Medium</v>
      </c>
    </row>
    <row r="1336" spans="1:42" x14ac:dyDescent="0.25">
      <c r="A1336">
        <v>27</v>
      </c>
      <c r="B1336" t="s">
        <v>42</v>
      </c>
      <c r="C1336" t="s">
        <v>91</v>
      </c>
      <c r="D1336">
        <v>1131</v>
      </c>
      <c r="E1336" t="s">
        <v>43</v>
      </c>
      <c r="F1336">
        <v>15</v>
      </c>
      <c r="G1336">
        <v>3</v>
      </c>
      <c r="H1336" t="s">
        <v>37</v>
      </c>
      <c r="I1336">
        <v>1</v>
      </c>
      <c r="J1336">
        <v>1870</v>
      </c>
      <c r="K1336">
        <v>4</v>
      </c>
      <c r="L1336" t="s">
        <v>38</v>
      </c>
      <c r="M1336">
        <v>77</v>
      </c>
      <c r="N1336">
        <v>2</v>
      </c>
      <c r="O1336">
        <v>1</v>
      </c>
      <c r="P1336" t="s">
        <v>45</v>
      </c>
      <c r="Q1336">
        <v>1</v>
      </c>
      <c r="R1336" t="s">
        <v>46</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c r="AJ1336">
        <f t="shared" si="20"/>
        <v>0</v>
      </c>
      <c r="AK1336" t="str" cm="1">
        <f t="array" ref="AK1336">_xlfn.IFS(A1336&lt;=30,"18-30",A1336&lt;=45,"31-45",A1336&lt;=60,"46-60",TRUE, "60+")</f>
        <v>18-30</v>
      </c>
      <c r="AL1336" t="str" cm="1">
        <f t="array" ref="AL1336">_xlfn.IFS(F1336&lt;=10,"0-10",F1336&lt;=20,"11-20",TRUE,"20+")</f>
        <v>11-20</v>
      </c>
      <c r="AM1336" t="str" cm="1">
        <f t="array" ref="AM1336">_xlfn.IFS(S1336&lt;=5000,"0-5k",S1336&lt;=10000,"5k-10k",S1336&lt;=15000,"10k-15k",TRUE,"15k+")</f>
        <v>0-5k</v>
      </c>
      <c r="AN1336" t="str" cm="1">
        <f t="array" ref="AN1336">_xlfn.IFS(AF1336&lt;=10,"0-10",AF1336&lt;=20,"10-20",AF1336&lt;=30,"20-30",TRUE,"30+")</f>
        <v>0-10</v>
      </c>
      <c r="AO1336" t="str" cm="1">
        <f t="array" ref="AO1336">_xlfn.IFS(Y1336=1,"Poor",Y1336=2,"Average",Y1336=3,"Good",TRUE,"Excellent")</f>
        <v>Good</v>
      </c>
      <c r="AP1336" t="str" cm="1">
        <f t="array" ref="AP1336">_xlfn.IFS(Q1336=1,"Low",Q1336=2,"Medium",Q1336=3,"High",TRUE,"Very High")</f>
        <v>Low</v>
      </c>
    </row>
    <row r="1337" spans="1:42" x14ac:dyDescent="0.25">
      <c r="A1337">
        <v>39</v>
      </c>
      <c r="B1337" t="s">
        <v>42</v>
      </c>
      <c r="C1337" t="s">
        <v>90</v>
      </c>
      <c r="D1337">
        <v>835</v>
      </c>
      <c r="E1337" t="s">
        <v>43</v>
      </c>
      <c r="F1337">
        <v>19</v>
      </c>
      <c r="G1337">
        <v>4</v>
      </c>
      <c r="H1337" t="s">
        <v>47</v>
      </c>
      <c r="I1337">
        <v>1</v>
      </c>
      <c r="J1337">
        <v>1871</v>
      </c>
      <c r="K1337">
        <v>4</v>
      </c>
      <c r="L1337" t="s">
        <v>44</v>
      </c>
      <c r="M1337">
        <v>41</v>
      </c>
      <c r="N1337">
        <v>3</v>
      </c>
      <c r="O1337">
        <v>2</v>
      </c>
      <c r="P1337" t="s">
        <v>45</v>
      </c>
      <c r="Q1337">
        <v>4</v>
      </c>
      <c r="R1337" t="s">
        <v>50</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c r="AJ1337">
        <f t="shared" si="20"/>
        <v>0</v>
      </c>
      <c r="AK1337" t="str" cm="1">
        <f t="array" ref="AK1337">_xlfn.IFS(A1337&lt;=30,"18-30",A1337&lt;=45,"31-45",A1337&lt;=60,"46-60",TRUE, "60+")</f>
        <v>31-45</v>
      </c>
      <c r="AL1337" t="str" cm="1">
        <f t="array" ref="AL1337">_xlfn.IFS(F1337&lt;=10,"0-10",F1337&lt;=20,"11-20",TRUE,"20+")</f>
        <v>11-20</v>
      </c>
      <c r="AM1337" t="str" cm="1">
        <f t="array" ref="AM1337">_xlfn.IFS(S1337&lt;=5000,"0-5k",S1337&lt;=10000,"5k-10k",S1337&lt;=15000,"10k-15k",TRUE,"15k+")</f>
        <v>0-5k</v>
      </c>
      <c r="AN1337" t="str" cm="1">
        <f t="array" ref="AN1337">_xlfn.IFS(AF1337&lt;=10,"0-10",AF1337&lt;=20,"10-20",AF1337&lt;=30,"20-30",TRUE,"30+")</f>
        <v>0-10</v>
      </c>
      <c r="AO1337" t="str" cm="1">
        <f t="array" ref="AO1337">_xlfn.IFS(Y1337=1,"Poor",Y1337=2,"Average",Y1337=3,"Good",TRUE,"Excellent")</f>
        <v>Good</v>
      </c>
      <c r="AP1337" t="str" cm="1">
        <f t="array" ref="AP1337">_xlfn.IFS(Q1337=1,"Low",Q1337=2,"Medium",Q1337=3,"High",TRUE,"Very High")</f>
        <v>Very High</v>
      </c>
    </row>
    <row r="1338" spans="1:42" x14ac:dyDescent="0.25">
      <c r="A1338">
        <v>55</v>
      </c>
      <c r="B1338" t="s">
        <v>42</v>
      </c>
      <c r="C1338" t="s">
        <v>90</v>
      </c>
      <c r="D1338">
        <v>836</v>
      </c>
      <c r="E1338" t="s">
        <v>43</v>
      </c>
      <c r="F1338">
        <v>2</v>
      </c>
      <c r="G1338">
        <v>4</v>
      </c>
      <c r="H1338" t="s">
        <v>58</v>
      </c>
      <c r="I1338">
        <v>1</v>
      </c>
      <c r="J1338">
        <v>1873</v>
      </c>
      <c r="K1338">
        <v>2</v>
      </c>
      <c r="L1338" t="s">
        <v>44</v>
      </c>
      <c r="M1338">
        <v>98</v>
      </c>
      <c r="N1338">
        <v>2</v>
      </c>
      <c r="O1338">
        <v>1</v>
      </c>
      <c r="P1338" t="s">
        <v>45</v>
      </c>
      <c r="Q1338">
        <v>4</v>
      </c>
      <c r="R1338" t="s">
        <v>46</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c r="AJ1338">
        <f t="shared" si="20"/>
        <v>0</v>
      </c>
      <c r="AK1338" t="str" cm="1">
        <f t="array" ref="AK1338">_xlfn.IFS(A1338&lt;=30,"18-30",A1338&lt;=45,"31-45",A1338&lt;=60,"46-60",TRUE, "60+")</f>
        <v>46-60</v>
      </c>
      <c r="AL1338" t="str" cm="1">
        <f t="array" ref="AL1338">_xlfn.IFS(F1338&lt;=10,"0-10",F1338&lt;=20,"11-20",TRUE,"20+")</f>
        <v>0-10</v>
      </c>
      <c r="AM1338" t="str" cm="1">
        <f t="array" ref="AM1338">_xlfn.IFS(S1338&lt;=5000,"0-5k",S1338&lt;=10000,"5k-10k",S1338&lt;=15000,"10k-15k",TRUE,"15k+")</f>
        <v>0-5k</v>
      </c>
      <c r="AN1338" t="str" cm="1">
        <f t="array" ref="AN1338">_xlfn.IFS(AF1338&lt;=10,"0-10",AF1338&lt;=20,"10-20",AF1338&lt;=30,"20-30",TRUE,"30+")</f>
        <v>0-10</v>
      </c>
      <c r="AO1338" t="str" cm="1">
        <f t="array" ref="AO1338">_xlfn.IFS(Y1338=1,"Poor",Y1338=2,"Average",Y1338=3,"Good",TRUE,"Excellent")</f>
        <v>Excellent</v>
      </c>
      <c r="AP1338" t="str" cm="1">
        <f t="array" ref="AP1338">_xlfn.IFS(Q1338=1,"Low",Q1338=2,"Medium",Q1338=3,"High",TRUE,"Very High")</f>
        <v>Very High</v>
      </c>
    </row>
    <row r="1339" spans="1:42" x14ac:dyDescent="0.25">
      <c r="A1339">
        <v>28</v>
      </c>
      <c r="B1339" t="s">
        <v>42</v>
      </c>
      <c r="C1339" t="s">
        <v>90</v>
      </c>
      <c r="D1339">
        <v>1172</v>
      </c>
      <c r="E1339" t="s">
        <v>36</v>
      </c>
      <c r="F1339">
        <v>3</v>
      </c>
      <c r="G1339">
        <v>3</v>
      </c>
      <c r="H1339" t="s">
        <v>49</v>
      </c>
      <c r="I1339">
        <v>1</v>
      </c>
      <c r="J1339">
        <v>1875</v>
      </c>
      <c r="K1339">
        <v>2</v>
      </c>
      <c r="L1339" t="s">
        <v>38</v>
      </c>
      <c r="M1339">
        <v>78</v>
      </c>
      <c r="N1339">
        <v>3</v>
      </c>
      <c r="O1339">
        <v>1</v>
      </c>
      <c r="P1339" t="s">
        <v>55</v>
      </c>
      <c r="Q1339">
        <v>2</v>
      </c>
      <c r="R1339" t="s">
        <v>46</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c r="AJ1339">
        <f t="shared" si="20"/>
        <v>0</v>
      </c>
      <c r="AK1339" t="str" cm="1">
        <f t="array" ref="AK1339">_xlfn.IFS(A1339&lt;=30,"18-30",A1339&lt;=45,"31-45",A1339&lt;=60,"46-60",TRUE, "60+")</f>
        <v>18-30</v>
      </c>
      <c r="AL1339" t="str" cm="1">
        <f t="array" ref="AL1339">_xlfn.IFS(F1339&lt;=10,"0-10",F1339&lt;=20,"11-20",TRUE,"20+")</f>
        <v>0-10</v>
      </c>
      <c r="AM1339" t="str" cm="1">
        <f t="array" ref="AM1339">_xlfn.IFS(S1339&lt;=5000,"0-5k",S1339&lt;=10000,"5k-10k",S1339&lt;=15000,"10k-15k",TRUE,"15k+")</f>
        <v>0-5k</v>
      </c>
      <c r="AN1339" t="str" cm="1">
        <f t="array" ref="AN1339">_xlfn.IFS(AF1339&lt;=10,"0-10",AF1339&lt;=20,"10-20",AF1339&lt;=30,"20-30",TRUE,"30+")</f>
        <v>0-10</v>
      </c>
      <c r="AO1339" t="str" cm="1">
        <f t="array" ref="AO1339">_xlfn.IFS(Y1339=1,"Poor",Y1339=2,"Average",Y1339=3,"Good",TRUE,"Excellent")</f>
        <v>Good</v>
      </c>
      <c r="AP1339" t="str" cm="1">
        <f t="array" ref="AP1339">_xlfn.IFS(Q1339=1,"Low",Q1339=2,"Medium",Q1339=3,"High",TRUE,"Very High")</f>
        <v>Medium</v>
      </c>
    </row>
    <row r="1340" spans="1:42" x14ac:dyDescent="0.25">
      <c r="A1340">
        <v>30</v>
      </c>
      <c r="B1340" t="s">
        <v>35</v>
      </c>
      <c r="C1340" t="s">
        <v>90</v>
      </c>
      <c r="D1340">
        <v>945</v>
      </c>
      <c r="E1340" t="s">
        <v>36</v>
      </c>
      <c r="F1340">
        <v>9</v>
      </c>
      <c r="G1340">
        <v>3</v>
      </c>
      <c r="H1340" t="s">
        <v>49</v>
      </c>
      <c r="I1340">
        <v>1</v>
      </c>
      <c r="J1340">
        <v>1876</v>
      </c>
      <c r="K1340">
        <v>2</v>
      </c>
      <c r="L1340" t="s">
        <v>44</v>
      </c>
      <c r="M1340">
        <v>89</v>
      </c>
      <c r="N1340">
        <v>3</v>
      </c>
      <c r="O1340">
        <v>1</v>
      </c>
      <c r="P1340" t="s">
        <v>55</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c r="AJ1340">
        <f t="shared" si="20"/>
        <v>1</v>
      </c>
      <c r="AK1340" t="str" cm="1">
        <f t="array" ref="AK1340">_xlfn.IFS(A1340&lt;=30,"18-30",A1340&lt;=45,"31-45",A1340&lt;=60,"46-60",TRUE, "60+")</f>
        <v>18-30</v>
      </c>
      <c r="AL1340" t="str" cm="1">
        <f t="array" ref="AL1340">_xlfn.IFS(F1340&lt;=10,"0-10",F1340&lt;=20,"11-20",TRUE,"20+")</f>
        <v>0-10</v>
      </c>
      <c r="AM1340" t="str" cm="1">
        <f t="array" ref="AM1340">_xlfn.IFS(S1340&lt;=5000,"0-5k",S1340&lt;=10000,"5k-10k",S1340&lt;=15000,"10k-15k",TRUE,"15k+")</f>
        <v>0-5k</v>
      </c>
      <c r="AN1340" t="str" cm="1">
        <f t="array" ref="AN1340">_xlfn.IFS(AF1340&lt;=10,"0-10",AF1340&lt;=20,"10-20",AF1340&lt;=30,"20-30",TRUE,"30+")</f>
        <v>0-10</v>
      </c>
      <c r="AO1340" t="str" cm="1">
        <f t="array" ref="AO1340">_xlfn.IFS(Y1340=1,"Poor",Y1340=2,"Average",Y1340=3,"Good",TRUE,"Excellent")</f>
        <v>Good</v>
      </c>
      <c r="AP1340" t="str" cm="1">
        <f t="array" ref="AP1340">_xlfn.IFS(Q1340=1,"Low",Q1340=2,"Medium",Q1340=3,"High",TRUE,"Very High")</f>
        <v>Very High</v>
      </c>
    </row>
    <row r="1341" spans="1:42" x14ac:dyDescent="0.25">
      <c r="A1341">
        <v>22</v>
      </c>
      <c r="B1341" t="s">
        <v>35</v>
      </c>
      <c r="C1341" t="s">
        <v>90</v>
      </c>
      <c r="D1341">
        <v>391</v>
      </c>
      <c r="E1341" t="s">
        <v>43</v>
      </c>
      <c r="F1341">
        <v>7</v>
      </c>
      <c r="G1341">
        <v>1</v>
      </c>
      <c r="H1341" t="s">
        <v>37</v>
      </c>
      <c r="I1341">
        <v>1</v>
      </c>
      <c r="J1341">
        <v>1878</v>
      </c>
      <c r="K1341">
        <v>4</v>
      </c>
      <c r="L1341" t="s">
        <v>44</v>
      </c>
      <c r="M1341">
        <v>75</v>
      </c>
      <c r="N1341">
        <v>3</v>
      </c>
      <c r="O1341">
        <v>1</v>
      </c>
      <c r="P1341" t="s">
        <v>45</v>
      </c>
      <c r="Q1341">
        <v>2</v>
      </c>
      <c r="R1341" t="s">
        <v>40</v>
      </c>
      <c r="S1341">
        <v>2472</v>
      </c>
      <c r="T1341">
        <v>26092</v>
      </c>
      <c r="U1341">
        <v>1</v>
      </c>
      <c r="V1341" t="s">
        <v>41</v>
      </c>
      <c r="W1341" t="s">
        <v>35</v>
      </c>
      <c r="X1341">
        <v>23</v>
      </c>
      <c r="Y1341">
        <v>4</v>
      </c>
      <c r="Z1341">
        <v>1</v>
      </c>
      <c r="AA1341">
        <v>80</v>
      </c>
      <c r="AB1341">
        <v>0</v>
      </c>
      <c r="AC1341">
        <v>1</v>
      </c>
      <c r="AD1341">
        <v>2</v>
      </c>
      <c r="AE1341">
        <v>3</v>
      </c>
      <c r="AF1341">
        <v>1</v>
      </c>
      <c r="AG1341">
        <v>0</v>
      </c>
      <c r="AH1341">
        <v>0</v>
      </c>
      <c r="AI1341">
        <v>0</v>
      </c>
      <c r="AJ1341">
        <f t="shared" si="20"/>
        <v>1</v>
      </c>
      <c r="AK1341" t="str" cm="1">
        <f t="array" ref="AK1341">_xlfn.IFS(A1341&lt;=30,"18-30",A1341&lt;=45,"31-45",A1341&lt;=60,"46-60",TRUE, "60+")</f>
        <v>18-30</v>
      </c>
      <c r="AL1341" t="str" cm="1">
        <f t="array" ref="AL1341">_xlfn.IFS(F1341&lt;=10,"0-10",F1341&lt;=20,"11-20",TRUE,"20+")</f>
        <v>0-10</v>
      </c>
      <c r="AM1341" t="str" cm="1">
        <f t="array" ref="AM1341">_xlfn.IFS(S1341&lt;=5000,"0-5k",S1341&lt;=10000,"5k-10k",S1341&lt;=15000,"10k-15k",TRUE,"15k+")</f>
        <v>0-5k</v>
      </c>
      <c r="AN1341" t="str" cm="1">
        <f t="array" ref="AN1341">_xlfn.IFS(AF1341&lt;=10,"0-10",AF1341&lt;=20,"10-20",AF1341&lt;=30,"20-30",TRUE,"30+")</f>
        <v>0-10</v>
      </c>
      <c r="AO1341" t="str" cm="1">
        <f t="array" ref="AO1341">_xlfn.IFS(Y1341=1,"Poor",Y1341=2,"Average",Y1341=3,"Good",TRUE,"Excellent")</f>
        <v>Excellent</v>
      </c>
      <c r="AP1341" t="str" cm="1">
        <f t="array" ref="AP1341">_xlfn.IFS(Q1341=1,"Low",Q1341=2,"Medium",Q1341=3,"High",TRUE,"Very High")</f>
        <v>Medium</v>
      </c>
    </row>
    <row r="1342" spans="1:42" x14ac:dyDescent="0.25">
      <c r="A1342">
        <v>36</v>
      </c>
      <c r="B1342" t="s">
        <v>42</v>
      </c>
      <c r="C1342" t="s">
        <v>90</v>
      </c>
      <c r="D1342">
        <v>1266</v>
      </c>
      <c r="E1342" t="s">
        <v>36</v>
      </c>
      <c r="F1342">
        <v>10</v>
      </c>
      <c r="G1342">
        <v>4</v>
      </c>
      <c r="H1342" t="s">
        <v>58</v>
      </c>
      <c r="I1342">
        <v>1</v>
      </c>
      <c r="J1342">
        <v>1880</v>
      </c>
      <c r="K1342">
        <v>2</v>
      </c>
      <c r="L1342" t="s">
        <v>38</v>
      </c>
      <c r="M1342">
        <v>63</v>
      </c>
      <c r="N1342">
        <v>2</v>
      </c>
      <c r="O1342">
        <v>2</v>
      </c>
      <c r="P1342" t="s">
        <v>39</v>
      </c>
      <c r="Q1342">
        <v>3</v>
      </c>
      <c r="R1342" t="s">
        <v>46</v>
      </c>
      <c r="S1342">
        <v>5673</v>
      </c>
      <c r="T1342">
        <v>6060</v>
      </c>
      <c r="U1342">
        <v>1</v>
      </c>
      <c r="V1342" t="s">
        <v>41</v>
      </c>
      <c r="W1342" t="s">
        <v>35</v>
      </c>
      <c r="X1342">
        <v>13</v>
      </c>
      <c r="Y1342">
        <v>3</v>
      </c>
      <c r="Z1342">
        <v>1</v>
      </c>
      <c r="AA1342">
        <v>80</v>
      </c>
      <c r="AB1342">
        <v>1</v>
      </c>
      <c r="AC1342">
        <v>10</v>
      </c>
      <c r="AD1342">
        <v>4</v>
      </c>
      <c r="AE1342">
        <v>3</v>
      </c>
      <c r="AF1342">
        <v>10</v>
      </c>
      <c r="AG1342">
        <v>9</v>
      </c>
      <c r="AH1342">
        <v>1</v>
      </c>
      <c r="AI1342">
        <v>7</v>
      </c>
      <c r="AJ1342">
        <f t="shared" si="20"/>
        <v>0</v>
      </c>
      <c r="AK1342" t="str" cm="1">
        <f t="array" ref="AK1342">_xlfn.IFS(A1342&lt;=30,"18-30",A1342&lt;=45,"31-45",A1342&lt;=60,"46-60",TRUE, "60+")</f>
        <v>31-45</v>
      </c>
      <c r="AL1342" t="str" cm="1">
        <f t="array" ref="AL1342">_xlfn.IFS(F1342&lt;=10,"0-10",F1342&lt;=20,"11-20",TRUE,"20+")</f>
        <v>0-10</v>
      </c>
      <c r="AM1342" t="str" cm="1">
        <f t="array" ref="AM1342">_xlfn.IFS(S1342&lt;=5000,"0-5k",S1342&lt;=10000,"5k-10k",S1342&lt;=15000,"10k-15k",TRUE,"15k+")</f>
        <v>5k-10k</v>
      </c>
      <c r="AN1342" t="str" cm="1">
        <f t="array" ref="AN1342">_xlfn.IFS(AF1342&lt;=10,"0-10",AF1342&lt;=20,"10-20",AF1342&lt;=30,"20-30",TRUE,"30+")</f>
        <v>0-10</v>
      </c>
      <c r="AO1342" t="str" cm="1">
        <f t="array" ref="AO1342">_xlfn.IFS(Y1342=1,"Poor",Y1342=2,"Average",Y1342=3,"Good",TRUE,"Excellent")</f>
        <v>Good</v>
      </c>
      <c r="AP1342" t="str" cm="1">
        <f t="array" ref="AP1342">_xlfn.IFS(Q1342=1,"Low",Q1342=2,"Medium",Q1342=3,"High",TRUE,"Very High")</f>
        <v>High</v>
      </c>
    </row>
    <row r="1343" spans="1:42" x14ac:dyDescent="0.25">
      <c r="A1343">
        <v>31</v>
      </c>
      <c r="B1343" t="s">
        <v>42</v>
      </c>
      <c r="C1343" t="s">
        <v>90</v>
      </c>
      <c r="D1343">
        <v>311</v>
      </c>
      <c r="E1343" t="s">
        <v>43</v>
      </c>
      <c r="F1343">
        <v>20</v>
      </c>
      <c r="G1343">
        <v>3</v>
      </c>
      <c r="H1343" t="s">
        <v>37</v>
      </c>
      <c r="I1343">
        <v>1</v>
      </c>
      <c r="J1343">
        <v>1881</v>
      </c>
      <c r="K1343">
        <v>2</v>
      </c>
      <c r="L1343" t="s">
        <v>44</v>
      </c>
      <c r="M1343">
        <v>89</v>
      </c>
      <c r="N1343">
        <v>3</v>
      </c>
      <c r="O1343">
        <v>2</v>
      </c>
      <c r="P1343" t="s">
        <v>48</v>
      </c>
      <c r="Q1343">
        <v>3</v>
      </c>
      <c r="R1343" t="s">
        <v>50</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c r="AJ1343">
        <f t="shared" si="20"/>
        <v>0</v>
      </c>
      <c r="AK1343" t="str" cm="1">
        <f t="array" ref="AK1343">_xlfn.IFS(A1343&lt;=30,"18-30",A1343&lt;=45,"31-45",A1343&lt;=60,"46-60",TRUE, "60+")</f>
        <v>31-45</v>
      </c>
      <c r="AL1343" t="str" cm="1">
        <f t="array" ref="AL1343">_xlfn.IFS(F1343&lt;=10,"0-10",F1343&lt;=20,"11-20",TRUE,"20+")</f>
        <v>11-20</v>
      </c>
      <c r="AM1343" t="str" cm="1">
        <f t="array" ref="AM1343">_xlfn.IFS(S1343&lt;=5000,"0-5k",S1343&lt;=10000,"5k-10k",S1343&lt;=15000,"10k-15k",TRUE,"15k+")</f>
        <v>0-5k</v>
      </c>
      <c r="AN1343" t="str" cm="1">
        <f t="array" ref="AN1343">_xlfn.IFS(AF1343&lt;=10,"0-10",AF1343&lt;=20,"10-20",AF1343&lt;=30,"20-30",TRUE,"30+")</f>
        <v>0-10</v>
      </c>
      <c r="AO1343" t="str" cm="1">
        <f t="array" ref="AO1343">_xlfn.IFS(Y1343=1,"Poor",Y1343=2,"Average",Y1343=3,"Good",TRUE,"Excellent")</f>
        <v>Good</v>
      </c>
      <c r="AP1343" t="str" cm="1">
        <f t="array" ref="AP1343">_xlfn.IFS(Q1343=1,"Low",Q1343=2,"Medium",Q1343=3,"High",TRUE,"Very High")</f>
        <v>High</v>
      </c>
    </row>
    <row r="1344" spans="1:42" x14ac:dyDescent="0.25">
      <c r="A1344">
        <v>34</v>
      </c>
      <c r="B1344" t="s">
        <v>42</v>
      </c>
      <c r="C1344" t="s">
        <v>90</v>
      </c>
      <c r="D1344">
        <v>1480</v>
      </c>
      <c r="E1344" t="s">
        <v>36</v>
      </c>
      <c r="F1344">
        <v>4</v>
      </c>
      <c r="G1344">
        <v>3</v>
      </c>
      <c r="H1344" t="s">
        <v>37</v>
      </c>
      <c r="I1344">
        <v>1</v>
      </c>
      <c r="J1344">
        <v>1882</v>
      </c>
      <c r="K1344">
        <v>3</v>
      </c>
      <c r="L1344" t="s">
        <v>44</v>
      </c>
      <c r="M1344">
        <v>64</v>
      </c>
      <c r="N1344">
        <v>3</v>
      </c>
      <c r="O1344">
        <v>3</v>
      </c>
      <c r="P1344" t="s">
        <v>39</v>
      </c>
      <c r="Q1344">
        <v>4</v>
      </c>
      <c r="R1344" t="s">
        <v>46</v>
      </c>
      <c r="S1344">
        <v>9713</v>
      </c>
      <c r="T1344">
        <v>24444</v>
      </c>
      <c r="U1344">
        <v>2</v>
      </c>
      <c r="V1344" t="s">
        <v>41</v>
      </c>
      <c r="W1344" t="s">
        <v>35</v>
      </c>
      <c r="X1344">
        <v>13</v>
      </c>
      <c r="Y1344">
        <v>3</v>
      </c>
      <c r="Z1344">
        <v>4</v>
      </c>
      <c r="AA1344">
        <v>80</v>
      </c>
      <c r="AB1344">
        <v>3</v>
      </c>
      <c r="AC1344">
        <v>9</v>
      </c>
      <c r="AD1344">
        <v>3</v>
      </c>
      <c r="AE1344">
        <v>3</v>
      </c>
      <c r="AF1344">
        <v>5</v>
      </c>
      <c r="AG1344">
        <v>3</v>
      </c>
      <c r="AH1344">
        <v>1</v>
      </c>
      <c r="AI1344">
        <v>0</v>
      </c>
      <c r="AJ1344">
        <f t="shared" si="20"/>
        <v>0</v>
      </c>
      <c r="AK1344" t="str" cm="1">
        <f t="array" ref="AK1344">_xlfn.IFS(A1344&lt;=30,"18-30",A1344&lt;=45,"31-45",A1344&lt;=60,"46-60",TRUE, "60+")</f>
        <v>31-45</v>
      </c>
      <c r="AL1344" t="str" cm="1">
        <f t="array" ref="AL1344">_xlfn.IFS(F1344&lt;=10,"0-10",F1344&lt;=20,"11-20",TRUE,"20+")</f>
        <v>0-10</v>
      </c>
      <c r="AM1344" t="str" cm="1">
        <f t="array" ref="AM1344">_xlfn.IFS(S1344&lt;=5000,"0-5k",S1344&lt;=10000,"5k-10k",S1344&lt;=15000,"10k-15k",TRUE,"15k+")</f>
        <v>5k-10k</v>
      </c>
      <c r="AN1344" t="str" cm="1">
        <f t="array" ref="AN1344">_xlfn.IFS(AF1344&lt;=10,"0-10",AF1344&lt;=20,"10-20",AF1344&lt;=30,"20-30",TRUE,"30+")</f>
        <v>0-10</v>
      </c>
      <c r="AO1344" t="str" cm="1">
        <f t="array" ref="AO1344">_xlfn.IFS(Y1344=1,"Poor",Y1344=2,"Average",Y1344=3,"Good",TRUE,"Excellent")</f>
        <v>Good</v>
      </c>
      <c r="AP1344" t="str" cm="1">
        <f t="array" ref="AP1344">_xlfn.IFS(Q1344=1,"Low",Q1344=2,"Medium",Q1344=3,"High",TRUE,"Very High")</f>
        <v>Very High</v>
      </c>
    </row>
    <row r="1345" spans="1:42" x14ac:dyDescent="0.25">
      <c r="A1345">
        <v>29</v>
      </c>
      <c r="B1345" t="s">
        <v>42</v>
      </c>
      <c r="C1345" t="s">
        <v>90</v>
      </c>
      <c r="D1345">
        <v>592</v>
      </c>
      <c r="E1345" t="s">
        <v>43</v>
      </c>
      <c r="F1345">
        <v>7</v>
      </c>
      <c r="G1345">
        <v>3</v>
      </c>
      <c r="H1345" t="s">
        <v>37</v>
      </c>
      <c r="I1345">
        <v>1</v>
      </c>
      <c r="J1345">
        <v>1883</v>
      </c>
      <c r="K1345">
        <v>4</v>
      </c>
      <c r="L1345" t="s">
        <v>44</v>
      </c>
      <c r="M1345">
        <v>59</v>
      </c>
      <c r="N1345">
        <v>3</v>
      </c>
      <c r="O1345">
        <v>1</v>
      </c>
      <c r="P1345" t="s">
        <v>48</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c r="AJ1345">
        <f t="shared" si="20"/>
        <v>0</v>
      </c>
      <c r="AK1345" t="str" cm="1">
        <f t="array" ref="AK1345">_xlfn.IFS(A1345&lt;=30,"18-30",A1345&lt;=45,"31-45",A1345&lt;=60,"46-60",TRUE, "60+")</f>
        <v>18-30</v>
      </c>
      <c r="AL1345" t="str" cm="1">
        <f t="array" ref="AL1345">_xlfn.IFS(F1345&lt;=10,"0-10",F1345&lt;=20,"11-20",TRUE,"20+")</f>
        <v>0-10</v>
      </c>
      <c r="AM1345" t="str" cm="1">
        <f t="array" ref="AM1345">_xlfn.IFS(S1345&lt;=5000,"0-5k",S1345&lt;=10000,"5k-10k",S1345&lt;=15000,"10k-15k",TRUE,"15k+")</f>
        <v>0-5k</v>
      </c>
      <c r="AN1345" t="str" cm="1">
        <f t="array" ref="AN1345">_xlfn.IFS(AF1345&lt;=10,"0-10",AF1345&lt;=20,"10-20",AF1345&lt;=30,"20-30",TRUE,"30+")</f>
        <v>0-10</v>
      </c>
      <c r="AO1345" t="str" cm="1">
        <f t="array" ref="AO1345">_xlfn.IFS(Y1345=1,"Poor",Y1345=2,"Average",Y1345=3,"Good",TRUE,"Excellent")</f>
        <v>Good</v>
      </c>
      <c r="AP1345" t="str" cm="1">
        <f t="array" ref="AP1345">_xlfn.IFS(Q1345=1,"Low",Q1345=2,"Medium",Q1345=3,"High",TRUE,"Very High")</f>
        <v>Low</v>
      </c>
    </row>
    <row r="1346" spans="1:42" x14ac:dyDescent="0.25">
      <c r="A1346">
        <v>37</v>
      </c>
      <c r="B1346" t="s">
        <v>42</v>
      </c>
      <c r="C1346" t="s">
        <v>90</v>
      </c>
      <c r="D1346">
        <v>783</v>
      </c>
      <c r="E1346" t="s">
        <v>43</v>
      </c>
      <c r="F1346">
        <v>7</v>
      </c>
      <c r="G1346">
        <v>4</v>
      </c>
      <c r="H1346" t="s">
        <v>49</v>
      </c>
      <c r="I1346">
        <v>1</v>
      </c>
      <c r="J1346">
        <v>1885</v>
      </c>
      <c r="K1346">
        <v>4</v>
      </c>
      <c r="L1346" t="s">
        <v>44</v>
      </c>
      <c r="M1346">
        <v>78</v>
      </c>
      <c r="N1346">
        <v>3</v>
      </c>
      <c r="O1346">
        <v>2</v>
      </c>
      <c r="P1346" t="s">
        <v>45</v>
      </c>
      <c r="Q1346">
        <v>1</v>
      </c>
      <c r="R1346" t="s">
        <v>46</v>
      </c>
      <c r="S1346">
        <v>4284</v>
      </c>
      <c r="T1346">
        <v>13588</v>
      </c>
      <c r="U1346">
        <v>5</v>
      </c>
      <c r="V1346" t="s">
        <v>41</v>
      </c>
      <c r="W1346" t="s">
        <v>35</v>
      </c>
      <c r="X1346">
        <v>22</v>
      </c>
      <c r="Y1346">
        <v>4</v>
      </c>
      <c r="Z1346">
        <v>3</v>
      </c>
      <c r="AA1346">
        <v>80</v>
      </c>
      <c r="AB1346">
        <v>1</v>
      </c>
      <c r="AC1346">
        <v>16</v>
      </c>
      <c r="AD1346">
        <v>2</v>
      </c>
      <c r="AE1346">
        <v>3</v>
      </c>
      <c r="AF1346">
        <v>5</v>
      </c>
      <c r="AG1346">
        <v>3</v>
      </c>
      <c r="AH1346">
        <v>0</v>
      </c>
      <c r="AI1346">
        <v>4</v>
      </c>
      <c r="AJ1346">
        <f t="shared" ref="AJ1346:AJ1409" si="21">IF(B1346="yes",1,0)</f>
        <v>0</v>
      </c>
      <c r="AK1346" t="str" cm="1">
        <f t="array" ref="AK1346">_xlfn.IFS(A1346&lt;=30,"18-30",A1346&lt;=45,"31-45",A1346&lt;=60,"46-60",TRUE, "60+")</f>
        <v>31-45</v>
      </c>
      <c r="AL1346" t="str" cm="1">
        <f t="array" ref="AL1346">_xlfn.IFS(F1346&lt;=10,"0-10",F1346&lt;=20,"11-20",TRUE,"20+")</f>
        <v>0-10</v>
      </c>
      <c r="AM1346" t="str" cm="1">
        <f t="array" ref="AM1346">_xlfn.IFS(S1346&lt;=5000,"0-5k",S1346&lt;=10000,"5k-10k",S1346&lt;=15000,"10k-15k",TRUE,"15k+")</f>
        <v>0-5k</v>
      </c>
      <c r="AN1346" t="str" cm="1">
        <f t="array" ref="AN1346">_xlfn.IFS(AF1346&lt;=10,"0-10",AF1346&lt;=20,"10-20",AF1346&lt;=30,"20-30",TRUE,"30+")</f>
        <v>0-10</v>
      </c>
      <c r="AO1346" t="str" cm="1">
        <f t="array" ref="AO1346">_xlfn.IFS(Y1346=1,"Poor",Y1346=2,"Average",Y1346=3,"Good",TRUE,"Excellent")</f>
        <v>Excellent</v>
      </c>
      <c r="AP1346" t="str" cm="1">
        <f t="array" ref="AP1346">_xlfn.IFS(Q1346=1,"Low",Q1346=2,"Medium",Q1346=3,"High",TRUE,"Very High")</f>
        <v>Low</v>
      </c>
    </row>
    <row r="1347" spans="1:42" x14ac:dyDescent="0.25">
      <c r="A1347">
        <v>35</v>
      </c>
      <c r="B1347" t="s">
        <v>42</v>
      </c>
      <c r="C1347" t="s">
        <v>90</v>
      </c>
      <c r="D1347">
        <v>219</v>
      </c>
      <c r="E1347" t="s">
        <v>43</v>
      </c>
      <c r="F1347">
        <v>16</v>
      </c>
      <c r="G1347">
        <v>2</v>
      </c>
      <c r="H1347" t="s">
        <v>47</v>
      </c>
      <c r="I1347">
        <v>1</v>
      </c>
      <c r="J1347">
        <v>1886</v>
      </c>
      <c r="K1347">
        <v>4</v>
      </c>
      <c r="L1347" t="s">
        <v>38</v>
      </c>
      <c r="M1347">
        <v>44</v>
      </c>
      <c r="N1347">
        <v>2</v>
      </c>
      <c r="O1347">
        <v>2</v>
      </c>
      <c r="P1347" t="s">
        <v>51</v>
      </c>
      <c r="Q1347">
        <v>2</v>
      </c>
      <c r="R1347" t="s">
        <v>46</v>
      </c>
      <c r="S1347">
        <v>4788</v>
      </c>
      <c r="T1347">
        <v>25388</v>
      </c>
      <c r="U1347">
        <v>0</v>
      </c>
      <c r="V1347" t="s">
        <v>41</v>
      </c>
      <c r="W1347" t="s">
        <v>35</v>
      </c>
      <c r="X1347">
        <v>11</v>
      </c>
      <c r="Y1347">
        <v>3</v>
      </c>
      <c r="Z1347">
        <v>4</v>
      </c>
      <c r="AA1347">
        <v>80</v>
      </c>
      <c r="AB1347">
        <v>0</v>
      </c>
      <c r="AC1347">
        <v>4</v>
      </c>
      <c r="AD1347">
        <v>2</v>
      </c>
      <c r="AE1347">
        <v>3</v>
      </c>
      <c r="AF1347">
        <v>3</v>
      </c>
      <c r="AG1347">
        <v>2</v>
      </c>
      <c r="AH1347">
        <v>0</v>
      </c>
      <c r="AI1347">
        <v>2</v>
      </c>
      <c r="AJ1347">
        <f t="shared" si="21"/>
        <v>0</v>
      </c>
      <c r="AK1347" t="str" cm="1">
        <f t="array" ref="AK1347">_xlfn.IFS(A1347&lt;=30,"18-30",A1347&lt;=45,"31-45",A1347&lt;=60,"46-60",TRUE, "60+")</f>
        <v>31-45</v>
      </c>
      <c r="AL1347" t="str" cm="1">
        <f t="array" ref="AL1347">_xlfn.IFS(F1347&lt;=10,"0-10",F1347&lt;=20,"11-20",TRUE,"20+")</f>
        <v>11-20</v>
      </c>
      <c r="AM1347" t="str" cm="1">
        <f t="array" ref="AM1347">_xlfn.IFS(S1347&lt;=5000,"0-5k",S1347&lt;=10000,"5k-10k",S1347&lt;=15000,"10k-15k",TRUE,"15k+")</f>
        <v>0-5k</v>
      </c>
      <c r="AN1347" t="str" cm="1">
        <f t="array" ref="AN1347">_xlfn.IFS(AF1347&lt;=10,"0-10",AF1347&lt;=20,"10-20",AF1347&lt;=30,"20-30",TRUE,"30+")</f>
        <v>0-10</v>
      </c>
      <c r="AO1347" t="str" cm="1">
        <f t="array" ref="AO1347">_xlfn.IFS(Y1347=1,"Poor",Y1347=2,"Average",Y1347=3,"Good",TRUE,"Excellent")</f>
        <v>Good</v>
      </c>
      <c r="AP1347" t="str" cm="1">
        <f t="array" ref="AP1347">_xlfn.IFS(Q1347=1,"Low",Q1347=2,"Medium",Q1347=3,"High",TRUE,"Very High")</f>
        <v>Medium</v>
      </c>
    </row>
    <row r="1348" spans="1:42" x14ac:dyDescent="0.25">
      <c r="A1348">
        <v>45</v>
      </c>
      <c r="B1348" t="s">
        <v>42</v>
      </c>
      <c r="C1348" t="s">
        <v>90</v>
      </c>
      <c r="D1348">
        <v>556</v>
      </c>
      <c r="E1348" t="s">
        <v>43</v>
      </c>
      <c r="F1348">
        <v>25</v>
      </c>
      <c r="G1348">
        <v>2</v>
      </c>
      <c r="H1348" t="s">
        <v>37</v>
      </c>
      <c r="I1348">
        <v>1</v>
      </c>
      <c r="J1348">
        <v>1888</v>
      </c>
      <c r="K1348">
        <v>2</v>
      </c>
      <c r="L1348" t="s">
        <v>38</v>
      </c>
      <c r="M1348">
        <v>93</v>
      </c>
      <c r="N1348">
        <v>2</v>
      </c>
      <c r="O1348">
        <v>2</v>
      </c>
      <c r="P1348" t="s">
        <v>51</v>
      </c>
      <c r="Q1348">
        <v>4</v>
      </c>
      <c r="R1348" t="s">
        <v>46</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c r="AJ1348">
        <f t="shared" si="21"/>
        <v>0</v>
      </c>
      <c r="AK1348" t="str" cm="1">
        <f t="array" ref="AK1348">_xlfn.IFS(A1348&lt;=30,"18-30",A1348&lt;=45,"31-45",A1348&lt;=60,"46-60",TRUE, "60+")</f>
        <v>31-45</v>
      </c>
      <c r="AL1348" t="str" cm="1">
        <f t="array" ref="AL1348">_xlfn.IFS(F1348&lt;=10,"0-10",F1348&lt;=20,"11-20",TRUE,"20+")</f>
        <v>20+</v>
      </c>
      <c r="AM1348" t="str" cm="1">
        <f t="array" ref="AM1348">_xlfn.IFS(S1348&lt;=5000,"0-5k",S1348&lt;=10000,"5k-10k",S1348&lt;=15000,"10k-15k",TRUE,"15k+")</f>
        <v>5k-10k</v>
      </c>
      <c r="AN1348" t="str" cm="1">
        <f t="array" ref="AN1348">_xlfn.IFS(AF1348&lt;=10,"0-10",AF1348&lt;=20,"10-20",AF1348&lt;=30,"20-30",TRUE,"30+")</f>
        <v>0-10</v>
      </c>
      <c r="AO1348" t="str" cm="1">
        <f t="array" ref="AO1348">_xlfn.IFS(Y1348=1,"Poor",Y1348=2,"Average",Y1348=3,"Good",TRUE,"Excellent")</f>
        <v>Good</v>
      </c>
      <c r="AP1348" t="str" cm="1">
        <f t="array" ref="AP1348">_xlfn.IFS(Q1348=1,"Low",Q1348=2,"Medium",Q1348=3,"High",TRUE,"Very High")</f>
        <v>Very High</v>
      </c>
    </row>
    <row r="1349" spans="1:42" x14ac:dyDescent="0.25">
      <c r="A1349">
        <v>36</v>
      </c>
      <c r="B1349" t="s">
        <v>42</v>
      </c>
      <c r="C1349" t="s">
        <v>91</v>
      </c>
      <c r="D1349">
        <v>1213</v>
      </c>
      <c r="E1349" t="s">
        <v>59</v>
      </c>
      <c r="F1349">
        <v>2</v>
      </c>
      <c r="G1349">
        <v>1</v>
      </c>
      <c r="H1349" t="s">
        <v>59</v>
      </c>
      <c r="I1349">
        <v>1</v>
      </c>
      <c r="J1349">
        <v>1890</v>
      </c>
      <c r="K1349">
        <v>2</v>
      </c>
      <c r="L1349" t="s">
        <v>44</v>
      </c>
      <c r="M1349">
        <v>94</v>
      </c>
      <c r="N1349">
        <v>2</v>
      </c>
      <c r="O1349">
        <v>2</v>
      </c>
      <c r="P1349" t="s">
        <v>59</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c r="AJ1349">
        <f t="shared" si="21"/>
        <v>0</v>
      </c>
      <c r="AK1349" t="str" cm="1">
        <f t="array" ref="AK1349">_xlfn.IFS(A1349&lt;=30,"18-30",A1349&lt;=45,"31-45",A1349&lt;=60,"46-60",TRUE, "60+")</f>
        <v>31-45</v>
      </c>
      <c r="AL1349" t="str" cm="1">
        <f t="array" ref="AL1349">_xlfn.IFS(F1349&lt;=10,"0-10",F1349&lt;=20,"11-20",TRUE,"20+")</f>
        <v>0-10</v>
      </c>
      <c r="AM1349" t="str" cm="1">
        <f t="array" ref="AM1349">_xlfn.IFS(S1349&lt;=5000,"0-5k",S1349&lt;=10000,"5k-10k",S1349&lt;=15000,"10k-15k",TRUE,"15k+")</f>
        <v>0-5k</v>
      </c>
      <c r="AN1349" t="str" cm="1">
        <f t="array" ref="AN1349">_xlfn.IFS(AF1349&lt;=10,"0-10",AF1349&lt;=20,"10-20",AF1349&lt;=30,"20-30",TRUE,"30+")</f>
        <v>0-10</v>
      </c>
      <c r="AO1349" t="str" cm="1">
        <f t="array" ref="AO1349">_xlfn.IFS(Y1349=1,"Poor",Y1349=2,"Average",Y1349=3,"Good",TRUE,"Excellent")</f>
        <v>Excellent</v>
      </c>
      <c r="AP1349" t="str" cm="1">
        <f t="array" ref="AP1349">_xlfn.IFS(Q1349=1,"Low",Q1349=2,"Medium",Q1349=3,"High",TRUE,"Very High")</f>
        <v>Very High</v>
      </c>
    </row>
    <row r="1350" spans="1:42" x14ac:dyDescent="0.25">
      <c r="A1350">
        <v>40</v>
      </c>
      <c r="B1350" t="s">
        <v>42</v>
      </c>
      <c r="C1350" t="s">
        <v>90</v>
      </c>
      <c r="D1350">
        <v>1137</v>
      </c>
      <c r="E1350" t="s">
        <v>43</v>
      </c>
      <c r="F1350">
        <v>1</v>
      </c>
      <c r="G1350">
        <v>4</v>
      </c>
      <c r="H1350" t="s">
        <v>37</v>
      </c>
      <c r="I1350">
        <v>1</v>
      </c>
      <c r="J1350">
        <v>1892</v>
      </c>
      <c r="K1350">
        <v>1</v>
      </c>
      <c r="L1350" t="s">
        <v>44</v>
      </c>
      <c r="M1350">
        <v>98</v>
      </c>
      <c r="N1350">
        <v>3</v>
      </c>
      <c r="O1350">
        <v>4</v>
      </c>
      <c r="P1350" t="s">
        <v>54</v>
      </c>
      <c r="Q1350">
        <v>1</v>
      </c>
      <c r="R1350" t="s">
        <v>50</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c r="AJ1350">
        <f t="shared" si="21"/>
        <v>0</v>
      </c>
      <c r="AK1350" t="str" cm="1">
        <f t="array" ref="AK1350">_xlfn.IFS(A1350&lt;=30,"18-30",A1350&lt;=45,"31-45",A1350&lt;=60,"46-60",TRUE, "60+")</f>
        <v>31-45</v>
      </c>
      <c r="AL1350" t="str" cm="1">
        <f t="array" ref="AL1350">_xlfn.IFS(F1350&lt;=10,"0-10",F1350&lt;=20,"11-20",TRUE,"20+")</f>
        <v>0-10</v>
      </c>
      <c r="AM1350" t="str" cm="1">
        <f t="array" ref="AM1350">_xlfn.IFS(S1350&lt;=5000,"0-5k",S1350&lt;=10000,"5k-10k",S1350&lt;=15000,"10k-15k",TRUE,"15k+")</f>
        <v>15k+</v>
      </c>
      <c r="AN1350" t="str" cm="1">
        <f t="array" ref="AN1350">_xlfn.IFS(AF1350&lt;=10,"0-10",AF1350&lt;=20,"10-20",AF1350&lt;=30,"20-30",TRUE,"30+")</f>
        <v>10-20</v>
      </c>
      <c r="AO1350" t="str" cm="1">
        <f t="array" ref="AO1350">_xlfn.IFS(Y1350=1,"Poor",Y1350=2,"Average",Y1350=3,"Good",TRUE,"Excellent")</f>
        <v>Good</v>
      </c>
      <c r="AP1350" t="str" cm="1">
        <f t="array" ref="AP1350">_xlfn.IFS(Q1350=1,"Low",Q1350=2,"Medium",Q1350=3,"High",TRUE,"Very High")</f>
        <v>Low</v>
      </c>
    </row>
    <row r="1351" spans="1:42" x14ac:dyDescent="0.25">
      <c r="A1351">
        <v>26</v>
      </c>
      <c r="B1351" t="s">
        <v>42</v>
      </c>
      <c r="C1351" t="s">
        <v>90</v>
      </c>
      <c r="D1351">
        <v>482</v>
      </c>
      <c r="E1351" t="s">
        <v>43</v>
      </c>
      <c r="F1351">
        <v>1</v>
      </c>
      <c r="G1351">
        <v>2</v>
      </c>
      <c r="H1351" t="s">
        <v>37</v>
      </c>
      <c r="I1351">
        <v>1</v>
      </c>
      <c r="J1351">
        <v>1893</v>
      </c>
      <c r="K1351">
        <v>2</v>
      </c>
      <c r="L1351" t="s">
        <v>38</v>
      </c>
      <c r="M1351">
        <v>90</v>
      </c>
      <c r="N1351">
        <v>2</v>
      </c>
      <c r="O1351">
        <v>1</v>
      </c>
      <c r="P1351" t="s">
        <v>45</v>
      </c>
      <c r="Q1351">
        <v>3</v>
      </c>
      <c r="R1351" t="s">
        <v>46</v>
      </c>
      <c r="S1351">
        <v>2933</v>
      </c>
      <c r="T1351">
        <v>14908</v>
      </c>
      <c r="U1351">
        <v>1</v>
      </c>
      <c r="V1351" t="s">
        <v>41</v>
      </c>
      <c r="W1351" t="s">
        <v>35</v>
      </c>
      <c r="X1351">
        <v>13</v>
      </c>
      <c r="Y1351">
        <v>3</v>
      </c>
      <c r="Z1351">
        <v>3</v>
      </c>
      <c r="AA1351">
        <v>80</v>
      </c>
      <c r="AB1351">
        <v>1</v>
      </c>
      <c r="AC1351">
        <v>1</v>
      </c>
      <c r="AD1351">
        <v>3</v>
      </c>
      <c r="AE1351">
        <v>2</v>
      </c>
      <c r="AF1351">
        <v>1</v>
      </c>
      <c r="AG1351">
        <v>0</v>
      </c>
      <c r="AH1351">
        <v>1</v>
      </c>
      <c r="AI1351">
        <v>0</v>
      </c>
      <c r="AJ1351">
        <f t="shared" si="21"/>
        <v>0</v>
      </c>
      <c r="AK1351" t="str" cm="1">
        <f t="array" ref="AK1351">_xlfn.IFS(A1351&lt;=30,"18-30",A1351&lt;=45,"31-45",A1351&lt;=60,"46-60",TRUE, "60+")</f>
        <v>18-30</v>
      </c>
      <c r="AL1351" t="str" cm="1">
        <f t="array" ref="AL1351">_xlfn.IFS(F1351&lt;=10,"0-10",F1351&lt;=20,"11-20",TRUE,"20+")</f>
        <v>0-10</v>
      </c>
      <c r="AM1351" t="str" cm="1">
        <f t="array" ref="AM1351">_xlfn.IFS(S1351&lt;=5000,"0-5k",S1351&lt;=10000,"5k-10k",S1351&lt;=15000,"10k-15k",TRUE,"15k+")</f>
        <v>0-5k</v>
      </c>
      <c r="AN1351" t="str" cm="1">
        <f t="array" ref="AN1351">_xlfn.IFS(AF1351&lt;=10,"0-10",AF1351&lt;=20,"10-20",AF1351&lt;=30,"20-30",TRUE,"30+")</f>
        <v>0-10</v>
      </c>
      <c r="AO1351" t="str" cm="1">
        <f t="array" ref="AO1351">_xlfn.IFS(Y1351=1,"Poor",Y1351=2,"Average",Y1351=3,"Good",TRUE,"Excellent")</f>
        <v>Good</v>
      </c>
      <c r="AP1351" t="str" cm="1">
        <f t="array" ref="AP1351">_xlfn.IFS(Q1351=1,"Low",Q1351=2,"Medium",Q1351=3,"High",TRUE,"Very High")</f>
        <v>High</v>
      </c>
    </row>
    <row r="1352" spans="1:42" x14ac:dyDescent="0.25">
      <c r="A1352">
        <v>27</v>
      </c>
      <c r="B1352" t="s">
        <v>42</v>
      </c>
      <c r="C1352" t="s">
        <v>90</v>
      </c>
      <c r="D1352">
        <v>511</v>
      </c>
      <c r="E1352" t="s">
        <v>36</v>
      </c>
      <c r="F1352">
        <v>2</v>
      </c>
      <c r="G1352">
        <v>2</v>
      </c>
      <c r="H1352" t="s">
        <v>49</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c r="AJ1352">
        <f t="shared" si="21"/>
        <v>0</v>
      </c>
      <c r="AK1352" t="str" cm="1">
        <f t="array" ref="AK1352">_xlfn.IFS(A1352&lt;=30,"18-30",A1352&lt;=45,"31-45",A1352&lt;=60,"46-60",TRUE, "60+")</f>
        <v>18-30</v>
      </c>
      <c r="AL1352" t="str" cm="1">
        <f t="array" ref="AL1352">_xlfn.IFS(F1352&lt;=10,"0-10",F1352&lt;=20,"11-20",TRUE,"20+")</f>
        <v>0-10</v>
      </c>
      <c r="AM1352" t="str" cm="1">
        <f t="array" ref="AM1352">_xlfn.IFS(S1352&lt;=5000,"0-5k",S1352&lt;=10000,"5k-10k",S1352&lt;=15000,"10k-15k",TRUE,"15k+")</f>
        <v>5k-10k</v>
      </c>
      <c r="AN1352" t="str" cm="1">
        <f t="array" ref="AN1352">_xlfn.IFS(AF1352&lt;=10,"0-10",AF1352&lt;=20,"10-20",AF1352&lt;=30,"20-30",TRUE,"30+")</f>
        <v>0-10</v>
      </c>
      <c r="AO1352" t="str" cm="1">
        <f t="array" ref="AO1352">_xlfn.IFS(Y1352=1,"Poor",Y1352=2,"Average",Y1352=3,"Good",TRUE,"Excellent")</f>
        <v>Good</v>
      </c>
      <c r="AP1352" t="str" cm="1">
        <f t="array" ref="AP1352">_xlfn.IFS(Q1352=1,"Low",Q1352=2,"Medium",Q1352=3,"High",TRUE,"Very High")</f>
        <v>High</v>
      </c>
    </row>
    <row r="1353" spans="1:42" x14ac:dyDescent="0.25">
      <c r="A1353">
        <v>48</v>
      </c>
      <c r="B1353" t="s">
        <v>42</v>
      </c>
      <c r="C1353" t="s">
        <v>91</v>
      </c>
      <c r="D1353">
        <v>117</v>
      </c>
      <c r="E1353" t="s">
        <v>43</v>
      </c>
      <c r="F1353">
        <v>22</v>
      </c>
      <c r="G1353">
        <v>3</v>
      </c>
      <c r="H1353" t="s">
        <v>49</v>
      </c>
      <c r="I1353">
        <v>1</v>
      </c>
      <c r="J1353">
        <v>1900</v>
      </c>
      <c r="K1353">
        <v>4</v>
      </c>
      <c r="L1353" t="s">
        <v>38</v>
      </c>
      <c r="M1353">
        <v>58</v>
      </c>
      <c r="N1353">
        <v>3</v>
      </c>
      <c r="O1353">
        <v>4</v>
      </c>
      <c r="P1353" t="s">
        <v>54</v>
      </c>
      <c r="Q1353">
        <v>4</v>
      </c>
      <c r="R1353" t="s">
        <v>50</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c r="AJ1353">
        <f t="shared" si="21"/>
        <v>0</v>
      </c>
      <c r="AK1353" t="str" cm="1">
        <f t="array" ref="AK1353">_xlfn.IFS(A1353&lt;=30,"18-30",A1353&lt;=45,"31-45",A1353&lt;=60,"46-60",TRUE, "60+")</f>
        <v>46-60</v>
      </c>
      <c r="AL1353" t="str" cm="1">
        <f t="array" ref="AL1353">_xlfn.IFS(F1353&lt;=10,"0-10",F1353&lt;=20,"11-20",TRUE,"20+")</f>
        <v>20+</v>
      </c>
      <c r="AM1353" t="str" cm="1">
        <f t="array" ref="AM1353">_xlfn.IFS(S1353&lt;=5000,"0-5k",S1353&lt;=10000,"5k-10k",S1353&lt;=15000,"10k-15k",TRUE,"15k+")</f>
        <v>15k+</v>
      </c>
      <c r="AN1353" t="str" cm="1">
        <f t="array" ref="AN1353">_xlfn.IFS(AF1353&lt;=10,"0-10",AF1353&lt;=20,"10-20",AF1353&lt;=30,"20-30",TRUE,"30+")</f>
        <v>20-30</v>
      </c>
      <c r="AO1353" t="str" cm="1">
        <f t="array" ref="AO1353">_xlfn.IFS(Y1353=1,"Poor",Y1353=2,"Average",Y1353=3,"Good",TRUE,"Excellent")</f>
        <v>Good</v>
      </c>
      <c r="AP1353" t="str" cm="1">
        <f t="array" ref="AP1353">_xlfn.IFS(Q1353=1,"Low",Q1353=2,"Medium",Q1353=3,"High",TRUE,"Very High")</f>
        <v>Very High</v>
      </c>
    </row>
    <row r="1354" spans="1:42" x14ac:dyDescent="0.25">
      <c r="A1354">
        <v>44</v>
      </c>
      <c r="B1354" t="s">
        <v>42</v>
      </c>
      <c r="C1354" t="s">
        <v>90</v>
      </c>
      <c r="D1354">
        <v>170</v>
      </c>
      <c r="E1354" t="s">
        <v>43</v>
      </c>
      <c r="F1354">
        <v>1</v>
      </c>
      <c r="G1354">
        <v>4</v>
      </c>
      <c r="H1354" t="s">
        <v>37</v>
      </c>
      <c r="I1354">
        <v>1</v>
      </c>
      <c r="J1354">
        <v>1903</v>
      </c>
      <c r="K1354">
        <v>2</v>
      </c>
      <c r="L1354" t="s">
        <v>44</v>
      </c>
      <c r="M1354">
        <v>78</v>
      </c>
      <c r="N1354">
        <v>4</v>
      </c>
      <c r="O1354">
        <v>2</v>
      </c>
      <c r="P1354" t="s">
        <v>52</v>
      </c>
      <c r="Q1354">
        <v>1</v>
      </c>
      <c r="R1354" t="s">
        <v>46</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c r="AJ1354">
        <f t="shared" si="21"/>
        <v>0</v>
      </c>
      <c r="AK1354" t="str" cm="1">
        <f t="array" ref="AK1354">_xlfn.IFS(A1354&lt;=30,"18-30",A1354&lt;=45,"31-45",A1354&lt;=60,"46-60",TRUE, "60+")</f>
        <v>31-45</v>
      </c>
      <c r="AL1354" t="str" cm="1">
        <f t="array" ref="AL1354">_xlfn.IFS(F1354&lt;=10,"0-10",F1354&lt;=20,"11-20",TRUE,"20+")</f>
        <v>0-10</v>
      </c>
      <c r="AM1354" t="str" cm="1">
        <f t="array" ref="AM1354">_xlfn.IFS(S1354&lt;=5000,"0-5k",S1354&lt;=10000,"5k-10k",S1354&lt;=15000,"10k-15k",TRUE,"15k+")</f>
        <v>5k-10k</v>
      </c>
      <c r="AN1354" t="str" cm="1">
        <f t="array" ref="AN1354">_xlfn.IFS(AF1354&lt;=10,"0-10",AF1354&lt;=20,"10-20",AF1354&lt;=30,"20-30",TRUE,"30+")</f>
        <v>0-10</v>
      </c>
      <c r="AO1354" t="str" cm="1">
        <f t="array" ref="AO1354">_xlfn.IFS(Y1354=1,"Poor",Y1354=2,"Average",Y1354=3,"Good",TRUE,"Excellent")</f>
        <v>Good</v>
      </c>
      <c r="AP1354" t="str" cm="1">
        <f t="array" ref="AP1354">_xlfn.IFS(Q1354=1,"Low",Q1354=2,"Medium",Q1354=3,"High",TRUE,"Very High")</f>
        <v>Low</v>
      </c>
    </row>
    <row r="1355" spans="1:42" x14ac:dyDescent="0.25">
      <c r="A1355">
        <v>34</v>
      </c>
      <c r="B1355" t="s">
        <v>35</v>
      </c>
      <c r="C1355" t="s">
        <v>53</v>
      </c>
      <c r="D1355">
        <v>967</v>
      </c>
      <c r="E1355" t="s">
        <v>43</v>
      </c>
      <c r="F1355">
        <v>16</v>
      </c>
      <c r="G1355">
        <v>4</v>
      </c>
      <c r="H1355" t="s">
        <v>58</v>
      </c>
      <c r="I1355">
        <v>1</v>
      </c>
      <c r="J1355">
        <v>1905</v>
      </c>
      <c r="K1355">
        <v>4</v>
      </c>
      <c r="L1355" t="s">
        <v>44</v>
      </c>
      <c r="M1355">
        <v>85</v>
      </c>
      <c r="N1355">
        <v>1</v>
      </c>
      <c r="O1355">
        <v>1</v>
      </c>
      <c r="P1355" t="s">
        <v>45</v>
      </c>
      <c r="Q1355">
        <v>1</v>
      </c>
      <c r="R1355" t="s">
        <v>46</v>
      </c>
      <c r="S1355">
        <v>2307</v>
      </c>
      <c r="T1355">
        <v>14460</v>
      </c>
      <c r="U1355">
        <v>1</v>
      </c>
      <c r="V1355" t="s">
        <v>41</v>
      </c>
      <c r="W1355" t="s">
        <v>35</v>
      </c>
      <c r="X1355">
        <v>23</v>
      </c>
      <c r="Y1355">
        <v>4</v>
      </c>
      <c r="Z1355">
        <v>2</v>
      </c>
      <c r="AA1355">
        <v>80</v>
      </c>
      <c r="AB1355">
        <v>1</v>
      </c>
      <c r="AC1355">
        <v>5</v>
      </c>
      <c r="AD1355">
        <v>2</v>
      </c>
      <c r="AE1355">
        <v>3</v>
      </c>
      <c r="AF1355">
        <v>5</v>
      </c>
      <c r="AG1355">
        <v>2</v>
      </c>
      <c r="AH1355">
        <v>3</v>
      </c>
      <c r="AI1355">
        <v>0</v>
      </c>
      <c r="AJ1355">
        <f t="shared" si="21"/>
        <v>1</v>
      </c>
      <c r="AK1355" t="str" cm="1">
        <f t="array" ref="AK1355">_xlfn.IFS(A1355&lt;=30,"18-30",A1355&lt;=45,"31-45",A1355&lt;=60,"46-60",TRUE, "60+")</f>
        <v>31-45</v>
      </c>
      <c r="AL1355" t="str" cm="1">
        <f t="array" ref="AL1355">_xlfn.IFS(F1355&lt;=10,"0-10",F1355&lt;=20,"11-20",TRUE,"20+")</f>
        <v>11-20</v>
      </c>
      <c r="AM1355" t="str" cm="1">
        <f t="array" ref="AM1355">_xlfn.IFS(S1355&lt;=5000,"0-5k",S1355&lt;=10000,"5k-10k",S1355&lt;=15000,"10k-15k",TRUE,"15k+")</f>
        <v>0-5k</v>
      </c>
      <c r="AN1355" t="str" cm="1">
        <f t="array" ref="AN1355">_xlfn.IFS(AF1355&lt;=10,"0-10",AF1355&lt;=20,"10-20",AF1355&lt;=30,"20-30",TRUE,"30+")</f>
        <v>0-10</v>
      </c>
      <c r="AO1355" t="str" cm="1">
        <f t="array" ref="AO1355">_xlfn.IFS(Y1355=1,"Poor",Y1355=2,"Average",Y1355=3,"Good",TRUE,"Excellent")</f>
        <v>Excellent</v>
      </c>
      <c r="AP1355" t="str" cm="1">
        <f t="array" ref="AP1355">_xlfn.IFS(Q1355=1,"Low",Q1355=2,"Medium",Q1355=3,"High",TRUE,"Very High")</f>
        <v>Low</v>
      </c>
    </row>
    <row r="1356" spans="1:42" x14ac:dyDescent="0.25">
      <c r="A1356">
        <v>56</v>
      </c>
      <c r="B1356" t="s">
        <v>35</v>
      </c>
      <c r="C1356" t="s">
        <v>90</v>
      </c>
      <c r="D1356">
        <v>1162</v>
      </c>
      <c r="E1356" t="s">
        <v>43</v>
      </c>
      <c r="F1356">
        <v>24</v>
      </c>
      <c r="G1356">
        <v>2</v>
      </c>
      <c r="H1356" t="s">
        <v>37</v>
      </c>
      <c r="I1356">
        <v>1</v>
      </c>
      <c r="J1356">
        <v>1907</v>
      </c>
      <c r="K1356">
        <v>1</v>
      </c>
      <c r="L1356" t="s">
        <v>44</v>
      </c>
      <c r="M1356">
        <v>97</v>
      </c>
      <c r="N1356">
        <v>3</v>
      </c>
      <c r="O1356">
        <v>1</v>
      </c>
      <c r="P1356" t="s">
        <v>48</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c r="AJ1356">
        <f t="shared" si="21"/>
        <v>1</v>
      </c>
      <c r="AK1356" t="str" cm="1">
        <f t="array" ref="AK1356">_xlfn.IFS(A1356&lt;=30,"18-30",A1356&lt;=45,"31-45",A1356&lt;=60,"46-60",TRUE, "60+")</f>
        <v>46-60</v>
      </c>
      <c r="AL1356" t="str" cm="1">
        <f t="array" ref="AL1356">_xlfn.IFS(F1356&lt;=10,"0-10",F1356&lt;=20,"11-20",TRUE,"20+")</f>
        <v>20+</v>
      </c>
      <c r="AM1356" t="str" cm="1">
        <f t="array" ref="AM1356">_xlfn.IFS(S1356&lt;=5000,"0-5k",S1356&lt;=10000,"5k-10k",S1356&lt;=15000,"10k-15k",TRUE,"15k+")</f>
        <v>0-5k</v>
      </c>
      <c r="AN1356" t="str" cm="1">
        <f t="array" ref="AN1356">_xlfn.IFS(AF1356&lt;=10,"0-10",AF1356&lt;=20,"10-20",AF1356&lt;=30,"20-30",TRUE,"30+")</f>
        <v>0-10</v>
      </c>
      <c r="AO1356" t="str" cm="1">
        <f t="array" ref="AO1356">_xlfn.IFS(Y1356=1,"Poor",Y1356=2,"Average",Y1356=3,"Good",TRUE,"Excellent")</f>
        <v>Good</v>
      </c>
      <c r="AP1356" t="str" cm="1">
        <f t="array" ref="AP1356">_xlfn.IFS(Q1356=1,"Low",Q1356=2,"Medium",Q1356=3,"High",TRUE,"Very High")</f>
        <v>Very High</v>
      </c>
    </row>
    <row r="1357" spans="1:42" x14ac:dyDescent="0.25">
      <c r="A1357">
        <v>36</v>
      </c>
      <c r="B1357" t="s">
        <v>42</v>
      </c>
      <c r="C1357" t="s">
        <v>90</v>
      </c>
      <c r="D1357">
        <v>335</v>
      </c>
      <c r="E1357" t="s">
        <v>36</v>
      </c>
      <c r="F1357">
        <v>17</v>
      </c>
      <c r="G1357">
        <v>2</v>
      </c>
      <c r="H1357" t="s">
        <v>57</v>
      </c>
      <c r="I1357">
        <v>1</v>
      </c>
      <c r="J1357">
        <v>1908</v>
      </c>
      <c r="K1357">
        <v>3</v>
      </c>
      <c r="L1357" t="s">
        <v>44</v>
      </c>
      <c r="M1357">
        <v>33</v>
      </c>
      <c r="N1357">
        <v>2</v>
      </c>
      <c r="O1357">
        <v>2</v>
      </c>
      <c r="P1357" t="s">
        <v>39</v>
      </c>
      <c r="Q1357">
        <v>2</v>
      </c>
      <c r="R1357" t="s">
        <v>46</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c r="AJ1357">
        <f t="shared" si="21"/>
        <v>0</v>
      </c>
      <c r="AK1357" t="str" cm="1">
        <f t="array" ref="AK1357">_xlfn.IFS(A1357&lt;=30,"18-30",A1357&lt;=45,"31-45",A1357&lt;=60,"46-60",TRUE, "60+")</f>
        <v>31-45</v>
      </c>
      <c r="AL1357" t="str" cm="1">
        <f t="array" ref="AL1357">_xlfn.IFS(F1357&lt;=10,"0-10",F1357&lt;=20,"11-20",TRUE,"20+")</f>
        <v>11-20</v>
      </c>
      <c r="AM1357" t="str" cm="1">
        <f t="array" ref="AM1357">_xlfn.IFS(S1357&lt;=5000,"0-5k",S1357&lt;=10000,"5k-10k",S1357&lt;=15000,"10k-15k",TRUE,"15k+")</f>
        <v>5k-10k</v>
      </c>
      <c r="AN1357" t="str" cm="1">
        <f t="array" ref="AN1357">_xlfn.IFS(AF1357&lt;=10,"0-10",AF1357&lt;=20,"10-20",AF1357&lt;=30,"20-30",TRUE,"30+")</f>
        <v>0-10</v>
      </c>
      <c r="AO1357" t="str" cm="1">
        <f t="array" ref="AO1357">_xlfn.IFS(Y1357=1,"Poor",Y1357=2,"Average",Y1357=3,"Good",TRUE,"Excellent")</f>
        <v>Good</v>
      </c>
      <c r="AP1357" t="str" cm="1">
        <f t="array" ref="AP1357">_xlfn.IFS(Q1357=1,"Low",Q1357=2,"Medium",Q1357=3,"High",TRUE,"Very High")</f>
        <v>Medium</v>
      </c>
    </row>
    <row r="1358" spans="1:42" x14ac:dyDescent="0.25">
      <c r="A1358">
        <v>41</v>
      </c>
      <c r="B1358" t="s">
        <v>42</v>
      </c>
      <c r="C1358" t="s">
        <v>90</v>
      </c>
      <c r="D1358">
        <v>337</v>
      </c>
      <c r="E1358" t="s">
        <v>36</v>
      </c>
      <c r="F1358">
        <v>8</v>
      </c>
      <c r="G1358">
        <v>3</v>
      </c>
      <c r="H1358" t="s">
        <v>57</v>
      </c>
      <c r="I1358">
        <v>1</v>
      </c>
      <c r="J1358">
        <v>1909</v>
      </c>
      <c r="K1358">
        <v>3</v>
      </c>
      <c r="L1358" t="s">
        <v>38</v>
      </c>
      <c r="M1358">
        <v>54</v>
      </c>
      <c r="N1358">
        <v>3</v>
      </c>
      <c r="O1358">
        <v>2</v>
      </c>
      <c r="P1358" t="s">
        <v>39</v>
      </c>
      <c r="Q1358">
        <v>2</v>
      </c>
      <c r="R1358" t="s">
        <v>46</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c r="AJ1358">
        <f t="shared" si="21"/>
        <v>0</v>
      </c>
      <c r="AK1358" t="str" cm="1">
        <f t="array" ref="AK1358">_xlfn.IFS(A1358&lt;=30,"18-30",A1358&lt;=45,"31-45",A1358&lt;=60,"46-60",TRUE, "60+")</f>
        <v>31-45</v>
      </c>
      <c r="AL1358" t="str" cm="1">
        <f t="array" ref="AL1358">_xlfn.IFS(F1358&lt;=10,"0-10",F1358&lt;=20,"11-20",TRUE,"20+")</f>
        <v>0-10</v>
      </c>
      <c r="AM1358" t="str" cm="1">
        <f t="array" ref="AM1358">_xlfn.IFS(S1358&lt;=5000,"0-5k",S1358&lt;=10000,"5k-10k",S1358&lt;=15000,"10k-15k",TRUE,"15k+")</f>
        <v>0-5k</v>
      </c>
      <c r="AN1358" t="str" cm="1">
        <f t="array" ref="AN1358">_xlfn.IFS(AF1358&lt;=10,"0-10",AF1358&lt;=20,"10-20",AF1358&lt;=30,"20-30",TRUE,"30+")</f>
        <v>0-10</v>
      </c>
      <c r="AO1358" t="str" cm="1">
        <f t="array" ref="AO1358">_xlfn.IFS(Y1358=1,"Poor",Y1358=2,"Average",Y1358=3,"Good",TRUE,"Excellent")</f>
        <v>Excellent</v>
      </c>
      <c r="AP1358" t="str" cm="1">
        <f t="array" ref="AP1358">_xlfn.IFS(Q1358=1,"Low",Q1358=2,"Medium",Q1358=3,"High",TRUE,"Very High")</f>
        <v>Medium</v>
      </c>
    </row>
    <row r="1359" spans="1:42" x14ac:dyDescent="0.25">
      <c r="A1359">
        <v>42</v>
      </c>
      <c r="B1359" t="s">
        <v>42</v>
      </c>
      <c r="C1359" t="s">
        <v>90</v>
      </c>
      <c r="D1359">
        <v>1396</v>
      </c>
      <c r="E1359" t="s">
        <v>43</v>
      </c>
      <c r="F1359">
        <v>6</v>
      </c>
      <c r="G1359">
        <v>3</v>
      </c>
      <c r="H1359" t="s">
        <v>49</v>
      </c>
      <c r="I1359">
        <v>1</v>
      </c>
      <c r="J1359">
        <v>1911</v>
      </c>
      <c r="K1359">
        <v>3</v>
      </c>
      <c r="L1359" t="s">
        <v>44</v>
      </c>
      <c r="M1359">
        <v>83</v>
      </c>
      <c r="N1359">
        <v>3</v>
      </c>
      <c r="O1359">
        <v>3</v>
      </c>
      <c r="P1359" t="s">
        <v>56</v>
      </c>
      <c r="Q1359">
        <v>1</v>
      </c>
      <c r="R1359" t="s">
        <v>46</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c r="AJ1359">
        <f t="shared" si="21"/>
        <v>0</v>
      </c>
      <c r="AK1359" t="str" cm="1">
        <f t="array" ref="AK1359">_xlfn.IFS(A1359&lt;=30,"18-30",A1359&lt;=45,"31-45",A1359&lt;=60,"46-60",TRUE, "60+")</f>
        <v>31-45</v>
      </c>
      <c r="AL1359" t="str" cm="1">
        <f t="array" ref="AL1359">_xlfn.IFS(F1359&lt;=10,"0-10",F1359&lt;=20,"11-20",TRUE,"20+")</f>
        <v>0-10</v>
      </c>
      <c r="AM1359" t="str" cm="1">
        <f t="array" ref="AM1359">_xlfn.IFS(S1359&lt;=5000,"0-5k",S1359&lt;=10000,"5k-10k",S1359&lt;=15000,"10k-15k",TRUE,"15k+")</f>
        <v>10k-15k</v>
      </c>
      <c r="AN1359" t="str" cm="1">
        <f t="array" ref="AN1359">_xlfn.IFS(AF1359&lt;=10,"0-10",AF1359&lt;=20,"10-20",AF1359&lt;=30,"20-30",TRUE,"30+")</f>
        <v>10-20</v>
      </c>
      <c r="AO1359" t="str" cm="1">
        <f t="array" ref="AO1359">_xlfn.IFS(Y1359=1,"Poor",Y1359=2,"Average",Y1359=3,"Good",TRUE,"Excellent")</f>
        <v>Good</v>
      </c>
      <c r="AP1359" t="str" cm="1">
        <f t="array" ref="AP1359">_xlfn.IFS(Q1359=1,"Low",Q1359=2,"Medium",Q1359=3,"High",TRUE,"Very High")</f>
        <v>Low</v>
      </c>
    </row>
    <row r="1360" spans="1:42" x14ac:dyDescent="0.25">
      <c r="A1360">
        <v>31</v>
      </c>
      <c r="B1360" t="s">
        <v>42</v>
      </c>
      <c r="C1360" t="s">
        <v>90</v>
      </c>
      <c r="D1360">
        <v>1079</v>
      </c>
      <c r="E1360" t="s">
        <v>36</v>
      </c>
      <c r="F1360">
        <v>10</v>
      </c>
      <c r="G1360">
        <v>2</v>
      </c>
      <c r="H1360" t="s">
        <v>49</v>
      </c>
      <c r="I1360">
        <v>1</v>
      </c>
      <c r="J1360">
        <v>1912</v>
      </c>
      <c r="K1360">
        <v>3</v>
      </c>
      <c r="L1360" t="s">
        <v>38</v>
      </c>
      <c r="M1360">
        <v>86</v>
      </c>
      <c r="N1360">
        <v>3</v>
      </c>
      <c r="O1360">
        <v>2</v>
      </c>
      <c r="P1360" t="s">
        <v>39</v>
      </c>
      <c r="Q1360">
        <v>4</v>
      </c>
      <c r="R1360" t="s">
        <v>50</v>
      </c>
      <c r="S1360">
        <v>6583</v>
      </c>
      <c r="T1360">
        <v>20115</v>
      </c>
      <c r="U1360">
        <v>2</v>
      </c>
      <c r="V1360" t="s">
        <v>41</v>
      </c>
      <c r="W1360" t="s">
        <v>35</v>
      </c>
      <c r="X1360">
        <v>11</v>
      </c>
      <c r="Y1360">
        <v>3</v>
      </c>
      <c r="Z1360">
        <v>4</v>
      </c>
      <c r="AA1360">
        <v>80</v>
      </c>
      <c r="AB1360">
        <v>1</v>
      </c>
      <c r="AC1360">
        <v>8</v>
      </c>
      <c r="AD1360">
        <v>2</v>
      </c>
      <c r="AE1360">
        <v>3</v>
      </c>
      <c r="AF1360">
        <v>5</v>
      </c>
      <c r="AG1360">
        <v>2</v>
      </c>
      <c r="AH1360">
        <v>1</v>
      </c>
      <c r="AI1360">
        <v>4</v>
      </c>
      <c r="AJ1360">
        <f t="shared" si="21"/>
        <v>0</v>
      </c>
      <c r="AK1360" t="str" cm="1">
        <f t="array" ref="AK1360">_xlfn.IFS(A1360&lt;=30,"18-30",A1360&lt;=45,"31-45",A1360&lt;=60,"46-60",TRUE, "60+")</f>
        <v>31-45</v>
      </c>
      <c r="AL1360" t="str" cm="1">
        <f t="array" ref="AL1360">_xlfn.IFS(F1360&lt;=10,"0-10",F1360&lt;=20,"11-20",TRUE,"20+")</f>
        <v>0-10</v>
      </c>
      <c r="AM1360" t="str" cm="1">
        <f t="array" ref="AM1360">_xlfn.IFS(S1360&lt;=5000,"0-5k",S1360&lt;=10000,"5k-10k",S1360&lt;=15000,"10k-15k",TRUE,"15k+")</f>
        <v>5k-10k</v>
      </c>
      <c r="AN1360" t="str" cm="1">
        <f t="array" ref="AN1360">_xlfn.IFS(AF1360&lt;=10,"0-10",AF1360&lt;=20,"10-20",AF1360&lt;=30,"20-30",TRUE,"30+")</f>
        <v>0-10</v>
      </c>
      <c r="AO1360" t="str" cm="1">
        <f t="array" ref="AO1360">_xlfn.IFS(Y1360=1,"Poor",Y1360=2,"Average",Y1360=3,"Good",TRUE,"Excellent")</f>
        <v>Good</v>
      </c>
      <c r="AP1360" t="str" cm="1">
        <f t="array" ref="AP1360">_xlfn.IFS(Q1360=1,"Low",Q1360=2,"Medium",Q1360=3,"High",TRUE,"Very High")</f>
        <v>Very High</v>
      </c>
    </row>
    <row r="1361" spans="1:42" x14ac:dyDescent="0.25">
      <c r="A1361">
        <v>34</v>
      </c>
      <c r="B1361" t="s">
        <v>42</v>
      </c>
      <c r="C1361" t="s">
        <v>90</v>
      </c>
      <c r="D1361">
        <v>735</v>
      </c>
      <c r="E1361" t="s">
        <v>36</v>
      </c>
      <c r="F1361">
        <v>3</v>
      </c>
      <c r="G1361">
        <v>1</v>
      </c>
      <c r="H1361" t="s">
        <v>49</v>
      </c>
      <c r="I1361">
        <v>1</v>
      </c>
      <c r="J1361">
        <v>1915</v>
      </c>
      <c r="K1361">
        <v>4</v>
      </c>
      <c r="L1361" t="s">
        <v>38</v>
      </c>
      <c r="M1361">
        <v>75</v>
      </c>
      <c r="N1361">
        <v>2</v>
      </c>
      <c r="O1361">
        <v>2</v>
      </c>
      <c r="P1361" t="s">
        <v>39</v>
      </c>
      <c r="Q1361">
        <v>4</v>
      </c>
      <c r="R1361" t="s">
        <v>46</v>
      </c>
      <c r="S1361">
        <v>8103</v>
      </c>
      <c r="T1361">
        <v>16495</v>
      </c>
      <c r="U1361">
        <v>3</v>
      </c>
      <c r="V1361" t="s">
        <v>41</v>
      </c>
      <c r="W1361" t="s">
        <v>35</v>
      </c>
      <c r="X1361">
        <v>12</v>
      </c>
      <c r="Y1361">
        <v>3</v>
      </c>
      <c r="Z1361">
        <v>3</v>
      </c>
      <c r="AA1361">
        <v>80</v>
      </c>
      <c r="AB1361">
        <v>0</v>
      </c>
      <c r="AC1361">
        <v>9</v>
      </c>
      <c r="AD1361">
        <v>3</v>
      </c>
      <c r="AE1361">
        <v>2</v>
      </c>
      <c r="AF1361">
        <v>4</v>
      </c>
      <c r="AG1361">
        <v>2</v>
      </c>
      <c r="AH1361">
        <v>0</v>
      </c>
      <c r="AI1361">
        <v>1</v>
      </c>
      <c r="AJ1361">
        <f t="shared" si="21"/>
        <v>0</v>
      </c>
      <c r="AK1361" t="str" cm="1">
        <f t="array" ref="AK1361">_xlfn.IFS(A1361&lt;=30,"18-30",A1361&lt;=45,"31-45",A1361&lt;=60,"46-60",TRUE, "60+")</f>
        <v>31-45</v>
      </c>
      <c r="AL1361" t="str" cm="1">
        <f t="array" ref="AL1361">_xlfn.IFS(F1361&lt;=10,"0-10",F1361&lt;=20,"11-20",TRUE,"20+")</f>
        <v>0-10</v>
      </c>
      <c r="AM1361" t="str" cm="1">
        <f t="array" ref="AM1361">_xlfn.IFS(S1361&lt;=5000,"0-5k",S1361&lt;=10000,"5k-10k",S1361&lt;=15000,"10k-15k",TRUE,"15k+")</f>
        <v>5k-10k</v>
      </c>
      <c r="AN1361" t="str" cm="1">
        <f t="array" ref="AN1361">_xlfn.IFS(AF1361&lt;=10,"0-10",AF1361&lt;=20,"10-20",AF1361&lt;=30,"20-30",TRUE,"30+")</f>
        <v>0-10</v>
      </c>
      <c r="AO1361" t="str" cm="1">
        <f t="array" ref="AO1361">_xlfn.IFS(Y1361=1,"Poor",Y1361=2,"Average",Y1361=3,"Good",TRUE,"Excellent")</f>
        <v>Good</v>
      </c>
      <c r="AP1361" t="str" cm="1">
        <f t="array" ref="AP1361">_xlfn.IFS(Q1361=1,"Low",Q1361=2,"Medium",Q1361=3,"High",TRUE,"Very High")</f>
        <v>Very High</v>
      </c>
    </row>
    <row r="1362" spans="1:42" x14ac:dyDescent="0.25">
      <c r="A1362">
        <v>31</v>
      </c>
      <c r="B1362" t="s">
        <v>42</v>
      </c>
      <c r="C1362" t="s">
        <v>90</v>
      </c>
      <c r="D1362">
        <v>471</v>
      </c>
      <c r="E1362" t="s">
        <v>43</v>
      </c>
      <c r="F1362">
        <v>4</v>
      </c>
      <c r="G1362">
        <v>3</v>
      </c>
      <c r="H1362" t="s">
        <v>49</v>
      </c>
      <c r="I1362">
        <v>1</v>
      </c>
      <c r="J1362">
        <v>1916</v>
      </c>
      <c r="K1362">
        <v>1</v>
      </c>
      <c r="L1362" t="s">
        <v>38</v>
      </c>
      <c r="M1362">
        <v>62</v>
      </c>
      <c r="N1362">
        <v>4</v>
      </c>
      <c r="O1362">
        <v>1</v>
      </c>
      <c r="P1362" t="s">
        <v>48</v>
      </c>
      <c r="Q1362">
        <v>3</v>
      </c>
      <c r="R1362" t="s">
        <v>50</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c r="AJ1362">
        <f t="shared" si="21"/>
        <v>0</v>
      </c>
      <c r="AK1362" t="str" cm="1">
        <f t="array" ref="AK1362">_xlfn.IFS(A1362&lt;=30,"18-30",A1362&lt;=45,"31-45",A1362&lt;=60,"46-60",TRUE, "60+")</f>
        <v>31-45</v>
      </c>
      <c r="AL1362" t="str" cm="1">
        <f t="array" ref="AL1362">_xlfn.IFS(F1362&lt;=10,"0-10",F1362&lt;=20,"11-20",TRUE,"20+")</f>
        <v>0-10</v>
      </c>
      <c r="AM1362" t="str" cm="1">
        <f t="array" ref="AM1362">_xlfn.IFS(S1362&lt;=5000,"0-5k",S1362&lt;=10000,"5k-10k",S1362&lt;=15000,"10k-15k",TRUE,"15k+")</f>
        <v>0-5k</v>
      </c>
      <c r="AN1362" t="str" cm="1">
        <f t="array" ref="AN1362">_xlfn.IFS(AF1362&lt;=10,"0-10",AF1362&lt;=20,"10-20",AF1362&lt;=30,"20-30",TRUE,"30+")</f>
        <v>0-10</v>
      </c>
      <c r="AO1362" t="str" cm="1">
        <f t="array" ref="AO1362">_xlfn.IFS(Y1362=1,"Poor",Y1362=2,"Average",Y1362=3,"Good",TRUE,"Excellent")</f>
        <v>Good</v>
      </c>
      <c r="AP1362" t="str" cm="1">
        <f t="array" ref="AP1362">_xlfn.IFS(Q1362=1,"Low",Q1362=2,"Medium",Q1362=3,"High",TRUE,"Very High")</f>
        <v>High</v>
      </c>
    </row>
    <row r="1363" spans="1:42" x14ac:dyDescent="0.25">
      <c r="A1363">
        <v>26</v>
      </c>
      <c r="B1363" t="s">
        <v>42</v>
      </c>
      <c r="C1363" t="s">
        <v>91</v>
      </c>
      <c r="D1363">
        <v>1096</v>
      </c>
      <c r="E1363" t="s">
        <v>43</v>
      </c>
      <c r="F1363">
        <v>6</v>
      </c>
      <c r="G1363">
        <v>3</v>
      </c>
      <c r="H1363" t="s">
        <v>47</v>
      </c>
      <c r="I1363">
        <v>1</v>
      </c>
      <c r="J1363">
        <v>1918</v>
      </c>
      <c r="K1363">
        <v>3</v>
      </c>
      <c r="L1363" t="s">
        <v>44</v>
      </c>
      <c r="M1363">
        <v>61</v>
      </c>
      <c r="N1363">
        <v>4</v>
      </c>
      <c r="O1363">
        <v>1</v>
      </c>
      <c r="P1363" t="s">
        <v>48</v>
      </c>
      <c r="Q1363">
        <v>4</v>
      </c>
      <c r="R1363" t="s">
        <v>46</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c r="AJ1363">
        <f t="shared" si="21"/>
        <v>0</v>
      </c>
      <c r="AK1363" t="str" cm="1">
        <f t="array" ref="AK1363">_xlfn.IFS(A1363&lt;=30,"18-30",A1363&lt;=45,"31-45",A1363&lt;=60,"46-60",TRUE, "60+")</f>
        <v>18-30</v>
      </c>
      <c r="AL1363" t="str" cm="1">
        <f t="array" ref="AL1363">_xlfn.IFS(F1363&lt;=10,"0-10",F1363&lt;=20,"11-20",TRUE,"20+")</f>
        <v>0-10</v>
      </c>
      <c r="AM1363" t="str" cm="1">
        <f t="array" ref="AM1363">_xlfn.IFS(S1363&lt;=5000,"0-5k",S1363&lt;=10000,"5k-10k",S1363&lt;=15000,"10k-15k",TRUE,"15k+")</f>
        <v>0-5k</v>
      </c>
      <c r="AN1363" t="str" cm="1">
        <f t="array" ref="AN1363">_xlfn.IFS(AF1363&lt;=10,"0-10",AF1363&lt;=20,"10-20",AF1363&lt;=30,"20-30",TRUE,"30+")</f>
        <v>0-10</v>
      </c>
      <c r="AO1363" t="str" cm="1">
        <f t="array" ref="AO1363">_xlfn.IFS(Y1363=1,"Poor",Y1363=2,"Average",Y1363=3,"Good",TRUE,"Excellent")</f>
        <v>Good</v>
      </c>
      <c r="AP1363" t="str" cm="1">
        <f t="array" ref="AP1363">_xlfn.IFS(Q1363=1,"Low",Q1363=2,"Medium",Q1363=3,"High",TRUE,"Very High")</f>
        <v>Very High</v>
      </c>
    </row>
    <row r="1364" spans="1:42" x14ac:dyDescent="0.25">
      <c r="A1364">
        <v>45</v>
      </c>
      <c r="B1364" t="s">
        <v>42</v>
      </c>
      <c r="C1364" t="s">
        <v>91</v>
      </c>
      <c r="D1364">
        <v>1297</v>
      </c>
      <c r="E1364" t="s">
        <v>43</v>
      </c>
      <c r="F1364">
        <v>1</v>
      </c>
      <c r="G1364">
        <v>4</v>
      </c>
      <c r="H1364" t="s">
        <v>49</v>
      </c>
      <c r="I1364">
        <v>1</v>
      </c>
      <c r="J1364">
        <v>1922</v>
      </c>
      <c r="K1364">
        <v>2</v>
      </c>
      <c r="L1364" t="s">
        <v>44</v>
      </c>
      <c r="M1364">
        <v>44</v>
      </c>
      <c r="N1364">
        <v>3</v>
      </c>
      <c r="O1364">
        <v>2</v>
      </c>
      <c r="P1364" t="s">
        <v>52</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c r="AJ1364">
        <f t="shared" si="21"/>
        <v>0</v>
      </c>
      <c r="AK1364" t="str" cm="1">
        <f t="array" ref="AK1364">_xlfn.IFS(A1364&lt;=30,"18-30",A1364&lt;=45,"31-45",A1364&lt;=60,"46-60",TRUE, "60+")</f>
        <v>31-45</v>
      </c>
      <c r="AL1364" t="str" cm="1">
        <f t="array" ref="AL1364">_xlfn.IFS(F1364&lt;=10,"0-10",F1364&lt;=20,"11-20",TRUE,"20+")</f>
        <v>0-10</v>
      </c>
      <c r="AM1364" t="str" cm="1">
        <f t="array" ref="AM1364">_xlfn.IFS(S1364&lt;=5000,"0-5k",S1364&lt;=10000,"5k-10k",S1364&lt;=15000,"10k-15k",TRUE,"15k+")</f>
        <v>5k-10k</v>
      </c>
      <c r="AN1364" t="str" cm="1">
        <f t="array" ref="AN1364">_xlfn.IFS(AF1364&lt;=10,"0-10",AF1364&lt;=20,"10-20",AF1364&lt;=30,"20-30",TRUE,"30+")</f>
        <v>0-10</v>
      </c>
      <c r="AO1364" t="str" cm="1">
        <f t="array" ref="AO1364">_xlfn.IFS(Y1364=1,"Poor",Y1364=2,"Average",Y1364=3,"Good",TRUE,"Excellent")</f>
        <v>Good</v>
      </c>
      <c r="AP1364" t="str" cm="1">
        <f t="array" ref="AP1364">_xlfn.IFS(Q1364=1,"Low",Q1364=2,"Medium",Q1364=3,"High",TRUE,"Very High")</f>
        <v>High</v>
      </c>
    </row>
    <row r="1365" spans="1:42" x14ac:dyDescent="0.25">
      <c r="A1365">
        <v>33</v>
      </c>
      <c r="B1365" t="s">
        <v>42</v>
      </c>
      <c r="C1365" t="s">
        <v>90</v>
      </c>
      <c r="D1365">
        <v>217</v>
      </c>
      <c r="E1365" t="s">
        <v>36</v>
      </c>
      <c r="F1365">
        <v>10</v>
      </c>
      <c r="G1365">
        <v>4</v>
      </c>
      <c r="H1365" t="s">
        <v>57</v>
      </c>
      <c r="I1365">
        <v>1</v>
      </c>
      <c r="J1365">
        <v>1924</v>
      </c>
      <c r="K1365">
        <v>2</v>
      </c>
      <c r="L1365" t="s">
        <v>44</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c r="AJ1365">
        <f t="shared" si="21"/>
        <v>0</v>
      </c>
      <c r="AK1365" t="str" cm="1">
        <f t="array" ref="AK1365">_xlfn.IFS(A1365&lt;=30,"18-30",A1365&lt;=45,"31-45",A1365&lt;=60,"46-60",TRUE, "60+")</f>
        <v>31-45</v>
      </c>
      <c r="AL1365" t="str" cm="1">
        <f t="array" ref="AL1365">_xlfn.IFS(F1365&lt;=10,"0-10",F1365&lt;=20,"11-20",TRUE,"20+")</f>
        <v>0-10</v>
      </c>
      <c r="AM1365" t="str" cm="1">
        <f t="array" ref="AM1365">_xlfn.IFS(S1365&lt;=5000,"0-5k",S1365&lt;=10000,"5k-10k",S1365&lt;=15000,"10k-15k",TRUE,"15k+")</f>
        <v>5k-10k</v>
      </c>
      <c r="AN1365" t="str" cm="1">
        <f t="array" ref="AN1365">_xlfn.IFS(AF1365&lt;=10,"0-10",AF1365&lt;=20,"10-20",AF1365&lt;=30,"20-30",TRUE,"30+")</f>
        <v>0-10</v>
      </c>
      <c r="AO1365" t="str" cm="1">
        <f t="array" ref="AO1365">_xlfn.IFS(Y1365=1,"Poor",Y1365=2,"Average",Y1365=3,"Good",TRUE,"Excellent")</f>
        <v>Good</v>
      </c>
      <c r="AP1365" t="str" cm="1">
        <f t="array" ref="AP1365">_xlfn.IFS(Q1365=1,"Low",Q1365=2,"Medium",Q1365=3,"High",TRUE,"Very High")</f>
        <v>High</v>
      </c>
    </row>
    <row r="1366" spans="1:42" x14ac:dyDescent="0.25">
      <c r="A1366">
        <v>28</v>
      </c>
      <c r="B1366" t="s">
        <v>42</v>
      </c>
      <c r="C1366" t="s">
        <v>91</v>
      </c>
      <c r="D1366">
        <v>783</v>
      </c>
      <c r="E1366" t="s">
        <v>36</v>
      </c>
      <c r="F1366">
        <v>1</v>
      </c>
      <c r="G1366">
        <v>2</v>
      </c>
      <c r="H1366" t="s">
        <v>37</v>
      </c>
      <c r="I1366">
        <v>1</v>
      </c>
      <c r="J1366">
        <v>1927</v>
      </c>
      <c r="K1366">
        <v>3</v>
      </c>
      <c r="L1366" t="s">
        <v>44</v>
      </c>
      <c r="M1366">
        <v>42</v>
      </c>
      <c r="N1366">
        <v>2</v>
      </c>
      <c r="O1366">
        <v>2</v>
      </c>
      <c r="P1366" t="s">
        <v>39</v>
      </c>
      <c r="Q1366">
        <v>4</v>
      </c>
      <c r="R1366" t="s">
        <v>46</v>
      </c>
      <c r="S1366">
        <v>6834</v>
      </c>
      <c r="T1366">
        <v>19255</v>
      </c>
      <c r="U1366">
        <v>1</v>
      </c>
      <c r="V1366" t="s">
        <v>41</v>
      </c>
      <c r="W1366" t="s">
        <v>35</v>
      </c>
      <c r="X1366">
        <v>12</v>
      </c>
      <c r="Y1366">
        <v>3</v>
      </c>
      <c r="Z1366">
        <v>3</v>
      </c>
      <c r="AA1366">
        <v>80</v>
      </c>
      <c r="AB1366">
        <v>1</v>
      </c>
      <c r="AC1366">
        <v>7</v>
      </c>
      <c r="AD1366">
        <v>2</v>
      </c>
      <c r="AE1366">
        <v>3</v>
      </c>
      <c r="AF1366">
        <v>7</v>
      </c>
      <c r="AG1366">
        <v>7</v>
      </c>
      <c r="AH1366">
        <v>0</v>
      </c>
      <c r="AI1366">
        <v>7</v>
      </c>
      <c r="AJ1366">
        <f t="shared" si="21"/>
        <v>0</v>
      </c>
      <c r="AK1366" t="str" cm="1">
        <f t="array" ref="AK1366">_xlfn.IFS(A1366&lt;=30,"18-30",A1366&lt;=45,"31-45",A1366&lt;=60,"46-60",TRUE, "60+")</f>
        <v>18-30</v>
      </c>
      <c r="AL1366" t="str" cm="1">
        <f t="array" ref="AL1366">_xlfn.IFS(F1366&lt;=10,"0-10",F1366&lt;=20,"11-20",TRUE,"20+")</f>
        <v>0-10</v>
      </c>
      <c r="AM1366" t="str" cm="1">
        <f t="array" ref="AM1366">_xlfn.IFS(S1366&lt;=5000,"0-5k",S1366&lt;=10000,"5k-10k",S1366&lt;=15000,"10k-15k",TRUE,"15k+")</f>
        <v>5k-10k</v>
      </c>
      <c r="AN1366" t="str" cm="1">
        <f t="array" ref="AN1366">_xlfn.IFS(AF1366&lt;=10,"0-10",AF1366&lt;=20,"10-20",AF1366&lt;=30,"20-30",TRUE,"30+")</f>
        <v>0-10</v>
      </c>
      <c r="AO1366" t="str" cm="1">
        <f t="array" ref="AO1366">_xlfn.IFS(Y1366=1,"Poor",Y1366=2,"Average",Y1366=3,"Good",TRUE,"Excellent")</f>
        <v>Good</v>
      </c>
      <c r="AP1366" t="str" cm="1">
        <f t="array" ref="AP1366">_xlfn.IFS(Q1366=1,"Low",Q1366=2,"Medium",Q1366=3,"High",TRUE,"Very High")</f>
        <v>Very High</v>
      </c>
    </row>
    <row r="1367" spans="1:42" x14ac:dyDescent="0.25">
      <c r="A1367">
        <v>29</v>
      </c>
      <c r="B1367" t="s">
        <v>35</v>
      </c>
      <c r="C1367" t="s">
        <v>91</v>
      </c>
      <c r="D1367">
        <v>746</v>
      </c>
      <c r="E1367" t="s">
        <v>36</v>
      </c>
      <c r="F1367">
        <v>24</v>
      </c>
      <c r="G1367">
        <v>3</v>
      </c>
      <c r="H1367" t="s">
        <v>58</v>
      </c>
      <c r="I1367">
        <v>1</v>
      </c>
      <c r="J1367">
        <v>1928</v>
      </c>
      <c r="K1367">
        <v>3</v>
      </c>
      <c r="L1367" t="s">
        <v>44</v>
      </c>
      <c r="M1367">
        <v>45</v>
      </c>
      <c r="N1367">
        <v>4</v>
      </c>
      <c r="O1367">
        <v>1</v>
      </c>
      <c r="P1367" t="s">
        <v>55</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c r="AJ1367">
        <f t="shared" si="21"/>
        <v>1</v>
      </c>
      <c r="AK1367" t="str" cm="1">
        <f t="array" ref="AK1367">_xlfn.IFS(A1367&lt;=30,"18-30",A1367&lt;=45,"31-45",A1367&lt;=60,"46-60",TRUE, "60+")</f>
        <v>18-30</v>
      </c>
      <c r="AL1367" t="str" cm="1">
        <f t="array" ref="AL1367">_xlfn.IFS(F1367&lt;=10,"0-10",F1367&lt;=20,"11-20",TRUE,"20+")</f>
        <v>20+</v>
      </c>
      <c r="AM1367" t="str" cm="1">
        <f t="array" ref="AM1367">_xlfn.IFS(S1367&lt;=5000,"0-5k",S1367&lt;=10000,"5k-10k",S1367&lt;=15000,"10k-15k",TRUE,"15k+")</f>
        <v>0-5k</v>
      </c>
      <c r="AN1367" t="str" cm="1">
        <f t="array" ref="AN1367">_xlfn.IFS(AF1367&lt;=10,"0-10",AF1367&lt;=20,"10-20",AF1367&lt;=30,"20-30",TRUE,"30+")</f>
        <v>0-10</v>
      </c>
      <c r="AO1367" t="str" cm="1">
        <f t="array" ref="AO1367">_xlfn.IFS(Y1367=1,"Poor",Y1367=2,"Average",Y1367=3,"Good",TRUE,"Excellent")</f>
        <v>Good</v>
      </c>
      <c r="AP1367" t="str" cm="1">
        <f t="array" ref="AP1367">_xlfn.IFS(Q1367=1,"Low",Q1367=2,"Medium",Q1367=3,"High",TRUE,"Very High")</f>
        <v>Low</v>
      </c>
    </row>
    <row r="1368" spans="1:42" x14ac:dyDescent="0.25">
      <c r="A1368">
        <v>39</v>
      </c>
      <c r="B1368" t="s">
        <v>42</v>
      </c>
      <c r="C1368" t="s">
        <v>53</v>
      </c>
      <c r="D1368">
        <v>1251</v>
      </c>
      <c r="E1368" t="s">
        <v>36</v>
      </c>
      <c r="F1368">
        <v>21</v>
      </c>
      <c r="G1368">
        <v>4</v>
      </c>
      <c r="H1368" t="s">
        <v>37</v>
      </c>
      <c r="I1368">
        <v>1</v>
      </c>
      <c r="J1368">
        <v>1929</v>
      </c>
      <c r="K1368">
        <v>1</v>
      </c>
      <c r="L1368" t="s">
        <v>38</v>
      </c>
      <c r="M1368">
        <v>32</v>
      </c>
      <c r="N1368">
        <v>1</v>
      </c>
      <c r="O1368">
        <v>2</v>
      </c>
      <c r="P1368" t="s">
        <v>39</v>
      </c>
      <c r="Q1368">
        <v>3</v>
      </c>
      <c r="R1368" t="s">
        <v>46</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c r="AJ1368">
        <f t="shared" si="21"/>
        <v>0</v>
      </c>
      <c r="AK1368" t="str" cm="1">
        <f t="array" ref="AK1368">_xlfn.IFS(A1368&lt;=30,"18-30",A1368&lt;=45,"31-45",A1368&lt;=60,"46-60",TRUE, "60+")</f>
        <v>31-45</v>
      </c>
      <c r="AL1368" t="str" cm="1">
        <f t="array" ref="AL1368">_xlfn.IFS(F1368&lt;=10,"0-10",F1368&lt;=20,"11-20",TRUE,"20+")</f>
        <v>20+</v>
      </c>
      <c r="AM1368" t="str" cm="1">
        <f t="array" ref="AM1368">_xlfn.IFS(S1368&lt;=5000,"0-5k",S1368&lt;=10000,"5k-10k",S1368&lt;=15000,"10k-15k",TRUE,"15k+")</f>
        <v>5k-10k</v>
      </c>
      <c r="AN1368" t="str" cm="1">
        <f t="array" ref="AN1368">_xlfn.IFS(AF1368&lt;=10,"0-10",AF1368&lt;=20,"10-20",AF1368&lt;=30,"20-30",TRUE,"30+")</f>
        <v>0-10</v>
      </c>
      <c r="AO1368" t="str" cm="1">
        <f t="array" ref="AO1368">_xlfn.IFS(Y1368=1,"Poor",Y1368=2,"Average",Y1368=3,"Good",TRUE,"Excellent")</f>
        <v>Good</v>
      </c>
      <c r="AP1368" t="str" cm="1">
        <f t="array" ref="AP1368">_xlfn.IFS(Q1368=1,"Low",Q1368=2,"Medium",Q1368=3,"High",TRUE,"Very High")</f>
        <v>High</v>
      </c>
    </row>
    <row r="1369" spans="1:42" x14ac:dyDescent="0.25">
      <c r="A1369">
        <v>27</v>
      </c>
      <c r="B1369" t="s">
        <v>42</v>
      </c>
      <c r="C1369" t="s">
        <v>90</v>
      </c>
      <c r="D1369">
        <v>1354</v>
      </c>
      <c r="E1369" t="s">
        <v>43</v>
      </c>
      <c r="F1369">
        <v>2</v>
      </c>
      <c r="G1369">
        <v>4</v>
      </c>
      <c r="H1369" t="s">
        <v>58</v>
      </c>
      <c r="I1369">
        <v>1</v>
      </c>
      <c r="J1369">
        <v>1931</v>
      </c>
      <c r="K1369">
        <v>2</v>
      </c>
      <c r="L1369" t="s">
        <v>44</v>
      </c>
      <c r="M1369">
        <v>41</v>
      </c>
      <c r="N1369">
        <v>3</v>
      </c>
      <c r="O1369">
        <v>1</v>
      </c>
      <c r="P1369" t="s">
        <v>45</v>
      </c>
      <c r="Q1369">
        <v>2</v>
      </c>
      <c r="R1369" t="s">
        <v>46</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c r="AJ1369">
        <f t="shared" si="21"/>
        <v>0</v>
      </c>
      <c r="AK1369" t="str" cm="1">
        <f t="array" ref="AK1369">_xlfn.IFS(A1369&lt;=30,"18-30",A1369&lt;=45,"31-45",A1369&lt;=60,"46-60",TRUE, "60+")</f>
        <v>18-30</v>
      </c>
      <c r="AL1369" t="str" cm="1">
        <f t="array" ref="AL1369">_xlfn.IFS(F1369&lt;=10,"0-10",F1369&lt;=20,"11-20",TRUE,"20+")</f>
        <v>0-10</v>
      </c>
      <c r="AM1369" t="str" cm="1">
        <f t="array" ref="AM1369">_xlfn.IFS(S1369&lt;=5000,"0-5k",S1369&lt;=10000,"5k-10k",S1369&lt;=15000,"10k-15k",TRUE,"15k+")</f>
        <v>0-5k</v>
      </c>
      <c r="AN1369" t="str" cm="1">
        <f t="array" ref="AN1369">_xlfn.IFS(AF1369&lt;=10,"0-10",AF1369&lt;=20,"10-20",AF1369&lt;=30,"20-30",TRUE,"30+")</f>
        <v>0-10</v>
      </c>
      <c r="AO1369" t="str" cm="1">
        <f t="array" ref="AO1369">_xlfn.IFS(Y1369=1,"Poor",Y1369=2,"Average",Y1369=3,"Good",TRUE,"Excellent")</f>
        <v>Good</v>
      </c>
      <c r="AP1369" t="str" cm="1">
        <f t="array" ref="AP1369">_xlfn.IFS(Q1369=1,"Low",Q1369=2,"Medium",Q1369=3,"High",TRUE,"Very High")</f>
        <v>Medium</v>
      </c>
    </row>
    <row r="1370" spans="1:42" x14ac:dyDescent="0.25">
      <c r="A1370">
        <v>34</v>
      </c>
      <c r="B1370" t="s">
        <v>42</v>
      </c>
      <c r="C1370" t="s">
        <v>91</v>
      </c>
      <c r="D1370">
        <v>735</v>
      </c>
      <c r="E1370" t="s">
        <v>43</v>
      </c>
      <c r="F1370">
        <v>22</v>
      </c>
      <c r="G1370">
        <v>4</v>
      </c>
      <c r="H1370" t="s">
        <v>47</v>
      </c>
      <c r="I1370">
        <v>1</v>
      </c>
      <c r="J1370">
        <v>1932</v>
      </c>
      <c r="K1370">
        <v>3</v>
      </c>
      <c r="L1370" t="s">
        <v>44</v>
      </c>
      <c r="M1370">
        <v>86</v>
      </c>
      <c r="N1370">
        <v>2</v>
      </c>
      <c r="O1370">
        <v>2</v>
      </c>
      <c r="P1370" t="s">
        <v>45</v>
      </c>
      <c r="Q1370">
        <v>4</v>
      </c>
      <c r="R1370" t="s">
        <v>46</v>
      </c>
      <c r="S1370">
        <v>5747</v>
      </c>
      <c r="T1370">
        <v>26496</v>
      </c>
      <c r="U1370">
        <v>1</v>
      </c>
      <c r="V1370" t="s">
        <v>41</v>
      </c>
      <c r="W1370" t="s">
        <v>35</v>
      </c>
      <c r="X1370">
        <v>15</v>
      </c>
      <c r="Y1370">
        <v>3</v>
      </c>
      <c r="Z1370">
        <v>2</v>
      </c>
      <c r="AA1370">
        <v>80</v>
      </c>
      <c r="AB1370">
        <v>0</v>
      </c>
      <c r="AC1370">
        <v>16</v>
      </c>
      <c r="AD1370">
        <v>3</v>
      </c>
      <c r="AE1370">
        <v>3</v>
      </c>
      <c r="AF1370">
        <v>15</v>
      </c>
      <c r="AG1370">
        <v>10</v>
      </c>
      <c r="AH1370">
        <v>6</v>
      </c>
      <c r="AI1370">
        <v>11</v>
      </c>
      <c r="AJ1370">
        <f t="shared" si="21"/>
        <v>0</v>
      </c>
      <c r="AK1370" t="str" cm="1">
        <f t="array" ref="AK1370">_xlfn.IFS(A1370&lt;=30,"18-30",A1370&lt;=45,"31-45",A1370&lt;=60,"46-60",TRUE, "60+")</f>
        <v>31-45</v>
      </c>
      <c r="AL1370" t="str" cm="1">
        <f t="array" ref="AL1370">_xlfn.IFS(F1370&lt;=10,"0-10",F1370&lt;=20,"11-20",TRUE,"20+")</f>
        <v>20+</v>
      </c>
      <c r="AM1370" t="str" cm="1">
        <f t="array" ref="AM1370">_xlfn.IFS(S1370&lt;=5000,"0-5k",S1370&lt;=10000,"5k-10k",S1370&lt;=15000,"10k-15k",TRUE,"15k+")</f>
        <v>5k-10k</v>
      </c>
      <c r="AN1370" t="str" cm="1">
        <f t="array" ref="AN1370">_xlfn.IFS(AF1370&lt;=10,"0-10",AF1370&lt;=20,"10-20",AF1370&lt;=30,"20-30",TRUE,"30+")</f>
        <v>10-20</v>
      </c>
      <c r="AO1370" t="str" cm="1">
        <f t="array" ref="AO1370">_xlfn.IFS(Y1370=1,"Poor",Y1370=2,"Average",Y1370=3,"Good",TRUE,"Excellent")</f>
        <v>Good</v>
      </c>
      <c r="AP1370" t="str" cm="1">
        <f t="array" ref="AP1370">_xlfn.IFS(Q1370=1,"Low",Q1370=2,"Medium",Q1370=3,"High",TRUE,"Very High")</f>
        <v>Very High</v>
      </c>
    </row>
    <row r="1371" spans="1:42" x14ac:dyDescent="0.25">
      <c r="A1371">
        <v>28</v>
      </c>
      <c r="B1371" t="s">
        <v>35</v>
      </c>
      <c r="C1371" t="s">
        <v>90</v>
      </c>
      <c r="D1371">
        <v>1475</v>
      </c>
      <c r="E1371" t="s">
        <v>36</v>
      </c>
      <c r="F1371">
        <v>13</v>
      </c>
      <c r="G1371">
        <v>2</v>
      </c>
      <c r="H1371" t="s">
        <v>57</v>
      </c>
      <c r="I1371">
        <v>1</v>
      </c>
      <c r="J1371">
        <v>1933</v>
      </c>
      <c r="K1371">
        <v>4</v>
      </c>
      <c r="L1371" t="s">
        <v>38</v>
      </c>
      <c r="M1371">
        <v>84</v>
      </c>
      <c r="N1371">
        <v>3</v>
      </c>
      <c r="O1371">
        <v>2</v>
      </c>
      <c r="P1371" t="s">
        <v>39</v>
      </c>
      <c r="Q1371">
        <v>3</v>
      </c>
      <c r="R1371" t="s">
        <v>40</v>
      </c>
      <c r="S1371">
        <v>9854</v>
      </c>
      <c r="T1371">
        <v>23352</v>
      </c>
      <c r="U1371">
        <v>3</v>
      </c>
      <c r="V1371" t="s">
        <v>41</v>
      </c>
      <c r="W1371" t="s">
        <v>35</v>
      </c>
      <c r="X1371">
        <v>11</v>
      </c>
      <c r="Y1371">
        <v>3</v>
      </c>
      <c r="Z1371">
        <v>4</v>
      </c>
      <c r="AA1371">
        <v>80</v>
      </c>
      <c r="AB1371">
        <v>0</v>
      </c>
      <c r="AC1371">
        <v>6</v>
      </c>
      <c r="AD1371">
        <v>0</v>
      </c>
      <c r="AE1371">
        <v>3</v>
      </c>
      <c r="AF1371">
        <v>2</v>
      </c>
      <c r="AG1371">
        <v>0</v>
      </c>
      <c r="AH1371">
        <v>2</v>
      </c>
      <c r="AI1371">
        <v>2</v>
      </c>
      <c r="AJ1371">
        <f t="shared" si="21"/>
        <v>1</v>
      </c>
      <c r="AK1371" t="str" cm="1">
        <f t="array" ref="AK1371">_xlfn.IFS(A1371&lt;=30,"18-30",A1371&lt;=45,"31-45",A1371&lt;=60,"46-60",TRUE, "60+")</f>
        <v>18-30</v>
      </c>
      <c r="AL1371" t="str" cm="1">
        <f t="array" ref="AL1371">_xlfn.IFS(F1371&lt;=10,"0-10",F1371&lt;=20,"11-20",TRUE,"20+")</f>
        <v>11-20</v>
      </c>
      <c r="AM1371" t="str" cm="1">
        <f t="array" ref="AM1371">_xlfn.IFS(S1371&lt;=5000,"0-5k",S1371&lt;=10000,"5k-10k",S1371&lt;=15000,"10k-15k",TRUE,"15k+")</f>
        <v>5k-10k</v>
      </c>
      <c r="AN1371" t="str" cm="1">
        <f t="array" ref="AN1371">_xlfn.IFS(AF1371&lt;=10,"0-10",AF1371&lt;=20,"10-20",AF1371&lt;=30,"20-30",TRUE,"30+")</f>
        <v>0-10</v>
      </c>
      <c r="AO1371" t="str" cm="1">
        <f t="array" ref="AO1371">_xlfn.IFS(Y1371=1,"Poor",Y1371=2,"Average",Y1371=3,"Good",TRUE,"Excellent")</f>
        <v>Good</v>
      </c>
      <c r="AP1371" t="str" cm="1">
        <f t="array" ref="AP1371">_xlfn.IFS(Q1371=1,"Low",Q1371=2,"Medium",Q1371=3,"High",TRUE,"Very High")</f>
        <v>High</v>
      </c>
    </row>
    <row r="1372" spans="1:42" x14ac:dyDescent="0.25">
      <c r="A1372">
        <v>47</v>
      </c>
      <c r="B1372" t="s">
        <v>42</v>
      </c>
      <c r="C1372" t="s">
        <v>53</v>
      </c>
      <c r="D1372">
        <v>1169</v>
      </c>
      <c r="E1372" t="s">
        <v>43</v>
      </c>
      <c r="F1372">
        <v>14</v>
      </c>
      <c r="G1372">
        <v>4</v>
      </c>
      <c r="H1372" t="s">
        <v>58</v>
      </c>
      <c r="I1372">
        <v>1</v>
      </c>
      <c r="J1372">
        <v>1934</v>
      </c>
      <c r="K1372">
        <v>3</v>
      </c>
      <c r="L1372" t="s">
        <v>44</v>
      </c>
      <c r="M1372">
        <v>64</v>
      </c>
      <c r="N1372">
        <v>3</v>
      </c>
      <c r="O1372">
        <v>2</v>
      </c>
      <c r="P1372" t="s">
        <v>45</v>
      </c>
      <c r="Q1372">
        <v>2</v>
      </c>
      <c r="R1372" t="s">
        <v>46</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c r="AJ1372">
        <f t="shared" si="21"/>
        <v>0</v>
      </c>
      <c r="AK1372" t="str" cm="1">
        <f t="array" ref="AK1372">_xlfn.IFS(A1372&lt;=30,"18-30",A1372&lt;=45,"31-45",A1372&lt;=60,"46-60",TRUE, "60+")</f>
        <v>46-60</v>
      </c>
      <c r="AL1372" t="str" cm="1">
        <f t="array" ref="AL1372">_xlfn.IFS(F1372&lt;=10,"0-10",F1372&lt;=20,"11-20",TRUE,"20+")</f>
        <v>11-20</v>
      </c>
      <c r="AM1372" t="str" cm="1">
        <f t="array" ref="AM1372">_xlfn.IFS(S1372&lt;=5000,"0-5k",S1372&lt;=10000,"5k-10k",S1372&lt;=15000,"10k-15k",TRUE,"15k+")</f>
        <v>5k-10k</v>
      </c>
      <c r="AN1372" t="str" cm="1">
        <f t="array" ref="AN1372">_xlfn.IFS(AF1372&lt;=10,"0-10",AF1372&lt;=20,"10-20",AF1372&lt;=30,"20-30",TRUE,"30+")</f>
        <v>0-10</v>
      </c>
      <c r="AO1372" t="str" cm="1">
        <f t="array" ref="AO1372">_xlfn.IFS(Y1372=1,"Poor",Y1372=2,"Average",Y1372=3,"Good",TRUE,"Excellent")</f>
        <v>Good</v>
      </c>
      <c r="AP1372" t="str" cm="1">
        <f t="array" ref="AP1372">_xlfn.IFS(Q1372=1,"Low",Q1372=2,"Medium",Q1372=3,"High",TRUE,"Very High")</f>
        <v>Medium</v>
      </c>
    </row>
    <row r="1373" spans="1:42" x14ac:dyDescent="0.25">
      <c r="A1373">
        <v>56</v>
      </c>
      <c r="B1373" t="s">
        <v>42</v>
      </c>
      <c r="C1373" t="s">
        <v>90</v>
      </c>
      <c r="D1373">
        <v>1443</v>
      </c>
      <c r="E1373" t="s">
        <v>36</v>
      </c>
      <c r="F1373">
        <v>11</v>
      </c>
      <c r="G1373">
        <v>5</v>
      </c>
      <c r="H1373" t="s">
        <v>57</v>
      </c>
      <c r="I1373">
        <v>1</v>
      </c>
      <c r="J1373">
        <v>1935</v>
      </c>
      <c r="K1373">
        <v>4</v>
      </c>
      <c r="L1373" t="s">
        <v>38</v>
      </c>
      <c r="M1373">
        <v>89</v>
      </c>
      <c r="N1373">
        <v>2</v>
      </c>
      <c r="O1373">
        <v>2</v>
      </c>
      <c r="P1373" t="s">
        <v>39</v>
      </c>
      <c r="Q1373">
        <v>1</v>
      </c>
      <c r="R1373" t="s">
        <v>46</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c r="AJ1373">
        <f t="shared" si="21"/>
        <v>0</v>
      </c>
      <c r="AK1373" t="str" cm="1">
        <f t="array" ref="AK1373">_xlfn.IFS(A1373&lt;=30,"18-30",A1373&lt;=45,"31-45",A1373&lt;=60,"46-60",TRUE, "60+")</f>
        <v>46-60</v>
      </c>
      <c r="AL1373" t="str" cm="1">
        <f t="array" ref="AL1373">_xlfn.IFS(F1373&lt;=10,"0-10",F1373&lt;=20,"11-20",TRUE,"20+")</f>
        <v>11-20</v>
      </c>
      <c r="AM1373" t="str" cm="1">
        <f t="array" ref="AM1373">_xlfn.IFS(S1373&lt;=5000,"0-5k",S1373&lt;=10000,"5k-10k",S1373&lt;=15000,"10k-15k",TRUE,"15k+")</f>
        <v>5k-10k</v>
      </c>
      <c r="AN1373" t="str" cm="1">
        <f t="array" ref="AN1373">_xlfn.IFS(AF1373&lt;=10,"0-10",AF1373&lt;=20,"10-20",AF1373&lt;=30,"20-30",TRUE,"30+")</f>
        <v>0-10</v>
      </c>
      <c r="AO1373" t="str" cm="1">
        <f t="array" ref="AO1373">_xlfn.IFS(Y1373=1,"Poor",Y1373=2,"Average",Y1373=3,"Good",TRUE,"Excellent")</f>
        <v>Good</v>
      </c>
      <c r="AP1373" t="str" cm="1">
        <f t="array" ref="AP1373">_xlfn.IFS(Q1373=1,"Low",Q1373=2,"Medium",Q1373=3,"High",TRUE,"Very High")</f>
        <v>Low</v>
      </c>
    </row>
    <row r="1374" spans="1:42" x14ac:dyDescent="0.25">
      <c r="A1374">
        <v>39</v>
      </c>
      <c r="B1374" t="s">
        <v>42</v>
      </c>
      <c r="C1374" t="s">
        <v>90</v>
      </c>
      <c r="D1374">
        <v>867</v>
      </c>
      <c r="E1374" t="s">
        <v>43</v>
      </c>
      <c r="F1374">
        <v>9</v>
      </c>
      <c r="G1374">
        <v>2</v>
      </c>
      <c r="H1374" t="s">
        <v>49</v>
      </c>
      <c r="I1374">
        <v>1</v>
      </c>
      <c r="J1374">
        <v>1936</v>
      </c>
      <c r="K1374">
        <v>1</v>
      </c>
      <c r="L1374" t="s">
        <v>44</v>
      </c>
      <c r="M1374">
        <v>87</v>
      </c>
      <c r="N1374">
        <v>3</v>
      </c>
      <c r="O1374">
        <v>2</v>
      </c>
      <c r="P1374" t="s">
        <v>51</v>
      </c>
      <c r="Q1374">
        <v>1</v>
      </c>
      <c r="R1374" t="s">
        <v>46</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c r="AJ1374">
        <f t="shared" si="21"/>
        <v>0</v>
      </c>
      <c r="AK1374" t="str" cm="1">
        <f t="array" ref="AK1374">_xlfn.IFS(A1374&lt;=30,"18-30",A1374&lt;=45,"31-45",A1374&lt;=60,"46-60",TRUE, "60+")</f>
        <v>31-45</v>
      </c>
      <c r="AL1374" t="str" cm="1">
        <f t="array" ref="AL1374">_xlfn.IFS(F1374&lt;=10,"0-10",F1374&lt;=20,"11-20",TRUE,"20+")</f>
        <v>0-10</v>
      </c>
      <c r="AM1374" t="str" cm="1">
        <f t="array" ref="AM1374">_xlfn.IFS(S1374&lt;=5000,"0-5k",S1374&lt;=10000,"5k-10k",S1374&lt;=15000,"10k-15k",TRUE,"15k+")</f>
        <v>5k-10k</v>
      </c>
      <c r="AN1374" t="str" cm="1">
        <f t="array" ref="AN1374">_xlfn.IFS(AF1374&lt;=10,"0-10",AF1374&lt;=20,"10-20",AF1374&lt;=30,"20-30",TRUE,"30+")</f>
        <v>0-10</v>
      </c>
      <c r="AO1374" t="str" cm="1">
        <f t="array" ref="AO1374">_xlfn.IFS(Y1374=1,"Poor",Y1374=2,"Average",Y1374=3,"Good",TRUE,"Excellent")</f>
        <v>Excellent</v>
      </c>
      <c r="AP1374" t="str" cm="1">
        <f t="array" ref="AP1374">_xlfn.IFS(Q1374=1,"Low",Q1374=2,"Medium",Q1374=3,"High",TRUE,"Very High")</f>
        <v>Low</v>
      </c>
    </row>
    <row r="1375" spans="1:42" x14ac:dyDescent="0.25">
      <c r="A1375">
        <v>38</v>
      </c>
      <c r="B1375" t="s">
        <v>42</v>
      </c>
      <c r="C1375" t="s">
        <v>91</v>
      </c>
      <c r="D1375">
        <v>1394</v>
      </c>
      <c r="E1375" t="s">
        <v>43</v>
      </c>
      <c r="F1375">
        <v>8</v>
      </c>
      <c r="G1375">
        <v>3</v>
      </c>
      <c r="H1375" t="s">
        <v>49</v>
      </c>
      <c r="I1375">
        <v>1</v>
      </c>
      <c r="J1375">
        <v>1937</v>
      </c>
      <c r="K1375">
        <v>4</v>
      </c>
      <c r="L1375" t="s">
        <v>38</v>
      </c>
      <c r="M1375">
        <v>58</v>
      </c>
      <c r="N1375">
        <v>2</v>
      </c>
      <c r="O1375">
        <v>2</v>
      </c>
      <c r="P1375" t="s">
        <v>45</v>
      </c>
      <c r="Q1375">
        <v>2</v>
      </c>
      <c r="R1375" t="s">
        <v>50</v>
      </c>
      <c r="S1375">
        <v>2133</v>
      </c>
      <c r="T1375">
        <v>18115</v>
      </c>
      <c r="U1375">
        <v>1</v>
      </c>
      <c r="V1375" t="s">
        <v>41</v>
      </c>
      <c r="W1375" t="s">
        <v>35</v>
      </c>
      <c r="X1375">
        <v>16</v>
      </c>
      <c r="Y1375">
        <v>3</v>
      </c>
      <c r="Z1375">
        <v>3</v>
      </c>
      <c r="AA1375">
        <v>80</v>
      </c>
      <c r="AB1375">
        <v>1</v>
      </c>
      <c r="AC1375">
        <v>20</v>
      </c>
      <c r="AD1375">
        <v>3</v>
      </c>
      <c r="AE1375">
        <v>3</v>
      </c>
      <c r="AF1375">
        <v>20</v>
      </c>
      <c r="AG1375">
        <v>11</v>
      </c>
      <c r="AH1375">
        <v>0</v>
      </c>
      <c r="AI1375">
        <v>7</v>
      </c>
      <c r="AJ1375">
        <f t="shared" si="21"/>
        <v>0</v>
      </c>
      <c r="AK1375" t="str" cm="1">
        <f t="array" ref="AK1375">_xlfn.IFS(A1375&lt;=30,"18-30",A1375&lt;=45,"31-45",A1375&lt;=60,"46-60",TRUE, "60+")</f>
        <v>31-45</v>
      </c>
      <c r="AL1375" t="str" cm="1">
        <f t="array" ref="AL1375">_xlfn.IFS(F1375&lt;=10,"0-10",F1375&lt;=20,"11-20",TRUE,"20+")</f>
        <v>0-10</v>
      </c>
      <c r="AM1375" t="str" cm="1">
        <f t="array" ref="AM1375">_xlfn.IFS(S1375&lt;=5000,"0-5k",S1375&lt;=10000,"5k-10k",S1375&lt;=15000,"10k-15k",TRUE,"15k+")</f>
        <v>0-5k</v>
      </c>
      <c r="AN1375" t="str" cm="1">
        <f t="array" ref="AN1375">_xlfn.IFS(AF1375&lt;=10,"0-10",AF1375&lt;=20,"10-20",AF1375&lt;=30,"20-30",TRUE,"30+")</f>
        <v>10-20</v>
      </c>
      <c r="AO1375" t="str" cm="1">
        <f t="array" ref="AO1375">_xlfn.IFS(Y1375=1,"Poor",Y1375=2,"Average",Y1375=3,"Good",TRUE,"Excellent")</f>
        <v>Good</v>
      </c>
      <c r="AP1375" t="str" cm="1">
        <f t="array" ref="AP1375">_xlfn.IFS(Q1375=1,"Low",Q1375=2,"Medium",Q1375=3,"High",TRUE,"Very High")</f>
        <v>Medium</v>
      </c>
    </row>
    <row r="1376" spans="1:42" x14ac:dyDescent="0.25">
      <c r="A1376">
        <v>58</v>
      </c>
      <c r="B1376" t="s">
        <v>42</v>
      </c>
      <c r="C1376" t="s">
        <v>90</v>
      </c>
      <c r="D1376">
        <v>605</v>
      </c>
      <c r="E1376" t="s">
        <v>36</v>
      </c>
      <c r="F1376">
        <v>21</v>
      </c>
      <c r="G1376">
        <v>3</v>
      </c>
      <c r="H1376" t="s">
        <v>37</v>
      </c>
      <c r="I1376">
        <v>1</v>
      </c>
      <c r="J1376">
        <v>1938</v>
      </c>
      <c r="K1376">
        <v>4</v>
      </c>
      <c r="L1376" t="s">
        <v>38</v>
      </c>
      <c r="M1376">
        <v>72</v>
      </c>
      <c r="N1376">
        <v>3</v>
      </c>
      <c r="O1376">
        <v>4</v>
      </c>
      <c r="P1376" t="s">
        <v>54</v>
      </c>
      <c r="Q1376">
        <v>4</v>
      </c>
      <c r="R1376" t="s">
        <v>46</v>
      </c>
      <c r="S1376">
        <v>17875</v>
      </c>
      <c r="T1376">
        <v>11761</v>
      </c>
      <c r="U1376">
        <v>4</v>
      </c>
      <c r="V1376" t="s">
        <v>41</v>
      </c>
      <c r="W1376" t="s">
        <v>35</v>
      </c>
      <c r="X1376">
        <v>13</v>
      </c>
      <c r="Y1376">
        <v>3</v>
      </c>
      <c r="Z1376">
        <v>3</v>
      </c>
      <c r="AA1376">
        <v>80</v>
      </c>
      <c r="AB1376">
        <v>1</v>
      </c>
      <c r="AC1376">
        <v>29</v>
      </c>
      <c r="AD1376">
        <v>2</v>
      </c>
      <c r="AE1376">
        <v>2</v>
      </c>
      <c r="AF1376">
        <v>1</v>
      </c>
      <c r="AG1376">
        <v>0</v>
      </c>
      <c r="AH1376">
        <v>0</v>
      </c>
      <c r="AI1376">
        <v>0</v>
      </c>
      <c r="AJ1376">
        <f t="shared" si="21"/>
        <v>0</v>
      </c>
      <c r="AK1376" t="str" cm="1">
        <f t="array" ref="AK1376">_xlfn.IFS(A1376&lt;=30,"18-30",A1376&lt;=45,"31-45",A1376&lt;=60,"46-60",TRUE, "60+")</f>
        <v>46-60</v>
      </c>
      <c r="AL1376" t="str" cm="1">
        <f t="array" ref="AL1376">_xlfn.IFS(F1376&lt;=10,"0-10",F1376&lt;=20,"11-20",TRUE,"20+")</f>
        <v>20+</v>
      </c>
      <c r="AM1376" t="str" cm="1">
        <f t="array" ref="AM1376">_xlfn.IFS(S1376&lt;=5000,"0-5k",S1376&lt;=10000,"5k-10k",S1376&lt;=15000,"10k-15k",TRUE,"15k+")</f>
        <v>15k+</v>
      </c>
      <c r="AN1376" t="str" cm="1">
        <f t="array" ref="AN1376">_xlfn.IFS(AF1376&lt;=10,"0-10",AF1376&lt;=20,"10-20",AF1376&lt;=30,"20-30",TRUE,"30+")</f>
        <v>0-10</v>
      </c>
      <c r="AO1376" t="str" cm="1">
        <f t="array" ref="AO1376">_xlfn.IFS(Y1376=1,"Poor",Y1376=2,"Average",Y1376=3,"Good",TRUE,"Excellent")</f>
        <v>Good</v>
      </c>
      <c r="AP1376" t="str" cm="1">
        <f t="array" ref="AP1376">_xlfn.IFS(Q1376=1,"Low",Q1376=2,"Medium",Q1376=3,"High",TRUE,"Very High")</f>
        <v>Very High</v>
      </c>
    </row>
    <row r="1377" spans="1:42" x14ac:dyDescent="0.25">
      <c r="A1377">
        <v>32</v>
      </c>
      <c r="B1377" t="s">
        <v>35</v>
      </c>
      <c r="C1377" t="s">
        <v>91</v>
      </c>
      <c r="D1377">
        <v>238</v>
      </c>
      <c r="E1377" t="s">
        <v>43</v>
      </c>
      <c r="F1377">
        <v>5</v>
      </c>
      <c r="G1377">
        <v>2</v>
      </c>
      <c r="H1377" t="s">
        <v>37</v>
      </c>
      <c r="I1377">
        <v>1</v>
      </c>
      <c r="J1377">
        <v>1939</v>
      </c>
      <c r="K1377">
        <v>1</v>
      </c>
      <c r="L1377" t="s">
        <v>38</v>
      </c>
      <c r="M1377">
        <v>47</v>
      </c>
      <c r="N1377">
        <v>4</v>
      </c>
      <c r="O1377">
        <v>1</v>
      </c>
      <c r="P1377" t="s">
        <v>45</v>
      </c>
      <c r="Q1377">
        <v>3</v>
      </c>
      <c r="R1377" t="s">
        <v>40</v>
      </c>
      <c r="S1377">
        <v>2432</v>
      </c>
      <c r="T1377">
        <v>15318</v>
      </c>
      <c r="U1377">
        <v>3</v>
      </c>
      <c r="V1377" t="s">
        <v>41</v>
      </c>
      <c r="W1377" t="s">
        <v>35</v>
      </c>
      <c r="X1377">
        <v>14</v>
      </c>
      <c r="Y1377">
        <v>3</v>
      </c>
      <c r="Z1377">
        <v>1</v>
      </c>
      <c r="AA1377">
        <v>80</v>
      </c>
      <c r="AB1377">
        <v>0</v>
      </c>
      <c r="AC1377">
        <v>8</v>
      </c>
      <c r="AD1377">
        <v>2</v>
      </c>
      <c r="AE1377">
        <v>3</v>
      </c>
      <c r="AF1377">
        <v>4</v>
      </c>
      <c r="AG1377">
        <v>1</v>
      </c>
      <c r="AH1377">
        <v>0</v>
      </c>
      <c r="AI1377">
        <v>3</v>
      </c>
      <c r="AJ1377">
        <f t="shared" si="21"/>
        <v>1</v>
      </c>
      <c r="AK1377" t="str" cm="1">
        <f t="array" ref="AK1377">_xlfn.IFS(A1377&lt;=30,"18-30",A1377&lt;=45,"31-45",A1377&lt;=60,"46-60",TRUE, "60+")</f>
        <v>31-45</v>
      </c>
      <c r="AL1377" t="str" cm="1">
        <f t="array" ref="AL1377">_xlfn.IFS(F1377&lt;=10,"0-10",F1377&lt;=20,"11-20",TRUE,"20+")</f>
        <v>0-10</v>
      </c>
      <c r="AM1377" t="str" cm="1">
        <f t="array" ref="AM1377">_xlfn.IFS(S1377&lt;=5000,"0-5k",S1377&lt;=10000,"5k-10k",S1377&lt;=15000,"10k-15k",TRUE,"15k+")</f>
        <v>0-5k</v>
      </c>
      <c r="AN1377" t="str" cm="1">
        <f t="array" ref="AN1377">_xlfn.IFS(AF1377&lt;=10,"0-10",AF1377&lt;=20,"10-20",AF1377&lt;=30,"20-30",TRUE,"30+")</f>
        <v>0-10</v>
      </c>
      <c r="AO1377" t="str" cm="1">
        <f t="array" ref="AO1377">_xlfn.IFS(Y1377=1,"Poor",Y1377=2,"Average",Y1377=3,"Good",TRUE,"Excellent")</f>
        <v>Good</v>
      </c>
      <c r="AP1377" t="str" cm="1">
        <f t="array" ref="AP1377">_xlfn.IFS(Q1377=1,"Low",Q1377=2,"Medium",Q1377=3,"High",TRUE,"Very High")</f>
        <v>High</v>
      </c>
    </row>
    <row r="1378" spans="1:42" x14ac:dyDescent="0.25">
      <c r="A1378">
        <v>38</v>
      </c>
      <c r="B1378" t="s">
        <v>42</v>
      </c>
      <c r="C1378" t="s">
        <v>90</v>
      </c>
      <c r="D1378">
        <v>1206</v>
      </c>
      <c r="E1378" t="s">
        <v>43</v>
      </c>
      <c r="F1378">
        <v>9</v>
      </c>
      <c r="G1378">
        <v>2</v>
      </c>
      <c r="H1378" t="s">
        <v>37</v>
      </c>
      <c r="I1378">
        <v>1</v>
      </c>
      <c r="J1378">
        <v>1940</v>
      </c>
      <c r="K1378">
        <v>2</v>
      </c>
      <c r="L1378" t="s">
        <v>44</v>
      </c>
      <c r="M1378">
        <v>71</v>
      </c>
      <c r="N1378">
        <v>3</v>
      </c>
      <c r="O1378">
        <v>1</v>
      </c>
      <c r="P1378" t="s">
        <v>45</v>
      </c>
      <c r="Q1378">
        <v>4</v>
      </c>
      <c r="R1378" t="s">
        <v>50</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c r="AJ1378">
        <f t="shared" si="21"/>
        <v>0</v>
      </c>
      <c r="AK1378" t="str" cm="1">
        <f t="array" ref="AK1378">_xlfn.IFS(A1378&lt;=30,"18-30",A1378&lt;=45,"31-45",A1378&lt;=60,"46-60",TRUE, "60+")</f>
        <v>31-45</v>
      </c>
      <c r="AL1378" t="str" cm="1">
        <f t="array" ref="AL1378">_xlfn.IFS(F1378&lt;=10,"0-10",F1378&lt;=20,"11-20",TRUE,"20+")</f>
        <v>0-10</v>
      </c>
      <c r="AM1378" t="str" cm="1">
        <f t="array" ref="AM1378">_xlfn.IFS(S1378&lt;=5000,"0-5k",S1378&lt;=10000,"5k-10k",S1378&lt;=15000,"10k-15k",TRUE,"15k+")</f>
        <v>0-5k</v>
      </c>
      <c r="AN1378" t="str" cm="1">
        <f t="array" ref="AN1378">_xlfn.IFS(AF1378&lt;=10,"0-10",AF1378&lt;=20,"10-20",AF1378&lt;=30,"20-30",TRUE,"30+")</f>
        <v>0-10</v>
      </c>
      <c r="AO1378" t="str" cm="1">
        <f t="array" ref="AO1378">_xlfn.IFS(Y1378=1,"Poor",Y1378=2,"Average",Y1378=3,"Good",TRUE,"Excellent")</f>
        <v>Good</v>
      </c>
      <c r="AP1378" t="str" cm="1">
        <f t="array" ref="AP1378">_xlfn.IFS(Q1378=1,"Low",Q1378=2,"Medium",Q1378=3,"High",TRUE,"Very High")</f>
        <v>Very High</v>
      </c>
    </row>
    <row r="1379" spans="1:42" x14ac:dyDescent="0.25">
      <c r="A1379">
        <v>49</v>
      </c>
      <c r="B1379" t="s">
        <v>42</v>
      </c>
      <c r="C1379" t="s">
        <v>91</v>
      </c>
      <c r="D1379">
        <v>1064</v>
      </c>
      <c r="E1379" t="s">
        <v>43</v>
      </c>
      <c r="F1379">
        <v>2</v>
      </c>
      <c r="G1379">
        <v>1</v>
      </c>
      <c r="H1379" t="s">
        <v>37</v>
      </c>
      <c r="I1379">
        <v>1</v>
      </c>
      <c r="J1379">
        <v>1941</v>
      </c>
      <c r="K1379">
        <v>2</v>
      </c>
      <c r="L1379" t="s">
        <v>44</v>
      </c>
      <c r="M1379">
        <v>42</v>
      </c>
      <c r="N1379">
        <v>3</v>
      </c>
      <c r="O1379">
        <v>5</v>
      </c>
      <c r="P1379" t="s">
        <v>56</v>
      </c>
      <c r="Q1379">
        <v>4</v>
      </c>
      <c r="R1379" t="s">
        <v>46</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c r="AJ1379">
        <f t="shared" si="21"/>
        <v>0</v>
      </c>
      <c r="AK1379" t="str" cm="1">
        <f t="array" ref="AK1379">_xlfn.IFS(A1379&lt;=30,"18-30",A1379&lt;=45,"31-45",A1379&lt;=60,"46-60",TRUE, "60+")</f>
        <v>46-60</v>
      </c>
      <c r="AL1379" t="str" cm="1">
        <f t="array" ref="AL1379">_xlfn.IFS(F1379&lt;=10,"0-10",F1379&lt;=20,"11-20",TRUE,"20+")</f>
        <v>0-10</v>
      </c>
      <c r="AM1379" t="str" cm="1">
        <f t="array" ref="AM1379">_xlfn.IFS(S1379&lt;=5000,"0-5k",S1379&lt;=10000,"5k-10k",S1379&lt;=15000,"10k-15k",TRUE,"15k+")</f>
        <v>15k+</v>
      </c>
      <c r="AN1379" t="str" cm="1">
        <f t="array" ref="AN1379">_xlfn.IFS(AF1379&lt;=10,"0-10",AF1379&lt;=20,"10-20",AF1379&lt;=30,"20-30",TRUE,"30+")</f>
        <v>0-10</v>
      </c>
      <c r="AO1379" t="str" cm="1">
        <f t="array" ref="AO1379">_xlfn.IFS(Y1379=1,"Poor",Y1379=2,"Average",Y1379=3,"Good",TRUE,"Excellent")</f>
        <v>Good</v>
      </c>
      <c r="AP1379" t="str" cm="1">
        <f t="array" ref="AP1379">_xlfn.IFS(Q1379=1,"Low",Q1379=2,"Medium",Q1379=3,"High",TRUE,"Very High")</f>
        <v>Very High</v>
      </c>
    </row>
    <row r="1380" spans="1:42" x14ac:dyDescent="0.25">
      <c r="A1380">
        <v>42</v>
      </c>
      <c r="B1380" t="s">
        <v>42</v>
      </c>
      <c r="C1380" t="s">
        <v>90</v>
      </c>
      <c r="D1380">
        <v>419</v>
      </c>
      <c r="E1380" t="s">
        <v>36</v>
      </c>
      <c r="F1380">
        <v>12</v>
      </c>
      <c r="G1380">
        <v>4</v>
      </c>
      <c r="H1380" t="s">
        <v>57</v>
      </c>
      <c r="I1380">
        <v>1</v>
      </c>
      <c r="J1380">
        <v>1943</v>
      </c>
      <c r="K1380">
        <v>2</v>
      </c>
      <c r="L1380" t="s">
        <v>44</v>
      </c>
      <c r="M1380">
        <v>77</v>
      </c>
      <c r="N1380">
        <v>3</v>
      </c>
      <c r="O1380">
        <v>2</v>
      </c>
      <c r="P1380" t="s">
        <v>39</v>
      </c>
      <c r="Q1380">
        <v>4</v>
      </c>
      <c r="R1380" t="s">
        <v>50</v>
      </c>
      <c r="S1380">
        <v>5087</v>
      </c>
      <c r="T1380">
        <v>2900</v>
      </c>
      <c r="U1380">
        <v>3</v>
      </c>
      <c r="V1380" t="s">
        <v>41</v>
      </c>
      <c r="W1380" t="s">
        <v>35</v>
      </c>
      <c r="X1380">
        <v>12</v>
      </c>
      <c r="Y1380">
        <v>3</v>
      </c>
      <c r="Z1380">
        <v>3</v>
      </c>
      <c r="AA1380">
        <v>80</v>
      </c>
      <c r="AB1380">
        <v>2</v>
      </c>
      <c r="AC1380">
        <v>14</v>
      </c>
      <c r="AD1380">
        <v>4</v>
      </c>
      <c r="AE1380">
        <v>3</v>
      </c>
      <c r="AF1380">
        <v>0</v>
      </c>
      <c r="AG1380">
        <v>0</v>
      </c>
      <c r="AH1380">
        <v>0</v>
      </c>
      <c r="AI1380">
        <v>0</v>
      </c>
      <c r="AJ1380">
        <f t="shared" si="21"/>
        <v>0</v>
      </c>
      <c r="AK1380" t="str" cm="1">
        <f t="array" ref="AK1380">_xlfn.IFS(A1380&lt;=30,"18-30",A1380&lt;=45,"31-45",A1380&lt;=60,"46-60",TRUE, "60+")</f>
        <v>31-45</v>
      </c>
      <c r="AL1380" t="str" cm="1">
        <f t="array" ref="AL1380">_xlfn.IFS(F1380&lt;=10,"0-10",F1380&lt;=20,"11-20",TRUE,"20+")</f>
        <v>11-20</v>
      </c>
      <c r="AM1380" t="str" cm="1">
        <f t="array" ref="AM1380">_xlfn.IFS(S1380&lt;=5000,"0-5k",S1380&lt;=10000,"5k-10k",S1380&lt;=15000,"10k-15k",TRUE,"15k+")</f>
        <v>5k-10k</v>
      </c>
      <c r="AN1380" t="str" cm="1">
        <f t="array" ref="AN1380">_xlfn.IFS(AF1380&lt;=10,"0-10",AF1380&lt;=20,"10-20",AF1380&lt;=30,"20-30",TRUE,"30+")</f>
        <v>0-10</v>
      </c>
      <c r="AO1380" t="str" cm="1">
        <f t="array" ref="AO1380">_xlfn.IFS(Y1380=1,"Poor",Y1380=2,"Average",Y1380=3,"Good",TRUE,"Excellent")</f>
        <v>Good</v>
      </c>
      <c r="AP1380" t="str" cm="1">
        <f t="array" ref="AP1380">_xlfn.IFS(Q1380=1,"Low",Q1380=2,"Medium",Q1380=3,"High",TRUE,"Very High")</f>
        <v>Very High</v>
      </c>
    </row>
    <row r="1381" spans="1:42" x14ac:dyDescent="0.25">
      <c r="A1381">
        <v>27</v>
      </c>
      <c r="B1381" t="s">
        <v>35</v>
      </c>
      <c r="C1381" t="s">
        <v>91</v>
      </c>
      <c r="D1381">
        <v>1337</v>
      </c>
      <c r="E1381" t="s">
        <v>59</v>
      </c>
      <c r="F1381">
        <v>22</v>
      </c>
      <c r="G1381">
        <v>3</v>
      </c>
      <c r="H1381" t="s">
        <v>59</v>
      </c>
      <c r="I1381">
        <v>1</v>
      </c>
      <c r="J1381">
        <v>1944</v>
      </c>
      <c r="K1381">
        <v>1</v>
      </c>
      <c r="L1381" t="s">
        <v>38</v>
      </c>
      <c r="M1381">
        <v>58</v>
      </c>
      <c r="N1381">
        <v>2</v>
      </c>
      <c r="O1381">
        <v>1</v>
      </c>
      <c r="P1381" t="s">
        <v>59</v>
      </c>
      <c r="Q1381">
        <v>2</v>
      </c>
      <c r="R1381" t="s">
        <v>46</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c r="AJ1381">
        <f t="shared" si="21"/>
        <v>1</v>
      </c>
      <c r="AK1381" t="str" cm="1">
        <f t="array" ref="AK1381">_xlfn.IFS(A1381&lt;=30,"18-30",A1381&lt;=45,"31-45",A1381&lt;=60,"46-60",TRUE, "60+")</f>
        <v>18-30</v>
      </c>
      <c r="AL1381" t="str" cm="1">
        <f t="array" ref="AL1381">_xlfn.IFS(F1381&lt;=10,"0-10",F1381&lt;=20,"11-20",TRUE,"20+")</f>
        <v>20+</v>
      </c>
      <c r="AM1381" t="str" cm="1">
        <f t="array" ref="AM1381">_xlfn.IFS(S1381&lt;=5000,"0-5k",S1381&lt;=10000,"5k-10k",S1381&lt;=15000,"10k-15k",TRUE,"15k+")</f>
        <v>0-5k</v>
      </c>
      <c r="AN1381" t="str" cm="1">
        <f t="array" ref="AN1381">_xlfn.IFS(AF1381&lt;=10,"0-10",AF1381&lt;=20,"10-20",AF1381&lt;=30,"20-30",TRUE,"30+")</f>
        <v>0-10</v>
      </c>
      <c r="AO1381" t="str" cm="1">
        <f t="array" ref="AO1381">_xlfn.IFS(Y1381=1,"Poor",Y1381=2,"Average",Y1381=3,"Good",TRUE,"Excellent")</f>
        <v>Good</v>
      </c>
      <c r="AP1381" t="str" cm="1">
        <f t="array" ref="AP1381">_xlfn.IFS(Q1381=1,"Low",Q1381=2,"Medium",Q1381=3,"High",TRUE,"Very High")</f>
        <v>Medium</v>
      </c>
    </row>
    <row r="1382" spans="1:42" x14ac:dyDescent="0.25">
      <c r="A1382">
        <v>35</v>
      </c>
      <c r="B1382" t="s">
        <v>42</v>
      </c>
      <c r="C1382" t="s">
        <v>90</v>
      </c>
      <c r="D1382">
        <v>682</v>
      </c>
      <c r="E1382" t="s">
        <v>36</v>
      </c>
      <c r="F1382">
        <v>18</v>
      </c>
      <c r="G1382">
        <v>4</v>
      </c>
      <c r="H1382" t="s">
        <v>49</v>
      </c>
      <c r="I1382">
        <v>1</v>
      </c>
      <c r="J1382">
        <v>1945</v>
      </c>
      <c r="K1382">
        <v>2</v>
      </c>
      <c r="L1382" t="s">
        <v>44</v>
      </c>
      <c r="M1382">
        <v>71</v>
      </c>
      <c r="N1382">
        <v>3</v>
      </c>
      <c r="O1382">
        <v>2</v>
      </c>
      <c r="P1382" t="s">
        <v>39</v>
      </c>
      <c r="Q1382">
        <v>1</v>
      </c>
      <c r="R1382" t="s">
        <v>46</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c r="AJ1382">
        <f t="shared" si="21"/>
        <v>0</v>
      </c>
      <c r="AK1382" t="str" cm="1">
        <f t="array" ref="AK1382">_xlfn.IFS(A1382&lt;=30,"18-30",A1382&lt;=45,"31-45",A1382&lt;=60,"46-60",TRUE, "60+")</f>
        <v>31-45</v>
      </c>
      <c r="AL1382" t="str" cm="1">
        <f t="array" ref="AL1382">_xlfn.IFS(F1382&lt;=10,"0-10",F1382&lt;=20,"11-20",TRUE,"20+")</f>
        <v>11-20</v>
      </c>
      <c r="AM1382" t="str" cm="1">
        <f t="array" ref="AM1382">_xlfn.IFS(S1382&lt;=5000,"0-5k",S1382&lt;=10000,"5k-10k",S1382&lt;=15000,"10k-15k",TRUE,"15k+")</f>
        <v>5k-10k</v>
      </c>
      <c r="AN1382" t="str" cm="1">
        <f t="array" ref="AN1382">_xlfn.IFS(AF1382&lt;=10,"0-10",AF1382&lt;=20,"10-20",AF1382&lt;=30,"20-30",TRUE,"30+")</f>
        <v>0-10</v>
      </c>
      <c r="AO1382" t="str" cm="1">
        <f t="array" ref="AO1382">_xlfn.IFS(Y1382=1,"Poor",Y1382=2,"Average",Y1382=3,"Good",TRUE,"Excellent")</f>
        <v>Good</v>
      </c>
      <c r="AP1382" t="str" cm="1">
        <f t="array" ref="AP1382">_xlfn.IFS(Q1382=1,"Low",Q1382=2,"Medium",Q1382=3,"High",TRUE,"Very High")</f>
        <v>Low</v>
      </c>
    </row>
    <row r="1383" spans="1:42" x14ac:dyDescent="0.25">
      <c r="A1383">
        <v>28</v>
      </c>
      <c r="B1383" t="s">
        <v>42</v>
      </c>
      <c r="C1383" t="s">
        <v>53</v>
      </c>
      <c r="D1383">
        <v>1103</v>
      </c>
      <c r="E1383" t="s">
        <v>43</v>
      </c>
      <c r="F1383">
        <v>16</v>
      </c>
      <c r="G1383">
        <v>3</v>
      </c>
      <c r="H1383" t="s">
        <v>49</v>
      </c>
      <c r="I1383">
        <v>1</v>
      </c>
      <c r="J1383">
        <v>1947</v>
      </c>
      <c r="K1383">
        <v>3</v>
      </c>
      <c r="L1383" t="s">
        <v>44</v>
      </c>
      <c r="M1383">
        <v>49</v>
      </c>
      <c r="N1383">
        <v>3</v>
      </c>
      <c r="O1383">
        <v>1</v>
      </c>
      <c r="P1383" t="s">
        <v>45</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c r="AJ1383">
        <f t="shared" si="21"/>
        <v>0</v>
      </c>
      <c r="AK1383" t="str" cm="1">
        <f t="array" ref="AK1383">_xlfn.IFS(A1383&lt;=30,"18-30",A1383&lt;=45,"31-45",A1383&lt;=60,"46-60",TRUE, "60+")</f>
        <v>18-30</v>
      </c>
      <c r="AL1383" t="str" cm="1">
        <f t="array" ref="AL1383">_xlfn.IFS(F1383&lt;=10,"0-10",F1383&lt;=20,"11-20",TRUE,"20+")</f>
        <v>11-20</v>
      </c>
      <c r="AM1383" t="str" cm="1">
        <f t="array" ref="AM1383">_xlfn.IFS(S1383&lt;=5000,"0-5k",S1383&lt;=10000,"5k-10k",S1383&lt;=15000,"10k-15k",TRUE,"15k+")</f>
        <v>0-5k</v>
      </c>
      <c r="AN1383" t="str" cm="1">
        <f t="array" ref="AN1383">_xlfn.IFS(AF1383&lt;=10,"0-10",AF1383&lt;=20,"10-20",AF1383&lt;=30,"20-30",TRUE,"30+")</f>
        <v>0-10</v>
      </c>
      <c r="AO1383" t="str" cm="1">
        <f t="array" ref="AO1383">_xlfn.IFS(Y1383=1,"Poor",Y1383=2,"Average",Y1383=3,"Good",TRUE,"Excellent")</f>
        <v>Good</v>
      </c>
      <c r="AP1383" t="str" cm="1">
        <f t="array" ref="AP1383">_xlfn.IFS(Q1383=1,"Low",Q1383=2,"Medium",Q1383=3,"High",TRUE,"Very High")</f>
        <v>High</v>
      </c>
    </row>
    <row r="1384" spans="1:42" x14ac:dyDescent="0.25">
      <c r="A1384">
        <v>31</v>
      </c>
      <c r="B1384" t="s">
        <v>42</v>
      </c>
      <c r="C1384" t="s">
        <v>53</v>
      </c>
      <c r="D1384">
        <v>976</v>
      </c>
      <c r="E1384" t="s">
        <v>43</v>
      </c>
      <c r="F1384">
        <v>3</v>
      </c>
      <c r="G1384">
        <v>2</v>
      </c>
      <c r="H1384" t="s">
        <v>49</v>
      </c>
      <c r="I1384">
        <v>1</v>
      </c>
      <c r="J1384">
        <v>1948</v>
      </c>
      <c r="K1384">
        <v>3</v>
      </c>
      <c r="L1384" t="s">
        <v>44</v>
      </c>
      <c r="M1384">
        <v>48</v>
      </c>
      <c r="N1384">
        <v>3</v>
      </c>
      <c r="O1384">
        <v>1</v>
      </c>
      <c r="P1384" t="s">
        <v>45</v>
      </c>
      <c r="Q1384">
        <v>1</v>
      </c>
      <c r="R1384" t="s">
        <v>50</v>
      </c>
      <c r="S1384">
        <v>3065</v>
      </c>
      <c r="T1384">
        <v>3995</v>
      </c>
      <c r="U1384">
        <v>1</v>
      </c>
      <c r="V1384" t="s">
        <v>41</v>
      </c>
      <c r="W1384" t="s">
        <v>35</v>
      </c>
      <c r="X1384">
        <v>13</v>
      </c>
      <c r="Y1384">
        <v>3</v>
      </c>
      <c r="Z1384">
        <v>4</v>
      </c>
      <c r="AA1384">
        <v>80</v>
      </c>
      <c r="AB1384">
        <v>1</v>
      </c>
      <c r="AC1384">
        <v>4</v>
      </c>
      <c r="AD1384">
        <v>3</v>
      </c>
      <c r="AE1384">
        <v>4</v>
      </c>
      <c r="AF1384">
        <v>4</v>
      </c>
      <c r="AG1384">
        <v>2</v>
      </c>
      <c r="AH1384">
        <v>2</v>
      </c>
      <c r="AI1384">
        <v>3</v>
      </c>
      <c r="AJ1384">
        <f t="shared" si="21"/>
        <v>0</v>
      </c>
      <c r="AK1384" t="str" cm="1">
        <f t="array" ref="AK1384">_xlfn.IFS(A1384&lt;=30,"18-30",A1384&lt;=45,"31-45",A1384&lt;=60,"46-60",TRUE, "60+")</f>
        <v>31-45</v>
      </c>
      <c r="AL1384" t="str" cm="1">
        <f t="array" ref="AL1384">_xlfn.IFS(F1384&lt;=10,"0-10",F1384&lt;=20,"11-20",TRUE,"20+")</f>
        <v>0-10</v>
      </c>
      <c r="AM1384" t="str" cm="1">
        <f t="array" ref="AM1384">_xlfn.IFS(S1384&lt;=5000,"0-5k",S1384&lt;=10000,"5k-10k",S1384&lt;=15000,"10k-15k",TRUE,"15k+")</f>
        <v>0-5k</v>
      </c>
      <c r="AN1384" t="str" cm="1">
        <f t="array" ref="AN1384">_xlfn.IFS(AF1384&lt;=10,"0-10",AF1384&lt;=20,"10-20",AF1384&lt;=30,"20-30",TRUE,"30+")</f>
        <v>0-10</v>
      </c>
      <c r="AO1384" t="str" cm="1">
        <f t="array" ref="AO1384">_xlfn.IFS(Y1384=1,"Poor",Y1384=2,"Average",Y1384=3,"Good",TRUE,"Excellent")</f>
        <v>Good</v>
      </c>
      <c r="AP1384" t="str" cm="1">
        <f t="array" ref="AP1384">_xlfn.IFS(Q1384=1,"Low",Q1384=2,"Medium",Q1384=3,"High",TRUE,"Very High")</f>
        <v>Low</v>
      </c>
    </row>
    <row r="1385" spans="1:42" x14ac:dyDescent="0.25">
      <c r="A1385">
        <v>36</v>
      </c>
      <c r="B1385" t="s">
        <v>42</v>
      </c>
      <c r="C1385" t="s">
        <v>53</v>
      </c>
      <c r="D1385">
        <v>1351</v>
      </c>
      <c r="E1385" t="s">
        <v>43</v>
      </c>
      <c r="F1385">
        <v>9</v>
      </c>
      <c r="G1385">
        <v>4</v>
      </c>
      <c r="H1385" t="s">
        <v>37</v>
      </c>
      <c r="I1385">
        <v>1</v>
      </c>
      <c r="J1385">
        <v>1949</v>
      </c>
      <c r="K1385">
        <v>1</v>
      </c>
      <c r="L1385" t="s">
        <v>44</v>
      </c>
      <c r="M1385">
        <v>66</v>
      </c>
      <c r="N1385">
        <v>4</v>
      </c>
      <c r="O1385">
        <v>1</v>
      </c>
      <c r="P1385" t="s">
        <v>48</v>
      </c>
      <c r="Q1385">
        <v>2</v>
      </c>
      <c r="R1385" t="s">
        <v>46</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c r="AJ1385">
        <f t="shared" si="21"/>
        <v>0</v>
      </c>
      <c r="AK1385" t="str" cm="1">
        <f t="array" ref="AK1385">_xlfn.IFS(A1385&lt;=30,"18-30",A1385&lt;=45,"31-45",A1385&lt;=60,"46-60",TRUE, "60+")</f>
        <v>31-45</v>
      </c>
      <c r="AL1385" t="str" cm="1">
        <f t="array" ref="AL1385">_xlfn.IFS(F1385&lt;=10,"0-10",F1385&lt;=20,"11-20",TRUE,"20+")</f>
        <v>0-10</v>
      </c>
      <c r="AM1385" t="str" cm="1">
        <f t="array" ref="AM1385">_xlfn.IFS(S1385&lt;=5000,"0-5k",S1385&lt;=10000,"5k-10k",S1385&lt;=15000,"10k-15k",TRUE,"15k+")</f>
        <v>0-5k</v>
      </c>
      <c r="AN1385" t="str" cm="1">
        <f t="array" ref="AN1385">_xlfn.IFS(AF1385&lt;=10,"0-10",AF1385&lt;=20,"10-20",AF1385&lt;=30,"20-30",TRUE,"30+")</f>
        <v>0-10</v>
      </c>
      <c r="AO1385" t="str" cm="1">
        <f t="array" ref="AO1385">_xlfn.IFS(Y1385=1,"Poor",Y1385=2,"Average",Y1385=3,"Good",TRUE,"Excellent")</f>
        <v>Excellent</v>
      </c>
      <c r="AP1385" t="str" cm="1">
        <f t="array" ref="AP1385">_xlfn.IFS(Q1385=1,"Low",Q1385=2,"Medium",Q1385=3,"High",TRUE,"Very High")</f>
        <v>Medium</v>
      </c>
    </row>
    <row r="1386" spans="1:42" x14ac:dyDescent="0.25">
      <c r="A1386">
        <v>34</v>
      </c>
      <c r="B1386" t="s">
        <v>42</v>
      </c>
      <c r="C1386" t="s">
        <v>90</v>
      </c>
      <c r="D1386">
        <v>937</v>
      </c>
      <c r="E1386" t="s">
        <v>36</v>
      </c>
      <c r="F1386">
        <v>1</v>
      </c>
      <c r="G1386">
        <v>3</v>
      </c>
      <c r="H1386" t="s">
        <v>57</v>
      </c>
      <c r="I1386">
        <v>1</v>
      </c>
      <c r="J1386">
        <v>1950</v>
      </c>
      <c r="K1386">
        <v>1</v>
      </c>
      <c r="L1386" t="s">
        <v>44</v>
      </c>
      <c r="M1386">
        <v>32</v>
      </c>
      <c r="N1386">
        <v>3</v>
      </c>
      <c r="O1386">
        <v>3</v>
      </c>
      <c r="P1386" t="s">
        <v>39</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c r="AJ1386">
        <f t="shared" si="21"/>
        <v>0</v>
      </c>
      <c r="AK1386" t="str" cm="1">
        <f t="array" ref="AK1386">_xlfn.IFS(A1386&lt;=30,"18-30",A1386&lt;=45,"31-45",A1386&lt;=60,"46-60",TRUE, "60+")</f>
        <v>31-45</v>
      </c>
      <c r="AL1386" t="str" cm="1">
        <f t="array" ref="AL1386">_xlfn.IFS(F1386&lt;=10,"0-10",F1386&lt;=20,"11-20",TRUE,"20+")</f>
        <v>0-10</v>
      </c>
      <c r="AM1386" t="str" cm="1">
        <f t="array" ref="AM1386">_xlfn.IFS(S1386&lt;=5000,"0-5k",S1386&lt;=10000,"5k-10k",S1386&lt;=15000,"10k-15k",TRUE,"15k+")</f>
        <v>5k-10k</v>
      </c>
      <c r="AN1386" t="str" cm="1">
        <f t="array" ref="AN1386">_xlfn.IFS(AF1386&lt;=10,"0-10",AF1386&lt;=20,"10-20",AF1386&lt;=30,"20-30",TRUE,"30+")</f>
        <v>10-20</v>
      </c>
      <c r="AO1386" t="str" cm="1">
        <f t="array" ref="AO1386">_xlfn.IFS(Y1386=1,"Poor",Y1386=2,"Average",Y1386=3,"Good",TRUE,"Excellent")</f>
        <v>Excellent</v>
      </c>
      <c r="AP1386" t="str" cm="1">
        <f t="array" ref="AP1386">_xlfn.IFS(Q1386=1,"Low",Q1386=2,"Medium",Q1386=3,"High",TRUE,"Very High")</f>
        <v>Very High</v>
      </c>
    </row>
    <row r="1387" spans="1:42" x14ac:dyDescent="0.25">
      <c r="A1387">
        <v>34</v>
      </c>
      <c r="B1387" t="s">
        <v>42</v>
      </c>
      <c r="C1387" t="s">
        <v>90</v>
      </c>
      <c r="D1387">
        <v>1239</v>
      </c>
      <c r="E1387" t="s">
        <v>36</v>
      </c>
      <c r="F1387">
        <v>13</v>
      </c>
      <c r="G1387">
        <v>4</v>
      </c>
      <c r="H1387" t="s">
        <v>49</v>
      </c>
      <c r="I1387">
        <v>1</v>
      </c>
      <c r="J1387">
        <v>1951</v>
      </c>
      <c r="K1387">
        <v>4</v>
      </c>
      <c r="L1387" t="s">
        <v>44</v>
      </c>
      <c r="M1387">
        <v>39</v>
      </c>
      <c r="N1387">
        <v>3</v>
      </c>
      <c r="O1387">
        <v>3</v>
      </c>
      <c r="P1387" t="s">
        <v>39</v>
      </c>
      <c r="Q1387">
        <v>3</v>
      </c>
      <c r="R1387" t="s">
        <v>50</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c r="AJ1387">
        <f t="shared" si="21"/>
        <v>0</v>
      </c>
      <c r="AK1387" t="str" cm="1">
        <f t="array" ref="AK1387">_xlfn.IFS(A1387&lt;=30,"18-30",A1387&lt;=45,"31-45",A1387&lt;=60,"46-60",TRUE, "60+")</f>
        <v>31-45</v>
      </c>
      <c r="AL1387" t="str" cm="1">
        <f t="array" ref="AL1387">_xlfn.IFS(F1387&lt;=10,"0-10",F1387&lt;=20,"11-20",TRUE,"20+")</f>
        <v>11-20</v>
      </c>
      <c r="AM1387" t="str" cm="1">
        <f t="array" ref="AM1387">_xlfn.IFS(S1387&lt;=5000,"0-5k",S1387&lt;=10000,"5k-10k",S1387&lt;=15000,"10k-15k",TRUE,"15k+")</f>
        <v>5k-10k</v>
      </c>
      <c r="AN1387" t="str" cm="1">
        <f t="array" ref="AN1387">_xlfn.IFS(AF1387&lt;=10,"0-10",AF1387&lt;=20,"10-20",AF1387&lt;=30,"20-30",TRUE,"30+")</f>
        <v>0-10</v>
      </c>
      <c r="AO1387" t="str" cm="1">
        <f t="array" ref="AO1387">_xlfn.IFS(Y1387=1,"Poor",Y1387=2,"Average",Y1387=3,"Good",TRUE,"Excellent")</f>
        <v>Good</v>
      </c>
      <c r="AP1387" t="str" cm="1">
        <f t="array" ref="AP1387">_xlfn.IFS(Q1387=1,"Low",Q1387=2,"Medium",Q1387=3,"High",TRUE,"Very High")</f>
        <v>High</v>
      </c>
    </row>
    <row r="1388" spans="1:42" x14ac:dyDescent="0.25">
      <c r="A1388">
        <v>26</v>
      </c>
      <c r="B1388" t="s">
        <v>42</v>
      </c>
      <c r="C1388" t="s">
        <v>90</v>
      </c>
      <c r="D1388">
        <v>157</v>
      </c>
      <c r="E1388" t="s">
        <v>43</v>
      </c>
      <c r="F1388">
        <v>1</v>
      </c>
      <c r="G1388">
        <v>3</v>
      </c>
      <c r="H1388" t="s">
        <v>49</v>
      </c>
      <c r="I1388">
        <v>1</v>
      </c>
      <c r="J1388">
        <v>1952</v>
      </c>
      <c r="K1388">
        <v>3</v>
      </c>
      <c r="L1388" t="s">
        <v>44</v>
      </c>
      <c r="M1388">
        <v>95</v>
      </c>
      <c r="N1388">
        <v>3</v>
      </c>
      <c r="O1388">
        <v>1</v>
      </c>
      <c r="P1388" t="s">
        <v>48</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c r="AJ1388">
        <f t="shared" si="21"/>
        <v>0</v>
      </c>
      <c r="AK1388" t="str" cm="1">
        <f t="array" ref="AK1388">_xlfn.IFS(A1388&lt;=30,"18-30",A1388&lt;=45,"31-45",A1388&lt;=60,"46-60",TRUE, "60+")</f>
        <v>18-30</v>
      </c>
      <c r="AL1388" t="str" cm="1">
        <f t="array" ref="AL1388">_xlfn.IFS(F1388&lt;=10,"0-10",F1388&lt;=20,"11-20",TRUE,"20+")</f>
        <v>0-10</v>
      </c>
      <c r="AM1388" t="str" cm="1">
        <f t="array" ref="AM1388">_xlfn.IFS(S1388&lt;=5000,"0-5k",S1388&lt;=10000,"5k-10k",S1388&lt;=15000,"10k-15k",TRUE,"15k+")</f>
        <v>0-5k</v>
      </c>
      <c r="AN1388" t="str" cm="1">
        <f t="array" ref="AN1388">_xlfn.IFS(AF1388&lt;=10,"0-10",AF1388&lt;=20,"10-20",AF1388&lt;=30,"20-30",TRUE,"30+")</f>
        <v>0-10</v>
      </c>
      <c r="AO1388" t="str" cm="1">
        <f t="array" ref="AO1388">_xlfn.IFS(Y1388=1,"Poor",Y1388=2,"Average",Y1388=3,"Good",TRUE,"Excellent")</f>
        <v>Good</v>
      </c>
      <c r="AP1388" t="str" cm="1">
        <f t="array" ref="AP1388">_xlfn.IFS(Q1388=1,"Low",Q1388=2,"Medium",Q1388=3,"High",TRUE,"Very High")</f>
        <v>Low</v>
      </c>
    </row>
    <row r="1389" spans="1:42" x14ac:dyDescent="0.25">
      <c r="A1389">
        <v>29</v>
      </c>
      <c r="B1389" t="s">
        <v>42</v>
      </c>
      <c r="C1389" t="s">
        <v>90</v>
      </c>
      <c r="D1389">
        <v>136</v>
      </c>
      <c r="E1389" t="s">
        <v>43</v>
      </c>
      <c r="F1389">
        <v>1</v>
      </c>
      <c r="G1389">
        <v>3</v>
      </c>
      <c r="H1389" t="s">
        <v>37</v>
      </c>
      <c r="I1389">
        <v>1</v>
      </c>
      <c r="J1389">
        <v>1954</v>
      </c>
      <c r="K1389">
        <v>1</v>
      </c>
      <c r="L1389" t="s">
        <v>44</v>
      </c>
      <c r="M1389">
        <v>89</v>
      </c>
      <c r="N1389">
        <v>3</v>
      </c>
      <c r="O1389">
        <v>2</v>
      </c>
      <c r="P1389" t="s">
        <v>52</v>
      </c>
      <c r="Q1389">
        <v>1</v>
      </c>
      <c r="R1389" t="s">
        <v>46</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c r="AJ1389">
        <f t="shared" si="21"/>
        <v>0</v>
      </c>
      <c r="AK1389" t="str" cm="1">
        <f t="array" ref="AK1389">_xlfn.IFS(A1389&lt;=30,"18-30",A1389&lt;=45,"31-45",A1389&lt;=60,"46-60",TRUE, "60+")</f>
        <v>18-30</v>
      </c>
      <c r="AL1389" t="str" cm="1">
        <f t="array" ref="AL1389">_xlfn.IFS(F1389&lt;=10,"0-10",F1389&lt;=20,"11-20",TRUE,"20+")</f>
        <v>0-10</v>
      </c>
      <c r="AM1389" t="str" cm="1">
        <f t="array" ref="AM1389">_xlfn.IFS(S1389&lt;=5000,"0-5k",S1389&lt;=10000,"5k-10k",S1389&lt;=15000,"10k-15k",TRUE,"15k+")</f>
        <v>5k-10k</v>
      </c>
      <c r="AN1389" t="str" cm="1">
        <f t="array" ref="AN1389">_xlfn.IFS(AF1389&lt;=10,"0-10",AF1389&lt;=20,"10-20",AF1389&lt;=30,"20-30",TRUE,"30+")</f>
        <v>0-10</v>
      </c>
      <c r="AO1389" t="str" cm="1">
        <f t="array" ref="AO1389">_xlfn.IFS(Y1389=1,"Poor",Y1389=2,"Average",Y1389=3,"Good",TRUE,"Excellent")</f>
        <v>Good</v>
      </c>
      <c r="AP1389" t="str" cm="1">
        <f t="array" ref="AP1389">_xlfn.IFS(Q1389=1,"Low",Q1389=2,"Medium",Q1389=3,"High",TRUE,"Very High")</f>
        <v>Low</v>
      </c>
    </row>
    <row r="1390" spans="1:42" x14ac:dyDescent="0.25">
      <c r="A1390">
        <v>32</v>
      </c>
      <c r="B1390" t="s">
        <v>42</v>
      </c>
      <c r="C1390" t="s">
        <v>53</v>
      </c>
      <c r="D1390">
        <v>1146</v>
      </c>
      <c r="E1390" t="s">
        <v>43</v>
      </c>
      <c r="F1390">
        <v>15</v>
      </c>
      <c r="G1390">
        <v>4</v>
      </c>
      <c r="H1390" t="s">
        <v>49</v>
      </c>
      <c r="I1390">
        <v>1</v>
      </c>
      <c r="J1390">
        <v>1955</v>
      </c>
      <c r="K1390">
        <v>3</v>
      </c>
      <c r="L1390" t="s">
        <v>38</v>
      </c>
      <c r="M1390">
        <v>34</v>
      </c>
      <c r="N1390">
        <v>3</v>
      </c>
      <c r="O1390">
        <v>2</v>
      </c>
      <c r="P1390" t="s">
        <v>52</v>
      </c>
      <c r="Q1390">
        <v>4</v>
      </c>
      <c r="R1390" t="s">
        <v>50</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c r="AJ1390">
        <f t="shared" si="21"/>
        <v>0</v>
      </c>
      <c r="AK1390" t="str" cm="1">
        <f t="array" ref="AK1390">_xlfn.IFS(A1390&lt;=30,"18-30",A1390&lt;=45,"31-45",A1390&lt;=60,"46-60",TRUE, "60+")</f>
        <v>31-45</v>
      </c>
      <c r="AL1390" t="str" cm="1">
        <f t="array" ref="AL1390">_xlfn.IFS(F1390&lt;=10,"0-10",F1390&lt;=20,"11-20",TRUE,"20+")</f>
        <v>11-20</v>
      </c>
      <c r="AM1390" t="str" cm="1">
        <f t="array" ref="AM1390">_xlfn.IFS(S1390&lt;=5000,"0-5k",S1390&lt;=10000,"5k-10k",S1390&lt;=15000,"10k-15k",TRUE,"15k+")</f>
        <v>5k-10k</v>
      </c>
      <c r="AN1390" t="str" cm="1">
        <f t="array" ref="AN1390">_xlfn.IFS(AF1390&lt;=10,"0-10",AF1390&lt;=20,"10-20",AF1390&lt;=30,"20-30",TRUE,"30+")</f>
        <v>0-10</v>
      </c>
      <c r="AO1390" t="str" cm="1">
        <f t="array" ref="AO1390">_xlfn.IFS(Y1390=1,"Poor",Y1390=2,"Average",Y1390=3,"Good",TRUE,"Excellent")</f>
        <v>Good</v>
      </c>
      <c r="AP1390" t="str" cm="1">
        <f t="array" ref="AP1390">_xlfn.IFS(Q1390=1,"Low",Q1390=2,"Medium",Q1390=3,"High",TRUE,"Very High")</f>
        <v>Very High</v>
      </c>
    </row>
    <row r="1391" spans="1:42" x14ac:dyDescent="0.25">
      <c r="A1391">
        <v>31</v>
      </c>
      <c r="B1391" t="s">
        <v>42</v>
      </c>
      <c r="C1391" t="s">
        <v>91</v>
      </c>
      <c r="D1391">
        <v>1125</v>
      </c>
      <c r="E1391" t="s">
        <v>43</v>
      </c>
      <c r="F1391">
        <v>1</v>
      </c>
      <c r="G1391">
        <v>3</v>
      </c>
      <c r="H1391" t="s">
        <v>37</v>
      </c>
      <c r="I1391">
        <v>1</v>
      </c>
      <c r="J1391">
        <v>1956</v>
      </c>
      <c r="K1391">
        <v>4</v>
      </c>
      <c r="L1391" t="s">
        <v>44</v>
      </c>
      <c r="M1391">
        <v>48</v>
      </c>
      <c r="N1391">
        <v>1</v>
      </c>
      <c r="O1391">
        <v>2</v>
      </c>
      <c r="P1391" t="s">
        <v>45</v>
      </c>
      <c r="Q1391">
        <v>1</v>
      </c>
      <c r="R1391" t="s">
        <v>46</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c r="AJ1391">
        <f t="shared" si="21"/>
        <v>0</v>
      </c>
      <c r="AK1391" t="str" cm="1">
        <f t="array" ref="AK1391">_xlfn.IFS(A1391&lt;=30,"18-30",A1391&lt;=45,"31-45",A1391&lt;=60,"46-60",TRUE, "60+")</f>
        <v>31-45</v>
      </c>
      <c r="AL1391" t="str" cm="1">
        <f t="array" ref="AL1391">_xlfn.IFS(F1391&lt;=10,"0-10",F1391&lt;=20,"11-20",TRUE,"20+")</f>
        <v>0-10</v>
      </c>
      <c r="AM1391" t="str" cm="1">
        <f t="array" ref="AM1391">_xlfn.IFS(S1391&lt;=5000,"0-5k",S1391&lt;=10000,"5k-10k",S1391&lt;=15000,"10k-15k",TRUE,"15k+")</f>
        <v>5k-10k</v>
      </c>
      <c r="AN1391" t="str" cm="1">
        <f t="array" ref="AN1391">_xlfn.IFS(AF1391&lt;=10,"0-10",AF1391&lt;=20,"10-20",AF1391&lt;=30,"20-30",TRUE,"30+")</f>
        <v>0-10</v>
      </c>
      <c r="AO1391" t="str" cm="1">
        <f t="array" ref="AO1391">_xlfn.IFS(Y1391=1,"Poor",Y1391=2,"Average",Y1391=3,"Good",TRUE,"Excellent")</f>
        <v>Excellent</v>
      </c>
      <c r="AP1391" t="str" cm="1">
        <f t="array" ref="AP1391">_xlfn.IFS(Q1391=1,"Low",Q1391=2,"Medium",Q1391=3,"High",TRUE,"Very High")</f>
        <v>Low</v>
      </c>
    </row>
    <row r="1392" spans="1:42" x14ac:dyDescent="0.25">
      <c r="A1392">
        <v>28</v>
      </c>
      <c r="B1392" t="s">
        <v>35</v>
      </c>
      <c r="C1392" t="s">
        <v>90</v>
      </c>
      <c r="D1392">
        <v>1404</v>
      </c>
      <c r="E1392" t="s">
        <v>43</v>
      </c>
      <c r="F1392">
        <v>17</v>
      </c>
      <c r="G1392">
        <v>3</v>
      </c>
      <c r="H1392" t="s">
        <v>58</v>
      </c>
      <c r="I1392">
        <v>1</v>
      </c>
      <c r="J1392">
        <v>1960</v>
      </c>
      <c r="K1392">
        <v>3</v>
      </c>
      <c r="L1392" t="s">
        <v>44</v>
      </c>
      <c r="M1392">
        <v>32</v>
      </c>
      <c r="N1392">
        <v>2</v>
      </c>
      <c r="O1392">
        <v>1</v>
      </c>
      <c r="P1392" t="s">
        <v>48</v>
      </c>
      <c r="Q1392">
        <v>4</v>
      </c>
      <c r="R1392" t="s">
        <v>50</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c r="AJ1392">
        <f t="shared" si="21"/>
        <v>1</v>
      </c>
      <c r="AK1392" t="str" cm="1">
        <f t="array" ref="AK1392">_xlfn.IFS(A1392&lt;=30,"18-30",A1392&lt;=45,"31-45",A1392&lt;=60,"46-60",TRUE, "60+")</f>
        <v>18-30</v>
      </c>
      <c r="AL1392" t="str" cm="1">
        <f t="array" ref="AL1392">_xlfn.IFS(F1392&lt;=10,"0-10",F1392&lt;=20,"11-20",TRUE,"20+")</f>
        <v>11-20</v>
      </c>
      <c r="AM1392" t="str" cm="1">
        <f t="array" ref="AM1392">_xlfn.IFS(S1392&lt;=5000,"0-5k",S1392&lt;=10000,"5k-10k",S1392&lt;=15000,"10k-15k",TRUE,"15k+")</f>
        <v>0-5k</v>
      </c>
      <c r="AN1392" t="str" cm="1">
        <f t="array" ref="AN1392">_xlfn.IFS(AF1392&lt;=10,"0-10",AF1392&lt;=20,"10-20",AF1392&lt;=30,"20-30",TRUE,"30+")</f>
        <v>0-10</v>
      </c>
      <c r="AO1392" t="str" cm="1">
        <f t="array" ref="AO1392">_xlfn.IFS(Y1392=1,"Poor",Y1392=2,"Average",Y1392=3,"Good",TRUE,"Excellent")</f>
        <v>Good</v>
      </c>
      <c r="AP1392" t="str" cm="1">
        <f t="array" ref="AP1392">_xlfn.IFS(Q1392=1,"Low",Q1392=2,"Medium",Q1392=3,"High",TRUE,"Very High")</f>
        <v>Very High</v>
      </c>
    </row>
    <row r="1393" spans="1:42" x14ac:dyDescent="0.25">
      <c r="A1393">
        <v>38</v>
      </c>
      <c r="B1393" t="s">
        <v>42</v>
      </c>
      <c r="C1393" t="s">
        <v>90</v>
      </c>
      <c r="D1393">
        <v>1404</v>
      </c>
      <c r="E1393" t="s">
        <v>36</v>
      </c>
      <c r="F1393">
        <v>1</v>
      </c>
      <c r="G1393">
        <v>3</v>
      </c>
      <c r="H1393" t="s">
        <v>37</v>
      </c>
      <c r="I1393">
        <v>1</v>
      </c>
      <c r="J1393">
        <v>1961</v>
      </c>
      <c r="K1393">
        <v>1</v>
      </c>
      <c r="L1393" t="s">
        <v>44</v>
      </c>
      <c r="M1393">
        <v>59</v>
      </c>
      <c r="N1393">
        <v>2</v>
      </c>
      <c r="O1393">
        <v>1</v>
      </c>
      <c r="P1393" t="s">
        <v>55</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c r="AJ1393">
        <f t="shared" si="21"/>
        <v>0</v>
      </c>
      <c r="AK1393" t="str" cm="1">
        <f t="array" ref="AK1393">_xlfn.IFS(A1393&lt;=30,"18-30",A1393&lt;=45,"31-45",A1393&lt;=60,"46-60",TRUE, "60+")</f>
        <v>31-45</v>
      </c>
      <c r="AL1393" t="str" cm="1">
        <f t="array" ref="AL1393">_xlfn.IFS(F1393&lt;=10,"0-10",F1393&lt;=20,"11-20",TRUE,"20+")</f>
        <v>0-10</v>
      </c>
      <c r="AM1393" t="str" cm="1">
        <f t="array" ref="AM1393">_xlfn.IFS(S1393&lt;=5000,"0-5k",S1393&lt;=10000,"5k-10k",S1393&lt;=15000,"10k-15k",TRUE,"15k+")</f>
        <v>0-5k</v>
      </c>
      <c r="AN1393" t="str" cm="1">
        <f t="array" ref="AN1393">_xlfn.IFS(AF1393&lt;=10,"0-10",AF1393&lt;=20,"10-20",AF1393&lt;=30,"20-30",TRUE,"30+")</f>
        <v>0-10</v>
      </c>
      <c r="AO1393" t="str" cm="1">
        <f t="array" ref="AO1393">_xlfn.IFS(Y1393=1,"Poor",Y1393=2,"Average",Y1393=3,"Good",TRUE,"Excellent")</f>
        <v>Good</v>
      </c>
      <c r="AP1393" t="str" cm="1">
        <f t="array" ref="AP1393">_xlfn.IFS(Q1393=1,"Low",Q1393=2,"Medium",Q1393=3,"High",TRUE,"Very High")</f>
        <v>Low</v>
      </c>
    </row>
    <row r="1394" spans="1:42" x14ac:dyDescent="0.25">
      <c r="A1394">
        <v>35</v>
      </c>
      <c r="B1394" t="s">
        <v>42</v>
      </c>
      <c r="C1394" t="s">
        <v>90</v>
      </c>
      <c r="D1394">
        <v>1224</v>
      </c>
      <c r="E1394" t="s">
        <v>36</v>
      </c>
      <c r="F1394">
        <v>7</v>
      </c>
      <c r="G1394">
        <v>4</v>
      </c>
      <c r="H1394" t="s">
        <v>37</v>
      </c>
      <c r="I1394">
        <v>1</v>
      </c>
      <c r="J1394">
        <v>1962</v>
      </c>
      <c r="K1394">
        <v>3</v>
      </c>
      <c r="L1394" t="s">
        <v>38</v>
      </c>
      <c r="M1394">
        <v>55</v>
      </c>
      <c r="N1394">
        <v>3</v>
      </c>
      <c r="O1394">
        <v>2</v>
      </c>
      <c r="P1394" t="s">
        <v>39</v>
      </c>
      <c r="Q1394">
        <v>4</v>
      </c>
      <c r="R1394" t="s">
        <v>46</v>
      </c>
      <c r="S1394">
        <v>5204</v>
      </c>
      <c r="T1394">
        <v>13586</v>
      </c>
      <c r="U1394">
        <v>1</v>
      </c>
      <c r="V1394" t="s">
        <v>41</v>
      </c>
      <c r="W1394" t="s">
        <v>35</v>
      </c>
      <c r="X1394">
        <v>11</v>
      </c>
      <c r="Y1394">
        <v>3</v>
      </c>
      <c r="Z1394">
        <v>4</v>
      </c>
      <c r="AA1394">
        <v>80</v>
      </c>
      <c r="AB1394">
        <v>0</v>
      </c>
      <c r="AC1394">
        <v>10</v>
      </c>
      <c r="AD1394">
        <v>2</v>
      </c>
      <c r="AE1394">
        <v>3</v>
      </c>
      <c r="AF1394">
        <v>10</v>
      </c>
      <c r="AG1394">
        <v>8</v>
      </c>
      <c r="AH1394">
        <v>0</v>
      </c>
      <c r="AI1394">
        <v>9</v>
      </c>
      <c r="AJ1394">
        <f t="shared" si="21"/>
        <v>0</v>
      </c>
      <c r="AK1394" t="str" cm="1">
        <f t="array" ref="AK1394">_xlfn.IFS(A1394&lt;=30,"18-30",A1394&lt;=45,"31-45",A1394&lt;=60,"46-60",TRUE, "60+")</f>
        <v>31-45</v>
      </c>
      <c r="AL1394" t="str" cm="1">
        <f t="array" ref="AL1394">_xlfn.IFS(F1394&lt;=10,"0-10",F1394&lt;=20,"11-20",TRUE,"20+")</f>
        <v>0-10</v>
      </c>
      <c r="AM1394" t="str" cm="1">
        <f t="array" ref="AM1394">_xlfn.IFS(S1394&lt;=5000,"0-5k",S1394&lt;=10000,"5k-10k",S1394&lt;=15000,"10k-15k",TRUE,"15k+")</f>
        <v>5k-10k</v>
      </c>
      <c r="AN1394" t="str" cm="1">
        <f t="array" ref="AN1394">_xlfn.IFS(AF1394&lt;=10,"0-10",AF1394&lt;=20,"10-20",AF1394&lt;=30,"20-30",TRUE,"30+")</f>
        <v>0-10</v>
      </c>
      <c r="AO1394" t="str" cm="1">
        <f t="array" ref="AO1394">_xlfn.IFS(Y1394=1,"Poor",Y1394=2,"Average",Y1394=3,"Good",TRUE,"Excellent")</f>
        <v>Good</v>
      </c>
      <c r="AP1394" t="str" cm="1">
        <f t="array" ref="AP1394">_xlfn.IFS(Q1394=1,"Low",Q1394=2,"Medium",Q1394=3,"High",TRUE,"Very High")</f>
        <v>Very High</v>
      </c>
    </row>
    <row r="1395" spans="1:42" x14ac:dyDescent="0.25">
      <c r="A1395">
        <v>27</v>
      </c>
      <c r="B1395" t="s">
        <v>42</v>
      </c>
      <c r="C1395" t="s">
        <v>90</v>
      </c>
      <c r="D1395">
        <v>954</v>
      </c>
      <c r="E1395" t="s">
        <v>36</v>
      </c>
      <c r="F1395">
        <v>9</v>
      </c>
      <c r="G1395">
        <v>3</v>
      </c>
      <c r="H1395" t="s">
        <v>57</v>
      </c>
      <c r="I1395">
        <v>1</v>
      </c>
      <c r="J1395">
        <v>1965</v>
      </c>
      <c r="K1395">
        <v>4</v>
      </c>
      <c r="L1395" t="s">
        <v>44</v>
      </c>
      <c r="M1395">
        <v>44</v>
      </c>
      <c r="N1395">
        <v>3</v>
      </c>
      <c r="O1395">
        <v>2</v>
      </c>
      <c r="P1395" t="s">
        <v>39</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c r="AJ1395">
        <f t="shared" si="21"/>
        <v>0</v>
      </c>
      <c r="AK1395" t="str" cm="1">
        <f t="array" ref="AK1395">_xlfn.IFS(A1395&lt;=30,"18-30",A1395&lt;=45,"31-45",A1395&lt;=60,"46-60",TRUE, "60+")</f>
        <v>18-30</v>
      </c>
      <c r="AL1395" t="str" cm="1">
        <f t="array" ref="AL1395">_xlfn.IFS(F1395&lt;=10,"0-10",F1395&lt;=20,"11-20",TRUE,"20+")</f>
        <v>0-10</v>
      </c>
      <c r="AM1395" t="str" cm="1">
        <f t="array" ref="AM1395">_xlfn.IFS(S1395&lt;=5000,"0-5k",S1395&lt;=10000,"5k-10k",S1395&lt;=15000,"10k-15k",TRUE,"15k+")</f>
        <v>0-5k</v>
      </c>
      <c r="AN1395" t="str" cm="1">
        <f t="array" ref="AN1395">_xlfn.IFS(AF1395&lt;=10,"0-10",AF1395&lt;=20,"10-20",AF1395&lt;=30,"20-30",TRUE,"30+")</f>
        <v>0-10</v>
      </c>
      <c r="AO1395" t="str" cm="1">
        <f t="array" ref="AO1395">_xlfn.IFS(Y1395=1,"Poor",Y1395=2,"Average",Y1395=3,"Good",TRUE,"Excellent")</f>
        <v>Good</v>
      </c>
      <c r="AP1395" t="str" cm="1">
        <f t="array" ref="AP1395">_xlfn.IFS(Q1395=1,"Low",Q1395=2,"Medium",Q1395=3,"High",TRUE,"Very High")</f>
        <v>Very High</v>
      </c>
    </row>
    <row r="1396" spans="1:42" x14ac:dyDescent="0.25">
      <c r="A1396">
        <v>32</v>
      </c>
      <c r="B1396" t="s">
        <v>42</v>
      </c>
      <c r="C1396" t="s">
        <v>90</v>
      </c>
      <c r="D1396">
        <v>1373</v>
      </c>
      <c r="E1396" t="s">
        <v>43</v>
      </c>
      <c r="F1396">
        <v>5</v>
      </c>
      <c r="G1396">
        <v>4</v>
      </c>
      <c r="H1396" t="s">
        <v>37</v>
      </c>
      <c r="I1396">
        <v>1</v>
      </c>
      <c r="J1396">
        <v>1966</v>
      </c>
      <c r="K1396">
        <v>4</v>
      </c>
      <c r="L1396" t="s">
        <v>44</v>
      </c>
      <c r="M1396">
        <v>56</v>
      </c>
      <c r="N1396">
        <v>2</v>
      </c>
      <c r="O1396">
        <v>2</v>
      </c>
      <c r="P1396" t="s">
        <v>51</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c r="AJ1396">
        <f t="shared" si="21"/>
        <v>0</v>
      </c>
      <c r="AK1396" t="str" cm="1">
        <f t="array" ref="AK1396">_xlfn.IFS(A1396&lt;=30,"18-30",A1396&lt;=45,"31-45",A1396&lt;=60,"46-60",TRUE, "60+")</f>
        <v>31-45</v>
      </c>
      <c r="AL1396" t="str" cm="1">
        <f t="array" ref="AL1396">_xlfn.IFS(F1396&lt;=10,"0-10",F1396&lt;=20,"11-20",TRUE,"20+")</f>
        <v>0-10</v>
      </c>
      <c r="AM1396" t="str" cm="1">
        <f t="array" ref="AM1396">_xlfn.IFS(S1396&lt;=5000,"0-5k",S1396&lt;=10000,"5k-10k",S1396&lt;=15000,"10k-15k",TRUE,"15k+")</f>
        <v>5k-10k</v>
      </c>
      <c r="AN1396" t="str" cm="1">
        <f t="array" ref="AN1396">_xlfn.IFS(AF1396&lt;=10,"0-10",AF1396&lt;=20,"10-20",AF1396&lt;=30,"20-30",TRUE,"30+")</f>
        <v>0-10</v>
      </c>
      <c r="AO1396" t="str" cm="1">
        <f t="array" ref="AO1396">_xlfn.IFS(Y1396=1,"Poor",Y1396=2,"Average",Y1396=3,"Good",TRUE,"Excellent")</f>
        <v>Excellent</v>
      </c>
      <c r="AP1396" t="str" cm="1">
        <f t="array" ref="AP1396">_xlfn.IFS(Q1396=1,"Low",Q1396=2,"Medium",Q1396=3,"High",TRUE,"Very High")</f>
        <v>Very High</v>
      </c>
    </row>
    <row r="1397" spans="1:42" x14ac:dyDescent="0.25">
      <c r="A1397">
        <v>31</v>
      </c>
      <c r="B1397" t="s">
        <v>35</v>
      </c>
      <c r="C1397" t="s">
        <v>91</v>
      </c>
      <c r="D1397">
        <v>754</v>
      </c>
      <c r="E1397" t="s">
        <v>36</v>
      </c>
      <c r="F1397">
        <v>26</v>
      </c>
      <c r="G1397">
        <v>4</v>
      </c>
      <c r="H1397" t="s">
        <v>57</v>
      </c>
      <c r="I1397">
        <v>1</v>
      </c>
      <c r="J1397">
        <v>1967</v>
      </c>
      <c r="K1397">
        <v>1</v>
      </c>
      <c r="L1397" t="s">
        <v>44</v>
      </c>
      <c r="M1397">
        <v>63</v>
      </c>
      <c r="N1397">
        <v>3</v>
      </c>
      <c r="O1397">
        <v>2</v>
      </c>
      <c r="P1397" t="s">
        <v>39</v>
      </c>
      <c r="Q1397">
        <v>4</v>
      </c>
      <c r="R1397" t="s">
        <v>46</v>
      </c>
      <c r="S1397">
        <v>5617</v>
      </c>
      <c r="T1397">
        <v>21075</v>
      </c>
      <c r="U1397">
        <v>1</v>
      </c>
      <c r="V1397" t="s">
        <v>41</v>
      </c>
      <c r="W1397" t="s">
        <v>35</v>
      </c>
      <c r="X1397">
        <v>11</v>
      </c>
      <c r="Y1397">
        <v>3</v>
      </c>
      <c r="Z1397">
        <v>3</v>
      </c>
      <c r="AA1397">
        <v>80</v>
      </c>
      <c r="AB1397">
        <v>0</v>
      </c>
      <c r="AC1397">
        <v>10</v>
      </c>
      <c r="AD1397">
        <v>4</v>
      </c>
      <c r="AE1397">
        <v>3</v>
      </c>
      <c r="AF1397">
        <v>10</v>
      </c>
      <c r="AG1397">
        <v>7</v>
      </c>
      <c r="AH1397">
        <v>0</v>
      </c>
      <c r="AI1397">
        <v>8</v>
      </c>
      <c r="AJ1397">
        <f t="shared" si="21"/>
        <v>1</v>
      </c>
      <c r="AK1397" t="str" cm="1">
        <f t="array" ref="AK1397">_xlfn.IFS(A1397&lt;=30,"18-30",A1397&lt;=45,"31-45",A1397&lt;=60,"46-60",TRUE, "60+")</f>
        <v>31-45</v>
      </c>
      <c r="AL1397" t="str" cm="1">
        <f t="array" ref="AL1397">_xlfn.IFS(F1397&lt;=10,"0-10",F1397&lt;=20,"11-20",TRUE,"20+")</f>
        <v>20+</v>
      </c>
      <c r="AM1397" t="str" cm="1">
        <f t="array" ref="AM1397">_xlfn.IFS(S1397&lt;=5000,"0-5k",S1397&lt;=10000,"5k-10k",S1397&lt;=15000,"10k-15k",TRUE,"15k+")</f>
        <v>5k-10k</v>
      </c>
      <c r="AN1397" t="str" cm="1">
        <f t="array" ref="AN1397">_xlfn.IFS(AF1397&lt;=10,"0-10",AF1397&lt;=20,"10-20",AF1397&lt;=30,"20-30",TRUE,"30+")</f>
        <v>0-10</v>
      </c>
      <c r="AO1397" t="str" cm="1">
        <f t="array" ref="AO1397">_xlfn.IFS(Y1397=1,"Poor",Y1397=2,"Average",Y1397=3,"Good",TRUE,"Excellent")</f>
        <v>Good</v>
      </c>
      <c r="AP1397" t="str" cm="1">
        <f t="array" ref="AP1397">_xlfn.IFS(Q1397=1,"Low",Q1397=2,"Medium",Q1397=3,"High",TRUE,"Very High")</f>
        <v>Very High</v>
      </c>
    </row>
    <row r="1398" spans="1:42" x14ac:dyDescent="0.25">
      <c r="A1398">
        <v>53</v>
      </c>
      <c r="B1398" t="s">
        <v>35</v>
      </c>
      <c r="C1398" t="s">
        <v>90</v>
      </c>
      <c r="D1398">
        <v>1168</v>
      </c>
      <c r="E1398" t="s">
        <v>36</v>
      </c>
      <c r="F1398">
        <v>24</v>
      </c>
      <c r="G1398">
        <v>4</v>
      </c>
      <c r="H1398" t="s">
        <v>37</v>
      </c>
      <c r="I1398">
        <v>1</v>
      </c>
      <c r="J1398">
        <v>1968</v>
      </c>
      <c r="K1398">
        <v>1</v>
      </c>
      <c r="L1398" t="s">
        <v>44</v>
      </c>
      <c r="M1398">
        <v>66</v>
      </c>
      <c r="N1398">
        <v>3</v>
      </c>
      <c r="O1398">
        <v>3</v>
      </c>
      <c r="P1398" t="s">
        <v>39</v>
      </c>
      <c r="Q1398">
        <v>1</v>
      </c>
      <c r="R1398" t="s">
        <v>40</v>
      </c>
      <c r="S1398">
        <v>10448</v>
      </c>
      <c r="T1398">
        <v>5843</v>
      </c>
      <c r="U1398">
        <v>6</v>
      </c>
      <c r="V1398" t="s">
        <v>41</v>
      </c>
      <c r="W1398" t="s">
        <v>35</v>
      </c>
      <c r="X1398">
        <v>13</v>
      </c>
      <c r="Y1398">
        <v>3</v>
      </c>
      <c r="Z1398">
        <v>2</v>
      </c>
      <c r="AA1398">
        <v>80</v>
      </c>
      <c r="AB1398">
        <v>0</v>
      </c>
      <c r="AC1398">
        <v>15</v>
      </c>
      <c r="AD1398">
        <v>2</v>
      </c>
      <c r="AE1398">
        <v>2</v>
      </c>
      <c r="AF1398">
        <v>2</v>
      </c>
      <c r="AG1398">
        <v>2</v>
      </c>
      <c r="AH1398">
        <v>2</v>
      </c>
      <c r="AI1398">
        <v>2</v>
      </c>
      <c r="AJ1398">
        <f t="shared" si="21"/>
        <v>1</v>
      </c>
      <c r="AK1398" t="str" cm="1">
        <f t="array" ref="AK1398">_xlfn.IFS(A1398&lt;=30,"18-30",A1398&lt;=45,"31-45",A1398&lt;=60,"46-60",TRUE, "60+")</f>
        <v>46-60</v>
      </c>
      <c r="AL1398" t="str" cm="1">
        <f t="array" ref="AL1398">_xlfn.IFS(F1398&lt;=10,"0-10",F1398&lt;=20,"11-20",TRUE,"20+")</f>
        <v>20+</v>
      </c>
      <c r="AM1398" t="str" cm="1">
        <f t="array" ref="AM1398">_xlfn.IFS(S1398&lt;=5000,"0-5k",S1398&lt;=10000,"5k-10k",S1398&lt;=15000,"10k-15k",TRUE,"15k+")</f>
        <v>10k-15k</v>
      </c>
      <c r="AN1398" t="str" cm="1">
        <f t="array" ref="AN1398">_xlfn.IFS(AF1398&lt;=10,"0-10",AF1398&lt;=20,"10-20",AF1398&lt;=30,"20-30",TRUE,"30+")</f>
        <v>0-10</v>
      </c>
      <c r="AO1398" t="str" cm="1">
        <f t="array" ref="AO1398">_xlfn.IFS(Y1398=1,"Poor",Y1398=2,"Average",Y1398=3,"Good",TRUE,"Excellent")</f>
        <v>Good</v>
      </c>
      <c r="AP1398" t="str" cm="1">
        <f t="array" ref="AP1398">_xlfn.IFS(Q1398=1,"Low",Q1398=2,"Medium",Q1398=3,"High",TRUE,"Very High")</f>
        <v>Low</v>
      </c>
    </row>
    <row r="1399" spans="1:42" x14ac:dyDescent="0.25">
      <c r="A1399">
        <v>54</v>
      </c>
      <c r="B1399" t="s">
        <v>42</v>
      </c>
      <c r="C1399" t="s">
        <v>90</v>
      </c>
      <c r="D1399">
        <v>155</v>
      </c>
      <c r="E1399" t="s">
        <v>43</v>
      </c>
      <c r="F1399">
        <v>9</v>
      </c>
      <c r="G1399">
        <v>2</v>
      </c>
      <c r="H1399" t="s">
        <v>37</v>
      </c>
      <c r="I1399">
        <v>1</v>
      </c>
      <c r="J1399">
        <v>1969</v>
      </c>
      <c r="K1399">
        <v>1</v>
      </c>
      <c r="L1399" t="s">
        <v>38</v>
      </c>
      <c r="M1399">
        <v>67</v>
      </c>
      <c r="N1399">
        <v>3</v>
      </c>
      <c r="O1399">
        <v>2</v>
      </c>
      <c r="P1399" t="s">
        <v>45</v>
      </c>
      <c r="Q1399">
        <v>3</v>
      </c>
      <c r="R1399" t="s">
        <v>46</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c r="AJ1399">
        <f t="shared" si="21"/>
        <v>0</v>
      </c>
      <c r="AK1399" t="str" cm="1">
        <f t="array" ref="AK1399">_xlfn.IFS(A1399&lt;=30,"18-30",A1399&lt;=45,"31-45",A1399&lt;=60,"46-60",TRUE, "60+")</f>
        <v>46-60</v>
      </c>
      <c r="AL1399" t="str" cm="1">
        <f t="array" ref="AL1399">_xlfn.IFS(F1399&lt;=10,"0-10",F1399&lt;=20,"11-20",TRUE,"20+")</f>
        <v>0-10</v>
      </c>
      <c r="AM1399" t="str" cm="1">
        <f t="array" ref="AM1399">_xlfn.IFS(S1399&lt;=5000,"0-5k",S1399&lt;=10000,"5k-10k",S1399&lt;=15000,"10k-15k",TRUE,"15k+")</f>
        <v>0-5k</v>
      </c>
      <c r="AN1399" t="str" cm="1">
        <f t="array" ref="AN1399">_xlfn.IFS(AF1399&lt;=10,"0-10",AF1399&lt;=20,"10-20",AF1399&lt;=30,"20-30",TRUE,"30+")</f>
        <v>0-10</v>
      </c>
      <c r="AO1399" t="str" cm="1">
        <f t="array" ref="AO1399">_xlfn.IFS(Y1399=1,"Poor",Y1399=2,"Average",Y1399=3,"Good",TRUE,"Excellent")</f>
        <v>Good</v>
      </c>
      <c r="AP1399" t="str" cm="1">
        <f t="array" ref="AP1399">_xlfn.IFS(Q1399=1,"Low",Q1399=2,"Medium",Q1399=3,"High",TRUE,"Very High")</f>
        <v>High</v>
      </c>
    </row>
    <row r="1400" spans="1:42" x14ac:dyDescent="0.25">
      <c r="A1400">
        <v>33</v>
      </c>
      <c r="B1400" t="s">
        <v>42</v>
      </c>
      <c r="C1400" t="s">
        <v>91</v>
      </c>
      <c r="D1400">
        <v>1303</v>
      </c>
      <c r="E1400" t="s">
        <v>43</v>
      </c>
      <c r="F1400">
        <v>7</v>
      </c>
      <c r="G1400">
        <v>2</v>
      </c>
      <c r="H1400" t="s">
        <v>37</v>
      </c>
      <c r="I1400">
        <v>1</v>
      </c>
      <c r="J1400">
        <v>1970</v>
      </c>
      <c r="K1400">
        <v>4</v>
      </c>
      <c r="L1400" t="s">
        <v>44</v>
      </c>
      <c r="M1400">
        <v>36</v>
      </c>
      <c r="N1400">
        <v>3</v>
      </c>
      <c r="O1400">
        <v>2</v>
      </c>
      <c r="P1400" t="s">
        <v>52</v>
      </c>
      <c r="Q1400">
        <v>3</v>
      </c>
      <c r="R1400" t="s">
        <v>50</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c r="AJ1400">
        <f t="shared" si="21"/>
        <v>0</v>
      </c>
      <c r="AK1400" t="str" cm="1">
        <f t="array" ref="AK1400">_xlfn.IFS(A1400&lt;=30,"18-30",A1400&lt;=45,"31-45",A1400&lt;=60,"46-60",TRUE, "60+")</f>
        <v>31-45</v>
      </c>
      <c r="AL1400" t="str" cm="1">
        <f t="array" ref="AL1400">_xlfn.IFS(F1400&lt;=10,"0-10",F1400&lt;=20,"11-20",TRUE,"20+")</f>
        <v>0-10</v>
      </c>
      <c r="AM1400" t="str" cm="1">
        <f t="array" ref="AM1400">_xlfn.IFS(S1400&lt;=5000,"0-5k",S1400&lt;=10000,"5k-10k",S1400&lt;=15000,"10k-15k",TRUE,"15k+")</f>
        <v>5k-10k</v>
      </c>
      <c r="AN1400" t="str" cm="1">
        <f t="array" ref="AN1400">_xlfn.IFS(AF1400&lt;=10,"0-10",AF1400&lt;=20,"10-20",AF1400&lt;=30,"20-30",TRUE,"30+")</f>
        <v>0-10</v>
      </c>
      <c r="AO1400" t="str" cm="1">
        <f t="array" ref="AO1400">_xlfn.IFS(Y1400=1,"Poor",Y1400=2,"Average",Y1400=3,"Good",TRUE,"Excellent")</f>
        <v>Excellent</v>
      </c>
      <c r="AP1400" t="str" cm="1">
        <f t="array" ref="AP1400">_xlfn.IFS(Q1400=1,"Low",Q1400=2,"Medium",Q1400=3,"High",TRUE,"Very High")</f>
        <v>High</v>
      </c>
    </row>
    <row r="1401" spans="1:42" x14ac:dyDescent="0.25">
      <c r="A1401">
        <v>43</v>
      </c>
      <c r="B1401" t="s">
        <v>42</v>
      </c>
      <c r="C1401" t="s">
        <v>90</v>
      </c>
      <c r="D1401">
        <v>574</v>
      </c>
      <c r="E1401" t="s">
        <v>43</v>
      </c>
      <c r="F1401">
        <v>11</v>
      </c>
      <c r="G1401">
        <v>3</v>
      </c>
      <c r="H1401" t="s">
        <v>37</v>
      </c>
      <c r="I1401">
        <v>1</v>
      </c>
      <c r="J1401">
        <v>1971</v>
      </c>
      <c r="K1401">
        <v>1</v>
      </c>
      <c r="L1401" t="s">
        <v>44</v>
      </c>
      <c r="M1401">
        <v>30</v>
      </c>
      <c r="N1401">
        <v>3</v>
      </c>
      <c r="O1401">
        <v>3</v>
      </c>
      <c r="P1401" t="s">
        <v>52</v>
      </c>
      <c r="Q1401">
        <v>3</v>
      </c>
      <c r="R1401" t="s">
        <v>46</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c r="AJ1401">
        <f t="shared" si="21"/>
        <v>0</v>
      </c>
      <c r="AK1401" t="str" cm="1">
        <f t="array" ref="AK1401">_xlfn.IFS(A1401&lt;=30,"18-30",A1401&lt;=45,"31-45",A1401&lt;=60,"46-60",TRUE, "60+")</f>
        <v>31-45</v>
      </c>
      <c r="AL1401" t="str" cm="1">
        <f t="array" ref="AL1401">_xlfn.IFS(F1401&lt;=10,"0-10",F1401&lt;=20,"11-20",TRUE,"20+")</f>
        <v>11-20</v>
      </c>
      <c r="AM1401" t="str" cm="1">
        <f t="array" ref="AM1401">_xlfn.IFS(S1401&lt;=5000,"0-5k",S1401&lt;=10000,"5k-10k",S1401&lt;=15000,"10k-15k",TRUE,"15k+")</f>
        <v>5k-10k</v>
      </c>
      <c r="AN1401" t="str" cm="1">
        <f t="array" ref="AN1401">_xlfn.IFS(AF1401&lt;=10,"0-10",AF1401&lt;=20,"10-20",AF1401&lt;=30,"20-30",TRUE,"30+")</f>
        <v>0-10</v>
      </c>
      <c r="AO1401" t="str" cm="1">
        <f t="array" ref="AO1401">_xlfn.IFS(Y1401=1,"Poor",Y1401=2,"Average",Y1401=3,"Good",TRUE,"Excellent")</f>
        <v>Good</v>
      </c>
      <c r="AP1401" t="str" cm="1">
        <f t="array" ref="AP1401">_xlfn.IFS(Q1401=1,"Low",Q1401=2,"Medium",Q1401=3,"High",TRUE,"Very High")</f>
        <v>High</v>
      </c>
    </row>
    <row r="1402" spans="1:42" x14ac:dyDescent="0.25">
      <c r="A1402">
        <v>38</v>
      </c>
      <c r="B1402" t="s">
        <v>42</v>
      </c>
      <c r="C1402" t="s">
        <v>91</v>
      </c>
      <c r="D1402">
        <v>1444</v>
      </c>
      <c r="E1402" t="s">
        <v>59</v>
      </c>
      <c r="F1402">
        <v>1</v>
      </c>
      <c r="G1402">
        <v>4</v>
      </c>
      <c r="H1402" t="s">
        <v>47</v>
      </c>
      <c r="I1402">
        <v>1</v>
      </c>
      <c r="J1402">
        <v>1972</v>
      </c>
      <c r="K1402">
        <v>4</v>
      </c>
      <c r="L1402" t="s">
        <v>44</v>
      </c>
      <c r="M1402">
        <v>88</v>
      </c>
      <c r="N1402">
        <v>3</v>
      </c>
      <c r="O1402">
        <v>1</v>
      </c>
      <c r="P1402" t="s">
        <v>59</v>
      </c>
      <c r="Q1402">
        <v>2</v>
      </c>
      <c r="R1402" t="s">
        <v>46</v>
      </c>
      <c r="S1402">
        <v>2991</v>
      </c>
      <c r="T1402">
        <v>5224</v>
      </c>
      <c r="U1402">
        <v>0</v>
      </c>
      <c r="V1402" t="s">
        <v>41</v>
      </c>
      <c r="W1402" t="s">
        <v>35</v>
      </c>
      <c r="X1402">
        <v>11</v>
      </c>
      <c r="Y1402">
        <v>3</v>
      </c>
      <c r="Z1402">
        <v>2</v>
      </c>
      <c r="AA1402">
        <v>80</v>
      </c>
      <c r="AB1402">
        <v>1</v>
      </c>
      <c r="AC1402">
        <v>7</v>
      </c>
      <c r="AD1402">
        <v>2</v>
      </c>
      <c r="AE1402">
        <v>3</v>
      </c>
      <c r="AF1402">
        <v>6</v>
      </c>
      <c r="AG1402">
        <v>2</v>
      </c>
      <c r="AH1402">
        <v>1</v>
      </c>
      <c r="AI1402">
        <v>2</v>
      </c>
      <c r="AJ1402">
        <f t="shared" si="21"/>
        <v>0</v>
      </c>
      <c r="AK1402" t="str" cm="1">
        <f t="array" ref="AK1402">_xlfn.IFS(A1402&lt;=30,"18-30",A1402&lt;=45,"31-45",A1402&lt;=60,"46-60",TRUE, "60+")</f>
        <v>31-45</v>
      </c>
      <c r="AL1402" t="str" cm="1">
        <f t="array" ref="AL1402">_xlfn.IFS(F1402&lt;=10,"0-10",F1402&lt;=20,"11-20",TRUE,"20+")</f>
        <v>0-10</v>
      </c>
      <c r="AM1402" t="str" cm="1">
        <f t="array" ref="AM1402">_xlfn.IFS(S1402&lt;=5000,"0-5k",S1402&lt;=10000,"5k-10k",S1402&lt;=15000,"10k-15k",TRUE,"15k+")</f>
        <v>0-5k</v>
      </c>
      <c r="AN1402" t="str" cm="1">
        <f t="array" ref="AN1402">_xlfn.IFS(AF1402&lt;=10,"0-10",AF1402&lt;=20,"10-20",AF1402&lt;=30,"20-30",TRUE,"30+")</f>
        <v>0-10</v>
      </c>
      <c r="AO1402" t="str" cm="1">
        <f t="array" ref="AO1402">_xlfn.IFS(Y1402=1,"Poor",Y1402=2,"Average",Y1402=3,"Good",TRUE,"Excellent")</f>
        <v>Good</v>
      </c>
      <c r="AP1402" t="str" cm="1">
        <f t="array" ref="AP1402">_xlfn.IFS(Q1402=1,"Low",Q1402=2,"Medium",Q1402=3,"High",TRUE,"Very High")</f>
        <v>Medium</v>
      </c>
    </row>
    <row r="1403" spans="1:42" x14ac:dyDescent="0.25">
      <c r="A1403">
        <v>55</v>
      </c>
      <c r="B1403" t="s">
        <v>42</v>
      </c>
      <c r="C1403" t="s">
        <v>90</v>
      </c>
      <c r="D1403">
        <v>189</v>
      </c>
      <c r="E1403" t="s">
        <v>59</v>
      </c>
      <c r="F1403">
        <v>26</v>
      </c>
      <c r="G1403">
        <v>4</v>
      </c>
      <c r="H1403" t="s">
        <v>59</v>
      </c>
      <c r="I1403">
        <v>1</v>
      </c>
      <c r="J1403">
        <v>1973</v>
      </c>
      <c r="K1403">
        <v>3</v>
      </c>
      <c r="L1403" t="s">
        <v>44</v>
      </c>
      <c r="M1403">
        <v>71</v>
      </c>
      <c r="N1403">
        <v>4</v>
      </c>
      <c r="O1403">
        <v>5</v>
      </c>
      <c r="P1403" t="s">
        <v>54</v>
      </c>
      <c r="Q1403">
        <v>2</v>
      </c>
      <c r="R1403" t="s">
        <v>46</v>
      </c>
      <c r="S1403">
        <v>19636</v>
      </c>
      <c r="T1403">
        <v>25811</v>
      </c>
      <c r="U1403">
        <v>4</v>
      </c>
      <c r="V1403" t="s">
        <v>41</v>
      </c>
      <c r="W1403" t="s">
        <v>35</v>
      </c>
      <c r="X1403">
        <v>18</v>
      </c>
      <c r="Y1403">
        <v>3</v>
      </c>
      <c r="Z1403">
        <v>1</v>
      </c>
      <c r="AA1403">
        <v>80</v>
      </c>
      <c r="AB1403">
        <v>1</v>
      </c>
      <c r="AC1403">
        <v>35</v>
      </c>
      <c r="AD1403">
        <v>0</v>
      </c>
      <c r="AE1403">
        <v>3</v>
      </c>
      <c r="AF1403">
        <v>10</v>
      </c>
      <c r="AG1403">
        <v>9</v>
      </c>
      <c r="AH1403">
        <v>1</v>
      </c>
      <c r="AI1403">
        <v>4</v>
      </c>
      <c r="AJ1403">
        <f t="shared" si="21"/>
        <v>0</v>
      </c>
      <c r="AK1403" t="str" cm="1">
        <f t="array" ref="AK1403">_xlfn.IFS(A1403&lt;=30,"18-30",A1403&lt;=45,"31-45",A1403&lt;=60,"46-60",TRUE, "60+")</f>
        <v>46-60</v>
      </c>
      <c r="AL1403" t="str" cm="1">
        <f t="array" ref="AL1403">_xlfn.IFS(F1403&lt;=10,"0-10",F1403&lt;=20,"11-20",TRUE,"20+")</f>
        <v>20+</v>
      </c>
      <c r="AM1403" t="str" cm="1">
        <f t="array" ref="AM1403">_xlfn.IFS(S1403&lt;=5000,"0-5k",S1403&lt;=10000,"5k-10k",S1403&lt;=15000,"10k-15k",TRUE,"15k+")</f>
        <v>15k+</v>
      </c>
      <c r="AN1403" t="str" cm="1">
        <f t="array" ref="AN1403">_xlfn.IFS(AF1403&lt;=10,"0-10",AF1403&lt;=20,"10-20",AF1403&lt;=30,"20-30",TRUE,"30+")</f>
        <v>0-10</v>
      </c>
      <c r="AO1403" t="str" cm="1">
        <f t="array" ref="AO1403">_xlfn.IFS(Y1403=1,"Poor",Y1403=2,"Average",Y1403=3,"Good",TRUE,"Excellent")</f>
        <v>Good</v>
      </c>
      <c r="AP1403" t="str" cm="1">
        <f t="array" ref="AP1403">_xlfn.IFS(Q1403=1,"Low",Q1403=2,"Medium",Q1403=3,"High",TRUE,"Very High")</f>
        <v>Medium</v>
      </c>
    </row>
    <row r="1404" spans="1:42" x14ac:dyDescent="0.25">
      <c r="A1404">
        <v>31</v>
      </c>
      <c r="B1404" t="s">
        <v>42</v>
      </c>
      <c r="C1404" t="s">
        <v>90</v>
      </c>
      <c r="D1404">
        <v>1276</v>
      </c>
      <c r="E1404" t="s">
        <v>43</v>
      </c>
      <c r="F1404">
        <v>2</v>
      </c>
      <c r="G1404">
        <v>1</v>
      </c>
      <c r="H1404" t="s">
        <v>49</v>
      </c>
      <c r="I1404">
        <v>1</v>
      </c>
      <c r="J1404">
        <v>1974</v>
      </c>
      <c r="K1404">
        <v>4</v>
      </c>
      <c r="L1404" t="s">
        <v>38</v>
      </c>
      <c r="M1404">
        <v>59</v>
      </c>
      <c r="N1404">
        <v>1</v>
      </c>
      <c r="O1404">
        <v>1</v>
      </c>
      <c r="P1404" t="s">
        <v>48</v>
      </c>
      <c r="Q1404">
        <v>4</v>
      </c>
      <c r="R1404" t="s">
        <v>50</v>
      </c>
      <c r="S1404">
        <v>1129</v>
      </c>
      <c r="T1404">
        <v>17536</v>
      </c>
      <c r="U1404">
        <v>1</v>
      </c>
      <c r="V1404" t="s">
        <v>41</v>
      </c>
      <c r="W1404" t="s">
        <v>35</v>
      </c>
      <c r="X1404">
        <v>11</v>
      </c>
      <c r="Y1404">
        <v>3</v>
      </c>
      <c r="Z1404">
        <v>3</v>
      </c>
      <c r="AA1404">
        <v>80</v>
      </c>
      <c r="AB1404">
        <v>3</v>
      </c>
      <c r="AC1404">
        <v>1</v>
      </c>
      <c r="AD1404">
        <v>4</v>
      </c>
      <c r="AE1404">
        <v>3</v>
      </c>
      <c r="AF1404">
        <v>1</v>
      </c>
      <c r="AG1404">
        <v>0</v>
      </c>
      <c r="AH1404">
        <v>0</v>
      </c>
      <c r="AI1404">
        <v>0</v>
      </c>
      <c r="AJ1404">
        <f t="shared" si="21"/>
        <v>0</v>
      </c>
      <c r="AK1404" t="str" cm="1">
        <f t="array" ref="AK1404">_xlfn.IFS(A1404&lt;=30,"18-30",A1404&lt;=45,"31-45",A1404&lt;=60,"46-60",TRUE, "60+")</f>
        <v>31-45</v>
      </c>
      <c r="AL1404" t="str" cm="1">
        <f t="array" ref="AL1404">_xlfn.IFS(F1404&lt;=10,"0-10",F1404&lt;=20,"11-20",TRUE,"20+")</f>
        <v>0-10</v>
      </c>
      <c r="AM1404" t="str" cm="1">
        <f t="array" ref="AM1404">_xlfn.IFS(S1404&lt;=5000,"0-5k",S1404&lt;=10000,"5k-10k",S1404&lt;=15000,"10k-15k",TRUE,"15k+")</f>
        <v>0-5k</v>
      </c>
      <c r="AN1404" t="str" cm="1">
        <f t="array" ref="AN1404">_xlfn.IFS(AF1404&lt;=10,"0-10",AF1404&lt;=20,"10-20",AF1404&lt;=30,"20-30",TRUE,"30+")</f>
        <v>0-10</v>
      </c>
      <c r="AO1404" t="str" cm="1">
        <f t="array" ref="AO1404">_xlfn.IFS(Y1404=1,"Poor",Y1404=2,"Average",Y1404=3,"Good",TRUE,"Excellent")</f>
        <v>Good</v>
      </c>
      <c r="AP1404" t="str" cm="1">
        <f t="array" ref="AP1404">_xlfn.IFS(Q1404=1,"Low",Q1404=2,"Medium",Q1404=3,"High",TRUE,"Very High")</f>
        <v>Very High</v>
      </c>
    </row>
    <row r="1405" spans="1:42" x14ac:dyDescent="0.25">
      <c r="A1405">
        <v>39</v>
      </c>
      <c r="B1405" t="s">
        <v>42</v>
      </c>
      <c r="C1405" t="s">
        <v>90</v>
      </c>
      <c r="D1405">
        <v>119</v>
      </c>
      <c r="E1405" t="s">
        <v>36</v>
      </c>
      <c r="F1405">
        <v>15</v>
      </c>
      <c r="G1405">
        <v>4</v>
      </c>
      <c r="H1405" t="s">
        <v>57</v>
      </c>
      <c r="I1405">
        <v>1</v>
      </c>
      <c r="J1405">
        <v>1975</v>
      </c>
      <c r="K1405">
        <v>2</v>
      </c>
      <c r="L1405" t="s">
        <v>44</v>
      </c>
      <c r="M1405">
        <v>77</v>
      </c>
      <c r="N1405">
        <v>3</v>
      </c>
      <c r="O1405">
        <v>4</v>
      </c>
      <c r="P1405" t="s">
        <v>39</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c r="AJ1405">
        <f t="shared" si="21"/>
        <v>0</v>
      </c>
      <c r="AK1405" t="str" cm="1">
        <f t="array" ref="AK1405">_xlfn.IFS(A1405&lt;=30,"18-30",A1405&lt;=45,"31-45",A1405&lt;=60,"46-60",TRUE, "60+")</f>
        <v>31-45</v>
      </c>
      <c r="AL1405" t="str" cm="1">
        <f t="array" ref="AL1405">_xlfn.IFS(F1405&lt;=10,"0-10",F1405&lt;=20,"11-20",TRUE,"20+")</f>
        <v>11-20</v>
      </c>
      <c r="AM1405" t="str" cm="1">
        <f t="array" ref="AM1405">_xlfn.IFS(S1405&lt;=5000,"0-5k",S1405&lt;=10000,"5k-10k",S1405&lt;=15000,"10k-15k",TRUE,"15k+")</f>
        <v>10k-15k</v>
      </c>
      <c r="AN1405" t="str" cm="1">
        <f t="array" ref="AN1405">_xlfn.IFS(AF1405&lt;=10,"0-10",AF1405&lt;=20,"10-20",AF1405&lt;=30,"20-30",TRUE,"30+")</f>
        <v>10-20</v>
      </c>
      <c r="AO1405" t="str" cm="1">
        <f t="array" ref="AO1405">_xlfn.IFS(Y1405=1,"Poor",Y1405=2,"Average",Y1405=3,"Good",TRUE,"Excellent")</f>
        <v>Good</v>
      </c>
      <c r="AP1405" t="str" cm="1">
        <f t="array" ref="AP1405">_xlfn.IFS(Q1405=1,"Low",Q1405=2,"Medium",Q1405=3,"High",TRUE,"Very High")</f>
        <v>Low</v>
      </c>
    </row>
    <row r="1406" spans="1:42" x14ac:dyDescent="0.25">
      <c r="A1406">
        <v>42</v>
      </c>
      <c r="B1406" t="s">
        <v>42</v>
      </c>
      <c r="C1406" t="s">
        <v>53</v>
      </c>
      <c r="D1406">
        <v>335</v>
      </c>
      <c r="E1406" t="s">
        <v>43</v>
      </c>
      <c r="F1406">
        <v>23</v>
      </c>
      <c r="G1406">
        <v>2</v>
      </c>
      <c r="H1406" t="s">
        <v>37</v>
      </c>
      <c r="I1406">
        <v>1</v>
      </c>
      <c r="J1406">
        <v>1976</v>
      </c>
      <c r="K1406">
        <v>4</v>
      </c>
      <c r="L1406" t="s">
        <v>44</v>
      </c>
      <c r="M1406">
        <v>37</v>
      </c>
      <c r="N1406">
        <v>2</v>
      </c>
      <c r="O1406">
        <v>2</v>
      </c>
      <c r="P1406" t="s">
        <v>45</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c r="AJ1406">
        <f t="shared" si="21"/>
        <v>0</v>
      </c>
      <c r="AK1406" t="str" cm="1">
        <f t="array" ref="AK1406">_xlfn.IFS(A1406&lt;=30,"18-30",A1406&lt;=45,"31-45",A1406&lt;=60,"46-60",TRUE, "60+")</f>
        <v>31-45</v>
      </c>
      <c r="AL1406" t="str" cm="1">
        <f t="array" ref="AL1406">_xlfn.IFS(F1406&lt;=10,"0-10",F1406&lt;=20,"11-20",TRUE,"20+")</f>
        <v>20+</v>
      </c>
      <c r="AM1406" t="str" cm="1">
        <f t="array" ref="AM1406">_xlfn.IFS(S1406&lt;=5000,"0-5k",S1406&lt;=10000,"5k-10k",S1406&lt;=15000,"10k-15k",TRUE,"15k+")</f>
        <v>0-5k</v>
      </c>
      <c r="AN1406" t="str" cm="1">
        <f t="array" ref="AN1406">_xlfn.IFS(AF1406&lt;=10,"0-10",AF1406&lt;=20,"10-20",AF1406&lt;=30,"20-30",TRUE,"30+")</f>
        <v>10-20</v>
      </c>
      <c r="AO1406" t="str" cm="1">
        <f t="array" ref="AO1406">_xlfn.IFS(Y1406=1,"Poor",Y1406=2,"Average",Y1406=3,"Good",TRUE,"Excellent")</f>
        <v>Good</v>
      </c>
      <c r="AP1406" t="str" cm="1">
        <f t="array" ref="AP1406">_xlfn.IFS(Q1406=1,"Low",Q1406=2,"Medium",Q1406=3,"High",TRUE,"Very High")</f>
        <v>High</v>
      </c>
    </row>
    <row r="1407" spans="1:42" x14ac:dyDescent="0.25">
      <c r="A1407">
        <v>31</v>
      </c>
      <c r="B1407" t="s">
        <v>42</v>
      </c>
      <c r="C1407" t="s">
        <v>53</v>
      </c>
      <c r="D1407">
        <v>697</v>
      </c>
      <c r="E1407" t="s">
        <v>43</v>
      </c>
      <c r="F1407">
        <v>10</v>
      </c>
      <c r="G1407">
        <v>3</v>
      </c>
      <c r="H1407" t="s">
        <v>49</v>
      </c>
      <c r="I1407">
        <v>1</v>
      </c>
      <c r="J1407">
        <v>1979</v>
      </c>
      <c r="K1407">
        <v>3</v>
      </c>
      <c r="L1407" t="s">
        <v>38</v>
      </c>
      <c r="M1407">
        <v>40</v>
      </c>
      <c r="N1407">
        <v>3</v>
      </c>
      <c r="O1407">
        <v>3</v>
      </c>
      <c r="P1407" t="s">
        <v>56</v>
      </c>
      <c r="Q1407">
        <v>3</v>
      </c>
      <c r="R1407" t="s">
        <v>46</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c r="AJ1407">
        <f t="shared" si="21"/>
        <v>0</v>
      </c>
      <c r="AK1407" t="str" cm="1">
        <f t="array" ref="AK1407">_xlfn.IFS(A1407&lt;=30,"18-30",A1407&lt;=45,"31-45",A1407&lt;=60,"46-60",TRUE, "60+")</f>
        <v>31-45</v>
      </c>
      <c r="AL1407" t="str" cm="1">
        <f t="array" ref="AL1407">_xlfn.IFS(F1407&lt;=10,"0-10",F1407&lt;=20,"11-20",TRUE,"20+")</f>
        <v>0-10</v>
      </c>
      <c r="AM1407" t="str" cm="1">
        <f t="array" ref="AM1407">_xlfn.IFS(S1407&lt;=5000,"0-5k",S1407&lt;=10000,"5k-10k",S1407&lt;=15000,"10k-15k",TRUE,"15k+")</f>
        <v>10k-15k</v>
      </c>
      <c r="AN1407" t="str" cm="1">
        <f t="array" ref="AN1407">_xlfn.IFS(AF1407&lt;=10,"0-10",AF1407&lt;=20,"10-20",AF1407&lt;=30,"20-30",TRUE,"30+")</f>
        <v>10-20</v>
      </c>
      <c r="AO1407" t="str" cm="1">
        <f t="array" ref="AO1407">_xlfn.IFS(Y1407=1,"Poor",Y1407=2,"Average",Y1407=3,"Good",TRUE,"Excellent")</f>
        <v>Excellent</v>
      </c>
      <c r="AP1407" t="str" cm="1">
        <f t="array" ref="AP1407">_xlfn.IFS(Q1407=1,"Low",Q1407=2,"Medium",Q1407=3,"High",TRUE,"Very High")</f>
        <v>High</v>
      </c>
    </row>
    <row r="1408" spans="1:42" x14ac:dyDescent="0.25">
      <c r="A1408">
        <v>54</v>
      </c>
      <c r="B1408" t="s">
        <v>42</v>
      </c>
      <c r="C1408" t="s">
        <v>90</v>
      </c>
      <c r="D1408">
        <v>157</v>
      </c>
      <c r="E1408" t="s">
        <v>43</v>
      </c>
      <c r="F1408">
        <v>10</v>
      </c>
      <c r="G1408">
        <v>3</v>
      </c>
      <c r="H1408" t="s">
        <v>49</v>
      </c>
      <c r="I1408">
        <v>1</v>
      </c>
      <c r="J1408">
        <v>1980</v>
      </c>
      <c r="K1408">
        <v>3</v>
      </c>
      <c r="L1408" t="s">
        <v>38</v>
      </c>
      <c r="M1408">
        <v>77</v>
      </c>
      <c r="N1408">
        <v>3</v>
      </c>
      <c r="O1408">
        <v>2</v>
      </c>
      <c r="P1408" t="s">
        <v>51</v>
      </c>
      <c r="Q1408">
        <v>1</v>
      </c>
      <c r="R1408" t="s">
        <v>40</v>
      </c>
      <c r="S1408">
        <v>4440</v>
      </c>
      <c r="T1408">
        <v>25198</v>
      </c>
      <c r="U1408">
        <v>6</v>
      </c>
      <c r="V1408" t="s">
        <v>41</v>
      </c>
      <c r="W1408" t="s">
        <v>35</v>
      </c>
      <c r="X1408">
        <v>19</v>
      </c>
      <c r="Y1408">
        <v>3</v>
      </c>
      <c r="Z1408">
        <v>4</v>
      </c>
      <c r="AA1408">
        <v>80</v>
      </c>
      <c r="AB1408">
        <v>0</v>
      </c>
      <c r="AC1408">
        <v>9</v>
      </c>
      <c r="AD1408">
        <v>3</v>
      </c>
      <c r="AE1408">
        <v>3</v>
      </c>
      <c r="AF1408">
        <v>5</v>
      </c>
      <c r="AG1408">
        <v>2</v>
      </c>
      <c r="AH1408">
        <v>1</v>
      </c>
      <c r="AI1408">
        <v>4</v>
      </c>
      <c r="AJ1408">
        <f t="shared" si="21"/>
        <v>0</v>
      </c>
      <c r="AK1408" t="str" cm="1">
        <f t="array" ref="AK1408">_xlfn.IFS(A1408&lt;=30,"18-30",A1408&lt;=45,"31-45",A1408&lt;=60,"46-60",TRUE, "60+")</f>
        <v>46-60</v>
      </c>
      <c r="AL1408" t="str" cm="1">
        <f t="array" ref="AL1408">_xlfn.IFS(F1408&lt;=10,"0-10",F1408&lt;=20,"11-20",TRUE,"20+")</f>
        <v>0-10</v>
      </c>
      <c r="AM1408" t="str" cm="1">
        <f t="array" ref="AM1408">_xlfn.IFS(S1408&lt;=5000,"0-5k",S1408&lt;=10000,"5k-10k",S1408&lt;=15000,"10k-15k",TRUE,"15k+")</f>
        <v>0-5k</v>
      </c>
      <c r="AN1408" t="str" cm="1">
        <f t="array" ref="AN1408">_xlfn.IFS(AF1408&lt;=10,"0-10",AF1408&lt;=20,"10-20",AF1408&lt;=30,"20-30",TRUE,"30+")</f>
        <v>0-10</v>
      </c>
      <c r="AO1408" t="str" cm="1">
        <f t="array" ref="AO1408">_xlfn.IFS(Y1408=1,"Poor",Y1408=2,"Average",Y1408=3,"Good",TRUE,"Excellent")</f>
        <v>Good</v>
      </c>
      <c r="AP1408" t="str" cm="1">
        <f t="array" ref="AP1408">_xlfn.IFS(Q1408=1,"Low",Q1408=2,"Medium",Q1408=3,"High",TRUE,"Very High")</f>
        <v>Low</v>
      </c>
    </row>
    <row r="1409" spans="1:42" x14ac:dyDescent="0.25">
      <c r="A1409">
        <v>24</v>
      </c>
      <c r="B1409" t="s">
        <v>42</v>
      </c>
      <c r="C1409" t="s">
        <v>90</v>
      </c>
      <c r="D1409">
        <v>771</v>
      </c>
      <c r="E1409" t="s">
        <v>43</v>
      </c>
      <c r="F1409">
        <v>1</v>
      </c>
      <c r="G1409">
        <v>2</v>
      </c>
      <c r="H1409" t="s">
        <v>37</v>
      </c>
      <c r="I1409">
        <v>1</v>
      </c>
      <c r="J1409">
        <v>1981</v>
      </c>
      <c r="K1409">
        <v>2</v>
      </c>
      <c r="L1409" t="s">
        <v>44</v>
      </c>
      <c r="M1409">
        <v>45</v>
      </c>
      <c r="N1409">
        <v>2</v>
      </c>
      <c r="O1409">
        <v>2</v>
      </c>
      <c r="P1409" t="s">
        <v>52</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c r="AJ1409">
        <f t="shared" si="21"/>
        <v>0</v>
      </c>
      <c r="AK1409" t="str" cm="1">
        <f t="array" ref="AK1409">_xlfn.IFS(A1409&lt;=30,"18-30",A1409&lt;=45,"31-45",A1409&lt;=60,"46-60",TRUE, "60+")</f>
        <v>18-30</v>
      </c>
      <c r="AL1409" t="str" cm="1">
        <f t="array" ref="AL1409">_xlfn.IFS(F1409&lt;=10,"0-10",F1409&lt;=20,"11-20",TRUE,"20+")</f>
        <v>0-10</v>
      </c>
      <c r="AM1409" t="str" cm="1">
        <f t="array" ref="AM1409">_xlfn.IFS(S1409&lt;=5000,"0-5k",S1409&lt;=10000,"5k-10k",S1409&lt;=15000,"10k-15k",TRUE,"15k+")</f>
        <v>0-5k</v>
      </c>
      <c r="AN1409" t="str" cm="1">
        <f t="array" ref="AN1409">_xlfn.IFS(AF1409&lt;=10,"0-10",AF1409&lt;=20,"10-20",AF1409&lt;=30,"20-30",TRUE,"30+")</f>
        <v>0-10</v>
      </c>
      <c r="AO1409" t="str" cm="1">
        <f t="array" ref="AO1409">_xlfn.IFS(Y1409=1,"Poor",Y1409=2,"Average",Y1409=3,"Good",TRUE,"Excellent")</f>
        <v>Good</v>
      </c>
      <c r="AP1409" t="str" cm="1">
        <f t="array" ref="AP1409">_xlfn.IFS(Q1409=1,"Low",Q1409=2,"Medium",Q1409=3,"High",TRUE,"Very High")</f>
        <v>High</v>
      </c>
    </row>
    <row r="1410" spans="1:42" x14ac:dyDescent="0.25">
      <c r="A1410">
        <v>23</v>
      </c>
      <c r="B1410" t="s">
        <v>42</v>
      </c>
      <c r="C1410" t="s">
        <v>90</v>
      </c>
      <c r="D1410">
        <v>571</v>
      </c>
      <c r="E1410" t="s">
        <v>43</v>
      </c>
      <c r="F1410">
        <v>12</v>
      </c>
      <c r="G1410">
        <v>2</v>
      </c>
      <c r="H1410" t="s">
        <v>47</v>
      </c>
      <c r="I1410">
        <v>1</v>
      </c>
      <c r="J1410">
        <v>1982</v>
      </c>
      <c r="K1410">
        <v>4</v>
      </c>
      <c r="L1410" t="s">
        <v>44</v>
      </c>
      <c r="M1410">
        <v>78</v>
      </c>
      <c r="N1410">
        <v>3</v>
      </c>
      <c r="O1410">
        <v>1</v>
      </c>
      <c r="P1410" t="s">
        <v>48</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c r="AJ1410">
        <f t="shared" ref="AJ1410:AJ1471" si="22">IF(B1410="yes",1,0)</f>
        <v>0</v>
      </c>
      <c r="AK1410" t="str" cm="1">
        <f t="array" ref="AK1410">_xlfn.IFS(A1410&lt;=30,"18-30",A1410&lt;=45,"31-45",A1410&lt;=60,"46-60",TRUE, "60+")</f>
        <v>18-30</v>
      </c>
      <c r="AL1410" t="str" cm="1">
        <f t="array" ref="AL1410">_xlfn.IFS(F1410&lt;=10,"0-10",F1410&lt;=20,"11-20",TRUE,"20+")</f>
        <v>11-20</v>
      </c>
      <c r="AM1410" t="str" cm="1">
        <f t="array" ref="AM1410">_xlfn.IFS(S1410&lt;=5000,"0-5k",S1410&lt;=10000,"5k-10k",S1410&lt;=15000,"10k-15k",TRUE,"15k+")</f>
        <v>0-5k</v>
      </c>
      <c r="AN1410" t="str" cm="1">
        <f t="array" ref="AN1410">_xlfn.IFS(AF1410&lt;=10,"0-10",AF1410&lt;=20,"10-20",AF1410&lt;=30,"20-30",TRUE,"30+")</f>
        <v>0-10</v>
      </c>
      <c r="AO1410" t="str" cm="1">
        <f t="array" ref="AO1410">_xlfn.IFS(Y1410=1,"Poor",Y1410=2,"Average",Y1410=3,"Good",TRUE,"Excellent")</f>
        <v>Good</v>
      </c>
      <c r="AP1410" t="str" cm="1">
        <f t="array" ref="AP1410">_xlfn.IFS(Q1410=1,"Low",Q1410=2,"Medium",Q1410=3,"High",TRUE,"Very High")</f>
        <v>Very High</v>
      </c>
    </row>
    <row r="1411" spans="1:42" x14ac:dyDescent="0.25">
      <c r="A1411">
        <v>40</v>
      </c>
      <c r="B1411" t="s">
        <v>42</v>
      </c>
      <c r="C1411" t="s">
        <v>91</v>
      </c>
      <c r="D1411">
        <v>692</v>
      </c>
      <c r="E1411" t="s">
        <v>43</v>
      </c>
      <c r="F1411">
        <v>11</v>
      </c>
      <c r="G1411">
        <v>3</v>
      </c>
      <c r="H1411" t="s">
        <v>58</v>
      </c>
      <c r="I1411">
        <v>1</v>
      </c>
      <c r="J1411">
        <v>1985</v>
      </c>
      <c r="K1411">
        <v>4</v>
      </c>
      <c r="L1411" t="s">
        <v>38</v>
      </c>
      <c r="M1411">
        <v>73</v>
      </c>
      <c r="N1411">
        <v>3</v>
      </c>
      <c r="O1411">
        <v>2</v>
      </c>
      <c r="P1411" t="s">
        <v>48</v>
      </c>
      <c r="Q1411">
        <v>3</v>
      </c>
      <c r="R1411" t="s">
        <v>46</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c r="AJ1411">
        <f t="shared" si="22"/>
        <v>0</v>
      </c>
      <c r="AK1411" t="str" cm="1">
        <f t="array" ref="AK1411">_xlfn.IFS(A1411&lt;=30,"18-30",A1411&lt;=45,"31-45",A1411&lt;=60,"46-60",TRUE, "60+")</f>
        <v>31-45</v>
      </c>
      <c r="AL1411" t="str" cm="1">
        <f t="array" ref="AL1411">_xlfn.IFS(F1411&lt;=10,"0-10",F1411&lt;=20,"11-20",TRUE,"20+")</f>
        <v>11-20</v>
      </c>
      <c r="AM1411" t="str" cm="1">
        <f t="array" ref="AM1411">_xlfn.IFS(S1411&lt;=5000,"0-5k",S1411&lt;=10000,"5k-10k",S1411&lt;=15000,"10k-15k",TRUE,"15k+")</f>
        <v>5k-10k</v>
      </c>
      <c r="AN1411" t="str" cm="1">
        <f t="array" ref="AN1411">_xlfn.IFS(AF1411&lt;=10,"0-10",AF1411&lt;=20,"10-20",AF1411&lt;=30,"20-30",TRUE,"30+")</f>
        <v>0-10</v>
      </c>
      <c r="AO1411" t="str" cm="1">
        <f t="array" ref="AO1411">_xlfn.IFS(Y1411=1,"Poor",Y1411=2,"Average",Y1411=3,"Good",TRUE,"Excellent")</f>
        <v>Good</v>
      </c>
      <c r="AP1411" t="str" cm="1">
        <f t="array" ref="AP1411">_xlfn.IFS(Q1411=1,"Low",Q1411=2,"Medium",Q1411=3,"High",TRUE,"Very High")</f>
        <v>High</v>
      </c>
    </row>
    <row r="1412" spans="1:42" x14ac:dyDescent="0.25">
      <c r="A1412">
        <v>40</v>
      </c>
      <c r="B1412" t="s">
        <v>42</v>
      </c>
      <c r="C1412" t="s">
        <v>90</v>
      </c>
      <c r="D1412">
        <v>444</v>
      </c>
      <c r="E1412" t="s">
        <v>36</v>
      </c>
      <c r="F1412">
        <v>2</v>
      </c>
      <c r="G1412">
        <v>2</v>
      </c>
      <c r="H1412" t="s">
        <v>57</v>
      </c>
      <c r="I1412">
        <v>1</v>
      </c>
      <c r="J1412">
        <v>1986</v>
      </c>
      <c r="K1412">
        <v>2</v>
      </c>
      <c r="L1412" t="s">
        <v>38</v>
      </c>
      <c r="M1412">
        <v>92</v>
      </c>
      <c r="N1412">
        <v>3</v>
      </c>
      <c r="O1412">
        <v>2</v>
      </c>
      <c r="P1412" t="s">
        <v>39</v>
      </c>
      <c r="Q1412">
        <v>2</v>
      </c>
      <c r="R1412" t="s">
        <v>46</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c r="AJ1412">
        <f t="shared" si="22"/>
        <v>0</v>
      </c>
      <c r="AK1412" t="str" cm="1">
        <f t="array" ref="AK1412">_xlfn.IFS(A1412&lt;=30,"18-30",A1412&lt;=45,"31-45",A1412&lt;=60,"46-60",TRUE, "60+")</f>
        <v>31-45</v>
      </c>
      <c r="AL1412" t="str" cm="1">
        <f t="array" ref="AL1412">_xlfn.IFS(F1412&lt;=10,"0-10",F1412&lt;=20,"11-20",TRUE,"20+")</f>
        <v>0-10</v>
      </c>
      <c r="AM1412" t="str" cm="1">
        <f t="array" ref="AM1412">_xlfn.IFS(S1412&lt;=5000,"0-5k",S1412&lt;=10000,"5k-10k",S1412&lt;=15000,"10k-15k",TRUE,"15k+")</f>
        <v>5k-10k</v>
      </c>
      <c r="AN1412" t="str" cm="1">
        <f t="array" ref="AN1412">_xlfn.IFS(AF1412&lt;=10,"0-10",AF1412&lt;=20,"10-20",AF1412&lt;=30,"20-30",TRUE,"30+")</f>
        <v>10-20</v>
      </c>
      <c r="AO1412" t="str" cm="1">
        <f t="array" ref="AO1412">_xlfn.IFS(Y1412=1,"Poor",Y1412=2,"Average",Y1412=3,"Good",TRUE,"Excellent")</f>
        <v>Good</v>
      </c>
      <c r="AP1412" t="str" cm="1">
        <f t="array" ref="AP1412">_xlfn.IFS(Q1412=1,"Low",Q1412=2,"Medium",Q1412=3,"High",TRUE,"Very High")</f>
        <v>Medium</v>
      </c>
    </row>
    <row r="1413" spans="1:42" x14ac:dyDescent="0.25">
      <c r="A1413">
        <v>25</v>
      </c>
      <c r="B1413" t="s">
        <v>42</v>
      </c>
      <c r="C1413" t="s">
        <v>90</v>
      </c>
      <c r="D1413">
        <v>309</v>
      </c>
      <c r="E1413" t="s">
        <v>59</v>
      </c>
      <c r="F1413">
        <v>2</v>
      </c>
      <c r="G1413">
        <v>3</v>
      </c>
      <c r="H1413" t="s">
        <v>59</v>
      </c>
      <c r="I1413">
        <v>1</v>
      </c>
      <c r="J1413">
        <v>1987</v>
      </c>
      <c r="K1413">
        <v>3</v>
      </c>
      <c r="L1413" t="s">
        <v>38</v>
      </c>
      <c r="M1413">
        <v>82</v>
      </c>
      <c r="N1413">
        <v>3</v>
      </c>
      <c r="O1413">
        <v>1</v>
      </c>
      <c r="P1413" t="s">
        <v>59</v>
      </c>
      <c r="Q1413">
        <v>2</v>
      </c>
      <c r="R1413" t="s">
        <v>46</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c r="AJ1413">
        <f t="shared" si="22"/>
        <v>0</v>
      </c>
      <c r="AK1413" t="str" cm="1">
        <f t="array" ref="AK1413">_xlfn.IFS(A1413&lt;=30,"18-30",A1413&lt;=45,"31-45",A1413&lt;=60,"46-60",TRUE, "60+")</f>
        <v>18-30</v>
      </c>
      <c r="AL1413" t="str" cm="1">
        <f t="array" ref="AL1413">_xlfn.IFS(F1413&lt;=10,"0-10",F1413&lt;=20,"11-20",TRUE,"20+")</f>
        <v>0-10</v>
      </c>
      <c r="AM1413" t="str" cm="1">
        <f t="array" ref="AM1413">_xlfn.IFS(S1413&lt;=5000,"0-5k",S1413&lt;=10000,"5k-10k",S1413&lt;=15000,"10k-15k",TRUE,"15k+")</f>
        <v>0-5k</v>
      </c>
      <c r="AN1413" t="str" cm="1">
        <f t="array" ref="AN1413">_xlfn.IFS(AF1413&lt;=10,"0-10",AF1413&lt;=20,"10-20",AF1413&lt;=30,"20-30",TRUE,"30+")</f>
        <v>0-10</v>
      </c>
      <c r="AO1413" t="str" cm="1">
        <f t="array" ref="AO1413">_xlfn.IFS(Y1413=1,"Poor",Y1413=2,"Average",Y1413=3,"Good",TRUE,"Excellent")</f>
        <v>Good</v>
      </c>
      <c r="AP1413" t="str" cm="1">
        <f t="array" ref="AP1413">_xlfn.IFS(Q1413=1,"Low",Q1413=2,"Medium",Q1413=3,"High",TRUE,"Very High")</f>
        <v>Medium</v>
      </c>
    </row>
    <row r="1414" spans="1:42" x14ac:dyDescent="0.25">
      <c r="A1414">
        <v>30</v>
      </c>
      <c r="B1414" t="s">
        <v>42</v>
      </c>
      <c r="C1414" t="s">
        <v>90</v>
      </c>
      <c r="D1414">
        <v>911</v>
      </c>
      <c r="E1414" t="s">
        <v>43</v>
      </c>
      <c r="F1414">
        <v>1</v>
      </c>
      <c r="G1414">
        <v>2</v>
      </c>
      <c r="H1414" t="s">
        <v>49</v>
      </c>
      <c r="I1414">
        <v>1</v>
      </c>
      <c r="J1414">
        <v>1989</v>
      </c>
      <c r="K1414">
        <v>4</v>
      </c>
      <c r="L1414" t="s">
        <v>44</v>
      </c>
      <c r="M1414">
        <v>76</v>
      </c>
      <c r="N1414">
        <v>3</v>
      </c>
      <c r="O1414">
        <v>1</v>
      </c>
      <c r="P1414" t="s">
        <v>48</v>
      </c>
      <c r="Q1414">
        <v>2</v>
      </c>
      <c r="R1414" t="s">
        <v>46</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c r="AJ1414">
        <f t="shared" si="22"/>
        <v>0</v>
      </c>
      <c r="AK1414" t="str" cm="1">
        <f t="array" ref="AK1414">_xlfn.IFS(A1414&lt;=30,"18-30",A1414&lt;=45,"31-45",A1414&lt;=60,"46-60",TRUE, "60+")</f>
        <v>18-30</v>
      </c>
      <c r="AL1414" t="str" cm="1">
        <f t="array" ref="AL1414">_xlfn.IFS(F1414&lt;=10,"0-10",F1414&lt;=20,"11-20",TRUE,"20+")</f>
        <v>0-10</v>
      </c>
      <c r="AM1414" t="str" cm="1">
        <f t="array" ref="AM1414">_xlfn.IFS(S1414&lt;=5000,"0-5k",S1414&lt;=10000,"5k-10k",S1414&lt;=15000,"10k-15k",TRUE,"15k+")</f>
        <v>0-5k</v>
      </c>
      <c r="AN1414" t="str" cm="1">
        <f t="array" ref="AN1414">_xlfn.IFS(AF1414&lt;=10,"0-10",AF1414&lt;=20,"10-20",AF1414&lt;=30,"20-30",TRUE,"30+")</f>
        <v>10-20</v>
      </c>
      <c r="AO1414" t="str" cm="1">
        <f t="array" ref="AO1414">_xlfn.IFS(Y1414=1,"Poor",Y1414=2,"Average",Y1414=3,"Good",TRUE,"Excellent")</f>
        <v>Good</v>
      </c>
      <c r="AP1414" t="str" cm="1">
        <f t="array" ref="AP1414">_xlfn.IFS(Q1414=1,"Low",Q1414=2,"Medium",Q1414=3,"High",TRUE,"Very High")</f>
        <v>Medium</v>
      </c>
    </row>
    <row r="1415" spans="1:42" x14ac:dyDescent="0.25">
      <c r="A1415">
        <v>25</v>
      </c>
      <c r="B1415" t="s">
        <v>42</v>
      </c>
      <c r="C1415" t="s">
        <v>90</v>
      </c>
      <c r="D1415">
        <v>977</v>
      </c>
      <c r="E1415" t="s">
        <v>43</v>
      </c>
      <c r="F1415">
        <v>2</v>
      </c>
      <c r="G1415">
        <v>1</v>
      </c>
      <c r="H1415" t="s">
        <v>47</v>
      </c>
      <c r="I1415">
        <v>1</v>
      </c>
      <c r="J1415">
        <v>1992</v>
      </c>
      <c r="K1415">
        <v>4</v>
      </c>
      <c r="L1415" t="s">
        <v>44</v>
      </c>
      <c r="M1415">
        <v>57</v>
      </c>
      <c r="N1415">
        <v>3</v>
      </c>
      <c r="O1415">
        <v>1</v>
      </c>
      <c r="P1415" t="s">
        <v>48</v>
      </c>
      <c r="Q1415">
        <v>3</v>
      </c>
      <c r="R1415" t="s">
        <v>50</v>
      </c>
      <c r="S1415">
        <v>3977</v>
      </c>
      <c r="T1415">
        <v>7298</v>
      </c>
      <c r="U1415">
        <v>6</v>
      </c>
      <c r="V1415" t="s">
        <v>41</v>
      </c>
      <c r="W1415" t="s">
        <v>35</v>
      </c>
      <c r="X1415">
        <v>19</v>
      </c>
      <c r="Y1415">
        <v>3</v>
      </c>
      <c r="Z1415">
        <v>3</v>
      </c>
      <c r="AA1415">
        <v>80</v>
      </c>
      <c r="AB1415">
        <v>1</v>
      </c>
      <c r="AC1415">
        <v>7</v>
      </c>
      <c r="AD1415">
        <v>2</v>
      </c>
      <c r="AE1415">
        <v>2</v>
      </c>
      <c r="AF1415">
        <v>2</v>
      </c>
      <c r="AG1415">
        <v>2</v>
      </c>
      <c r="AH1415">
        <v>0</v>
      </c>
      <c r="AI1415">
        <v>2</v>
      </c>
      <c r="AJ1415">
        <f t="shared" si="22"/>
        <v>0</v>
      </c>
      <c r="AK1415" t="str" cm="1">
        <f t="array" ref="AK1415">_xlfn.IFS(A1415&lt;=30,"18-30",A1415&lt;=45,"31-45",A1415&lt;=60,"46-60",TRUE, "60+")</f>
        <v>18-30</v>
      </c>
      <c r="AL1415" t="str" cm="1">
        <f t="array" ref="AL1415">_xlfn.IFS(F1415&lt;=10,"0-10",F1415&lt;=20,"11-20",TRUE,"20+")</f>
        <v>0-10</v>
      </c>
      <c r="AM1415" t="str" cm="1">
        <f t="array" ref="AM1415">_xlfn.IFS(S1415&lt;=5000,"0-5k",S1415&lt;=10000,"5k-10k",S1415&lt;=15000,"10k-15k",TRUE,"15k+")</f>
        <v>0-5k</v>
      </c>
      <c r="AN1415" t="str" cm="1">
        <f t="array" ref="AN1415">_xlfn.IFS(AF1415&lt;=10,"0-10",AF1415&lt;=20,"10-20",AF1415&lt;=30,"20-30",TRUE,"30+")</f>
        <v>0-10</v>
      </c>
      <c r="AO1415" t="str" cm="1">
        <f t="array" ref="AO1415">_xlfn.IFS(Y1415=1,"Poor",Y1415=2,"Average",Y1415=3,"Good",TRUE,"Excellent")</f>
        <v>Good</v>
      </c>
      <c r="AP1415" t="str" cm="1">
        <f t="array" ref="AP1415">_xlfn.IFS(Q1415=1,"Low",Q1415=2,"Medium",Q1415=3,"High",TRUE,"Very High")</f>
        <v>High</v>
      </c>
    </row>
    <row r="1416" spans="1:42" x14ac:dyDescent="0.25">
      <c r="A1416">
        <v>47</v>
      </c>
      <c r="B1416" t="s">
        <v>42</v>
      </c>
      <c r="C1416" t="s">
        <v>90</v>
      </c>
      <c r="D1416">
        <v>1180</v>
      </c>
      <c r="E1416" t="s">
        <v>43</v>
      </c>
      <c r="F1416">
        <v>25</v>
      </c>
      <c r="G1416">
        <v>3</v>
      </c>
      <c r="H1416" t="s">
        <v>49</v>
      </c>
      <c r="I1416">
        <v>1</v>
      </c>
      <c r="J1416">
        <v>1993</v>
      </c>
      <c r="K1416">
        <v>1</v>
      </c>
      <c r="L1416" t="s">
        <v>44</v>
      </c>
      <c r="M1416">
        <v>84</v>
      </c>
      <c r="N1416">
        <v>3</v>
      </c>
      <c r="O1416">
        <v>3</v>
      </c>
      <c r="P1416" t="s">
        <v>52</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c r="AJ1416">
        <f t="shared" si="22"/>
        <v>0</v>
      </c>
      <c r="AK1416" t="str" cm="1">
        <f t="array" ref="AK1416">_xlfn.IFS(A1416&lt;=30,"18-30",A1416&lt;=45,"31-45",A1416&lt;=60,"46-60",TRUE, "60+")</f>
        <v>46-60</v>
      </c>
      <c r="AL1416" t="str" cm="1">
        <f t="array" ref="AL1416">_xlfn.IFS(F1416&lt;=10,"0-10",F1416&lt;=20,"11-20",TRUE,"20+")</f>
        <v>20+</v>
      </c>
      <c r="AM1416" t="str" cm="1">
        <f t="array" ref="AM1416">_xlfn.IFS(S1416&lt;=5000,"0-5k",S1416&lt;=10000,"5k-10k",S1416&lt;=15000,"10k-15k",TRUE,"15k+")</f>
        <v>5k-10k</v>
      </c>
      <c r="AN1416" t="str" cm="1">
        <f t="array" ref="AN1416">_xlfn.IFS(AF1416&lt;=10,"0-10",AF1416&lt;=20,"10-20",AF1416&lt;=30,"20-30",TRUE,"30+")</f>
        <v>10-20</v>
      </c>
      <c r="AO1416" t="str" cm="1">
        <f t="array" ref="AO1416">_xlfn.IFS(Y1416=1,"Poor",Y1416=2,"Average",Y1416=3,"Good",TRUE,"Excellent")</f>
        <v>Excellent</v>
      </c>
      <c r="AP1416" t="str" cm="1">
        <f t="array" ref="AP1416">_xlfn.IFS(Q1416=1,"Low",Q1416=2,"Medium",Q1416=3,"High",TRUE,"Very High")</f>
        <v>High</v>
      </c>
    </row>
    <row r="1417" spans="1:42" x14ac:dyDescent="0.25">
      <c r="A1417">
        <v>33</v>
      </c>
      <c r="B1417" t="s">
        <v>42</v>
      </c>
      <c r="C1417" t="s">
        <v>53</v>
      </c>
      <c r="D1417">
        <v>1313</v>
      </c>
      <c r="E1417" t="s">
        <v>43</v>
      </c>
      <c r="F1417">
        <v>1</v>
      </c>
      <c r="G1417">
        <v>2</v>
      </c>
      <c r="H1417" t="s">
        <v>49</v>
      </c>
      <c r="I1417">
        <v>1</v>
      </c>
      <c r="J1417">
        <v>1994</v>
      </c>
      <c r="K1417">
        <v>2</v>
      </c>
      <c r="L1417" t="s">
        <v>44</v>
      </c>
      <c r="M1417">
        <v>59</v>
      </c>
      <c r="N1417">
        <v>2</v>
      </c>
      <c r="O1417">
        <v>1</v>
      </c>
      <c r="P1417" t="s">
        <v>48</v>
      </c>
      <c r="Q1417">
        <v>3</v>
      </c>
      <c r="R1417" t="s">
        <v>50</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c r="AJ1417">
        <f t="shared" si="22"/>
        <v>0</v>
      </c>
      <c r="AK1417" t="str" cm="1">
        <f t="array" ref="AK1417">_xlfn.IFS(A1417&lt;=30,"18-30",A1417&lt;=45,"31-45",A1417&lt;=60,"46-60",TRUE, "60+")</f>
        <v>31-45</v>
      </c>
      <c r="AL1417" t="str" cm="1">
        <f t="array" ref="AL1417">_xlfn.IFS(F1417&lt;=10,"0-10",F1417&lt;=20,"11-20",TRUE,"20+")</f>
        <v>0-10</v>
      </c>
      <c r="AM1417" t="str" cm="1">
        <f t="array" ref="AM1417">_xlfn.IFS(S1417&lt;=5000,"0-5k",S1417&lt;=10000,"5k-10k",S1417&lt;=15000,"10k-15k",TRUE,"15k+")</f>
        <v>0-5k</v>
      </c>
      <c r="AN1417" t="str" cm="1">
        <f t="array" ref="AN1417">_xlfn.IFS(AF1417&lt;=10,"0-10",AF1417&lt;=20,"10-20",AF1417&lt;=30,"20-30",TRUE,"30+")</f>
        <v>0-10</v>
      </c>
      <c r="AO1417" t="str" cm="1">
        <f t="array" ref="AO1417">_xlfn.IFS(Y1417=1,"Poor",Y1417=2,"Average",Y1417=3,"Good",TRUE,"Excellent")</f>
        <v>Good</v>
      </c>
      <c r="AP1417" t="str" cm="1">
        <f t="array" ref="AP1417">_xlfn.IFS(Q1417=1,"Low",Q1417=2,"Medium",Q1417=3,"High",TRUE,"Very High")</f>
        <v>High</v>
      </c>
    </row>
    <row r="1418" spans="1:42" x14ac:dyDescent="0.25">
      <c r="A1418">
        <v>38</v>
      </c>
      <c r="B1418" t="s">
        <v>42</v>
      </c>
      <c r="C1418" t="s">
        <v>90</v>
      </c>
      <c r="D1418">
        <v>1321</v>
      </c>
      <c r="E1418" t="s">
        <v>36</v>
      </c>
      <c r="F1418">
        <v>1</v>
      </c>
      <c r="G1418">
        <v>4</v>
      </c>
      <c r="H1418" t="s">
        <v>37</v>
      </c>
      <c r="I1418">
        <v>1</v>
      </c>
      <c r="J1418">
        <v>1995</v>
      </c>
      <c r="K1418">
        <v>4</v>
      </c>
      <c r="L1418" t="s">
        <v>44</v>
      </c>
      <c r="M1418">
        <v>86</v>
      </c>
      <c r="N1418">
        <v>3</v>
      </c>
      <c r="O1418">
        <v>2</v>
      </c>
      <c r="P1418" t="s">
        <v>39</v>
      </c>
      <c r="Q1418">
        <v>2</v>
      </c>
      <c r="R1418" t="s">
        <v>46</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c r="AJ1418">
        <f t="shared" si="22"/>
        <v>0</v>
      </c>
      <c r="AK1418" t="str" cm="1">
        <f t="array" ref="AK1418">_xlfn.IFS(A1418&lt;=30,"18-30",A1418&lt;=45,"31-45",A1418&lt;=60,"46-60",TRUE, "60+")</f>
        <v>31-45</v>
      </c>
      <c r="AL1418" t="str" cm="1">
        <f t="array" ref="AL1418">_xlfn.IFS(F1418&lt;=10,"0-10",F1418&lt;=20,"11-20",TRUE,"20+")</f>
        <v>0-10</v>
      </c>
      <c r="AM1418" t="str" cm="1">
        <f t="array" ref="AM1418">_xlfn.IFS(S1418&lt;=5000,"0-5k",S1418&lt;=10000,"5k-10k",S1418&lt;=15000,"10k-15k",TRUE,"15k+")</f>
        <v>0-5k</v>
      </c>
      <c r="AN1418" t="str" cm="1">
        <f t="array" ref="AN1418">_xlfn.IFS(AF1418&lt;=10,"0-10",AF1418&lt;=20,"10-20",AF1418&lt;=30,"20-30",TRUE,"30+")</f>
        <v>10-20</v>
      </c>
      <c r="AO1418" t="str" cm="1">
        <f t="array" ref="AO1418">_xlfn.IFS(Y1418=1,"Poor",Y1418=2,"Average",Y1418=3,"Good",TRUE,"Excellent")</f>
        <v>Good</v>
      </c>
      <c r="AP1418" t="str" cm="1">
        <f t="array" ref="AP1418">_xlfn.IFS(Q1418=1,"Low",Q1418=2,"Medium",Q1418=3,"High",TRUE,"Very High")</f>
        <v>Medium</v>
      </c>
    </row>
    <row r="1419" spans="1:42" x14ac:dyDescent="0.25">
      <c r="A1419">
        <v>31</v>
      </c>
      <c r="B1419" t="s">
        <v>42</v>
      </c>
      <c r="C1419" t="s">
        <v>90</v>
      </c>
      <c r="D1419">
        <v>1154</v>
      </c>
      <c r="E1419" t="s">
        <v>36</v>
      </c>
      <c r="F1419">
        <v>2</v>
      </c>
      <c r="G1419">
        <v>2</v>
      </c>
      <c r="H1419" t="s">
        <v>37</v>
      </c>
      <c r="I1419">
        <v>1</v>
      </c>
      <c r="J1419">
        <v>1996</v>
      </c>
      <c r="K1419">
        <v>1</v>
      </c>
      <c r="L1419" t="s">
        <v>44</v>
      </c>
      <c r="M1419">
        <v>54</v>
      </c>
      <c r="N1419">
        <v>3</v>
      </c>
      <c r="O1419">
        <v>1</v>
      </c>
      <c r="P1419" t="s">
        <v>55</v>
      </c>
      <c r="Q1419">
        <v>3</v>
      </c>
      <c r="R1419" t="s">
        <v>46</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c r="AJ1419">
        <f t="shared" si="22"/>
        <v>0</v>
      </c>
      <c r="AK1419" t="str" cm="1">
        <f t="array" ref="AK1419">_xlfn.IFS(A1419&lt;=30,"18-30",A1419&lt;=45,"31-45",A1419&lt;=60,"46-60",TRUE, "60+")</f>
        <v>31-45</v>
      </c>
      <c r="AL1419" t="str" cm="1">
        <f t="array" ref="AL1419">_xlfn.IFS(F1419&lt;=10,"0-10",F1419&lt;=20,"11-20",TRUE,"20+")</f>
        <v>0-10</v>
      </c>
      <c r="AM1419" t="str" cm="1">
        <f t="array" ref="AM1419">_xlfn.IFS(S1419&lt;=5000,"0-5k",S1419&lt;=10000,"5k-10k",S1419&lt;=15000,"10k-15k",TRUE,"15k+")</f>
        <v>0-5k</v>
      </c>
      <c r="AN1419" t="str" cm="1">
        <f t="array" ref="AN1419">_xlfn.IFS(AF1419&lt;=10,"0-10",AF1419&lt;=20,"10-20",AF1419&lt;=30,"20-30",TRUE,"30+")</f>
        <v>0-10</v>
      </c>
      <c r="AO1419" t="str" cm="1">
        <f t="array" ref="AO1419">_xlfn.IFS(Y1419=1,"Poor",Y1419=2,"Average",Y1419=3,"Good",TRUE,"Excellent")</f>
        <v>Good</v>
      </c>
      <c r="AP1419" t="str" cm="1">
        <f t="array" ref="AP1419">_xlfn.IFS(Q1419=1,"Low",Q1419=2,"Medium",Q1419=3,"High",TRUE,"Very High")</f>
        <v>High</v>
      </c>
    </row>
    <row r="1420" spans="1:42" x14ac:dyDescent="0.25">
      <c r="A1420">
        <v>38</v>
      </c>
      <c r="B1420" t="s">
        <v>42</v>
      </c>
      <c r="C1420" t="s">
        <v>91</v>
      </c>
      <c r="D1420">
        <v>508</v>
      </c>
      <c r="E1420" t="s">
        <v>43</v>
      </c>
      <c r="F1420">
        <v>6</v>
      </c>
      <c r="G1420">
        <v>4</v>
      </c>
      <c r="H1420" t="s">
        <v>37</v>
      </c>
      <c r="I1420">
        <v>1</v>
      </c>
      <c r="J1420">
        <v>1997</v>
      </c>
      <c r="K1420">
        <v>1</v>
      </c>
      <c r="L1420" t="s">
        <v>44</v>
      </c>
      <c r="M1420">
        <v>72</v>
      </c>
      <c r="N1420">
        <v>2</v>
      </c>
      <c r="O1420">
        <v>2</v>
      </c>
      <c r="P1420" t="s">
        <v>51</v>
      </c>
      <c r="Q1420">
        <v>3</v>
      </c>
      <c r="R1420" t="s">
        <v>46</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c r="AJ1420">
        <f t="shared" si="22"/>
        <v>0</v>
      </c>
      <c r="AK1420" t="str" cm="1">
        <f t="array" ref="AK1420">_xlfn.IFS(A1420&lt;=30,"18-30",A1420&lt;=45,"31-45",A1420&lt;=60,"46-60",TRUE, "60+")</f>
        <v>31-45</v>
      </c>
      <c r="AL1420" t="str" cm="1">
        <f t="array" ref="AL1420">_xlfn.IFS(F1420&lt;=10,"0-10",F1420&lt;=20,"11-20",TRUE,"20+")</f>
        <v>0-10</v>
      </c>
      <c r="AM1420" t="str" cm="1">
        <f t="array" ref="AM1420">_xlfn.IFS(S1420&lt;=5000,"0-5k",S1420&lt;=10000,"5k-10k",S1420&lt;=15000,"10k-15k",TRUE,"15k+")</f>
        <v>5k-10k</v>
      </c>
      <c r="AN1420" t="str" cm="1">
        <f t="array" ref="AN1420">_xlfn.IFS(AF1420&lt;=10,"0-10",AF1420&lt;=20,"10-20",AF1420&lt;=30,"20-30",TRUE,"30+")</f>
        <v>0-10</v>
      </c>
      <c r="AO1420" t="str" cm="1">
        <f t="array" ref="AO1420">_xlfn.IFS(Y1420=1,"Poor",Y1420=2,"Average",Y1420=3,"Good",TRUE,"Excellent")</f>
        <v>Good</v>
      </c>
      <c r="AP1420" t="str" cm="1">
        <f t="array" ref="AP1420">_xlfn.IFS(Q1420=1,"Low",Q1420=2,"Medium",Q1420=3,"High",TRUE,"Very High")</f>
        <v>High</v>
      </c>
    </row>
    <row r="1421" spans="1:42" x14ac:dyDescent="0.25">
      <c r="A1421">
        <v>42</v>
      </c>
      <c r="B1421" t="s">
        <v>42</v>
      </c>
      <c r="C1421" t="s">
        <v>90</v>
      </c>
      <c r="D1421">
        <v>557</v>
      </c>
      <c r="E1421" t="s">
        <v>43</v>
      </c>
      <c r="F1421">
        <v>18</v>
      </c>
      <c r="G1421">
        <v>4</v>
      </c>
      <c r="H1421" t="s">
        <v>37</v>
      </c>
      <c r="I1421">
        <v>1</v>
      </c>
      <c r="J1421">
        <v>1998</v>
      </c>
      <c r="K1421">
        <v>4</v>
      </c>
      <c r="L1421" t="s">
        <v>44</v>
      </c>
      <c r="M1421">
        <v>35</v>
      </c>
      <c r="N1421">
        <v>3</v>
      </c>
      <c r="O1421">
        <v>2</v>
      </c>
      <c r="P1421" t="s">
        <v>45</v>
      </c>
      <c r="Q1421">
        <v>1</v>
      </c>
      <c r="R1421" t="s">
        <v>50</v>
      </c>
      <c r="S1421">
        <v>5410</v>
      </c>
      <c r="T1421">
        <v>11189</v>
      </c>
      <c r="U1421">
        <v>6</v>
      </c>
      <c r="V1421" t="s">
        <v>41</v>
      </c>
      <c r="W1421" t="s">
        <v>35</v>
      </c>
      <c r="X1421">
        <v>17</v>
      </c>
      <c r="Y1421">
        <v>3</v>
      </c>
      <c r="Z1421">
        <v>3</v>
      </c>
      <c r="AA1421">
        <v>80</v>
      </c>
      <c r="AB1421">
        <v>1</v>
      </c>
      <c r="AC1421">
        <v>9</v>
      </c>
      <c r="AD1421">
        <v>3</v>
      </c>
      <c r="AE1421">
        <v>2</v>
      </c>
      <c r="AF1421">
        <v>4</v>
      </c>
      <c r="AG1421">
        <v>3</v>
      </c>
      <c r="AH1421">
        <v>1</v>
      </c>
      <c r="AI1421">
        <v>2</v>
      </c>
      <c r="AJ1421">
        <f t="shared" si="22"/>
        <v>0</v>
      </c>
      <c r="AK1421" t="str" cm="1">
        <f t="array" ref="AK1421">_xlfn.IFS(A1421&lt;=30,"18-30",A1421&lt;=45,"31-45",A1421&lt;=60,"46-60",TRUE, "60+")</f>
        <v>31-45</v>
      </c>
      <c r="AL1421" t="str" cm="1">
        <f t="array" ref="AL1421">_xlfn.IFS(F1421&lt;=10,"0-10",F1421&lt;=20,"11-20",TRUE,"20+")</f>
        <v>11-20</v>
      </c>
      <c r="AM1421" t="str" cm="1">
        <f t="array" ref="AM1421">_xlfn.IFS(S1421&lt;=5000,"0-5k",S1421&lt;=10000,"5k-10k",S1421&lt;=15000,"10k-15k",TRUE,"15k+")</f>
        <v>5k-10k</v>
      </c>
      <c r="AN1421" t="str" cm="1">
        <f t="array" ref="AN1421">_xlfn.IFS(AF1421&lt;=10,"0-10",AF1421&lt;=20,"10-20",AF1421&lt;=30,"20-30",TRUE,"30+")</f>
        <v>0-10</v>
      </c>
      <c r="AO1421" t="str" cm="1">
        <f t="array" ref="AO1421">_xlfn.IFS(Y1421=1,"Poor",Y1421=2,"Average",Y1421=3,"Good",TRUE,"Excellent")</f>
        <v>Good</v>
      </c>
      <c r="AP1421" t="str" cm="1">
        <f t="array" ref="AP1421">_xlfn.IFS(Q1421=1,"Low",Q1421=2,"Medium",Q1421=3,"High",TRUE,"Very High")</f>
        <v>Low</v>
      </c>
    </row>
    <row r="1422" spans="1:42" x14ac:dyDescent="0.25">
      <c r="A1422">
        <v>41</v>
      </c>
      <c r="B1422" t="s">
        <v>42</v>
      </c>
      <c r="C1422" t="s">
        <v>90</v>
      </c>
      <c r="D1422">
        <v>642</v>
      </c>
      <c r="E1422" t="s">
        <v>43</v>
      </c>
      <c r="F1422">
        <v>1</v>
      </c>
      <c r="G1422">
        <v>3</v>
      </c>
      <c r="H1422" t="s">
        <v>37</v>
      </c>
      <c r="I1422">
        <v>1</v>
      </c>
      <c r="J1422">
        <v>1999</v>
      </c>
      <c r="K1422">
        <v>4</v>
      </c>
      <c r="L1422" t="s">
        <v>44</v>
      </c>
      <c r="M1422">
        <v>76</v>
      </c>
      <c r="N1422">
        <v>3</v>
      </c>
      <c r="O1422">
        <v>1</v>
      </c>
      <c r="P1422" t="s">
        <v>45</v>
      </c>
      <c r="Q1422">
        <v>4</v>
      </c>
      <c r="R1422" t="s">
        <v>46</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c r="AJ1422">
        <f t="shared" si="22"/>
        <v>0</v>
      </c>
      <c r="AK1422" t="str" cm="1">
        <f t="array" ref="AK1422">_xlfn.IFS(A1422&lt;=30,"18-30",A1422&lt;=45,"31-45",A1422&lt;=60,"46-60",TRUE, "60+")</f>
        <v>31-45</v>
      </c>
      <c r="AL1422" t="str" cm="1">
        <f t="array" ref="AL1422">_xlfn.IFS(F1422&lt;=10,"0-10",F1422&lt;=20,"11-20",TRUE,"20+")</f>
        <v>0-10</v>
      </c>
      <c r="AM1422" t="str" cm="1">
        <f t="array" ref="AM1422">_xlfn.IFS(S1422&lt;=5000,"0-5k",S1422&lt;=10000,"5k-10k",S1422&lt;=15000,"10k-15k",TRUE,"15k+")</f>
        <v>0-5k</v>
      </c>
      <c r="AN1422" t="str" cm="1">
        <f t="array" ref="AN1422">_xlfn.IFS(AF1422&lt;=10,"0-10",AF1422&lt;=20,"10-20",AF1422&lt;=30,"20-30",TRUE,"30+")</f>
        <v>0-10</v>
      </c>
      <c r="AO1422" t="str" cm="1">
        <f t="array" ref="AO1422">_xlfn.IFS(Y1422=1,"Poor",Y1422=2,"Average",Y1422=3,"Good",TRUE,"Excellent")</f>
        <v>Excellent</v>
      </c>
      <c r="AP1422" t="str" cm="1">
        <f t="array" ref="AP1422">_xlfn.IFS(Q1422=1,"Low",Q1422=2,"Medium",Q1422=3,"High",TRUE,"Very High")</f>
        <v>Very High</v>
      </c>
    </row>
    <row r="1423" spans="1:42" x14ac:dyDescent="0.25">
      <c r="A1423">
        <v>47</v>
      </c>
      <c r="B1423" t="s">
        <v>42</v>
      </c>
      <c r="C1423" t="s">
        <v>53</v>
      </c>
      <c r="D1423">
        <v>1162</v>
      </c>
      <c r="E1423" t="s">
        <v>43</v>
      </c>
      <c r="F1423">
        <v>1</v>
      </c>
      <c r="G1423">
        <v>1</v>
      </c>
      <c r="H1423" t="s">
        <v>49</v>
      </c>
      <c r="I1423">
        <v>1</v>
      </c>
      <c r="J1423">
        <v>2000</v>
      </c>
      <c r="K1423">
        <v>3</v>
      </c>
      <c r="L1423" t="s">
        <v>38</v>
      </c>
      <c r="M1423">
        <v>98</v>
      </c>
      <c r="N1423">
        <v>3</v>
      </c>
      <c r="O1423">
        <v>3</v>
      </c>
      <c r="P1423" t="s">
        <v>56</v>
      </c>
      <c r="Q1423">
        <v>2</v>
      </c>
      <c r="R1423" t="s">
        <v>46</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c r="AJ1423">
        <f t="shared" si="22"/>
        <v>0</v>
      </c>
      <c r="AK1423" t="str" cm="1">
        <f t="array" ref="AK1423">_xlfn.IFS(A1423&lt;=30,"18-30",A1423&lt;=45,"31-45",A1423&lt;=60,"46-60",TRUE, "60+")</f>
        <v>46-60</v>
      </c>
      <c r="AL1423" t="str" cm="1">
        <f t="array" ref="AL1423">_xlfn.IFS(F1423&lt;=10,"0-10",F1423&lt;=20,"11-20",TRUE,"20+")</f>
        <v>0-10</v>
      </c>
      <c r="AM1423" t="str" cm="1">
        <f t="array" ref="AM1423">_xlfn.IFS(S1423&lt;=5000,"0-5k",S1423&lt;=10000,"5k-10k",S1423&lt;=15000,"10k-15k",TRUE,"15k+")</f>
        <v>10k-15k</v>
      </c>
      <c r="AN1423" t="str" cm="1">
        <f t="array" ref="AN1423">_xlfn.IFS(AF1423&lt;=10,"0-10",AF1423&lt;=20,"10-20",AF1423&lt;=30,"20-30",TRUE,"30+")</f>
        <v>10-20</v>
      </c>
      <c r="AO1423" t="str" cm="1">
        <f t="array" ref="AO1423">_xlfn.IFS(Y1423=1,"Poor",Y1423=2,"Average",Y1423=3,"Good",TRUE,"Excellent")</f>
        <v>Good</v>
      </c>
      <c r="AP1423" t="str" cm="1">
        <f t="array" ref="AP1423">_xlfn.IFS(Q1423=1,"Low",Q1423=2,"Medium",Q1423=3,"High",TRUE,"Very High")</f>
        <v>Medium</v>
      </c>
    </row>
    <row r="1424" spans="1:42" x14ac:dyDescent="0.25">
      <c r="A1424">
        <v>35</v>
      </c>
      <c r="B1424" t="s">
        <v>42</v>
      </c>
      <c r="C1424" t="s">
        <v>90</v>
      </c>
      <c r="D1424">
        <v>1490</v>
      </c>
      <c r="E1424" t="s">
        <v>43</v>
      </c>
      <c r="F1424">
        <v>11</v>
      </c>
      <c r="G1424">
        <v>4</v>
      </c>
      <c r="H1424" t="s">
        <v>49</v>
      </c>
      <c r="I1424">
        <v>1</v>
      </c>
      <c r="J1424">
        <v>2003</v>
      </c>
      <c r="K1424">
        <v>4</v>
      </c>
      <c r="L1424" t="s">
        <v>44</v>
      </c>
      <c r="M1424">
        <v>43</v>
      </c>
      <c r="N1424">
        <v>3</v>
      </c>
      <c r="O1424">
        <v>1</v>
      </c>
      <c r="P1424" t="s">
        <v>48</v>
      </c>
      <c r="Q1424">
        <v>3</v>
      </c>
      <c r="R1424" t="s">
        <v>46</v>
      </c>
      <c r="S1424">
        <v>2660</v>
      </c>
      <c r="T1424">
        <v>20232</v>
      </c>
      <c r="U1424">
        <v>7</v>
      </c>
      <c r="V1424" t="s">
        <v>41</v>
      </c>
      <c r="W1424" t="s">
        <v>35</v>
      </c>
      <c r="X1424">
        <v>11</v>
      </c>
      <c r="Y1424">
        <v>3</v>
      </c>
      <c r="Z1424">
        <v>3</v>
      </c>
      <c r="AA1424">
        <v>80</v>
      </c>
      <c r="AB1424">
        <v>1</v>
      </c>
      <c r="AC1424">
        <v>5</v>
      </c>
      <c r="AD1424">
        <v>3</v>
      </c>
      <c r="AE1424">
        <v>3</v>
      </c>
      <c r="AF1424">
        <v>2</v>
      </c>
      <c r="AG1424">
        <v>2</v>
      </c>
      <c r="AH1424">
        <v>2</v>
      </c>
      <c r="AI1424">
        <v>2</v>
      </c>
      <c r="AJ1424">
        <f t="shared" si="22"/>
        <v>0</v>
      </c>
      <c r="AK1424" t="str" cm="1">
        <f t="array" ref="AK1424">_xlfn.IFS(A1424&lt;=30,"18-30",A1424&lt;=45,"31-45",A1424&lt;=60,"46-60",TRUE, "60+")</f>
        <v>31-45</v>
      </c>
      <c r="AL1424" t="str" cm="1">
        <f t="array" ref="AL1424">_xlfn.IFS(F1424&lt;=10,"0-10",F1424&lt;=20,"11-20",TRUE,"20+")</f>
        <v>11-20</v>
      </c>
      <c r="AM1424" t="str" cm="1">
        <f t="array" ref="AM1424">_xlfn.IFS(S1424&lt;=5000,"0-5k",S1424&lt;=10000,"5k-10k",S1424&lt;=15000,"10k-15k",TRUE,"15k+")</f>
        <v>0-5k</v>
      </c>
      <c r="AN1424" t="str" cm="1">
        <f t="array" ref="AN1424">_xlfn.IFS(AF1424&lt;=10,"0-10",AF1424&lt;=20,"10-20",AF1424&lt;=30,"20-30",TRUE,"30+")</f>
        <v>0-10</v>
      </c>
      <c r="AO1424" t="str" cm="1">
        <f t="array" ref="AO1424">_xlfn.IFS(Y1424=1,"Poor",Y1424=2,"Average",Y1424=3,"Good",TRUE,"Excellent")</f>
        <v>Good</v>
      </c>
      <c r="AP1424" t="str" cm="1">
        <f t="array" ref="AP1424">_xlfn.IFS(Q1424=1,"Low",Q1424=2,"Medium",Q1424=3,"High",TRUE,"Very High")</f>
        <v>High</v>
      </c>
    </row>
    <row r="1425" spans="1:42" x14ac:dyDescent="0.25">
      <c r="A1425">
        <v>22</v>
      </c>
      <c r="B1425" t="s">
        <v>42</v>
      </c>
      <c r="C1425" t="s">
        <v>90</v>
      </c>
      <c r="D1425">
        <v>581</v>
      </c>
      <c r="E1425" t="s">
        <v>43</v>
      </c>
      <c r="F1425">
        <v>1</v>
      </c>
      <c r="G1425">
        <v>2</v>
      </c>
      <c r="H1425" t="s">
        <v>37</v>
      </c>
      <c r="I1425">
        <v>1</v>
      </c>
      <c r="J1425">
        <v>2007</v>
      </c>
      <c r="K1425">
        <v>4</v>
      </c>
      <c r="L1425" t="s">
        <v>44</v>
      </c>
      <c r="M1425">
        <v>63</v>
      </c>
      <c r="N1425">
        <v>3</v>
      </c>
      <c r="O1425">
        <v>1</v>
      </c>
      <c r="P1425" t="s">
        <v>45</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c r="AJ1425">
        <f t="shared" si="22"/>
        <v>0</v>
      </c>
      <c r="AK1425" t="str" cm="1">
        <f t="array" ref="AK1425">_xlfn.IFS(A1425&lt;=30,"18-30",A1425&lt;=45,"31-45",A1425&lt;=60,"46-60",TRUE, "60+")</f>
        <v>18-30</v>
      </c>
      <c r="AL1425" t="str" cm="1">
        <f t="array" ref="AL1425">_xlfn.IFS(F1425&lt;=10,"0-10",F1425&lt;=20,"11-20",TRUE,"20+")</f>
        <v>0-10</v>
      </c>
      <c r="AM1425" t="str" cm="1">
        <f t="array" ref="AM1425">_xlfn.IFS(S1425&lt;=5000,"0-5k",S1425&lt;=10000,"5k-10k",S1425&lt;=15000,"10k-15k",TRUE,"15k+")</f>
        <v>0-5k</v>
      </c>
      <c r="AN1425" t="str" cm="1">
        <f t="array" ref="AN1425">_xlfn.IFS(AF1425&lt;=10,"0-10",AF1425&lt;=20,"10-20",AF1425&lt;=30,"20-30",TRUE,"30+")</f>
        <v>0-10</v>
      </c>
      <c r="AO1425" t="str" cm="1">
        <f t="array" ref="AO1425">_xlfn.IFS(Y1425=1,"Poor",Y1425=2,"Average",Y1425=3,"Good",TRUE,"Excellent")</f>
        <v>Good</v>
      </c>
      <c r="AP1425" t="str" cm="1">
        <f t="array" ref="AP1425">_xlfn.IFS(Q1425=1,"Low",Q1425=2,"Medium",Q1425=3,"High",TRUE,"Very High")</f>
        <v>High</v>
      </c>
    </row>
    <row r="1426" spans="1:42" x14ac:dyDescent="0.25">
      <c r="A1426">
        <v>35</v>
      </c>
      <c r="B1426" t="s">
        <v>42</v>
      </c>
      <c r="C1426" t="s">
        <v>90</v>
      </c>
      <c r="D1426">
        <v>1395</v>
      </c>
      <c r="E1426" t="s">
        <v>43</v>
      </c>
      <c r="F1426">
        <v>9</v>
      </c>
      <c r="G1426">
        <v>4</v>
      </c>
      <c r="H1426" t="s">
        <v>49</v>
      </c>
      <c r="I1426">
        <v>1</v>
      </c>
      <c r="J1426">
        <v>2008</v>
      </c>
      <c r="K1426">
        <v>2</v>
      </c>
      <c r="L1426" t="s">
        <v>44</v>
      </c>
      <c r="M1426">
        <v>48</v>
      </c>
      <c r="N1426">
        <v>3</v>
      </c>
      <c r="O1426">
        <v>2</v>
      </c>
      <c r="P1426" t="s">
        <v>45</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c r="AJ1426">
        <f t="shared" si="22"/>
        <v>0</v>
      </c>
      <c r="AK1426" t="str" cm="1">
        <f t="array" ref="AK1426">_xlfn.IFS(A1426&lt;=30,"18-30",A1426&lt;=45,"31-45",A1426&lt;=60,"46-60",TRUE, "60+")</f>
        <v>31-45</v>
      </c>
      <c r="AL1426" t="str" cm="1">
        <f t="array" ref="AL1426">_xlfn.IFS(F1426&lt;=10,"0-10",F1426&lt;=20,"11-20",TRUE,"20+")</f>
        <v>0-10</v>
      </c>
      <c r="AM1426" t="str" cm="1">
        <f t="array" ref="AM1426">_xlfn.IFS(S1426&lt;=5000,"0-5k",S1426&lt;=10000,"5k-10k",S1426&lt;=15000,"10k-15k",TRUE,"15k+")</f>
        <v>5k-10k</v>
      </c>
      <c r="AN1426" t="str" cm="1">
        <f t="array" ref="AN1426">_xlfn.IFS(AF1426&lt;=10,"0-10",AF1426&lt;=20,"10-20",AF1426&lt;=30,"20-30",TRUE,"30+")</f>
        <v>0-10</v>
      </c>
      <c r="AO1426" t="str" cm="1">
        <f t="array" ref="AO1426">_xlfn.IFS(Y1426=1,"Poor",Y1426=2,"Average",Y1426=3,"Good",TRUE,"Excellent")</f>
        <v>Good</v>
      </c>
      <c r="AP1426" t="str" cm="1">
        <f t="array" ref="AP1426">_xlfn.IFS(Q1426=1,"Low",Q1426=2,"Medium",Q1426=3,"High",TRUE,"Very High")</f>
        <v>High</v>
      </c>
    </row>
    <row r="1427" spans="1:42" x14ac:dyDescent="0.25">
      <c r="A1427">
        <v>33</v>
      </c>
      <c r="B1427" t="s">
        <v>42</v>
      </c>
      <c r="C1427" t="s">
        <v>90</v>
      </c>
      <c r="D1427">
        <v>501</v>
      </c>
      <c r="E1427" t="s">
        <v>43</v>
      </c>
      <c r="F1427">
        <v>15</v>
      </c>
      <c r="G1427">
        <v>2</v>
      </c>
      <c r="H1427" t="s">
        <v>49</v>
      </c>
      <c r="I1427">
        <v>1</v>
      </c>
      <c r="J1427">
        <v>2009</v>
      </c>
      <c r="K1427">
        <v>2</v>
      </c>
      <c r="L1427" t="s">
        <v>38</v>
      </c>
      <c r="M1427">
        <v>95</v>
      </c>
      <c r="N1427">
        <v>3</v>
      </c>
      <c r="O1427">
        <v>2</v>
      </c>
      <c r="P1427" t="s">
        <v>52</v>
      </c>
      <c r="Q1427">
        <v>4</v>
      </c>
      <c r="R1427" t="s">
        <v>46</v>
      </c>
      <c r="S1427">
        <v>4878</v>
      </c>
      <c r="T1427">
        <v>21653</v>
      </c>
      <c r="U1427">
        <v>0</v>
      </c>
      <c r="V1427" t="s">
        <v>41</v>
      </c>
      <c r="W1427" t="s">
        <v>35</v>
      </c>
      <c r="X1427">
        <v>13</v>
      </c>
      <c r="Y1427">
        <v>3</v>
      </c>
      <c r="Z1427">
        <v>1</v>
      </c>
      <c r="AA1427">
        <v>80</v>
      </c>
      <c r="AB1427">
        <v>1</v>
      </c>
      <c r="AC1427">
        <v>10</v>
      </c>
      <c r="AD1427">
        <v>6</v>
      </c>
      <c r="AE1427">
        <v>3</v>
      </c>
      <c r="AF1427">
        <v>9</v>
      </c>
      <c r="AG1427">
        <v>7</v>
      </c>
      <c r="AH1427">
        <v>8</v>
      </c>
      <c r="AI1427">
        <v>1</v>
      </c>
      <c r="AJ1427">
        <f t="shared" si="22"/>
        <v>0</v>
      </c>
      <c r="AK1427" t="str" cm="1">
        <f t="array" ref="AK1427">_xlfn.IFS(A1427&lt;=30,"18-30",A1427&lt;=45,"31-45",A1427&lt;=60,"46-60",TRUE, "60+")</f>
        <v>31-45</v>
      </c>
      <c r="AL1427" t="str" cm="1">
        <f t="array" ref="AL1427">_xlfn.IFS(F1427&lt;=10,"0-10",F1427&lt;=20,"11-20",TRUE,"20+")</f>
        <v>11-20</v>
      </c>
      <c r="AM1427" t="str" cm="1">
        <f t="array" ref="AM1427">_xlfn.IFS(S1427&lt;=5000,"0-5k",S1427&lt;=10000,"5k-10k",S1427&lt;=15000,"10k-15k",TRUE,"15k+")</f>
        <v>0-5k</v>
      </c>
      <c r="AN1427" t="str" cm="1">
        <f t="array" ref="AN1427">_xlfn.IFS(AF1427&lt;=10,"0-10",AF1427&lt;=20,"10-20",AF1427&lt;=30,"20-30",TRUE,"30+")</f>
        <v>0-10</v>
      </c>
      <c r="AO1427" t="str" cm="1">
        <f t="array" ref="AO1427">_xlfn.IFS(Y1427=1,"Poor",Y1427=2,"Average",Y1427=3,"Good",TRUE,"Excellent")</f>
        <v>Good</v>
      </c>
      <c r="AP1427" t="str" cm="1">
        <f t="array" ref="AP1427">_xlfn.IFS(Q1427=1,"Low",Q1427=2,"Medium",Q1427=3,"High",TRUE,"Very High")</f>
        <v>Very High</v>
      </c>
    </row>
    <row r="1428" spans="1:42" x14ac:dyDescent="0.25">
      <c r="A1428">
        <v>32</v>
      </c>
      <c r="B1428" t="s">
        <v>42</v>
      </c>
      <c r="C1428" t="s">
        <v>90</v>
      </c>
      <c r="D1428">
        <v>267</v>
      </c>
      <c r="E1428" t="s">
        <v>43</v>
      </c>
      <c r="F1428">
        <v>29</v>
      </c>
      <c r="G1428">
        <v>4</v>
      </c>
      <c r="H1428" t="s">
        <v>37</v>
      </c>
      <c r="I1428">
        <v>1</v>
      </c>
      <c r="J1428">
        <v>2010</v>
      </c>
      <c r="K1428">
        <v>3</v>
      </c>
      <c r="L1428" t="s">
        <v>38</v>
      </c>
      <c r="M1428">
        <v>49</v>
      </c>
      <c r="N1428">
        <v>2</v>
      </c>
      <c r="O1428">
        <v>1</v>
      </c>
      <c r="P1428" t="s">
        <v>48</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c r="AJ1428">
        <f t="shared" si="22"/>
        <v>0</v>
      </c>
      <c r="AK1428" t="str" cm="1">
        <f t="array" ref="AK1428">_xlfn.IFS(A1428&lt;=30,"18-30",A1428&lt;=45,"31-45",A1428&lt;=60,"46-60",TRUE, "60+")</f>
        <v>31-45</v>
      </c>
      <c r="AL1428" t="str" cm="1">
        <f t="array" ref="AL1428">_xlfn.IFS(F1428&lt;=10,"0-10",F1428&lt;=20,"11-20",TRUE,"20+")</f>
        <v>20+</v>
      </c>
      <c r="AM1428" t="str" cm="1">
        <f t="array" ref="AM1428">_xlfn.IFS(S1428&lt;=5000,"0-5k",S1428&lt;=10000,"5k-10k",S1428&lt;=15000,"10k-15k",TRUE,"15k+")</f>
        <v>0-5k</v>
      </c>
      <c r="AN1428" t="str" cm="1">
        <f t="array" ref="AN1428">_xlfn.IFS(AF1428&lt;=10,"0-10",AF1428&lt;=20,"10-20",AF1428&lt;=30,"20-30",TRUE,"30+")</f>
        <v>0-10</v>
      </c>
      <c r="AO1428" t="str" cm="1">
        <f t="array" ref="AO1428">_xlfn.IFS(Y1428=1,"Poor",Y1428=2,"Average",Y1428=3,"Good",TRUE,"Excellent")</f>
        <v>Good</v>
      </c>
      <c r="AP1428" t="str" cm="1">
        <f t="array" ref="AP1428">_xlfn.IFS(Q1428=1,"Low",Q1428=2,"Medium",Q1428=3,"High",TRUE,"Very High")</f>
        <v>Medium</v>
      </c>
    </row>
    <row r="1429" spans="1:42" x14ac:dyDescent="0.25">
      <c r="A1429">
        <v>40</v>
      </c>
      <c r="B1429" t="s">
        <v>42</v>
      </c>
      <c r="C1429" t="s">
        <v>90</v>
      </c>
      <c r="D1429">
        <v>543</v>
      </c>
      <c r="E1429" t="s">
        <v>43</v>
      </c>
      <c r="F1429">
        <v>1</v>
      </c>
      <c r="G1429">
        <v>4</v>
      </c>
      <c r="H1429" t="s">
        <v>37</v>
      </c>
      <c r="I1429">
        <v>1</v>
      </c>
      <c r="J1429">
        <v>2012</v>
      </c>
      <c r="K1429">
        <v>1</v>
      </c>
      <c r="L1429" t="s">
        <v>44</v>
      </c>
      <c r="M1429">
        <v>83</v>
      </c>
      <c r="N1429">
        <v>3</v>
      </c>
      <c r="O1429">
        <v>1</v>
      </c>
      <c r="P1429" t="s">
        <v>48</v>
      </c>
      <c r="Q1429">
        <v>4</v>
      </c>
      <c r="R1429" t="s">
        <v>46</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c r="AJ1429">
        <f t="shared" si="22"/>
        <v>0</v>
      </c>
      <c r="AK1429" t="str" cm="1">
        <f t="array" ref="AK1429">_xlfn.IFS(A1429&lt;=30,"18-30",A1429&lt;=45,"31-45",A1429&lt;=60,"46-60",TRUE, "60+")</f>
        <v>31-45</v>
      </c>
      <c r="AL1429" t="str" cm="1">
        <f t="array" ref="AL1429">_xlfn.IFS(F1429&lt;=10,"0-10",F1429&lt;=20,"11-20",TRUE,"20+")</f>
        <v>0-10</v>
      </c>
      <c r="AM1429" t="str" cm="1">
        <f t="array" ref="AM1429">_xlfn.IFS(S1429&lt;=5000,"0-5k",S1429&lt;=10000,"5k-10k",S1429&lt;=15000,"10k-15k",TRUE,"15k+")</f>
        <v>0-5k</v>
      </c>
      <c r="AN1429" t="str" cm="1">
        <f t="array" ref="AN1429">_xlfn.IFS(AF1429&lt;=10,"0-10",AF1429&lt;=20,"10-20",AF1429&lt;=30,"20-30",TRUE,"30+")</f>
        <v>0-10</v>
      </c>
      <c r="AO1429" t="str" cm="1">
        <f t="array" ref="AO1429">_xlfn.IFS(Y1429=1,"Poor",Y1429=2,"Average",Y1429=3,"Good",TRUE,"Excellent")</f>
        <v>Good</v>
      </c>
      <c r="AP1429" t="str" cm="1">
        <f t="array" ref="AP1429">_xlfn.IFS(Q1429=1,"Low",Q1429=2,"Medium",Q1429=3,"High",TRUE,"Very High")</f>
        <v>Very High</v>
      </c>
    </row>
    <row r="1430" spans="1:42" x14ac:dyDescent="0.25">
      <c r="A1430">
        <v>32</v>
      </c>
      <c r="B1430" t="s">
        <v>42</v>
      </c>
      <c r="C1430" t="s">
        <v>90</v>
      </c>
      <c r="D1430">
        <v>234</v>
      </c>
      <c r="E1430" t="s">
        <v>36</v>
      </c>
      <c r="F1430">
        <v>1</v>
      </c>
      <c r="G1430">
        <v>4</v>
      </c>
      <c r="H1430" t="s">
        <v>49</v>
      </c>
      <c r="I1430">
        <v>1</v>
      </c>
      <c r="J1430">
        <v>2013</v>
      </c>
      <c r="K1430">
        <v>2</v>
      </c>
      <c r="L1430" t="s">
        <v>44</v>
      </c>
      <c r="M1430">
        <v>68</v>
      </c>
      <c r="N1430">
        <v>2</v>
      </c>
      <c r="O1430">
        <v>1</v>
      </c>
      <c r="P1430" t="s">
        <v>55</v>
      </c>
      <c r="Q1430">
        <v>2</v>
      </c>
      <c r="R1430" t="s">
        <v>46</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c r="AJ1430">
        <f t="shared" si="22"/>
        <v>0</v>
      </c>
      <c r="AK1430" t="str" cm="1">
        <f t="array" ref="AK1430">_xlfn.IFS(A1430&lt;=30,"18-30",A1430&lt;=45,"31-45",A1430&lt;=60,"46-60",TRUE, "60+")</f>
        <v>31-45</v>
      </c>
      <c r="AL1430" t="str" cm="1">
        <f t="array" ref="AL1430">_xlfn.IFS(F1430&lt;=10,"0-10",F1430&lt;=20,"11-20",TRUE,"20+")</f>
        <v>0-10</v>
      </c>
      <c r="AM1430" t="str" cm="1">
        <f t="array" ref="AM1430">_xlfn.IFS(S1430&lt;=5000,"0-5k",S1430&lt;=10000,"5k-10k",S1430&lt;=15000,"10k-15k",TRUE,"15k+")</f>
        <v>0-5k</v>
      </c>
      <c r="AN1430" t="str" cm="1">
        <f t="array" ref="AN1430">_xlfn.IFS(AF1430&lt;=10,"0-10",AF1430&lt;=20,"10-20",AF1430&lt;=30,"20-30",TRUE,"30+")</f>
        <v>0-10</v>
      </c>
      <c r="AO1430" t="str" cm="1">
        <f t="array" ref="AO1430">_xlfn.IFS(Y1430=1,"Poor",Y1430=2,"Average",Y1430=3,"Good",TRUE,"Excellent")</f>
        <v>Good</v>
      </c>
      <c r="AP1430" t="str" cm="1">
        <f t="array" ref="AP1430">_xlfn.IFS(Q1430=1,"Low",Q1430=2,"Medium",Q1430=3,"High",TRUE,"Very High")</f>
        <v>Medium</v>
      </c>
    </row>
    <row r="1431" spans="1:42" x14ac:dyDescent="0.25">
      <c r="A1431">
        <v>39</v>
      </c>
      <c r="B1431" t="s">
        <v>42</v>
      </c>
      <c r="C1431" t="s">
        <v>90</v>
      </c>
      <c r="D1431">
        <v>116</v>
      </c>
      <c r="E1431" t="s">
        <v>43</v>
      </c>
      <c r="F1431">
        <v>24</v>
      </c>
      <c r="G1431">
        <v>1</v>
      </c>
      <c r="H1431" t="s">
        <v>37</v>
      </c>
      <c r="I1431">
        <v>1</v>
      </c>
      <c r="J1431">
        <v>2014</v>
      </c>
      <c r="K1431">
        <v>1</v>
      </c>
      <c r="L1431" t="s">
        <v>44</v>
      </c>
      <c r="M1431">
        <v>52</v>
      </c>
      <c r="N1431">
        <v>3</v>
      </c>
      <c r="O1431">
        <v>2</v>
      </c>
      <c r="P1431" t="s">
        <v>45</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c r="AJ1431">
        <f t="shared" si="22"/>
        <v>0</v>
      </c>
      <c r="AK1431" t="str" cm="1">
        <f t="array" ref="AK1431">_xlfn.IFS(A1431&lt;=30,"18-30",A1431&lt;=45,"31-45",A1431&lt;=60,"46-60",TRUE, "60+")</f>
        <v>31-45</v>
      </c>
      <c r="AL1431" t="str" cm="1">
        <f t="array" ref="AL1431">_xlfn.IFS(F1431&lt;=10,"0-10",F1431&lt;=20,"11-20",TRUE,"20+")</f>
        <v>20+</v>
      </c>
      <c r="AM1431" t="str" cm="1">
        <f t="array" ref="AM1431">_xlfn.IFS(S1431&lt;=5000,"0-5k",S1431&lt;=10000,"5k-10k",S1431&lt;=15000,"10k-15k",TRUE,"15k+")</f>
        <v>0-5k</v>
      </c>
      <c r="AN1431" t="str" cm="1">
        <f t="array" ref="AN1431">_xlfn.IFS(AF1431&lt;=10,"0-10",AF1431&lt;=20,"10-20",AF1431&lt;=30,"20-30",TRUE,"30+")</f>
        <v>0-10</v>
      </c>
      <c r="AO1431" t="str" cm="1">
        <f t="array" ref="AO1431">_xlfn.IFS(Y1431=1,"Poor",Y1431=2,"Average",Y1431=3,"Good",TRUE,"Excellent")</f>
        <v>Good</v>
      </c>
      <c r="AP1431" t="str" cm="1">
        <f t="array" ref="AP1431">_xlfn.IFS(Q1431=1,"Low",Q1431=2,"Medium",Q1431=3,"High",TRUE,"Very High")</f>
        <v>Very High</v>
      </c>
    </row>
    <row r="1432" spans="1:42" x14ac:dyDescent="0.25">
      <c r="A1432">
        <v>38</v>
      </c>
      <c r="B1432" t="s">
        <v>42</v>
      </c>
      <c r="C1432" t="s">
        <v>90</v>
      </c>
      <c r="D1432">
        <v>201</v>
      </c>
      <c r="E1432" t="s">
        <v>43</v>
      </c>
      <c r="F1432">
        <v>10</v>
      </c>
      <c r="G1432">
        <v>3</v>
      </c>
      <c r="H1432" t="s">
        <v>49</v>
      </c>
      <c r="I1432">
        <v>1</v>
      </c>
      <c r="J1432">
        <v>2015</v>
      </c>
      <c r="K1432">
        <v>2</v>
      </c>
      <c r="L1432" t="s">
        <v>38</v>
      </c>
      <c r="M1432">
        <v>99</v>
      </c>
      <c r="N1432">
        <v>1</v>
      </c>
      <c r="O1432">
        <v>3</v>
      </c>
      <c r="P1432" t="s">
        <v>56</v>
      </c>
      <c r="Q1432">
        <v>3</v>
      </c>
      <c r="R1432" t="s">
        <v>46</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c r="AJ1432">
        <f t="shared" si="22"/>
        <v>0</v>
      </c>
      <c r="AK1432" t="str" cm="1">
        <f t="array" ref="AK1432">_xlfn.IFS(A1432&lt;=30,"18-30",A1432&lt;=45,"31-45",A1432&lt;=60,"46-60",TRUE, "60+")</f>
        <v>31-45</v>
      </c>
      <c r="AL1432" t="str" cm="1">
        <f t="array" ref="AL1432">_xlfn.IFS(F1432&lt;=10,"0-10",F1432&lt;=20,"11-20",TRUE,"20+")</f>
        <v>0-10</v>
      </c>
      <c r="AM1432" t="str" cm="1">
        <f t="array" ref="AM1432">_xlfn.IFS(S1432&lt;=5000,"0-5k",S1432&lt;=10000,"5k-10k",S1432&lt;=15000,"10k-15k",TRUE,"15k+")</f>
        <v>10k-15k</v>
      </c>
      <c r="AN1432" t="str" cm="1">
        <f t="array" ref="AN1432">_xlfn.IFS(AF1432&lt;=10,"0-10",AF1432&lt;=20,"10-20",AF1432&lt;=30,"20-30",TRUE,"30+")</f>
        <v>10-20</v>
      </c>
      <c r="AO1432" t="str" cm="1">
        <f t="array" ref="AO1432">_xlfn.IFS(Y1432=1,"Poor",Y1432=2,"Average",Y1432=3,"Good",TRUE,"Excellent")</f>
        <v>Good</v>
      </c>
      <c r="AP1432" t="str" cm="1">
        <f t="array" ref="AP1432">_xlfn.IFS(Q1432=1,"Low",Q1432=2,"Medium",Q1432=3,"High",TRUE,"Very High")</f>
        <v>High</v>
      </c>
    </row>
    <row r="1433" spans="1:42" x14ac:dyDescent="0.25">
      <c r="A1433">
        <v>32</v>
      </c>
      <c r="B1433" t="s">
        <v>42</v>
      </c>
      <c r="C1433" t="s">
        <v>90</v>
      </c>
      <c r="D1433">
        <v>801</v>
      </c>
      <c r="E1433" t="s">
        <v>36</v>
      </c>
      <c r="F1433">
        <v>1</v>
      </c>
      <c r="G1433">
        <v>4</v>
      </c>
      <c r="H1433" t="s">
        <v>57</v>
      </c>
      <c r="I1433">
        <v>1</v>
      </c>
      <c r="J1433">
        <v>2016</v>
      </c>
      <c r="K1433">
        <v>3</v>
      </c>
      <c r="L1433" t="s">
        <v>38</v>
      </c>
      <c r="M1433">
        <v>48</v>
      </c>
      <c r="N1433">
        <v>3</v>
      </c>
      <c r="O1433">
        <v>3</v>
      </c>
      <c r="P1433" t="s">
        <v>39</v>
      </c>
      <c r="Q1433">
        <v>4</v>
      </c>
      <c r="R1433" t="s">
        <v>46</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c r="AJ1433">
        <f t="shared" si="22"/>
        <v>0</v>
      </c>
      <c r="AK1433" t="str" cm="1">
        <f t="array" ref="AK1433">_xlfn.IFS(A1433&lt;=30,"18-30",A1433&lt;=45,"31-45",A1433&lt;=60,"46-60",TRUE, "60+")</f>
        <v>31-45</v>
      </c>
      <c r="AL1433" t="str" cm="1">
        <f t="array" ref="AL1433">_xlfn.IFS(F1433&lt;=10,"0-10",F1433&lt;=20,"11-20",TRUE,"20+")</f>
        <v>0-10</v>
      </c>
      <c r="AM1433" t="str" cm="1">
        <f t="array" ref="AM1433">_xlfn.IFS(S1433&lt;=5000,"0-5k",S1433&lt;=10000,"5k-10k",S1433&lt;=15000,"10k-15k",TRUE,"15k+")</f>
        <v>10k-15k</v>
      </c>
      <c r="AN1433" t="str" cm="1">
        <f t="array" ref="AN1433">_xlfn.IFS(AF1433&lt;=10,"0-10",AF1433&lt;=20,"10-20",AF1433&lt;=30,"20-30",TRUE,"30+")</f>
        <v>10-20</v>
      </c>
      <c r="AO1433" t="str" cm="1">
        <f t="array" ref="AO1433">_xlfn.IFS(Y1433=1,"Poor",Y1433=2,"Average",Y1433=3,"Good",TRUE,"Excellent")</f>
        <v>Good</v>
      </c>
      <c r="AP1433" t="str" cm="1">
        <f t="array" ref="AP1433">_xlfn.IFS(Q1433=1,"Low",Q1433=2,"Medium",Q1433=3,"High",TRUE,"Very High")</f>
        <v>Very High</v>
      </c>
    </row>
    <row r="1434" spans="1:42" x14ac:dyDescent="0.25">
      <c r="A1434">
        <v>37</v>
      </c>
      <c r="B1434" t="s">
        <v>42</v>
      </c>
      <c r="C1434" t="s">
        <v>90</v>
      </c>
      <c r="D1434">
        <v>161</v>
      </c>
      <c r="E1434" t="s">
        <v>43</v>
      </c>
      <c r="F1434">
        <v>10</v>
      </c>
      <c r="G1434">
        <v>3</v>
      </c>
      <c r="H1434" t="s">
        <v>37</v>
      </c>
      <c r="I1434">
        <v>1</v>
      </c>
      <c r="J1434">
        <v>2017</v>
      </c>
      <c r="K1434">
        <v>3</v>
      </c>
      <c r="L1434" t="s">
        <v>38</v>
      </c>
      <c r="M1434">
        <v>42</v>
      </c>
      <c r="N1434">
        <v>4</v>
      </c>
      <c r="O1434">
        <v>3</v>
      </c>
      <c r="P1434" t="s">
        <v>56</v>
      </c>
      <c r="Q1434">
        <v>4</v>
      </c>
      <c r="R1434" t="s">
        <v>46</v>
      </c>
      <c r="S1434">
        <v>13744</v>
      </c>
      <c r="T1434">
        <v>15471</v>
      </c>
      <c r="U1434">
        <v>1</v>
      </c>
      <c r="V1434" t="s">
        <v>41</v>
      </c>
      <c r="W1434" t="s">
        <v>35</v>
      </c>
      <c r="X1434">
        <v>25</v>
      </c>
      <c r="Y1434">
        <v>4</v>
      </c>
      <c r="Z1434">
        <v>1</v>
      </c>
      <c r="AA1434">
        <v>80</v>
      </c>
      <c r="AB1434">
        <v>1</v>
      </c>
      <c r="AC1434">
        <v>16</v>
      </c>
      <c r="AD1434">
        <v>2</v>
      </c>
      <c r="AE1434">
        <v>3</v>
      </c>
      <c r="AF1434">
        <v>16</v>
      </c>
      <c r="AG1434">
        <v>11</v>
      </c>
      <c r="AH1434">
        <v>6</v>
      </c>
      <c r="AI1434">
        <v>8</v>
      </c>
      <c r="AJ1434">
        <f t="shared" si="22"/>
        <v>0</v>
      </c>
      <c r="AK1434" t="str" cm="1">
        <f t="array" ref="AK1434">_xlfn.IFS(A1434&lt;=30,"18-30",A1434&lt;=45,"31-45",A1434&lt;=60,"46-60",TRUE, "60+")</f>
        <v>31-45</v>
      </c>
      <c r="AL1434" t="str" cm="1">
        <f t="array" ref="AL1434">_xlfn.IFS(F1434&lt;=10,"0-10",F1434&lt;=20,"11-20",TRUE,"20+")</f>
        <v>0-10</v>
      </c>
      <c r="AM1434" t="str" cm="1">
        <f t="array" ref="AM1434">_xlfn.IFS(S1434&lt;=5000,"0-5k",S1434&lt;=10000,"5k-10k",S1434&lt;=15000,"10k-15k",TRUE,"15k+")</f>
        <v>10k-15k</v>
      </c>
      <c r="AN1434" t="str" cm="1">
        <f t="array" ref="AN1434">_xlfn.IFS(AF1434&lt;=10,"0-10",AF1434&lt;=20,"10-20",AF1434&lt;=30,"20-30",TRUE,"30+")</f>
        <v>10-20</v>
      </c>
      <c r="AO1434" t="str" cm="1">
        <f t="array" ref="AO1434">_xlfn.IFS(Y1434=1,"Poor",Y1434=2,"Average",Y1434=3,"Good",TRUE,"Excellent")</f>
        <v>Excellent</v>
      </c>
      <c r="AP1434" t="str" cm="1">
        <f t="array" ref="AP1434">_xlfn.IFS(Q1434=1,"Low",Q1434=2,"Medium",Q1434=3,"High",TRUE,"Very High")</f>
        <v>Very High</v>
      </c>
    </row>
    <row r="1435" spans="1:42" x14ac:dyDescent="0.25">
      <c r="A1435">
        <v>25</v>
      </c>
      <c r="B1435" t="s">
        <v>42</v>
      </c>
      <c r="C1435" t="s">
        <v>90</v>
      </c>
      <c r="D1435">
        <v>1382</v>
      </c>
      <c r="E1435" t="s">
        <v>36</v>
      </c>
      <c r="F1435">
        <v>8</v>
      </c>
      <c r="G1435">
        <v>2</v>
      </c>
      <c r="H1435" t="s">
        <v>47</v>
      </c>
      <c r="I1435">
        <v>1</v>
      </c>
      <c r="J1435">
        <v>2018</v>
      </c>
      <c r="K1435">
        <v>1</v>
      </c>
      <c r="L1435" t="s">
        <v>38</v>
      </c>
      <c r="M1435">
        <v>85</v>
      </c>
      <c r="N1435">
        <v>3</v>
      </c>
      <c r="O1435">
        <v>2</v>
      </c>
      <c r="P1435" t="s">
        <v>39</v>
      </c>
      <c r="Q1435">
        <v>3</v>
      </c>
      <c r="R1435" t="s">
        <v>50</v>
      </c>
      <c r="S1435">
        <v>4907</v>
      </c>
      <c r="T1435">
        <v>13684</v>
      </c>
      <c r="U1435">
        <v>0</v>
      </c>
      <c r="V1435" t="s">
        <v>41</v>
      </c>
      <c r="W1435" t="s">
        <v>35</v>
      </c>
      <c r="X1435">
        <v>22</v>
      </c>
      <c r="Y1435">
        <v>4</v>
      </c>
      <c r="Z1435">
        <v>2</v>
      </c>
      <c r="AA1435">
        <v>80</v>
      </c>
      <c r="AB1435">
        <v>1</v>
      </c>
      <c r="AC1435">
        <v>6</v>
      </c>
      <c r="AD1435">
        <v>3</v>
      </c>
      <c r="AE1435">
        <v>2</v>
      </c>
      <c r="AF1435">
        <v>5</v>
      </c>
      <c r="AG1435">
        <v>3</v>
      </c>
      <c r="AH1435">
        <v>0</v>
      </c>
      <c r="AI1435">
        <v>4</v>
      </c>
      <c r="AJ1435">
        <f t="shared" si="22"/>
        <v>0</v>
      </c>
      <c r="AK1435" t="str" cm="1">
        <f t="array" ref="AK1435">_xlfn.IFS(A1435&lt;=30,"18-30",A1435&lt;=45,"31-45",A1435&lt;=60,"46-60",TRUE, "60+")</f>
        <v>18-30</v>
      </c>
      <c r="AL1435" t="str" cm="1">
        <f t="array" ref="AL1435">_xlfn.IFS(F1435&lt;=10,"0-10",F1435&lt;=20,"11-20",TRUE,"20+")</f>
        <v>0-10</v>
      </c>
      <c r="AM1435" t="str" cm="1">
        <f t="array" ref="AM1435">_xlfn.IFS(S1435&lt;=5000,"0-5k",S1435&lt;=10000,"5k-10k",S1435&lt;=15000,"10k-15k",TRUE,"15k+")</f>
        <v>0-5k</v>
      </c>
      <c r="AN1435" t="str" cm="1">
        <f t="array" ref="AN1435">_xlfn.IFS(AF1435&lt;=10,"0-10",AF1435&lt;=20,"10-20",AF1435&lt;=30,"20-30",TRUE,"30+")</f>
        <v>0-10</v>
      </c>
      <c r="AO1435" t="str" cm="1">
        <f t="array" ref="AO1435">_xlfn.IFS(Y1435=1,"Poor",Y1435=2,"Average",Y1435=3,"Good",TRUE,"Excellent")</f>
        <v>Excellent</v>
      </c>
      <c r="AP1435" t="str" cm="1">
        <f t="array" ref="AP1435">_xlfn.IFS(Q1435=1,"Low",Q1435=2,"Medium",Q1435=3,"High",TRUE,"Very High")</f>
        <v>High</v>
      </c>
    </row>
    <row r="1436" spans="1:42" x14ac:dyDescent="0.25">
      <c r="A1436">
        <v>52</v>
      </c>
      <c r="B1436" t="s">
        <v>42</v>
      </c>
      <c r="C1436" t="s">
        <v>53</v>
      </c>
      <c r="D1436">
        <v>585</v>
      </c>
      <c r="E1436" t="s">
        <v>36</v>
      </c>
      <c r="F1436">
        <v>29</v>
      </c>
      <c r="G1436">
        <v>4</v>
      </c>
      <c r="H1436" t="s">
        <v>37</v>
      </c>
      <c r="I1436">
        <v>1</v>
      </c>
      <c r="J1436">
        <v>2019</v>
      </c>
      <c r="K1436">
        <v>1</v>
      </c>
      <c r="L1436" t="s">
        <v>44</v>
      </c>
      <c r="M1436">
        <v>40</v>
      </c>
      <c r="N1436">
        <v>3</v>
      </c>
      <c r="O1436">
        <v>1</v>
      </c>
      <c r="P1436" t="s">
        <v>55</v>
      </c>
      <c r="Q1436">
        <v>4</v>
      </c>
      <c r="R1436" t="s">
        <v>50</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c r="AJ1436">
        <f t="shared" si="22"/>
        <v>0</v>
      </c>
      <c r="AK1436" t="str" cm="1">
        <f t="array" ref="AK1436">_xlfn.IFS(A1436&lt;=30,"18-30",A1436&lt;=45,"31-45",A1436&lt;=60,"46-60",TRUE, "60+")</f>
        <v>46-60</v>
      </c>
      <c r="AL1436" t="str" cm="1">
        <f t="array" ref="AL1436">_xlfn.IFS(F1436&lt;=10,"0-10",F1436&lt;=20,"11-20",TRUE,"20+")</f>
        <v>20+</v>
      </c>
      <c r="AM1436" t="str" cm="1">
        <f t="array" ref="AM1436">_xlfn.IFS(S1436&lt;=5000,"0-5k",S1436&lt;=10000,"5k-10k",S1436&lt;=15000,"10k-15k",TRUE,"15k+")</f>
        <v>0-5k</v>
      </c>
      <c r="AN1436" t="str" cm="1">
        <f t="array" ref="AN1436">_xlfn.IFS(AF1436&lt;=10,"0-10",AF1436&lt;=20,"10-20",AF1436&lt;=30,"20-30",TRUE,"30+")</f>
        <v>0-10</v>
      </c>
      <c r="AO1436" t="str" cm="1">
        <f t="array" ref="AO1436">_xlfn.IFS(Y1436=1,"Poor",Y1436=2,"Average",Y1436=3,"Good",TRUE,"Excellent")</f>
        <v>Good</v>
      </c>
      <c r="AP1436" t="str" cm="1">
        <f t="array" ref="AP1436">_xlfn.IFS(Q1436=1,"Low",Q1436=2,"Medium",Q1436=3,"High",TRUE,"Very High")</f>
        <v>Very High</v>
      </c>
    </row>
    <row r="1437" spans="1:42" x14ac:dyDescent="0.25">
      <c r="A1437">
        <v>44</v>
      </c>
      <c r="B1437" t="s">
        <v>42</v>
      </c>
      <c r="C1437" t="s">
        <v>90</v>
      </c>
      <c r="D1437">
        <v>1037</v>
      </c>
      <c r="E1437" t="s">
        <v>43</v>
      </c>
      <c r="F1437">
        <v>1</v>
      </c>
      <c r="G1437">
        <v>3</v>
      </c>
      <c r="H1437" t="s">
        <v>49</v>
      </c>
      <c r="I1437">
        <v>1</v>
      </c>
      <c r="J1437">
        <v>2020</v>
      </c>
      <c r="K1437">
        <v>2</v>
      </c>
      <c r="L1437" t="s">
        <v>44</v>
      </c>
      <c r="M1437">
        <v>42</v>
      </c>
      <c r="N1437">
        <v>3</v>
      </c>
      <c r="O1437">
        <v>1</v>
      </c>
      <c r="P1437" t="s">
        <v>45</v>
      </c>
      <c r="Q1437">
        <v>4</v>
      </c>
      <c r="R1437" t="s">
        <v>40</v>
      </c>
      <c r="S1437">
        <v>2436</v>
      </c>
      <c r="T1437">
        <v>13422</v>
      </c>
      <c r="U1437">
        <v>6</v>
      </c>
      <c r="V1437" t="s">
        <v>41</v>
      </c>
      <c r="W1437" t="s">
        <v>35</v>
      </c>
      <c r="X1437">
        <v>12</v>
      </c>
      <c r="Y1437">
        <v>3</v>
      </c>
      <c r="Z1437">
        <v>3</v>
      </c>
      <c r="AA1437">
        <v>80</v>
      </c>
      <c r="AB1437">
        <v>0</v>
      </c>
      <c r="AC1437">
        <v>6</v>
      </c>
      <c r="AD1437">
        <v>2</v>
      </c>
      <c r="AE1437">
        <v>3</v>
      </c>
      <c r="AF1437">
        <v>4</v>
      </c>
      <c r="AG1437">
        <v>3</v>
      </c>
      <c r="AH1437">
        <v>1</v>
      </c>
      <c r="AI1437">
        <v>2</v>
      </c>
      <c r="AJ1437">
        <f t="shared" si="22"/>
        <v>0</v>
      </c>
      <c r="AK1437" t="str" cm="1">
        <f t="array" ref="AK1437">_xlfn.IFS(A1437&lt;=30,"18-30",A1437&lt;=45,"31-45",A1437&lt;=60,"46-60",TRUE, "60+")</f>
        <v>31-45</v>
      </c>
      <c r="AL1437" t="str" cm="1">
        <f t="array" ref="AL1437">_xlfn.IFS(F1437&lt;=10,"0-10",F1437&lt;=20,"11-20",TRUE,"20+")</f>
        <v>0-10</v>
      </c>
      <c r="AM1437" t="str" cm="1">
        <f t="array" ref="AM1437">_xlfn.IFS(S1437&lt;=5000,"0-5k",S1437&lt;=10000,"5k-10k",S1437&lt;=15000,"10k-15k",TRUE,"15k+")</f>
        <v>0-5k</v>
      </c>
      <c r="AN1437" t="str" cm="1">
        <f t="array" ref="AN1437">_xlfn.IFS(AF1437&lt;=10,"0-10",AF1437&lt;=20,"10-20",AF1437&lt;=30,"20-30",TRUE,"30+")</f>
        <v>0-10</v>
      </c>
      <c r="AO1437" t="str" cm="1">
        <f t="array" ref="AO1437">_xlfn.IFS(Y1437=1,"Poor",Y1437=2,"Average",Y1437=3,"Good",TRUE,"Excellent")</f>
        <v>Good</v>
      </c>
      <c r="AP1437" t="str" cm="1">
        <f t="array" ref="AP1437">_xlfn.IFS(Q1437=1,"Low",Q1437=2,"Medium",Q1437=3,"High",TRUE,"Very High")</f>
        <v>Very High</v>
      </c>
    </row>
    <row r="1438" spans="1:42" x14ac:dyDescent="0.25">
      <c r="A1438">
        <v>21</v>
      </c>
      <c r="B1438" t="s">
        <v>42</v>
      </c>
      <c r="C1438" t="s">
        <v>90</v>
      </c>
      <c r="D1438">
        <v>501</v>
      </c>
      <c r="E1438" t="s">
        <v>36</v>
      </c>
      <c r="F1438">
        <v>5</v>
      </c>
      <c r="G1438">
        <v>1</v>
      </c>
      <c r="H1438" t="s">
        <v>49</v>
      </c>
      <c r="I1438">
        <v>1</v>
      </c>
      <c r="J1438">
        <v>2021</v>
      </c>
      <c r="K1438">
        <v>3</v>
      </c>
      <c r="L1438" t="s">
        <v>44</v>
      </c>
      <c r="M1438">
        <v>58</v>
      </c>
      <c r="N1438">
        <v>3</v>
      </c>
      <c r="O1438">
        <v>1</v>
      </c>
      <c r="P1438" t="s">
        <v>55</v>
      </c>
      <c r="Q1438">
        <v>1</v>
      </c>
      <c r="R1438" t="s">
        <v>40</v>
      </c>
      <c r="S1438">
        <v>2380</v>
      </c>
      <c r="T1438">
        <v>25479</v>
      </c>
      <c r="U1438">
        <v>1</v>
      </c>
      <c r="V1438" t="s">
        <v>41</v>
      </c>
      <c r="W1438" t="s">
        <v>35</v>
      </c>
      <c r="X1438">
        <v>11</v>
      </c>
      <c r="Y1438">
        <v>3</v>
      </c>
      <c r="Z1438">
        <v>4</v>
      </c>
      <c r="AA1438">
        <v>80</v>
      </c>
      <c r="AB1438">
        <v>0</v>
      </c>
      <c r="AC1438">
        <v>2</v>
      </c>
      <c r="AD1438">
        <v>6</v>
      </c>
      <c r="AE1438">
        <v>3</v>
      </c>
      <c r="AF1438">
        <v>2</v>
      </c>
      <c r="AG1438">
        <v>2</v>
      </c>
      <c r="AH1438">
        <v>1</v>
      </c>
      <c r="AI1438">
        <v>2</v>
      </c>
      <c r="AJ1438">
        <f t="shared" si="22"/>
        <v>0</v>
      </c>
      <c r="AK1438" t="str" cm="1">
        <f t="array" ref="AK1438">_xlfn.IFS(A1438&lt;=30,"18-30",A1438&lt;=45,"31-45",A1438&lt;=60,"46-60",TRUE, "60+")</f>
        <v>18-30</v>
      </c>
      <c r="AL1438" t="str" cm="1">
        <f t="array" ref="AL1438">_xlfn.IFS(F1438&lt;=10,"0-10",F1438&lt;=20,"11-20",TRUE,"20+")</f>
        <v>0-10</v>
      </c>
      <c r="AM1438" t="str" cm="1">
        <f t="array" ref="AM1438">_xlfn.IFS(S1438&lt;=5000,"0-5k",S1438&lt;=10000,"5k-10k",S1438&lt;=15000,"10k-15k",TRUE,"15k+")</f>
        <v>0-5k</v>
      </c>
      <c r="AN1438" t="str" cm="1">
        <f t="array" ref="AN1438">_xlfn.IFS(AF1438&lt;=10,"0-10",AF1438&lt;=20,"10-20",AF1438&lt;=30,"20-30",TRUE,"30+")</f>
        <v>0-10</v>
      </c>
      <c r="AO1438" t="str" cm="1">
        <f t="array" ref="AO1438">_xlfn.IFS(Y1438=1,"Poor",Y1438=2,"Average",Y1438=3,"Good",TRUE,"Excellent")</f>
        <v>Good</v>
      </c>
      <c r="AP1438" t="str" cm="1">
        <f t="array" ref="AP1438">_xlfn.IFS(Q1438=1,"Low",Q1438=2,"Medium",Q1438=3,"High",TRUE,"Very High")</f>
        <v>Low</v>
      </c>
    </row>
    <row r="1439" spans="1:42" x14ac:dyDescent="0.25">
      <c r="A1439">
        <v>39</v>
      </c>
      <c r="B1439" t="s">
        <v>42</v>
      </c>
      <c r="C1439" t="s">
        <v>53</v>
      </c>
      <c r="D1439">
        <v>105</v>
      </c>
      <c r="E1439" t="s">
        <v>43</v>
      </c>
      <c r="F1439">
        <v>9</v>
      </c>
      <c r="G1439">
        <v>3</v>
      </c>
      <c r="H1439" t="s">
        <v>37</v>
      </c>
      <c r="I1439">
        <v>1</v>
      </c>
      <c r="J1439">
        <v>2022</v>
      </c>
      <c r="K1439">
        <v>4</v>
      </c>
      <c r="L1439" t="s">
        <v>44</v>
      </c>
      <c r="M1439">
        <v>87</v>
      </c>
      <c r="N1439">
        <v>3</v>
      </c>
      <c r="O1439">
        <v>5</v>
      </c>
      <c r="P1439" t="s">
        <v>54</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c r="AJ1439">
        <f t="shared" si="22"/>
        <v>0</v>
      </c>
      <c r="AK1439" t="str" cm="1">
        <f t="array" ref="AK1439">_xlfn.IFS(A1439&lt;=30,"18-30",A1439&lt;=45,"31-45",A1439&lt;=60,"46-60",TRUE, "60+")</f>
        <v>31-45</v>
      </c>
      <c r="AL1439" t="str" cm="1">
        <f t="array" ref="AL1439">_xlfn.IFS(F1439&lt;=10,"0-10",F1439&lt;=20,"11-20",TRUE,"20+")</f>
        <v>0-10</v>
      </c>
      <c r="AM1439" t="str" cm="1">
        <f t="array" ref="AM1439">_xlfn.IFS(S1439&lt;=5000,"0-5k",S1439&lt;=10000,"5k-10k",S1439&lt;=15000,"10k-15k",TRUE,"15k+")</f>
        <v>15k+</v>
      </c>
      <c r="AN1439" t="str" cm="1">
        <f t="array" ref="AN1439">_xlfn.IFS(AF1439&lt;=10,"0-10",AF1439&lt;=20,"10-20",AF1439&lt;=30,"20-30",TRUE,"30+")</f>
        <v>0-10</v>
      </c>
      <c r="AO1439" t="str" cm="1">
        <f t="array" ref="AO1439">_xlfn.IFS(Y1439=1,"Poor",Y1439=2,"Average",Y1439=3,"Good",TRUE,"Excellent")</f>
        <v>Good</v>
      </c>
      <c r="AP1439" t="str" cm="1">
        <f t="array" ref="AP1439">_xlfn.IFS(Q1439=1,"Low",Q1439=2,"Medium",Q1439=3,"High",TRUE,"Very High")</f>
        <v>Very High</v>
      </c>
    </row>
    <row r="1440" spans="1:42" x14ac:dyDescent="0.25">
      <c r="A1440">
        <v>23</v>
      </c>
      <c r="B1440" t="s">
        <v>35</v>
      </c>
      <c r="C1440" t="s">
        <v>91</v>
      </c>
      <c r="D1440">
        <v>638</v>
      </c>
      <c r="E1440" t="s">
        <v>36</v>
      </c>
      <c r="F1440">
        <v>9</v>
      </c>
      <c r="G1440">
        <v>3</v>
      </c>
      <c r="H1440" t="s">
        <v>57</v>
      </c>
      <c r="I1440">
        <v>1</v>
      </c>
      <c r="J1440">
        <v>2023</v>
      </c>
      <c r="K1440">
        <v>4</v>
      </c>
      <c r="L1440" t="s">
        <v>44</v>
      </c>
      <c r="M1440">
        <v>33</v>
      </c>
      <c r="N1440">
        <v>3</v>
      </c>
      <c r="O1440">
        <v>1</v>
      </c>
      <c r="P1440" t="s">
        <v>55</v>
      </c>
      <c r="Q1440">
        <v>1</v>
      </c>
      <c r="R1440" t="s">
        <v>46</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c r="AJ1440">
        <f t="shared" si="22"/>
        <v>1</v>
      </c>
      <c r="AK1440" t="str" cm="1">
        <f t="array" ref="AK1440">_xlfn.IFS(A1440&lt;=30,"18-30",A1440&lt;=45,"31-45",A1440&lt;=60,"46-60",TRUE, "60+")</f>
        <v>18-30</v>
      </c>
      <c r="AL1440" t="str" cm="1">
        <f t="array" ref="AL1440">_xlfn.IFS(F1440&lt;=10,"0-10",F1440&lt;=20,"11-20",TRUE,"20+")</f>
        <v>0-10</v>
      </c>
      <c r="AM1440" t="str" cm="1">
        <f t="array" ref="AM1440">_xlfn.IFS(S1440&lt;=5000,"0-5k",S1440&lt;=10000,"5k-10k",S1440&lt;=15000,"10k-15k",TRUE,"15k+")</f>
        <v>0-5k</v>
      </c>
      <c r="AN1440" t="str" cm="1">
        <f t="array" ref="AN1440">_xlfn.IFS(AF1440&lt;=10,"0-10",AF1440&lt;=20,"10-20",AF1440&lt;=30,"20-30",TRUE,"30+")</f>
        <v>0-10</v>
      </c>
      <c r="AO1440" t="str" cm="1">
        <f t="array" ref="AO1440">_xlfn.IFS(Y1440=1,"Poor",Y1440=2,"Average",Y1440=3,"Good",TRUE,"Excellent")</f>
        <v>Good</v>
      </c>
      <c r="AP1440" t="str" cm="1">
        <f t="array" ref="AP1440">_xlfn.IFS(Q1440=1,"Low",Q1440=2,"Medium",Q1440=3,"High",TRUE,"Very High")</f>
        <v>Low</v>
      </c>
    </row>
    <row r="1441" spans="1:42" x14ac:dyDescent="0.25">
      <c r="A1441">
        <v>36</v>
      </c>
      <c r="B1441" t="s">
        <v>42</v>
      </c>
      <c r="C1441" t="s">
        <v>90</v>
      </c>
      <c r="D1441">
        <v>557</v>
      </c>
      <c r="E1441" t="s">
        <v>36</v>
      </c>
      <c r="F1441">
        <v>3</v>
      </c>
      <c r="G1441">
        <v>3</v>
      </c>
      <c r="H1441" t="s">
        <v>49</v>
      </c>
      <c r="I1441">
        <v>1</v>
      </c>
      <c r="J1441">
        <v>2024</v>
      </c>
      <c r="K1441">
        <v>1</v>
      </c>
      <c r="L1441" t="s">
        <v>38</v>
      </c>
      <c r="M1441">
        <v>94</v>
      </c>
      <c r="N1441">
        <v>2</v>
      </c>
      <c r="O1441">
        <v>3</v>
      </c>
      <c r="P1441" t="s">
        <v>39</v>
      </c>
      <c r="Q1441">
        <v>4</v>
      </c>
      <c r="R1441" t="s">
        <v>46</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c r="AJ1441">
        <f t="shared" si="22"/>
        <v>0</v>
      </c>
      <c r="AK1441" t="str" cm="1">
        <f t="array" ref="AK1441">_xlfn.IFS(A1441&lt;=30,"18-30",A1441&lt;=45,"31-45",A1441&lt;=60,"46-60",TRUE, "60+")</f>
        <v>31-45</v>
      </c>
      <c r="AL1441" t="str" cm="1">
        <f t="array" ref="AL1441">_xlfn.IFS(F1441&lt;=10,"0-10",F1441&lt;=20,"11-20",TRUE,"20+")</f>
        <v>0-10</v>
      </c>
      <c r="AM1441" t="str" cm="1">
        <f t="array" ref="AM1441">_xlfn.IFS(S1441&lt;=5000,"0-5k",S1441&lt;=10000,"5k-10k",S1441&lt;=15000,"10k-15k",TRUE,"15k+")</f>
        <v>5k-10k</v>
      </c>
      <c r="AN1441" t="str" cm="1">
        <f t="array" ref="AN1441">_xlfn.IFS(AF1441&lt;=10,"0-10",AF1441&lt;=20,"10-20",AF1441&lt;=30,"20-30",TRUE,"30+")</f>
        <v>0-10</v>
      </c>
      <c r="AO1441" t="str" cm="1">
        <f t="array" ref="AO1441">_xlfn.IFS(Y1441=1,"Poor",Y1441=2,"Average",Y1441=3,"Good",TRUE,"Excellent")</f>
        <v>Good</v>
      </c>
      <c r="AP1441" t="str" cm="1">
        <f t="array" ref="AP1441">_xlfn.IFS(Q1441=1,"Low",Q1441=2,"Medium",Q1441=3,"High",TRUE,"Very High")</f>
        <v>Very High</v>
      </c>
    </row>
    <row r="1442" spans="1:42" x14ac:dyDescent="0.25">
      <c r="A1442">
        <v>36</v>
      </c>
      <c r="B1442" t="s">
        <v>42</v>
      </c>
      <c r="C1442" t="s">
        <v>91</v>
      </c>
      <c r="D1442">
        <v>688</v>
      </c>
      <c r="E1442" t="s">
        <v>43</v>
      </c>
      <c r="F1442">
        <v>4</v>
      </c>
      <c r="G1442">
        <v>2</v>
      </c>
      <c r="H1442" t="s">
        <v>37</v>
      </c>
      <c r="I1442">
        <v>1</v>
      </c>
      <c r="J1442">
        <v>2025</v>
      </c>
      <c r="K1442">
        <v>4</v>
      </c>
      <c r="L1442" t="s">
        <v>38</v>
      </c>
      <c r="M1442">
        <v>97</v>
      </c>
      <c r="N1442">
        <v>3</v>
      </c>
      <c r="O1442">
        <v>2</v>
      </c>
      <c r="P1442" t="s">
        <v>51</v>
      </c>
      <c r="Q1442">
        <v>2</v>
      </c>
      <c r="R1442" t="s">
        <v>50</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c r="AJ1442">
        <f t="shared" si="22"/>
        <v>0</v>
      </c>
      <c r="AK1442" t="str" cm="1">
        <f t="array" ref="AK1442">_xlfn.IFS(A1442&lt;=30,"18-30",A1442&lt;=45,"31-45",A1442&lt;=60,"46-60",TRUE, "60+")</f>
        <v>31-45</v>
      </c>
      <c r="AL1442" t="str" cm="1">
        <f t="array" ref="AL1442">_xlfn.IFS(F1442&lt;=10,"0-10",F1442&lt;=20,"11-20",TRUE,"20+")</f>
        <v>0-10</v>
      </c>
      <c r="AM1442" t="str" cm="1">
        <f t="array" ref="AM1442">_xlfn.IFS(S1442&lt;=5000,"0-5k",S1442&lt;=10000,"5k-10k",S1442&lt;=15000,"10k-15k",TRUE,"15k+")</f>
        <v>5k-10k</v>
      </c>
      <c r="AN1442" t="str" cm="1">
        <f t="array" ref="AN1442">_xlfn.IFS(AF1442&lt;=10,"0-10",AF1442&lt;=20,"10-20",AF1442&lt;=30,"20-30",TRUE,"30+")</f>
        <v>0-10</v>
      </c>
      <c r="AO1442" t="str" cm="1">
        <f t="array" ref="AO1442">_xlfn.IFS(Y1442=1,"Poor",Y1442=2,"Average",Y1442=3,"Good",TRUE,"Excellent")</f>
        <v>Good</v>
      </c>
      <c r="AP1442" t="str" cm="1">
        <f t="array" ref="AP1442">_xlfn.IFS(Q1442=1,"Low",Q1442=2,"Medium",Q1442=3,"High",TRUE,"Very High")</f>
        <v>Medium</v>
      </c>
    </row>
    <row r="1443" spans="1:42" x14ac:dyDescent="0.25">
      <c r="A1443">
        <v>56</v>
      </c>
      <c r="B1443" t="s">
        <v>42</v>
      </c>
      <c r="C1443" t="s">
        <v>53</v>
      </c>
      <c r="D1443">
        <v>667</v>
      </c>
      <c r="E1443" t="s">
        <v>43</v>
      </c>
      <c r="F1443">
        <v>1</v>
      </c>
      <c r="G1443">
        <v>4</v>
      </c>
      <c r="H1443" t="s">
        <v>37</v>
      </c>
      <c r="I1443">
        <v>1</v>
      </c>
      <c r="J1443">
        <v>2026</v>
      </c>
      <c r="K1443">
        <v>3</v>
      </c>
      <c r="L1443" t="s">
        <v>44</v>
      </c>
      <c r="M1443">
        <v>57</v>
      </c>
      <c r="N1443">
        <v>3</v>
      </c>
      <c r="O1443">
        <v>2</v>
      </c>
      <c r="P1443" t="s">
        <v>52</v>
      </c>
      <c r="Q1443">
        <v>3</v>
      </c>
      <c r="R1443" t="s">
        <v>50</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c r="AJ1443">
        <f t="shared" si="22"/>
        <v>0</v>
      </c>
      <c r="AK1443" t="str" cm="1">
        <f t="array" ref="AK1443">_xlfn.IFS(A1443&lt;=30,"18-30",A1443&lt;=45,"31-45",A1443&lt;=60,"46-60",TRUE, "60+")</f>
        <v>46-60</v>
      </c>
      <c r="AL1443" t="str" cm="1">
        <f t="array" ref="AL1443">_xlfn.IFS(F1443&lt;=10,"0-10",F1443&lt;=20,"11-20",TRUE,"20+")</f>
        <v>0-10</v>
      </c>
      <c r="AM1443" t="str" cm="1">
        <f t="array" ref="AM1443">_xlfn.IFS(S1443&lt;=5000,"0-5k",S1443&lt;=10000,"5k-10k",S1443&lt;=15000,"10k-15k",TRUE,"15k+")</f>
        <v>5k-10k</v>
      </c>
      <c r="AN1443" t="str" cm="1">
        <f t="array" ref="AN1443">_xlfn.IFS(AF1443&lt;=10,"0-10",AF1443&lt;=20,"10-20",AF1443&lt;=30,"20-30",TRUE,"30+")</f>
        <v>10-20</v>
      </c>
      <c r="AO1443" t="str" cm="1">
        <f t="array" ref="AO1443">_xlfn.IFS(Y1443=1,"Poor",Y1443=2,"Average",Y1443=3,"Good",TRUE,"Excellent")</f>
        <v>Excellent</v>
      </c>
      <c r="AP1443" t="str" cm="1">
        <f t="array" ref="AP1443">_xlfn.IFS(Q1443=1,"Low",Q1443=2,"Medium",Q1443=3,"High",TRUE,"Very High")</f>
        <v>High</v>
      </c>
    </row>
    <row r="1444" spans="1:42" x14ac:dyDescent="0.25">
      <c r="A1444">
        <v>29</v>
      </c>
      <c r="B1444" t="s">
        <v>35</v>
      </c>
      <c r="C1444" t="s">
        <v>90</v>
      </c>
      <c r="D1444">
        <v>1092</v>
      </c>
      <c r="E1444" t="s">
        <v>43</v>
      </c>
      <c r="F1444">
        <v>1</v>
      </c>
      <c r="G1444">
        <v>4</v>
      </c>
      <c r="H1444" t="s">
        <v>49</v>
      </c>
      <c r="I1444">
        <v>1</v>
      </c>
      <c r="J1444">
        <v>2027</v>
      </c>
      <c r="K1444">
        <v>1</v>
      </c>
      <c r="L1444" t="s">
        <v>44</v>
      </c>
      <c r="M1444">
        <v>36</v>
      </c>
      <c r="N1444">
        <v>3</v>
      </c>
      <c r="O1444">
        <v>1</v>
      </c>
      <c r="P1444" t="s">
        <v>45</v>
      </c>
      <c r="Q1444">
        <v>4</v>
      </c>
      <c r="R1444" t="s">
        <v>46</v>
      </c>
      <c r="S1444">
        <v>4787</v>
      </c>
      <c r="T1444">
        <v>26124</v>
      </c>
      <c r="U1444">
        <v>9</v>
      </c>
      <c r="V1444" t="s">
        <v>41</v>
      </c>
      <c r="W1444" t="s">
        <v>35</v>
      </c>
      <c r="X1444">
        <v>14</v>
      </c>
      <c r="Y1444">
        <v>3</v>
      </c>
      <c r="Z1444">
        <v>2</v>
      </c>
      <c r="AA1444">
        <v>80</v>
      </c>
      <c r="AB1444">
        <v>3</v>
      </c>
      <c r="AC1444">
        <v>4</v>
      </c>
      <c r="AD1444">
        <v>3</v>
      </c>
      <c r="AE1444">
        <v>4</v>
      </c>
      <c r="AF1444">
        <v>2</v>
      </c>
      <c r="AG1444">
        <v>2</v>
      </c>
      <c r="AH1444">
        <v>2</v>
      </c>
      <c r="AI1444">
        <v>2</v>
      </c>
      <c r="AJ1444">
        <f t="shared" si="22"/>
        <v>1</v>
      </c>
      <c r="AK1444" t="str" cm="1">
        <f t="array" ref="AK1444">_xlfn.IFS(A1444&lt;=30,"18-30",A1444&lt;=45,"31-45",A1444&lt;=60,"46-60",TRUE, "60+")</f>
        <v>18-30</v>
      </c>
      <c r="AL1444" t="str" cm="1">
        <f t="array" ref="AL1444">_xlfn.IFS(F1444&lt;=10,"0-10",F1444&lt;=20,"11-20",TRUE,"20+")</f>
        <v>0-10</v>
      </c>
      <c r="AM1444" t="str" cm="1">
        <f t="array" ref="AM1444">_xlfn.IFS(S1444&lt;=5000,"0-5k",S1444&lt;=10000,"5k-10k",S1444&lt;=15000,"10k-15k",TRUE,"15k+")</f>
        <v>0-5k</v>
      </c>
      <c r="AN1444" t="str" cm="1">
        <f t="array" ref="AN1444">_xlfn.IFS(AF1444&lt;=10,"0-10",AF1444&lt;=20,"10-20",AF1444&lt;=30,"20-30",TRUE,"30+")</f>
        <v>0-10</v>
      </c>
      <c r="AO1444" t="str" cm="1">
        <f t="array" ref="AO1444">_xlfn.IFS(Y1444=1,"Poor",Y1444=2,"Average",Y1444=3,"Good",TRUE,"Excellent")</f>
        <v>Good</v>
      </c>
      <c r="AP1444" t="str" cm="1">
        <f t="array" ref="AP1444">_xlfn.IFS(Q1444=1,"Low",Q1444=2,"Medium",Q1444=3,"High",TRUE,"Very High")</f>
        <v>Very High</v>
      </c>
    </row>
    <row r="1445" spans="1:42" x14ac:dyDescent="0.25">
      <c r="A1445">
        <v>42</v>
      </c>
      <c r="B1445" t="s">
        <v>42</v>
      </c>
      <c r="C1445" t="s">
        <v>90</v>
      </c>
      <c r="D1445">
        <v>300</v>
      </c>
      <c r="E1445" t="s">
        <v>43</v>
      </c>
      <c r="F1445">
        <v>2</v>
      </c>
      <c r="G1445">
        <v>3</v>
      </c>
      <c r="H1445" t="s">
        <v>37</v>
      </c>
      <c r="I1445">
        <v>1</v>
      </c>
      <c r="J1445">
        <v>2031</v>
      </c>
      <c r="K1445">
        <v>1</v>
      </c>
      <c r="L1445" t="s">
        <v>44</v>
      </c>
      <c r="M1445">
        <v>56</v>
      </c>
      <c r="N1445">
        <v>3</v>
      </c>
      <c r="O1445">
        <v>5</v>
      </c>
      <c r="P1445" t="s">
        <v>54</v>
      </c>
      <c r="Q1445">
        <v>3</v>
      </c>
      <c r="R1445" t="s">
        <v>46</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c r="AJ1445">
        <f t="shared" si="22"/>
        <v>0</v>
      </c>
      <c r="AK1445" t="str" cm="1">
        <f t="array" ref="AK1445">_xlfn.IFS(A1445&lt;=30,"18-30",A1445&lt;=45,"31-45",A1445&lt;=60,"46-60",TRUE, "60+")</f>
        <v>31-45</v>
      </c>
      <c r="AL1445" t="str" cm="1">
        <f t="array" ref="AL1445">_xlfn.IFS(F1445&lt;=10,"0-10",F1445&lt;=20,"11-20",TRUE,"20+")</f>
        <v>0-10</v>
      </c>
      <c r="AM1445" t="str" cm="1">
        <f t="array" ref="AM1445">_xlfn.IFS(S1445&lt;=5000,"0-5k",S1445&lt;=10000,"5k-10k",S1445&lt;=15000,"10k-15k",TRUE,"15k+")</f>
        <v>15k+</v>
      </c>
      <c r="AN1445" t="str" cm="1">
        <f t="array" ref="AN1445">_xlfn.IFS(AF1445&lt;=10,"0-10",AF1445&lt;=20,"10-20",AF1445&lt;=30,"20-30",TRUE,"30+")</f>
        <v>20-30</v>
      </c>
      <c r="AO1445" t="str" cm="1">
        <f t="array" ref="AO1445">_xlfn.IFS(Y1445=1,"Poor",Y1445=2,"Average",Y1445=3,"Good",TRUE,"Excellent")</f>
        <v>Good</v>
      </c>
      <c r="AP1445" t="str" cm="1">
        <f t="array" ref="AP1445">_xlfn.IFS(Q1445=1,"Low",Q1445=2,"Medium",Q1445=3,"High",TRUE,"Very High")</f>
        <v>High</v>
      </c>
    </row>
    <row r="1446" spans="1:42" x14ac:dyDescent="0.25">
      <c r="A1446">
        <v>56</v>
      </c>
      <c r="B1446" t="s">
        <v>35</v>
      </c>
      <c r="C1446" t="s">
        <v>90</v>
      </c>
      <c r="D1446">
        <v>310</v>
      </c>
      <c r="E1446" t="s">
        <v>43</v>
      </c>
      <c r="F1446">
        <v>7</v>
      </c>
      <c r="G1446">
        <v>2</v>
      </c>
      <c r="H1446" t="s">
        <v>58</v>
      </c>
      <c r="I1446">
        <v>1</v>
      </c>
      <c r="J1446">
        <v>2032</v>
      </c>
      <c r="K1446">
        <v>4</v>
      </c>
      <c r="L1446" t="s">
        <v>44</v>
      </c>
      <c r="M1446">
        <v>72</v>
      </c>
      <c r="N1446">
        <v>3</v>
      </c>
      <c r="O1446">
        <v>1</v>
      </c>
      <c r="P1446" t="s">
        <v>48</v>
      </c>
      <c r="Q1446">
        <v>3</v>
      </c>
      <c r="R1446" t="s">
        <v>46</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c r="AJ1446">
        <f t="shared" si="22"/>
        <v>1</v>
      </c>
      <c r="AK1446" t="str" cm="1">
        <f t="array" ref="AK1446">_xlfn.IFS(A1446&lt;=30,"18-30",A1446&lt;=45,"31-45",A1446&lt;=60,"46-60",TRUE, "60+")</f>
        <v>46-60</v>
      </c>
      <c r="AL1446" t="str" cm="1">
        <f t="array" ref="AL1446">_xlfn.IFS(F1446&lt;=10,"0-10",F1446&lt;=20,"11-20",TRUE,"20+")</f>
        <v>0-10</v>
      </c>
      <c r="AM1446" t="str" cm="1">
        <f t="array" ref="AM1446">_xlfn.IFS(S1446&lt;=5000,"0-5k",S1446&lt;=10000,"5k-10k",S1446&lt;=15000,"10k-15k",TRUE,"15k+")</f>
        <v>0-5k</v>
      </c>
      <c r="AN1446" t="str" cm="1">
        <f t="array" ref="AN1446">_xlfn.IFS(AF1446&lt;=10,"0-10",AF1446&lt;=20,"10-20",AF1446&lt;=30,"20-30",TRUE,"30+")</f>
        <v>0-10</v>
      </c>
      <c r="AO1446" t="str" cm="1">
        <f t="array" ref="AO1446">_xlfn.IFS(Y1446=1,"Poor",Y1446=2,"Average",Y1446=3,"Good",TRUE,"Excellent")</f>
        <v>Good</v>
      </c>
      <c r="AP1446" t="str" cm="1">
        <f t="array" ref="AP1446">_xlfn.IFS(Q1446=1,"Low",Q1446=2,"Medium",Q1446=3,"High",TRUE,"Very High")</f>
        <v>High</v>
      </c>
    </row>
    <row r="1447" spans="1:42" x14ac:dyDescent="0.25">
      <c r="A1447">
        <v>41</v>
      </c>
      <c r="B1447" t="s">
        <v>42</v>
      </c>
      <c r="C1447" t="s">
        <v>90</v>
      </c>
      <c r="D1447">
        <v>582</v>
      </c>
      <c r="E1447" t="s">
        <v>43</v>
      </c>
      <c r="F1447">
        <v>28</v>
      </c>
      <c r="G1447">
        <v>4</v>
      </c>
      <c r="H1447" t="s">
        <v>37</v>
      </c>
      <c r="I1447">
        <v>1</v>
      </c>
      <c r="J1447">
        <v>2034</v>
      </c>
      <c r="K1447">
        <v>1</v>
      </c>
      <c r="L1447" t="s">
        <v>38</v>
      </c>
      <c r="M1447">
        <v>60</v>
      </c>
      <c r="N1447">
        <v>2</v>
      </c>
      <c r="O1447">
        <v>4</v>
      </c>
      <c r="P1447" t="s">
        <v>51</v>
      </c>
      <c r="Q1447">
        <v>2</v>
      </c>
      <c r="R1447" t="s">
        <v>46</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c r="AJ1447">
        <f t="shared" si="22"/>
        <v>0</v>
      </c>
      <c r="AK1447" t="str" cm="1">
        <f t="array" ref="AK1447">_xlfn.IFS(A1447&lt;=30,"18-30",A1447&lt;=45,"31-45",A1447&lt;=60,"46-60",TRUE, "60+")</f>
        <v>31-45</v>
      </c>
      <c r="AL1447" t="str" cm="1">
        <f t="array" ref="AL1447">_xlfn.IFS(F1447&lt;=10,"0-10",F1447&lt;=20,"11-20",TRUE,"20+")</f>
        <v>20+</v>
      </c>
      <c r="AM1447" t="str" cm="1">
        <f t="array" ref="AM1447">_xlfn.IFS(S1447&lt;=5000,"0-5k",S1447&lt;=10000,"5k-10k",S1447&lt;=15000,"10k-15k",TRUE,"15k+")</f>
        <v>10k-15k</v>
      </c>
      <c r="AN1447" t="str" cm="1">
        <f t="array" ref="AN1447">_xlfn.IFS(AF1447&lt;=10,"0-10",AF1447&lt;=20,"10-20",AF1447&lt;=30,"20-30",TRUE,"30+")</f>
        <v>10-20</v>
      </c>
      <c r="AO1447" t="str" cm="1">
        <f t="array" ref="AO1447">_xlfn.IFS(Y1447=1,"Poor",Y1447=2,"Average",Y1447=3,"Good",TRUE,"Excellent")</f>
        <v>Excellent</v>
      </c>
      <c r="AP1447" t="str" cm="1">
        <f t="array" ref="AP1447">_xlfn.IFS(Q1447=1,"Low",Q1447=2,"Medium",Q1447=3,"High",TRUE,"Very High")</f>
        <v>Medium</v>
      </c>
    </row>
    <row r="1448" spans="1:42" x14ac:dyDescent="0.25">
      <c r="A1448">
        <v>34</v>
      </c>
      <c r="B1448" t="s">
        <v>42</v>
      </c>
      <c r="C1448" t="s">
        <v>90</v>
      </c>
      <c r="D1448">
        <v>704</v>
      </c>
      <c r="E1448" t="s">
        <v>36</v>
      </c>
      <c r="F1448">
        <v>28</v>
      </c>
      <c r="G1448">
        <v>3</v>
      </c>
      <c r="H1448" t="s">
        <v>57</v>
      </c>
      <c r="I1448">
        <v>1</v>
      </c>
      <c r="J1448">
        <v>2035</v>
      </c>
      <c r="K1448">
        <v>4</v>
      </c>
      <c r="L1448" t="s">
        <v>38</v>
      </c>
      <c r="M1448">
        <v>95</v>
      </c>
      <c r="N1448">
        <v>2</v>
      </c>
      <c r="O1448">
        <v>2</v>
      </c>
      <c r="P1448" t="s">
        <v>39</v>
      </c>
      <c r="Q1448">
        <v>3</v>
      </c>
      <c r="R1448" t="s">
        <v>46</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c r="AJ1448">
        <f t="shared" si="22"/>
        <v>0</v>
      </c>
      <c r="AK1448" t="str" cm="1">
        <f t="array" ref="AK1448">_xlfn.IFS(A1448&lt;=30,"18-30",A1448&lt;=45,"31-45",A1448&lt;=60,"46-60",TRUE, "60+")</f>
        <v>31-45</v>
      </c>
      <c r="AL1448" t="str" cm="1">
        <f t="array" ref="AL1448">_xlfn.IFS(F1448&lt;=10,"0-10",F1448&lt;=20,"11-20",TRUE,"20+")</f>
        <v>20+</v>
      </c>
      <c r="AM1448" t="str" cm="1">
        <f t="array" ref="AM1448">_xlfn.IFS(S1448&lt;=5000,"0-5k",S1448&lt;=10000,"5k-10k",S1448&lt;=15000,"10k-15k",TRUE,"15k+")</f>
        <v>5k-10k</v>
      </c>
      <c r="AN1448" t="str" cm="1">
        <f t="array" ref="AN1448">_xlfn.IFS(AF1448&lt;=10,"0-10",AF1448&lt;=20,"10-20",AF1448&lt;=30,"20-30",TRUE,"30+")</f>
        <v>0-10</v>
      </c>
      <c r="AO1448" t="str" cm="1">
        <f t="array" ref="AO1448">_xlfn.IFS(Y1448=1,"Poor",Y1448=2,"Average",Y1448=3,"Good",TRUE,"Excellent")</f>
        <v>Excellent</v>
      </c>
      <c r="AP1448" t="str" cm="1">
        <f t="array" ref="AP1448">_xlfn.IFS(Q1448=1,"Low",Q1448=2,"Medium",Q1448=3,"High",TRUE,"Very High")</f>
        <v>High</v>
      </c>
    </row>
    <row r="1449" spans="1:42" x14ac:dyDescent="0.25">
      <c r="A1449">
        <v>36</v>
      </c>
      <c r="B1449" t="s">
        <v>42</v>
      </c>
      <c r="C1449" t="s">
        <v>53</v>
      </c>
      <c r="D1449">
        <v>301</v>
      </c>
      <c r="E1449" t="s">
        <v>36</v>
      </c>
      <c r="F1449">
        <v>15</v>
      </c>
      <c r="G1449">
        <v>4</v>
      </c>
      <c r="H1449" t="s">
        <v>57</v>
      </c>
      <c r="I1449">
        <v>1</v>
      </c>
      <c r="J1449">
        <v>2036</v>
      </c>
      <c r="K1449">
        <v>4</v>
      </c>
      <c r="L1449" t="s">
        <v>44</v>
      </c>
      <c r="M1449">
        <v>88</v>
      </c>
      <c r="N1449">
        <v>1</v>
      </c>
      <c r="O1449">
        <v>2</v>
      </c>
      <c r="P1449" t="s">
        <v>39</v>
      </c>
      <c r="Q1449">
        <v>4</v>
      </c>
      <c r="R1449" t="s">
        <v>50</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c r="AJ1449">
        <f t="shared" si="22"/>
        <v>0</v>
      </c>
      <c r="AK1449" t="str" cm="1">
        <f t="array" ref="AK1449">_xlfn.IFS(A1449&lt;=30,"18-30",A1449&lt;=45,"31-45",A1449&lt;=60,"46-60",TRUE, "60+")</f>
        <v>31-45</v>
      </c>
      <c r="AL1449" t="str" cm="1">
        <f t="array" ref="AL1449">_xlfn.IFS(F1449&lt;=10,"0-10",F1449&lt;=20,"11-20",TRUE,"20+")</f>
        <v>11-20</v>
      </c>
      <c r="AM1449" t="str" cm="1">
        <f t="array" ref="AM1449">_xlfn.IFS(S1449&lt;=5000,"0-5k",S1449&lt;=10000,"5k-10k",S1449&lt;=15000,"10k-15k",TRUE,"15k+")</f>
        <v>5k-10k</v>
      </c>
      <c r="AN1449" t="str" cm="1">
        <f t="array" ref="AN1449">_xlfn.IFS(AF1449&lt;=10,"0-10",AF1449&lt;=20,"10-20",AF1449&lt;=30,"20-30",TRUE,"30+")</f>
        <v>10-20</v>
      </c>
      <c r="AO1449" t="str" cm="1">
        <f t="array" ref="AO1449">_xlfn.IFS(Y1449=1,"Poor",Y1449=2,"Average",Y1449=3,"Good",TRUE,"Excellent")</f>
        <v>Excellent</v>
      </c>
      <c r="AP1449" t="str" cm="1">
        <f t="array" ref="AP1449">_xlfn.IFS(Q1449=1,"Low",Q1449=2,"Medium",Q1449=3,"High",TRUE,"Very High")</f>
        <v>Very High</v>
      </c>
    </row>
    <row r="1450" spans="1:42" x14ac:dyDescent="0.25">
      <c r="A1450">
        <v>41</v>
      </c>
      <c r="B1450" t="s">
        <v>42</v>
      </c>
      <c r="C1450" t="s">
        <v>90</v>
      </c>
      <c r="D1450">
        <v>930</v>
      </c>
      <c r="E1450" t="s">
        <v>36</v>
      </c>
      <c r="F1450">
        <v>3</v>
      </c>
      <c r="G1450">
        <v>3</v>
      </c>
      <c r="H1450" t="s">
        <v>37</v>
      </c>
      <c r="I1450">
        <v>1</v>
      </c>
      <c r="J1450">
        <v>2037</v>
      </c>
      <c r="K1450">
        <v>3</v>
      </c>
      <c r="L1450" t="s">
        <v>44</v>
      </c>
      <c r="M1450">
        <v>57</v>
      </c>
      <c r="N1450">
        <v>2</v>
      </c>
      <c r="O1450">
        <v>2</v>
      </c>
      <c r="P1450" t="s">
        <v>39</v>
      </c>
      <c r="Q1450">
        <v>2</v>
      </c>
      <c r="R1450" t="s">
        <v>50</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c r="AJ1450">
        <f t="shared" si="22"/>
        <v>0</v>
      </c>
      <c r="AK1450" t="str" cm="1">
        <f t="array" ref="AK1450">_xlfn.IFS(A1450&lt;=30,"18-30",A1450&lt;=45,"31-45",A1450&lt;=60,"46-60",TRUE, "60+")</f>
        <v>31-45</v>
      </c>
      <c r="AL1450" t="str" cm="1">
        <f t="array" ref="AL1450">_xlfn.IFS(F1450&lt;=10,"0-10",F1450&lt;=20,"11-20",TRUE,"20+")</f>
        <v>0-10</v>
      </c>
      <c r="AM1450" t="str" cm="1">
        <f t="array" ref="AM1450">_xlfn.IFS(S1450&lt;=5000,"0-5k",S1450&lt;=10000,"5k-10k",S1450&lt;=15000,"10k-15k",TRUE,"15k+")</f>
        <v>5k-10k</v>
      </c>
      <c r="AN1450" t="str" cm="1">
        <f t="array" ref="AN1450">_xlfn.IFS(AF1450&lt;=10,"0-10",AF1450&lt;=20,"10-20",AF1450&lt;=30,"20-30",TRUE,"30+")</f>
        <v>0-10</v>
      </c>
      <c r="AO1450" t="str" cm="1">
        <f t="array" ref="AO1450">_xlfn.IFS(Y1450=1,"Poor",Y1450=2,"Average",Y1450=3,"Good",TRUE,"Excellent")</f>
        <v>Good</v>
      </c>
      <c r="AP1450" t="str" cm="1">
        <f t="array" ref="AP1450">_xlfn.IFS(Q1450=1,"Low",Q1450=2,"Medium",Q1450=3,"High",TRUE,"Very High")</f>
        <v>Medium</v>
      </c>
    </row>
    <row r="1451" spans="1:42" x14ac:dyDescent="0.25">
      <c r="A1451">
        <v>32</v>
      </c>
      <c r="B1451" t="s">
        <v>42</v>
      </c>
      <c r="C1451" t="s">
        <v>90</v>
      </c>
      <c r="D1451">
        <v>529</v>
      </c>
      <c r="E1451" t="s">
        <v>43</v>
      </c>
      <c r="F1451">
        <v>2</v>
      </c>
      <c r="G1451">
        <v>3</v>
      </c>
      <c r="H1451" t="s">
        <v>58</v>
      </c>
      <c r="I1451">
        <v>1</v>
      </c>
      <c r="J1451">
        <v>2038</v>
      </c>
      <c r="K1451">
        <v>4</v>
      </c>
      <c r="L1451" t="s">
        <v>44</v>
      </c>
      <c r="M1451">
        <v>78</v>
      </c>
      <c r="N1451">
        <v>3</v>
      </c>
      <c r="O1451">
        <v>1</v>
      </c>
      <c r="P1451" t="s">
        <v>45</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c r="AJ1451">
        <f t="shared" si="22"/>
        <v>0</v>
      </c>
      <c r="AK1451" t="str" cm="1">
        <f t="array" ref="AK1451">_xlfn.IFS(A1451&lt;=30,"18-30",A1451&lt;=45,"31-45",A1451&lt;=60,"46-60",TRUE, "60+")</f>
        <v>31-45</v>
      </c>
      <c r="AL1451" t="str" cm="1">
        <f t="array" ref="AL1451">_xlfn.IFS(F1451&lt;=10,"0-10",F1451&lt;=20,"11-20",TRUE,"20+")</f>
        <v>0-10</v>
      </c>
      <c r="AM1451" t="str" cm="1">
        <f t="array" ref="AM1451">_xlfn.IFS(S1451&lt;=5000,"0-5k",S1451&lt;=10000,"5k-10k",S1451&lt;=15000,"10k-15k",TRUE,"15k+")</f>
        <v>0-5k</v>
      </c>
      <c r="AN1451" t="str" cm="1">
        <f t="array" ref="AN1451">_xlfn.IFS(AF1451&lt;=10,"0-10",AF1451&lt;=20,"10-20",AF1451&lt;=30,"20-30",TRUE,"30+")</f>
        <v>0-10</v>
      </c>
      <c r="AO1451" t="str" cm="1">
        <f t="array" ref="AO1451">_xlfn.IFS(Y1451=1,"Poor",Y1451=2,"Average",Y1451=3,"Good",TRUE,"Excellent")</f>
        <v>Good</v>
      </c>
      <c r="AP1451" t="str" cm="1">
        <f t="array" ref="AP1451">_xlfn.IFS(Q1451=1,"Low",Q1451=2,"Medium",Q1451=3,"High",TRUE,"Very High")</f>
        <v>Low</v>
      </c>
    </row>
    <row r="1452" spans="1:42" x14ac:dyDescent="0.25">
      <c r="A1452">
        <v>35</v>
      </c>
      <c r="B1452" t="s">
        <v>42</v>
      </c>
      <c r="C1452" t="s">
        <v>90</v>
      </c>
      <c r="D1452">
        <v>1146</v>
      </c>
      <c r="E1452" t="s">
        <v>59</v>
      </c>
      <c r="F1452">
        <v>26</v>
      </c>
      <c r="G1452">
        <v>4</v>
      </c>
      <c r="H1452" t="s">
        <v>37</v>
      </c>
      <c r="I1452">
        <v>1</v>
      </c>
      <c r="J1452">
        <v>2040</v>
      </c>
      <c r="K1452">
        <v>3</v>
      </c>
      <c r="L1452" t="s">
        <v>38</v>
      </c>
      <c r="M1452">
        <v>31</v>
      </c>
      <c r="N1452">
        <v>3</v>
      </c>
      <c r="O1452">
        <v>3</v>
      </c>
      <c r="P1452" t="s">
        <v>59</v>
      </c>
      <c r="Q1452">
        <v>4</v>
      </c>
      <c r="R1452" t="s">
        <v>40</v>
      </c>
      <c r="S1452">
        <v>8837</v>
      </c>
      <c r="T1452">
        <v>16642</v>
      </c>
      <c r="U1452">
        <v>1</v>
      </c>
      <c r="V1452" t="s">
        <v>41</v>
      </c>
      <c r="W1452" t="s">
        <v>35</v>
      </c>
      <c r="X1452">
        <v>16</v>
      </c>
      <c r="Y1452">
        <v>3</v>
      </c>
      <c r="Z1452">
        <v>3</v>
      </c>
      <c r="AA1452">
        <v>80</v>
      </c>
      <c r="AB1452">
        <v>0</v>
      </c>
      <c r="AC1452">
        <v>9</v>
      </c>
      <c r="AD1452">
        <v>2</v>
      </c>
      <c r="AE1452">
        <v>3</v>
      </c>
      <c r="AF1452">
        <v>9</v>
      </c>
      <c r="AG1452">
        <v>0</v>
      </c>
      <c r="AH1452">
        <v>1</v>
      </c>
      <c r="AI1452">
        <v>7</v>
      </c>
      <c r="AJ1452">
        <f t="shared" si="22"/>
        <v>0</v>
      </c>
      <c r="AK1452" t="str" cm="1">
        <f t="array" ref="AK1452">_xlfn.IFS(A1452&lt;=30,"18-30",A1452&lt;=45,"31-45",A1452&lt;=60,"46-60",TRUE, "60+")</f>
        <v>31-45</v>
      </c>
      <c r="AL1452" t="str" cm="1">
        <f t="array" ref="AL1452">_xlfn.IFS(F1452&lt;=10,"0-10",F1452&lt;=20,"11-20",TRUE,"20+")</f>
        <v>20+</v>
      </c>
      <c r="AM1452" t="str" cm="1">
        <f t="array" ref="AM1452">_xlfn.IFS(S1452&lt;=5000,"0-5k",S1452&lt;=10000,"5k-10k",S1452&lt;=15000,"10k-15k",TRUE,"15k+")</f>
        <v>5k-10k</v>
      </c>
      <c r="AN1452" t="str" cm="1">
        <f t="array" ref="AN1452">_xlfn.IFS(AF1452&lt;=10,"0-10",AF1452&lt;=20,"10-20",AF1452&lt;=30,"20-30",TRUE,"30+")</f>
        <v>0-10</v>
      </c>
      <c r="AO1452" t="str" cm="1">
        <f t="array" ref="AO1452">_xlfn.IFS(Y1452=1,"Poor",Y1452=2,"Average",Y1452=3,"Good",TRUE,"Excellent")</f>
        <v>Good</v>
      </c>
      <c r="AP1452" t="str" cm="1">
        <f t="array" ref="AP1452">_xlfn.IFS(Q1452=1,"Low",Q1452=2,"Medium",Q1452=3,"High",TRUE,"Very High")</f>
        <v>Very High</v>
      </c>
    </row>
    <row r="1453" spans="1:42" x14ac:dyDescent="0.25">
      <c r="A1453">
        <v>38</v>
      </c>
      <c r="B1453" t="s">
        <v>42</v>
      </c>
      <c r="C1453" t="s">
        <v>90</v>
      </c>
      <c r="D1453">
        <v>345</v>
      </c>
      <c r="E1453" t="s">
        <v>36</v>
      </c>
      <c r="F1453">
        <v>10</v>
      </c>
      <c r="G1453">
        <v>2</v>
      </c>
      <c r="H1453" t="s">
        <v>37</v>
      </c>
      <c r="I1453">
        <v>1</v>
      </c>
      <c r="J1453">
        <v>2041</v>
      </c>
      <c r="K1453">
        <v>1</v>
      </c>
      <c r="L1453" t="s">
        <v>38</v>
      </c>
      <c r="M1453">
        <v>100</v>
      </c>
      <c r="N1453">
        <v>3</v>
      </c>
      <c r="O1453">
        <v>2</v>
      </c>
      <c r="P1453" t="s">
        <v>39</v>
      </c>
      <c r="Q1453">
        <v>4</v>
      </c>
      <c r="R1453" t="s">
        <v>46</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c r="AJ1453">
        <f t="shared" si="22"/>
        <v>0</v>
      </c>
      <c r="AK1453" t="str" cm="1">
        <f t="array" ref="AK1453">_xlfn.IFS(A1453&lt;=30,"18-30",A1453&lt;=45,"31-45",A1453&lt;=60,"46-60",TRUE, "60+")</f>
        <v>31-45</v>
      </c>
      <c r="AL1453" t="str" cm="1">
        <f t="array" ref="AL1453">_xlfn.IFS(F1453&lt;=10,"0-10",F1453&lt;=20,"11-20",TRUE,"20+")</f>
        <v>0-10</v>
      </c>
      <c r="AM1453" t="str" cm="1">
        <f t="array" ref="AM1453">_xlfn.IFS(S1453&lt;=5000,"0-5k",S1453&lt;=10000,"5k-10k",S1453&lt;=15000,"10k-15k",TRUE,"15k+")</f>
        <v>5k-10k</v>
      </c>
      <c r="AN1453" t="str" cm="1">
        <f t="array" ref="AN1453">_xlfn.IFS(AF1453&lt;=10,"0-10",AF1453&lt;=20,"10-20",AF1453&lt;=30,"20-30",TRUE,"30+")</f>
        <v>0-10</v>
      </c>
      <c r="AO1453" t="str" cm="1">
        <f t="array" ref="AO1453">_xlfn.IFS(Y1453=1,"Poor",Y1453=2,"Average",Y1453=3,"Good",TRUE,"Excellent")</f>
        <v>Good</v>
      </c>
      <c r="AP1453" t="str" cm="1">
        <f t="array" ref="AP1453">_xlfn.IFS(Q1453=1,"Low",Q1453=2,"Medium",Q1453=3,"High",TRUE,"Very High")</f>
        <v>Very High</v>
      </c>
    </row>
    <row r="1454" spans="1:42" x14ac:dyDescent="0.25">
      <c r="A1454">
        <v>50</v>
      </c>
      <c r="B1454" t="s">
        <v>35</v>
      </c>
      <c r="C1454" t="s">
        <v>91</v>
      </c>
      <c r="D1454">
        <v>878</v>
      </c>
      <c r="E1454" t="s">
        <v>36</v>
      </c>
      <c r="F1454">
        <v>1</v>
      </c>
      <c r="G1454">
        <v>4</v>
      </c>
      <c r="H1454" t="s">
        <v>37</v>
      </c>
      <c r="I1454">
        <v>1</v>
      </c>
      <c r="J1454">
        <v>2044</v>
      </c>
      <c r="K1454">
        <v>2</v>
      </c>
      <c r="L1454" t="s">
        <v>44</v>
      </c>
      <c r="M1454">
        <v>94</v>
      </c>
      <c r="N1454">
        <v>3</v>
      </c>
      <c r="O1454">
        <v>2</v>
      </c>
      <c r="P1454" t="s">
        <v>39</v>
      </c>
      <c r="Q1454">
        <v>3</v>
      </c>
      <c r="R1454" t="s">
        <v>50</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c r="AJ1454">
        <f t="shared" si="22"/>
        <v>1</v>
      </c>
      <c r="AK1454" t="str" cm="1">
        <f t="array" ref="AK1454">_xlfn.IFS(A1454&lt;=30,"18-30",A1454&lt;=45,"31-45",A1454&lt;=60,"46-60",TRUE, "60+")</f>
        <v>46-60</v>
      </c>
      <c r="AL1454" t="str" cm="1">
        <f t="array" ref="AL1454">_xlfn.IFS(F1454&lt;=10,"0-10",F1454&lt;=20,"11-20",TRUE,"20+")</f>
        <v>0-10</v>
      </c>
      <c r="AM1454" t="str" cm="1">
        <f t="array" ref="AM1454">_xlfn.IFS(S1454&lt;=5000,"0-5k",S1454&lt;=10000,"5k-10k",S1454&lt;=15000,"10k-15k",TRUE,"15k+")</f>
        <v>5k-10k</v>
      </c>
      <c r="AN1454" t="str" cm="1">
        <f t="array" ref="AN1454">_xlfn.IFS(AF1454&lt;=10,"0-10",AF1454&lt;=20,"10-20",AF1454&lt;=30,"20-30",TRUE,"30+")</f>
        <v>0-10</v>
      </c>
      <c r="AO1454" t="str" cm="1">
        <f t="array" ref="AO1454">_xlfn.IFS(Y1454=1,"Poor",Y1454=2,"Average",Y1454=3,"Good",TRUE,"Excellent")</f>
        <v>Good</v>
      </c>
      <c r="AP1454" t="str" cm="1">
        <f t="array" ref="AP1454">_xlfn.IFS(Q1454=1,"Low",Q1454=2,"Medium",Q1454=3,"High",TRUE,"Very High")</f>
        <v>High</v>
      </c>
    </row>
    <row r="1455" spans="1:42" x14ac:dyDescent="0.25">
      <c r="A1455">
        <v>36</v>
      </c>
      <c r="B1455" t="s">
        <v>42</v>
      </c>
      <c r="C1455" t="s">
        <v>90</v>
      </c>
      <c r="D1455">
        <v>1120</v>
      </c>
      <c r="E1455" t="s">
        <v>36</v>
      </c>
      <c r="F1455">
        <v>11</v>
      </c>
      <c r="G1455">
        <v>4</v>
      </c>
      <c r="H1455" t="s">
        <v>57</v>
      </c>
      <c r="I1455">
        <v>1</v>
      </c>
      <c r="J1455">
        <v>2045</v>
      </c>
      <c r="K1455">
        <v>2</v>
      </c>
      <c r="L1455" t="s">
        <v>38</v>
      </c>
      <c r="M1455">
        <v>100</v>
      </c>
      <c r="N1455">
        <v>2</v>
      </c>
      <c r="O1455">
        <v>2</v>
      </c>
      <c r="P1455" t="s">
        <v>39</v>
      </c>
      <c r="Q1455">
        <v>4</v>
      </c>
      <c r="R1455" t="s">
        <v>46</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c r="AJ1455">
        <f t="shared" si="22"/>
        <v>0</v>
      </c>
      <c r="AK1455" t="str" cm="1">
        <f t="array" ref="AK1455">_xlfn.IFS(A1455&lt;=30,"18-30",A1455&lt;=45,"31-45",A1455&lt;=60,"46-60",TRUE, "60+")</f>
        <v>31-45</v>
      </c>
      <c r="AL1455" t="str" cm="1">
        <f t="array" ref="AL1455">_xlfn.IFS(F1455&lt;=10,"0-10",F1455&lt;=20,"11-20",TRUE,"20+")</f>
        <v>11-20</v>
      </c>
      <c r="AM1455" t="str" cm="1">
        <f t="array" ref="AM1455">_xlfn.IFS(S1455&lt;=5000,"0-5k",S1455&lt;=10000,"5k-10k",S1455&lt;=15000,"10k-15k",TRUE,"15k+")</f>
        <v>5k-10k</v>
      </c>
      <c r="AN1455" t="str" cm="1">
        <f t="array" ref="AN1455">_xlfn.IFS(AF1455&lt;=10,"0-10",AF1455&lt;=20,"10-20",AF1455&lt;=30,"20-30",TRUE,"30+")</f>
        <v>0-10</v>
      </c>
      <c r="AO1455" t="str" cm="1">
        <f t="array" ref="AO1455">_xlfn.IFS(Y1455=1,"Poor",Y1455=2,"Average",Y1455=3,"Good",TRUE,"Excellent")</f>
        <v>Good</v>
      </c>
      <c r="AP1455" t="str" cm="1">
        <f t="array" ref="AP1455">_xlfn.IFS(Q1455=1,"Low",Q1455=2,"Medium",Q1455=3,"High",TRUE,"Very High")</f>
        <v>Very High</v>
      </c>
    </row>
    <row r="1456" spans="1:42" x14ac:dyDescent="0.25">
      <c r="A1456">
        <v>45</v>
      </c>
      <c r="B1456" t="s">
        <v>42</v>
      </c>
      <c r="C1456" t="s">
        <v>90</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c r="AJ1456">
        <f t="shared" si="22"/>
        <v>0</v>
      </c>
      <c r="AK1456" t="str" cm="1">
        <f t="array" ref="AK1456">_xlfn.IFS(A1456&lt;=30,"18-30",A1456&lt;=45,"31-45",A1456&lt;=60,"46-60",TRUE, "60+")</f>
        <v>31-45</v>
      </c>
      <c r="AL1456" t="str" cm="1">
        <f t="array" ref="AL1456">_xlfn.IFS(F1456&lt;=10,"0-10",F1456&lt;=20,"11-20",TRUE,"20+")</f>
        <v>11-20</v>
      </c>
      <c r="AM1456" t="str" cm="1">
        <f t="array" ref="AM1456">_xlfn.IFS(S1456&lt;=5000,"0-5k",S1456&lt;=10000,"5k-10k",S1456&lt;=15000,"10k-15k",TRUE,"15k+")</f>
        <v>0-5k</v>
      </c>
      <c r="AN1456" t="str" cm="1">
        <f t="array" ref="AN1456">_xlfn.IFS(AF1456&lt;=10,"0-10",AF1456&lt;=20,"10-20",AF1456&lt;=30,"20-30",TRUE,"30+")</f>
        <v>0-10</v>
      </c>
      <c r="AO1456" t="str" cm="1">
        <f t="array" ref="AO1456">_xlfn.IFS(Y1456=1,"Poor",Y1456=2,"Average",Y1456=3,"Good",TRUE,"Excellent")</f>
        <v>Good</v>
      </c>
      <c r="AP1456" t="str" cm="1">
        <f t="array" ref="AP1456">_xlfn.IFS(Q1456=1,"Low",Q1456=2,"Medium",Q1456=3,"High",TRUE,"Very High")</f>
        <v>High</v>
      </c>
    </row>
    <row r="1457" spans="1:42" x14ac:dyDescent="0.25">
      <c r="A1457">
        <v>40</v>
      </c>
      <c r="B1457" t="s">
        <v>42</v>
      </c>
      <c r="C1457" t="s">
        <v>90</v>
      </c>
      <c r="D1457">
        <v>1322</v>
      </c>
      <c r="E1457" t="s">
        <v>43</v>
      </c>
      <c r="F1457">
        <v>2</v>
      </c>
      <c r="G1457">
        <v>4</v>
      </c>
      <c r="H1457" t="s">
        <v>37</v>
      </c>
      <c r="I1457">
        <v>1</v>
      </c>
      <c r="J1457">
        <v>2048</v>
      </c>
      <c r="K1457">
        <v>3</v>
      </c>
      <c r="L1457" t="s">
        <v>44</v>
      </c>
      <c r="M1457">
        <v>52</v>
      </c>
      <c r="N1457">
        <v>2</v>
      </c>
      <c r="O1457">
        <v>1</v>
      </c>
      <c r="P1457" t="s">
        <v>45</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c r="AJ1457">
        <f t="shared" si="22"/>
        <v>0</v>
      </c>
      <c r="AK1457" t="str" cm="1">
        <f t="array" ref="AK1457">_xlfn.IFS(A1457&lt;=30,"18-30",A1457&lt;=45,"31-45",A1457&lt;=60,"46-60",TRUE, "60+")</f>
        <v>31-45</v>
      </c>
      <c r="AL1457" t="str" cm="1">
        <f t="array" ref="AL1457">_xlfn.IFS(F1457&lt;=10,"0-10",F1457&lt;=20,"11-20",TRUE,"20+")</f>
        <v>0-10</v>
      </c>
      <c r="AM1457" t="str" cm="1">
        <f t="array" ref="AM1457">_xlfn.IFS(S1457&lt;=5000,"0-5k",S1457&lt;=10000,"5k-10k",S1457&lt;=15000,"10k-15k",TRUE,"15k+")</f>
        <v>0-5k</v>
      </c>
      <c r="AN1457" t="str" cm="1">
        <f t="array" ref="AN1457">_xlfn.IFS(AF1457&lt;=10,"0-10",AF1457&lt;=20,"10-20",AF1457&lt;=30,"20-30",TRUE,"30+")</f>
        <v>0-10</v>
      </c>
      <c r="AO1457" t="str" cm="1">
        <f t="array" ref="AO1457">_xlfn.IFS(Y1457=1,"Poor",Y1457=2,"Average",Y1457=3,"Good",TRUE,"Excellent")</f>
        <v>Good</v>
      </c>
      <c r="AP1457" t="str" cm="1">
        <f t="array" ref="AP1457">_xlfn.IFS(Q1457=1,"Low",Q1457=2,"Medium",Q1457=3,"High",TRUE,"Very High")</f>
        <v>High</v>
      </c>
    </row>
    <row r="1458" spans="1:42" x14ac:dyDescent="0.25">
      <c r="A1458">
        <v>35</v>
      </c>
      <c r="B1458" t="s">
        <v>42</v>
      </c>
      <c r="C1458" t="s">
        <v>91</v>
      </c>
      <c r="D1458">
        <v>1199</v>
      </c>
      <c r="E1458" t="s">
        <v>43</v>
      </c>
      <c r="F1458">
        <v>18</v>
      </c>
      <c r="G1458">
        <v>4</v>
      </c>
      <c r="H1458" t="s">
        <v>37</v>
      </c>
      <c r="I1458">
        <v>1</v>
      </c>
      <c r="J1458">
        <v>2049</v>
      </c>
      <c r="K1458">
        <v>3</v>
      </c>
      <c r="L1458" t="s">
        <v>44</v>
      </c>
      <c r="M1458">
        <v>80</v>
      </c>
      <c r="N1458">
        <v>3</v>
      </c>
      <c r="O1458">
        <v>2</v>
      </c>
      <c r="P1458" t="s">
        <v>52</v>
      </c>
      <c r="Q1458">
        <v>3</v>
      </c>
      <c r="R1458" t="s">
        <v>46</v>
      </c>
      <c r="S1458">
        <v>5689</v>
      </c>
      <c r="T1458">
        <v>24594</v>
      </c>
      <c r="U1458">
        <v>1</v>
      </c>
      <c r="V1458" t="s">
        <v>41</v>
      </c>
      <c r="W1458" t="s">
        <v>35</v>
      </c>
      <c r="X1458">
        <v>14</v>
      </c>
      <c r="Y1458">
        <v>3</v>
      </c>
      <c r="Z1458">
        <v>4</v>
      </c>
      <c r="AA1458">
        <v>80</v>
      </c>
      <c r="AB1458">
        <v>2</v>
      </c>
      <c r="AC1458">
        <v>10</v>
      </c>
      <c r="AD1458">
        <v>2</v>
      </c>
      <c r="AE1458">
        <v>4</v>
      </c>
      <c r="AF1458">
        <v>10</v>
      </c>
      <c r="AG1458">
        <v>2</v>
      </c>
      <c r="AH1458">
        <v>0</v>
      </c>
      <c r="AI1458">
        <v>2</v>
      </c>
      <c r="AJ1458">
        <f t="shared" si="22"/>
        <v>0</v>
      </c>
      <c r="AK1458" t="str" cm="1">
        <f t="array" ref="AK1458">_xlfn.IFS(A1458&lt;=30,"18-30",A1458&lt;=45,"31-45",A1458&lt;=60,"46-60",TRUE, "60+")</f>
        <v>31-45</v>
      </c>
      <c r="AL1458" t="str" cm="1">
        <f t="array" ref="AL1458">_xlfn.IFS(F1458&lt;=10,"0-10",F1458&lt;=20,"11-20",TRUE,"20+")</f>
        <v>11-20</v>
      </c>
      <c r="AM1458" t="str" cm="1">
        <f t="array" ref="AM1458">_xlfn.IFS(S1458&lt;=5000,"0-5k",S1458&lt;=10000,"5k-10k",S1458&lt;=15000,"10k-15k",TRUE,"15k+")</f>
        <v>5k-10k</v>
      </c>
      <c r="AN1458" t="str" cm="1">
        <f t="array" ref="AN1458">_xlfn.IFS(AF1458&lt;=10,"0-10",AF1458&lt;=20,"10-20",AF1458&lt;=30,"20-30",TRUE,"30+")</f>
        <v>0-10</v>
      </c>
      <c r="AO1458" t="str" cm="1">
        <f t="array" ref="AO1458">_xlfn.IFS(Y1458=1,"Poor",Y1458=2,"Average",Y1458=3,"Good",TRUE,"Excellent")</f>
        <v>Good</v>
      </c>
      <c r="AP1458" t="str" cm="1">
        <f t="array" ref="AP1458">_xlfn.IFS(Q1458=1,"Low",Q1458=2,"Medium",Q1458=3,"High",TRUE,"Very High")</f>
        <v>High</v>
      </c>
    </row>
    <row r="1459" spans="1:42" x14ac:dyDescent="0.25">
      <c r="A1459">
        <v>40</v>
      </c>
      <c r="B1459" t="s">
        <v>42</v>
      </c>
      <c r="C1459" t="s">
        <v>90</v>
      </c>
      <c r="D1459">
        <v>1194</v>
      </c>
      <c r="E1459" t="s">
        <v>43</v>
      </c>
      <c r="F1459">
        <v>2</v>
      </c>
      <c r="G1459">
        <v>4</v>
      </c>
      <c r="H1459" t="s">
        <v>49</v>
      </c>
      <c r="I1459">
        <v>1</v>
      </c>
      <c r="J1459">
        <v>2051</v>
      </c>
      <c r="K1459">
        <v>3</v>
      </c>
      <c r="L1459" t="s">
        <v>38</v>
      </c>
      <c r="M1459">
        <v>98</v>
      </c>
      <c r="N1459">
        <v>3</v>
      </c>
      <c r="O1459">
        <v>1</v>
      </c>
      <c r="P1459" t="s">
        <v>45</v>
      </c>
      <c r="Q1459">
        <v>3</v>
      </c>
      <c r="R1459" t="s">
        <v>46</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c r="AJ1459">
        <f t="shared" si="22"/>
        <v>0</v>
      </c>
      <c r="AK1459" t="str" cm="1">
        <f t="array" ref="AK1459">_xlfn.IFS(A1459&lt;=30,"18-30",A1459&lt;=45,"31-45",A1459&lt;=60,"46-60",TRUE, "60+")</f>
        <v>31-45</v>
      </c>
      <c r="AL1459" t="str" cm="1">
        <f t="array" ref="AL1459">_xlfn.IFS(F1459&lt;=10,"0-10",F1459&lt;=20,"11-20",TRUE,"20+")</f>
        <v>0-10</v>
      </c>
      <c r="AM1459" t="str" cm="1">
        <f t="array" ref="AM1459">_xlfn.IFS(S1459&lt;=5000,"0-5k",S1459&lt;=10000,"5k-10k",S1459&lt;=15000,"10k-15k",TRUE,"15k+")</f>
        <v>0-5k</v>
      </c>
      <c r="AN1459" t="str" cm="1">
        <f t="array" ref="AN1459">_xlfn.IFS(AF1459&lt;=10,"0-10",AF1459&lt;=20,"10-20",AF1459&lt;=30,"20-30",TRUE,"30+")</f>
        <v>0-10</v>
      </c>
      <c r="AO1459" t="str" cm="1">
        <f t="array" ref="AO1459">_xlfn.IFS(Y1459=1,"Poor",Y1459=2,"Average",Y1459=3,"Good",TRUE,"Excellent")</f>
        <v>Good</v>
      </c>
      <c r="AP1459" t="str" cm="1">
        <f t="array" ref="AP1459">_xlfn.IFS(Q1459=1,"Low",Q1459=2,"Medium",Q1459=3,"High",TRUE,"Very High")</f>
        <v>High</v>
      </c>
    </row>
    <row r="1460" spans="1:42" x14ac:dyDescent="0.25">
      <c r="A1460">
        <v>35</v>
      </c>
      <c r="B1460" t="s">
        <v>42</v>
      </c>
      <c r="C1460" t="s">
        <v>90</v>
      </c>
      <c r="D1460">
        <v>287</v>
      </c>
      <c r="E1460" t="s">
        <v>43</v>
      </c>
      <c r="F1460">
        <v>1</v>
      </c>
      <c r="G1460">
        <v>4</v>
      </c>
      <c r="H1460" t="s">
        <v>37</v>
      </c>
      <c r="I1460">
        <v>1</v>
      </c>
      <c r="J1460">
        <v>2052</v>
      </c>
      <c r="K1460">
        <v>3</v>
      </c>
      <c r="L1460" t="s">
        <v>38</v>
      </c>
      <c r="M1460">
        <v>62</v>
      </c>
      <c r="N1460">
        <v>1</v>
      </c>
      <c r="O1460">
        <v>1</v>
      </c>
      <c r="P1460" t="s">
        <v>45</v>
      </c>
      <c r="Q1460">
        <v>4</v>
      </c>
      <c r="R1460" t="s">
        <v>46</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c r="AJ1460">
        <f t="shared" si="22"/>
        <v>0</v>
      </c>
      <c r="AK1460" t="str" cm="1">
        <f t="array" ref="AK1460">_xlfn.IFS(A1460&lt;=30,"18-30",A1460&lt;=45,"31-45",A1460&lt;=60,"46-60",TRUE, "60+")</f>
        <v>31-45</v>
      </c>
      <c r="AL1460" t="str" cm="1">
        <f t="array" ref="AL1460">_xlfn.IFS(F1460&lt;=10,"0-10",F1460&lt;=20,"11-20",TRUE,"20+")</f>
        <v>0-10</v>
      </c>
      <c r="AM1460" t="str" cm="1">
        <f t="array" ref="AM1460">_xlfn.IFS(S1460&lt;=5000,"0-5k",S1460&lt;=10000,"5k-10k",S1460&lt;=15000,"10k-15k",TRUE,"15k+")</f>
        <v>0-5k</v>
      </c>
      <c r="AN1460" t="str" cm="1">
        <f t="array" ref="AN1460">_xlfn.IFS(AF1460&lt;=10,"0-10",AF1460&lt;=20,"10-20",AF1460&lt;=30,"20-30",TRUE,"30+")</f>
        <v>0-10</v>
      </c>
      <c r="AO1460" t="str" cm="1">
        <f t="array" ref="AO1460">_xlfn.IFS(Y1460=1,"Poor",Y1460=2,"Average",Y1460=3,"Good",TRUE,"Excellent")</f>
        <v>Good</v>
      </c>
      <c r="AP1460" t="str" cm="1">
        <f t="array" ref="AP1460">_xlfn.IFS(Q1460=1,"Low",Q1460=2,"Medium",Q1460=3,"High",TRUE,"Very High")</f>
        <v>Very High</v>
      </c>
    </row>
    <row r="1461" spans="1:42" x14ac:dyDescent="0.25">
      <c r="A1461">
        <v>29</v>
      </c>
      <c r="B1461" t="s">
        <v>42</v>
      </c>
      <c r="C1461" t="s">
        <v>90</v>
      </c>
      <c r="D1461">
        <v>1378</v>
      </c>
      <c r="E1461" t="s">
        <v>43</v>
      </c>
      <c r="F1461">
        <v>13</v>
      </c>
      <c r="G1461">
        <v>2</v>
      </c>
      <c r="H1461" t="s">
        <v>47</v>
      </c>
      <c r="I1461">
        <v>1</v>
      </c>
      <c r="J1461">
        <v>2053</v>
      </c>
      <c r="K1461">
        <v>4</v>
      </c>
      <c r="L1461" t="s">
        <v>44</v>
      </c>
      <c r="M1461">
        <v>46</v>
      </c>
      <c r="N1461">
        <v>2</v>
      </c>
      <c r="O1461">
        <v>2</v>
      </c>
      <c r="P1461" t="s">
        <v>48</v>
      </c>
      <c r="Q1461">
        <v>2</v>
      </c>
      <c r="R1461" t="s">
        <v>46</v>
      </c>
      <c r="S1461">
        <v>4025</v>
      </c>
      <c r="T1461">
        <v>23679</v>
      </c>
      <c r="U1461">
        <v>4</v>
      </c>
      <c r="V1461" t="s">
        <v>41</v>
      </c>
      <c r="W1461" t="s">
        <v>35</v>
      </c>
      <c r="X1461">
        <v>13</v>
      </c>
      <c r="Y1461">
        <v>3</v>
      </c>
      <c r="Z1461">
        <v>1</v>
      </c>
      <c r="AA1461">
        <v>80</v>
      </c>
      <c r="AB1461">
        <v>1</v>
      </c>
      <c r="AC1461">
        <v>10</v>
      </c>
      <c r="AD1461">
        <v>2</v>
      </c>
      <c r="AE1461">
        <v>3</v>
      </c>
      <c r="AF1461">
        <v>4</v>
      </c>
      <c r="AG1461">
        <v>3</v>
      </c>
      <c r="AH1461">
        <v>0</v>
      </c>
      <c r="AI1461">
        <v>3</v>
      </c>
      <c r="AJ1461">
        <f t="shared" si="22"/>
        <v>0</v>
      </c>
      <c r="AK1461" t="str" cm="1">
        <f t="array" ref="AK1461">_xlfn.IFS(A1461&lt;=30,"18-30",A1461&lt;=45,"31-45",A1461&lt;=60,"46-60",TRUE, "60+")</f>
        <v>18-30</v>
      </c>
      <c r="AL1461" t="str" cm="1">
        <f t="array" ref="AL1461">_xlfn.IFS(F1461&lt;=10,"0-10",F1461&lt;=20,"11-20",TRUE,"20+")</f>
        <v>11-20</v>
      </c>
      <c r="AM1461" t="str" cm="1">
        <f t="array" ref="AM1461">_xlfn.IFS(S1461&lt;=5000,"0-5k",S1461&lt;=10000,"5k-10k",S1461&lt;=15000,"10k-15k",TRUE,"15k+")</f>
        <v>0-5k</v>
      </c>
      <c r="AN1461" t="str" cm="1">
        <f t="array" ref="AN1461">_xlfn.IFS(AF1461&lt;=10,"0-10",AF1461&lt;=20,"10-20",AF1461&lt;=30,"20-30",TRUE,"30+")</f>
        <v>0-10</v>
      </c>
      <c r="AO1461" t="str" cm="1">
        <f t="array" ref="AO1461">_xlfn.IFS(Y1461=1,"Poor",Y1461=2,"Average",Y1461=3,"Good",TRUE,"Excellent")</f>
        <v>Good</v>
      </c>
      <c r="AP1461" t="str" cm="1">
        <f t="array" ref="AP1461">_xlfn.IFS(Q1461=1,"Low",Q1461=2,"Medium",Q1461=3,"High",TRUE,"Very High")</f>
        <v>Medium</v>
      </c>
    </row>
    <row r="1462" spans="1:42" x14ac:dyDescent="0.25">
      <c r="A1462">
        <v>29</v>
      </c>
      <c r="B1462" t="s">
        <v>42</v>
      </c>
      <c r="C1462" t="s">
        <v>90</v>
      </c>
      <c r="D1462">
        <v>468</v>
      </c>
      <c r="E1462" t="s">
        <v>43</v>
      </c>
      <c r="F1462">
        <v>28</v>
      </c>
      <c r="G1462">
        <v>4</v>
      </c>
      <c r="H1462" t="s">
        <v>49</v>
      </c>
      <c r="I1462">
        <v>1</v>
      </c>
      <c r="J1462">
        <v>2054</v>
      </c>
      <c r="K1462">
        <v>4</v>
      </c>
      <c r="L1462" t="s">
        <v>38</v>
      </c>
      <c r="M1462">
        <v>73</v>
      </c>
      <c r="N1462">
        <v>2</v>
      </c>
      <c r="O1462">
        <v>1</v>
      </c>
      <c r="P1462" t="s">
        <v>45</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c r="AJ1462">
        <f t="shared" si="22"/>
        <v>0</v>
      </c>
      <c r="AK1462" t="str" cm="1">
        <f t="array" ref="AK1462">_xlfn.IFS(A1462&lt;=30,"18-30",A1462&lt;=45,"31-45",A1462&lt;=60,"46-60",TRUE, "60+")</f>
        <v>18-30</v>
      </c>
      <c r="AL1462" t="str" cm="1">
        <f t="array" ref="AL1462">_xlfn.IFS(F1462&lt;=10,"0-10",F1462&lt;=20,"11-20",TRUE,"20+")</f>
        <v>20+</v>
      </c>
      <c r="AM1462" t="str" cm="1">
        <f t="array" ref="AM1462">_xlfn.IFS(S1462&lt;=5000,"0-5k",S1462&lt;=10000,"5k-10k",S1462&lt;=15000,"10k-15k",TRUE,"15k+")</f>
        <v>0-5k</v>
      </c>
      <c r="AN1462" t="str" cm="1">
        <f t="array" ref="AN1462">_xlfn.IFS(AF1462&lt;=10,"0-10",AF1462&lt;=20,"10-20",AF1462&lt;=30,"20-30",TRUE,"30+")</f>
        <v>0-10</v>
      </c>
      <c r="AO1462" t="str" cm="1">
        <f t="array" ref="AO1462">_xlfn.IFS(Y1462=1,"Poor",Y1462=2,"Average",Y1462=3,"Good",TRUE,"Excellent")</f>
        <v>Good</v>
      </c>
      <c r="AP1462" t="str" cm="1">
        <f t="array" ref="AP1462">_xlfn.IFS(Q1462=1,"Low",Q1462=2,"Medium",Q1462=3,"High",TRUE,"Very High")</f>
        <v>Low</v>
      </c>
    </row>
    <row r="1463" spans="1:42" x14ac:dyDescent="0.25">
      <c r="A1463">
        <v>50</v>
      </c>
      <c r="B1463" t="s">
        <v>35</v>
      </c>
      <c r="C1463" t="s">
        <v>90</v>
      </c>
      <c r="D1463">
        <v>410</v>
      </c>
      <c r="E1463" t="s">
        <v>36</v>
      </c>
      <c r="F1463">
        <v>28</v>
      </c>
      <c r="G1463">
        <v>3</v>
      </c>
      <c r="H1463" t="s">
        <v>57</v>
      </c>
      <c r="I1463">
        <v>1</v>
      </c>
      <c r="J1463">
        <v>2055</v>
      </c>
      <c r="K1463">
        <v>4</v>
      </c>
      <c r="L1463" t="s">
        <v>44</v>
      </c>
      <c r="M1463">
        <v>39</v>
      </c>
      <c r="N1463">
        <v>2</v>
      </c>
      <c r="O1463">
        <v>3</v>
      </c>
      <c r="P1463" t="s">
        <v>39</v>
      </c>
      <c r="Q1463">
        <v>1</v>
      </c>
      <c r="R1463" t="s">
        <v>50</v>
      </c>
      <c r="S1463">
        <v>10854</v>
      </c>
      <c r="T1463">
        <v>16586</v>
      </c>
      <c r="U1463">
        <v>4</v>
      </c>
      <c r="V1463" t="s">
        <v>41</v>
      </c>
      <c r="W1463" t="s">
        <v>35</v>
      </c>
      <c r="X1463">
        <v>13</v>
      </c>
      <c r="Y1463">
        <v>3</v>
      </c>
      <c r="Z1463">
        <v>2</v>
      </c>
      <c r="AA1463">
        <v>80</v>
      </c>
      <c r="AB1463">
        <v>1</v>
      </c>
      <c r="AC1463">
        <v>20</v>
      </c>
      <c r="AD1463">
        <v>3</v>
      </c>
      <c r="AE1463">
        <v>3</v>
      </c>
      <c r="AF1463">
        <v>3</v>
      </c>
      <c r="AG1463">
        <v>2</v>
      </c>
      <c r="AH1463">
        <v>2</v>
      </c>
      <c r="AI1463">
        <v>0</v>
      </c>
      <c r="AJ1463">
        <f t="shared" si="22"/>
        <v>1</v>
      </c>
      <c r="AK1463" t="str" cm="1">
        <f t="array" ref="AK1463">_xlfn.IFS(A1463&lt;=30,"18-30",A1463&lt;=45,"31-45",A1463&lt;=60,"46-60",TRUE, "60+")</f>
        <v>46-60</v>
      </c>
      <c r="AL1463" t="str" cm="1">
        <f t="array" ref="AL1463">_xlfn.IFS(F1463&lt;=10,"0-10",F1463&lt;=20,"11-20",TRUE,"20+")</f>
        <v>20+</v>
      </c>
      <c r="AM1463" t="str" cm="1">
        <f t="array" ref="AM1463">_xlfn.IFS(S1463&lt;=5000,"0-5k",S1463&lt;=10000,"5k-10k",S1463&lt;=15000,"10k-15k",TRUE,"15k+")</f>
        <v>10k-15k</v>
      </c>
      <c r="AN1463" t="str" cm="1">
        <f t="array" ref="AN1463">_xlfn.IFS(AF1463&lt;=10,"0-10",AF1463&lt;=20,"10-20",AF1463&lt;=30,"20-30",TRUE,"30+")</f>
        <v>0-10</v>
      </c>
      <c r="AO1463" t="str" cm="1">
        <f t="array" ref="AO1463">_xlfn.IFS(Y1463=1,"Poor",Y1463=2,"Average",Y1463=3,"Good",TRUE,"Excellent")</f>
        <v>Good</v>
      </c>
      <c r="AP1463" t="str" cm="1">
        <f t="array" ref="AP1463">_xlfn.IFS(Q1463=1,"Low",Q1463=2,"Medium",Q1463=3,"High",TRUE,"Very High")</f>
        <v>Low</v>
      </c>
    </row>
    <row r="1464" spans="1:42" x14ac:dyDescent="0.25">
      <c r="A1464">
        <v>39</v>
      </c>
      <c r="B1464" t="s">
        <v>42</v>
      </c>
      <c r="C1464" t="s">
        <v>90</v>
      </c>
      <c r="D1464">
        <v>722</v>
      </c>
      <c r="E1464" t="s">
        <v>36</v>
      </c>
      <c r="F1464">
        <v>24</v>
      </c>
      <c r="G1464">
        <v>1</v>
      </c>
      <c r="H1464" t="s">
        <v>57</v>
      </c>
      <c r="I1464">
        <v>1</v>
      </c>
      <c r="J1464">
        <v>2056</v>
      </c>
      <c r="K1464">
        <v>2</v>
      </c>
      <c r="L1464" t="s">
        <v>38</v>
      </c>
      <c r="M1464">
        <v>60</v>
      </c>
      <c r="N1464">
        <v>2</v>
      </c>
      <c r="O1464">
        <v>4</v>
      </c>
      <c r="P1464" t="s">
        <v>39</v>
      </c>
      <c r="Q1464">
        <v>4</v>
      </c>
      <c r="R1464" t="s">
        <v>46</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c r="AJ1464">
        <f t="shared" si="22"/>
        <v>0</v>
      </c>
      <c r="AK1464" t="str" cm="1">
        <f t="array" ref="AK1464">_xlfn.IFS(A1464&lt;=30,"18-30",A1464&lt;=45,"31-45",A1464&lt;=60,"46-60",TRUE, "60+")</f>
        <v>31-45</v>
      </c>
      <c r="AL1464" t="str" cm="1">
        <f t="array" ref="AL1464">_xlfn.IFS(F1464&lt;=10,"0-10",F1464&lt;=20,"11-20",TRUE,"20+")</f>
        <v>20+</v>
      </c>
      <c r="AM1464" t="str" cm="1">
        <f t="array" ref="AM1464">_xlfn.IFS(S1464&lt;=5000,"0-5k",S1464&lt;=10000,"5k-10k",S1464&lt;=15000,"10k-15k",TRUE,"15k+")</f>
        <v>10k-15k</v>
      </c>
      <c r="AN1464" t="str" cm="1">
        <f t="array" ref="AN1464">_xlfn.IFS(AF1464&lt;=10,"0-10",AF1464&lt;=20,"10-20",AF1464&lt;=30,"20-30",TRUE,"30+")</f>
        <v>10-20</v>
      </c>
      <c r="AO1464" t="str" cm="1">
        <f t="array" ref="AO1464">_xlfn.IFS(Y1464=1,"Poor",Y1464=2,"Average",Y1464=3,"Good",TRUE,"Excellent")</f>
        <v>Good</v>
      </c>
      <c r="AP1464" t="str" cm="1">
        <f t="array" ref="AP1464">_xlfn.IFS(Q1464=1,"Low",Q1464=2,"Medium",Q1464=3,"High",TRUE,"Very High")</f>
        <v>Very High</v>
      </c>
    </row>
    <row r="1465" spans="1:42" x14ac:dyDescent="0.25">
      <c r="A1465">
        <v>31</v>
      </c>
      <c r="B1465" t="s">
        <v>42</v>
      </c>
      <c r="C1465" t="s">
        <v>53</v>
      </c>
      <c r="D1465">
        <v>325</v>
      </c>
      <c r="E1465" t="s">
        <v>43</v>
      </c>
      <c r="F1465">
        <v>5</v>
      </c>
      <c r="G1465">
        <v>3</v>
      </c>
      <c r="H1465" t="s">
        <v>49</v>
      </c>
      <c r="I1465">
        <v>1</v>
      </c>
      <c r="J1465">
        <v>2057</v>
      </c>
      <c r="K1465">
        <v>2</v>
      </c>
      <c r="L1465" t="s">
        <v>44</v>
      </c>
      <c r="M1465">
        <v>74</v>
      </c>
      <c r="N1465">
        <v>3</v>
      </c>
      <c r="O1465">
        <v>2</v>
      </c>
      <c r="P1465" t="s">
        <v>51</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c r="AJ1465">
        <f t="shared" si="22"/>
        <v>0</v>
      </c>
      <c r="AK1465" t="str" cm="1">
        <f t="array" ref="AK1465">_xlfn.IFS(A1465&lt;=30,"18-30",A1465&lt;=45,"31-45",A1465&lt;=60,"46-60",TRUE, "60+")</f>
        <v>31-45</v>
      </c>
      <c r="AL1465" t="str" cm="1">
        <f t="array" ref="AL1465">_xlfn.IFS(F1465&lt;=10,"0-10",F1465&lt;=20,"11-20",TRUE,"20+")</f>
        <v>0-10</v>
      </c>
      <c r="AM1465" t="str" cm="1">
        <f t="array" ref="AM1465">_xlfn.IFS(S1465&lt;=5000,"0-5k",S1465&lt;=10000,"5k-10k",S1465&lt;=15000,"10k-15k",TRUE,"15k+")</f>
        <v>5k-10k</v>
      </c>
      <c r="AN1465" t="str" cm="1">
        <f t="array" ref="AN1465">_xlfn.IFS(AF1465&lt;=10,"0-10",AF1465&lt;=20,"10-20",AF1465&lt;=30,"20-30",TRUE,"30+")</f>
        <v>0-10</v>
      </c>
      <c r="AO1465" t="str" cm="1">
        <f t="array" ref="AO1465">_xlfn.IFS(Y1465=1,"Poor",Y1465=2,"Average",Y1465=3,"Good",TRUE,"Excellent")</f>
        <v>Good</v>
      </c>
      <c r="AP1465" t="str" cm="1">
        <f t="array" ref="AP1465">_xlfn.IFS(Q1465=1,"Low",Q1465=2,"Medium",Q1465=3,"High",TRUE,"Very High")</f>
        <v>Low</v>
      </c>
    </row>
    <row r="1466" spans="1:42" x14ac:dyDescent="0.25">
      <c r="A1466">
        <v>26</v>
      </c>
      <c r="B1466" t="s">
        <v>42</v>
      </c>
      <c r="C1466" t="s">
        <v>90</v>
      </c>
      <c r="D1466">
        <v>1167</v>
      </c>
      <c r="E1466" t="s">
        <v>36</v>
      </c>
      <c r="F1466">
        <v>5</v>
      </c>
      <c r="G1466">
        <v>3</v>
      </c>
      <c r="H1466" t="s">
        <v>47</v>
      </c>
      <c r="I1466">
        <v>1</v>
      </c>
      <c r="J1466">
        <v>2060</v>
      </c>
      <c r="K1466">
        <v>4</v>
      </c>
      <c r="L1466" t="s">
        <v>38</v>
      </c>
      <c r="M1466">
        <v>30</v>
      </c>
      <c r="N1466">
        <v>2</v>
      </c>
      <c r="O1466">
        <v>1</v>
      </c>
      <c r="P1466" t="s">
        <v>55</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c r="AJ1466">
        <f t="shared" si="22"/>
        <v>0</v>
      </c>
      <c r="AK1466" t="str" cm="1">
        <f t="array" ref="AK1466">_xlfn.IFS(A1466&lt;=30,"18-30",A1466&lt;=45,"31-45",A1466&lt;=60,"46-60",TRUE, "60+")</f>
        <v>18-30</v>
      </c>
      <c r="AL1466" t="str" cm="1">
        <f t="array" ref="AL1466">_xlfn.IFS(F1466&lt;=10,"0-10",F1466&lt;=20,"11-20",TRUE,"20+")</f>
        <v>0-10</v>
      </c>
      <c r="AM1466" t="str" cm="1">
        <f t="array" ref="AM1466">_xlfn.IFS(S1466&lt;=5000,"0-5k",S1466&lt;=10000,"5k-10k",S1466&lt;=15000,"10k-15k",TRUE,"15k+")</f>
        <v>0-5k</v>
      </c>
      <c r="AN1466" t="str" cm="1">
        <f t="array" ref="AN1466">_xlfn.IFS(AF1466&lt;=10,"0-10",AF1466&lt;=20,"10-20",AF1466&lt;=30,"20-30",TRUE,"30+")</f>
        <v>0-10</v>
      </c>
      <c r="AO1466" t="str" cm="1">
        <f t="array" ref="AO1466">_xlfn.IFS(Y1466=1,"Poor",Y1466=2,"Average",Y1466=3,"Good",TRUE,"Excellent")</f>
        <v>Good</v>
      </c>
      <c r="AP1466" t="str" cm="1">
        <f t="array" ref="AP1466">_xlfn.IFS(Q1466=1,"Low",Q1466=2,"Medium",Q1466=3,"High",TRUE,"Very High")</f>
        <v>High</v>
      </c>
    </row>
    <row r="1467" spans="1:42" x14ac:dyDescent="0.25">
      <c r="A1467">
        <v>36</v>
      </c>
      <c r="B1467" t="s">
        <v>42</v>
      </c>
      <c r="C1467" t="s">
        <v>91</v>
      </c>
      <c r="D1467">
        <v>884</v>
      </c>
      <c r="E1467" t="s">
        <v>43</v>
      </c>
      <c r="F1467">
        <v>23</v>
      </c>
      <c r="G1467">
        <v>2</v>
      </c>
      <c r="H1467" t="s">
        <v>49</v>
      </c>
      <c r="I1467">
        <v>1</v>
      </c>
      <c r="J1467">
        <v>2061</v>
      </c>
      <c r="K1467">
        <v>3</v>
      </c>
      <c r="L1467" t="s">
        <v>44</v>
      </c>
      <c r="M1467">
        <v>41</v>
      </c>
      <c r="N1467">
        <v>4</v>
      </c>
      <c r="O1467">
        <v>2</v>
      </c>
      <c r="P1467" t="s">
        <v>48</v>
      </c>
      <c r="Q1467">
        <v>4</v>
      </c>
      <c r="R1467" t="s">
        <v>46</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c r="AJ1467">
        <f t="shared" si="22"/>
        <v>0</v>
      </c>
      <c r="AK1467" t="str" cm="1">
        <f t="array" ref="AK1467">_xlfn.IFS(A1467&lt;=30,"18-30",A1467&lt;=45,"31-45",A1467&lt;=60,"46-60",TRUE, "60+")</f>
        <v>31-45</v>
      </c>
      <c r="AL1467" t="str" cm="1">
        <f t="array" ref="AL1467">_xlfn.IFS(F1467&lt;=10,"0-10",F1467&lt;=20,"11-20",TRUE,"20+")</f>
        <v>20+</v>
      </c>
      <c r="AM1467" t="str" cm="1">
        <f t="array" ref="AM1467">_xlfn.IFS(S1467&lt;=5000,"0-5k",S1467&lt;=10000,"5k-10k",S1467&lt;=15000,"10k-15k",TRUE,"15k+")</f>
        <v>0-5k</v>
      </c>
      <c r="AN1467" t="str" cm="1">
        <f t="array" ref="AN1467">_xlfn.IFS(AF1467&lt;=10,"0-10",AF1467&lt;=20,"10-20",AF1467&lt;=30,"20-30",TRUE,"30+")</f>
        <v>0-10</v>
      </c>
      <c r="AO1467" t="str" cm="1">
        <f t="array" ref="AO1467">_xlfn.IFS(Y1467=1,"Poor",Y1467=2,"Average",Y1467=3,"Good",TRUE,"Excellent")</f>
        <v>Good</v>
      </c>
      <c r="AP1467" t="str" cm="1">
        <f t="array" ref="AP1467">_xlfn.IFS(Q1467=1,"Low",Q1467=2,"Medium",Q1467=3,"High",TRUE,"Very High")</f>
        <v>Very High</v>
      </c>
    </row>
    <row r="1468" spans="1:42" x14ac:dyDescent="0.25">
      <c r="A1468">
        <v>39</v>
      </c>
      <c r="B1468" t="s">
        <v>42</v>
      </c>
      <c r="C1468" t="s">
        <v>90</v>
      </c>
      <c r="D1468">
        <v>613</v>
      </c>
      <c r="E1468" t="s">
        <v>43</v>
      </c>
      <c r="F1468">
        <v>6</v>
      </c>
      <c r="G1468">
        <v>1</v>
      </c>
      <c r="H1468" t="s">
        <v>49</v>
      </c>
      <c r="I1468">
        <v>1</v>
      </c>
      <c r="J1468">
        <v>2062</v>
      </c>
      <c r="K1468">
        <v>4</v>
      </c>
      <c r="L1468" t="s">
        <v>44</v>
      </c>
      <c r="M1468">
        <v>42</v>
      </c>
      <c r="N1468">
        <v>2</v>
      </c>
      <c r="O1468">
        <v>3</v>
      </c>
      <c r="P1468" t="s">
        <v>52</v>
      </c>
      <c r="Q1468">
        <v>1</v>
      </c>
      <c r="R1468" t="s">
        <v>46</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c r="AJ1468">
        <f t="shared" si="22"/>
        <v>0</v>
      </c>
      <c r="AK1468" t="str" cm="1">
        <f t="array" ref="AK1468">_xlfn.IFS(A1468&lt;=30,"18-30",A1468&lt;=45,"31-45",A1468&lt;=60,"46-60",TRUE, "60+")</f>
        <v>31-45</v>
      </c>
      <c r="AL1468" t="str" cm="1">
        <f t="array" ref="AL1468">_xlfn.IFS(F1468&lt;=10,"0-10",F1468&lt;=20,"11-20",TRUE,"20+")</f>
        <v>0-10</v>
      </c>
      <c r="AM1468" t="str" cm="1">
        <f t="array" ref="AM1468">_xlfn.IFS(S1468&lt;=5000,"0-5k",S1468&lt;=10000,"5k-10k",S1468&lt;=15000,"10k-15k",TRUE,"15k+")</f>
        <v>5k-10k</v>
      </c>
      <c r="AN1468" t="str" cm="1">
        <f t="array" ref="AN1468">_xlfn.IFS(AF1468&lt;=10,"0-10",AF1468&lt;=20,"10-20",AF1468&lt;=30,"20-30",TRUE,"30+")</f>
        <v>0-10</v>
      </c>
      <c r="AO1468" t="str" cm="1">
        <f t="array" ref="AO1468">_xlfn.IFS(Y1468=1,"Poor",Y1468=2,"Average",Y1468=3,"Good",TRUE,"Excellent")</f>
        <v>Good</v>
      </c>
      <c r="AP1468" t="str" cm="1">
        <f t="array" ref="AP1468">_xlfn.IFS(Q1468=1,"Low",Q1468=2,"Medium",Q1468=3,"High",TRUE,"Very High")</f>
        <v>Low</v>
      </c>
    </row>
    <row r="1469" spans="1:42" x14ac:dyDescent="0.25">
      <c r="A1469">
        <v>27</v>
      </c>
      <c r="B1469" t="s">
        <v>42</v>
      </c>
      <c r="C1469" t="s">
        <v>90</v>
      </c>
      <c r="D1469">
        <v>155</v>
      </c>
      <c r="E1469" t="s">
        <v>43</v>
      </c>
      <c r="F1469">
        <v>4</v>
      </c>
      <c r="G1469">
        <v>3</v>
      </c>
      <c r="H1469" t="s">
        <v>37</v>
      </c>
      <c r="I1469">
        <v>1</v>
      </c>
      <c r="J1469">
        <v>2064</v>
      </c>
      <c r="K1469">
        <v>2</v>
      </c>
      <c r="L1469" t="s">
        <v>44</v>
      </c>
      <c r="M1469">
        <v>87</v>
      </c>
      <c r="N1469">
        <v>4</v>
      </c>
      <c r="O1469">
        <v>2</v>
      </c>
      <c r="P1469" t="s">
        <v>51</v>
      </c>
      <c r="Q1469">
        <v>2</v>
      </c>
      <c r="R1469" t="s">
        <v>46</v>
      </c>
      <c r="S1469">
        <v>6142</v>
      </c>
      <c r="T1469">
        <v>5174</v>
      </c>
      <c r="U1469">
        <v>1</v>
      </c>
      <c r="V1469" t="s">
        <v>41</v>
      </c>
      <c r="W1469" t="s">
        <v>35</v>
      </c>
      <c r="X1469">
        <v>20</v>
      </c>
      <c r="Y1469">
        <v>4</v>
      </c>
      <c r="Z1469">
        <v>2</v>
      </c>
      <c r="AA1469">
        <v>80</v>
      </c>
      <c r="AB1469">
        <v>1</v>
      </c>
      <c r="AC1469">
        <v>6</v>
      </c>
      <c r="AD1469">
        <v>0</v>
      </c>
      <c r="AE1469">
        <v>3</v>
      </c>
      <c r="AF1469">
        <v>6</v>
      </c>
      <c r="AG1469">
        <v>2</v>
      </c>
      <c r="AH1469">
        <v>0</v>
      </c>
      <c r="AI1469">
        <v>3</v>
      </c>
      <c r="AJ1469">
        <f t="shared" si="22"/>
        <v>0</v>
      </c>
      <c r="AK1469" t="str" cm="1">
        <f t="array" ref="AK1469">_xlfn.IFS(A1469&lt;=30,"18-30",A1469&lt;=45,"31-45",A1469&lt;=60,"46-60",TRUE, "60+")</f>
        <v>18-30</v>
      </c>
      <c r="AL1469" t="str" cm="1">
        <f t="array" ref="AL1469">_xlfn.IFS(F1469&lt;=10,"0-10",F1469&lt;=20,"11-20",TRUE,"20+")</f>
        <v>0-10</v>
      </c>
      <c r="AM1469" t="str" cm="1">
        <f t="array" ref="AM1469">_xlfn.IFS(S1469&lt;=5000,"0-5k",S1469&lt;=10000,"5k-10k",S1469&lt;=15000,"10k-15k",TRUE,"15k+")</f>
        <v>5k-10k</v>
      </c>
      <c r="AN1469" t="str" cm="1">
        <f t="array" ref="AN1469">_xlfn.IFS(AF1469&lt;=10,"0-10",AF1469&lt;=20,"10-20",AF1469&lt;=30,"20-30",TRUE,"30+")</f>
        <v>0-10</v>
      </c>
      <c r="AO1469" t="str" cm="1">
        <f t="array" ref="AO1469">_xlfn.IFS(Y1469=1,"Poor",Y1469=2,"Average",Y1469=3,"Good",TRUE,"Excellent")</f>
        <v>Excellent</v>
      </c>
      <c r="AP1469" t="str" cm="1">
        <f t="array" ref="AP1469">_xlfn.IFS(Q1469=1,"Low",Q1469=2,"Medium",Q1469=3,"High",TRUE,"Very High")</f>
        <v>Medium</v>
      </c>
    </row>
    <row r="1470" spans="1:42" x14ac:dyDescent="0.25">
      <c r="A1470">
        <v>49</v>
      </c>
      <c r="B1470" t="s">
        <v>42</v>
      </c>
      <c r="C1470" t="s">
        <v>91</v>
      </c>
      <c r="D1470">
        <v>1023</v>
      </c>
      <c r="E1470" t="s">
        <v>36</v>
      </c>
      <c r="F1470">
        <v>2</v>
      </c>
      <c r="G1470">
        <v>3</v>
      </c>
      <c r="H1470" t="s">
        <v>49</v>
      </c>
      <c r="I1470">
        <v>1</v>
      </c>
      <c r="J1470">
        <v>2065</v>
      </c>
      <c r="K1470">
        <v>4</v>
      </c>
      <c r="L1470" t="s">
        <v>44</v>
      </c>
      <c r="M1470">
        <v>63</v>
      </c>
      <c r="N1470">
        <v>2</v>
      </c>
      <c r="O1470">
        <v>2</v>
      </c>
      <c r="P1470" t="s">
        <v>39</v>
      </c>
      <c r="Q1470">
        <v>2</v>
      </c>
      <c r="R1470" t="s">
        <v>46</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c r="AJ1470">
        <f t="shared" si="22"/>
        <v>0</v>
      </c>
      <c r="AK1470" t="str" cm="1">
        <f t="array" ref="AK1470">_xlfn.IFS(A1470&lt;=30,"18-30",A1470&lt;=45,"31-45",A1470&lt;=60,"46-60",TRUE, "60+")</f>
        <v>46-60</v>
      </c>
      <c r="AL1470" t="str" cm="1">
        <f t="array" ref="AL1470">_xlfn.IFS(F1470&lt;=10,"0-10",F1470&lt;=20,"11-20",TRUE,"20+")</f>
        <v>0-10</v>
      </c>
      <c r="AM1470" t="str" cm="1">
        <f t="array" ref="AM1470">_xlfn.IFS(S1470&lt;=5000,"0-5k",S1470&lt;=10000,"5k-10k",S1470&lt;=15000,"10k-15k",TRUE,"15k+")</f>
        <v>5k-10k</v>
      </c>
      <c r="AN1470" t="str" cm="1">
        <f t="array" ref="AN1470">_xlfn.IFS(AF1470&lt;=10,"0-10",AF1470&lt;=20,"10-20",AF1470&lt;=30,"20-30",TRUE,"30+")</f>
        <v>0-10</v>
      </c>
      <c r="AO1470" t="str" cm="1">
        <f t="array" ref="AO1470">_xlfn.IFS(Y1470=1,"Poor",Y1470=2,"Average",Y1470=3,"Good",TRUE,"Excellent")</f>
        <v>Good</v>
      </c>
      <c r="AP1470" t="str" cm="1">
        <f t="array" ref="AP1470">_xlfn.IFS(Q1470=1,"Low",Q1470=2,"Medium",Q1470=3,"High",TRUE,"Very High")</f>
        <v>Medium</v>
      </c>
    </row>
    <row r="1471" spans="1:42" x14ac:dyDescent="0.25">
      <c r="A1471">
        <v>34</v>
      </c>
      <c r="B1471" t="s">
        <v>42</v>
      </c>
      <c r="C1471" t="s">
        <v>90</v>
      </c>
      <c r="D1471">
        <v>628</v>
      </c>
      <c r="E1471" t="s">
        <v>43</v>
      </c>
      <c r="F1471">
        <v>8</v>
      </c>
      <c r="G1471">
        <v>3</v>
      </c>
      <c r="H1471" t="s">
        <v>49</v>
      </c>
      <c r="I1471">
        <v>1</v>
      </c>
      <c r="J1471">
        <v>2068</v>
      </c>
      <c r="K1471">
        <v>2</v>
      </c>
      <c r="L1471" t="s">
        <v>44</v>
      </c>
      <c r="M1471">
        <v>82</v>
      </c>
      <c r="N1471">
        <v>4</v>
      </c>
      <c r="O1471">
        <v>2</v>
      </c>
      <c r="P1471" t="s">
        <v>48</v>
      </c>
      <c r="Q1471">
        <v>3</v>
      </c>
      <c r="R1471" t="s">
        <v>46</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c r="AJ1471">
        <f t="shared" si="22"/>
        <v>0</v>
      </c>
      <c r="AK1471" t="str" cm="1">
        <f t="array" ref="AK1471">_xlfn.IFS(A1471&lt;=30,"18-30",A1471&lt;=45,"31-45",A1471&lt;=60,"46-60",TRUE, "60+")</f>
        <v>31-45</v>
      </c>
      <c r="AL1471" t="str" cm="1">
        <f t="array" ref="AL1471">_xlfn.IFS(F1471&lt;=10,"0-10",F1471&lt;=20,"11-20",TRUE,"20+")</f>
        <v>0-10</v>
      </c>
      <c r="AM1471" t="str" cm="1">
        <f t="array" ref="AM1471">_xlfn.IFS(S1471&lt;=5000,"0-5k",S1471&lt;=10000,"5k-10k",S1471&lt;=15000,"10k-15k",TRUE,"15k+")</f>
        <v>0-5k</v>
      </c>
      <c r="AN1471" t="str" cm="1">
        <f t="array" ref="AN1471">_xlfn.IFS(AF1471&lt;=10,"0-10",AF1471&lt;=20,"10-20",AF1471&lt;=30,"20-30",TRUE,"30+")</f>
        <v>0-10</v>
      </c>
      <c r="AO1471" t="str" cm="1">
        <f t="array" ref="AO1471">_xlfn.IFS(Y1471=1,"Poor",Y1471=2,"Average",Y1471=3,"Good",TRUE,"Excellent")</f>
        <v>Good</v>
      </c>
      <c r="AP1471" t="str" cm="1">
        <f t="array" ref="AP1471">_xlfn.IFS(Q1471=1,"Low",Q1471=2,"Medium",Q1471=3,"High",TRUE,"Very High")</f>
        <v>High</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D9E6-B4C4-405C-B990-19F3E1F9B939}">
  <dimension ref="D1:J5"/>
  <sheetViews>
    <sheetView tabSelected="1" view="pageBreakPreview" zoomScale="60" zoomScaleNormal="70" workbookViewId="0">
      <selection activeCell="M31" sqref="M31"/>
    </sheetView>
  </sheetViews>
  <sheetFormatPr defaultRowHeight="15" x14ac:dyDescent="0.25"/>
  <cols>
    <col min="1" max="1" width="9.140625" style="5"/>
    <col min="2" max="2" width="22.28515625" style="5" bestFit="1" customWidth="1"/>
    <col min="3" max="3" width="9.140625" style="5"/>
    <col min="4" max="4" width="22.28515625" style="5" bestFit="1" customWidth="1"/>
    <col min="5" max="5" width="9.140625" style="5"/>
    <col min="6" max="6" width="25.42578125" style="6" bestFit="1" customWidth="1"/>
    <col min="7" max="7" width="9.140625" style="5"/>
    <col min="8" max="8" width="18" style="7" bestFit="1" customWidth="1"/>
    <col min="9" max="9" width="9.140625" style="5"/>
    <col min="10" max="10" width="19.140625" style="5" bestFit="1" customWidth="1"/>
    <col min="11" max="16384" width="9.140625" style="5"/>
  </cols>
  <sheetData>
    <row r="1" spans="4:10" ht="88.5" customHeight="1" x14ac:dyDescent="0.25">
      <c r="D1" s="12"/>
    </row>
    <row r="2" spans="4:10" ht="27.75" customHeight="1" x14ac:dyDescent="0.35">
      <c r="D2" s="8" t="s">
        <v>89</v>
      </c>
      <c r="F2" s="8" t="s">
        <v>80</v>
      </c>
      <c r="H2" s="8" t="s">
        <v>81</v>
      </c>
      <c r="J2" s="8" t="s">
        <v>88</v>
      </c>
    </row>
    <row r="3" spans="4:10" ht="27.75" customHeight="1" x14ac:dyDescent="0.3">
      <c r="D3" s="9">
        <f>COUNTA(Table1[EducationField])</f>
        <v>1470</v>
      </c>
      <c r="E3" s="9"/>
      <c r="F3" s="9">
        <f>COUNTIF(Table1[AttritionFlag],1)</f>
        <v>237</v>
      </c>
      <c r="H3" s="11">
        <f>(F3/D3)</f>
        <v>0.16122448979591836</v>
      </c>
      <c r="J3" s="10">
        <f>SUM(Table1[MonthlyIncome])/D3</f>
        <v>6502.931292517007</v>
      </c>
    </row>
    <row r="4" spans="4:10" ht="61.5" hidden="1" customHeight="1" x14ac:dyDescent="0.25"/>
    <row r="5" spans="4:10" ht="15" customHeight="1" x14ac:dyDescent="0.25"/>
  </sheetData>
  <pageMargins left="0.7" right="0.7" top="0.75" bottom="0.75" header="0.3" footer="0.3"/>
  <pageSetup paperSize="296" orientation="landscape"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Q1_Age_Attrition</vt:lpstr>
      <vt:lpstr>Q2_Commute_Attrition</vt:lpstr>
      <vt:lpstr>Q3_Performance_Tenure_Attrition</vt:lpstr>
      <vt:lpstr>Q4_Performance_Salary_Attrition</vt:lpstr>
      <vt:lpstr>Q5_Satisfaction_Attrition</vt:lpstr>
      <vt:lpstr>WA_Fn-UseC_-HR-Employee-Attriti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mypc</cp:lastModifiedBy>
  <cp:lastPrinted>2026-03-19T16:44:59Z</cp:lastPrinted>
  <dcterms:created xsi:type="dcterms:W3CDTF">2026-03-14T14:37:59Z</dcterms:created>
  <dcterms:modified xsi:type="dcterms:W3CDTF">2026-03-19T16:49:40Z</dcterms:modified>
</cp:coreProperties>
</file>